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gapac-my.sharepoint.com/personal/dropboxdata_vmgapac_onmicrosoft_com/Documents/Rev360 Media Operations/31_Production Calculator/"/>
    </mc:Choice>
  </mc:AlternateContent>
  <xr:revisionPtr revIDLastSave="0" documentId="8_{B85FDFEA-F1ED-48DA-A419-6F8E5B28103C}" xr6:coauthVersionLast="47" xr6:coauthVersionMax="47" xr10:uidLastSave="{00000000-0000-0000-0000-000000000000}"/>
  <workbookProtection workbookAlgorithmName="SHA-512" workbookHashValue="Gm0tDDKHDtC19H7q9Hisz3krcGgiGGly47U7FYlUW2ix2XpcxkfCWfq/hR9Me/vzyEdwVLToCZtWqi1nvCOf8w==" workbookSaltValue="MIbqXPyQTFfBe0HizXxgAw==" workbookSpinCount="100000" lockStructure="1"/>
  <bookViews>
    <workbookView xWindow="-135" yWindow="-135" windowWidth="29070" windowHeight="15750" xr2:uid="{B41C541E-513E-47C2-8C05-F9B5A654E837}"/>
  </bookViews>
  <sheets>
    <sheet name="Schedule" sheetId="8" r:id="rId1"/>
    <sheet name="Print Quantities" sheetId="3" r:id="rId2"/>
    <sheet name="Installs" sheetId="7" r:id="rId3"/>
    <sheet name="Assets" sheetId="5" state="hidden" r:id="rId4"/>
    <sheet name="Poster Breakdowns" sheetId="1" state="hidden" r:id="rId5"/>
    <sheet name="V-LOOKUP" sheetId="6" state="hidden" r:id="rId6"/>
    <sheet name="V-LOOKUP (posters)" sheetId="9" r:id="rId7"/>
  </sheets>
  <definedNames>
    <definedName name="_xlnm._FilterDatabase" localSheetId="2" hidden="1">Installs!$B$93:$AE$191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W69" i="8" l="1"/>
  <c r="GW70" i="8"/>
  <c r="GW71" i="8"/>
  <c r="GW72" i="8"/>
  <c r="GW73" i="8"/>
  <c r="GW74" i="8"/>
  <c r="GW75" i="8"/>
  <c r="GW76" i="8"/>
  <c r="GW77" i="8"/>
  <c r="GW78" i="8"/>
  <c r="GW79" i="8"/>
  <c r="GW80" i="8"/>
  <c r="GW68" i="8"/>
  <c r="GN69" i="8"/>
  <c r="GN70" i="8"/>
  <c r="GN71" i="8"/>
  <c r="GN72" i="8"/>
  <c r="GN73" i="8"/>
  <c r="GN74" i="8"/>
  <c r="GN75" i="8"/>
  <c r="GN76" i="8"/>
  <c r="GN77" i="8"/>
  <c r="GN78" i="8"/>
  <c r="GN79" i="8"/>
  <c r="GN80" i="8"/>
  <c r="GN68" i="8"/>
  <c r="GE69" i="8"/>
  <c r="GE70" i="8"/>
  <c r="GE71" i="8"/>
  <c r="GE72" i="8"/>
  <c r="GE73" i="8"/>
  <c r="GE74" i="8"/>
  <c r="GE75" i="8"/>
  <c r="GE76" i="8"/>
  <c r="GE77" i="8"/>
  <c r="GE78" i="8"/>
  <c r="GE79" i="8"/>
  <c r="GE80" i="8"/>
  <c r="GE68" i="8"/>
  <c r="FV69" i="8"/>
  <c r="FV70" i="8"/>
  <c r="FV71" i="8"/>
  <c r="FV72" i="8"/>
  <c r="FV73" i="8"/>
  <c r="FV74" i="8"/>
  <c r="FV75" i="8"/>
  <c r="FV76" i="8"/>
  <c r="FV77" i="8"/>
  <c r="FV78" i="8"/>
  <c r="FV79" i="8"/>
  <c r="FV80" i="8"/>
  <c r="FV68" i="8"/>
  <c r="FM69" i="8"/>
  <c r="FM70" i="8"/>
  <c r="FM71" i="8"/>
  <c r="FM72" i="8"/>
  <c r="FM73" i="8"/>
  <c r="FM74" i="8"/>
  <c r="FM75" i="8"/>
  <c r="FM76" i="8"/>
  <c r="FM77" i="8"/>
  <c r="FM78" i="8"/>
  <c r="FM79" i="8"/>
  <c r="FM80" i="8"/>
  <c r="FM68" i="8"/>
  <c r="FD69" i="8"/>
  <c r="FD70" i="8"/>
  <c r="FD71" i="8"/>
  <c r="FD72" i="8"/>
  <c r="FD73" i="8"/>
  <c r="FD74" i="8"/>
  <c r="FD75" i="8"/>
  <c r="FD76" i="8"/>
  <c r="FD77" i="8"/>
  <c r="FD78" i="8"/>
  <c r="FD79" i="8"/>
  <c r="FD80" i="8"/>
  <c r="FD68" i="8"/>
  <c r="EU69" i="8"/>
  <c r="EU70" i="8"/>
  <c r="EU71" i="8"/>
  <c r="EU72" i="8"/>
  <c r="EU73" i="8"/>
  <c r="EU74" i="8"/>
  <c r="EU75" i="8"/>
  <c r="EU76" i="8"/>
  <c r="EU77" i="8"/>
  <c r="EU78" i="8"/>
  <c r="EU79" i="8"/>
  <c r="EU80" i="8"/>
  <c r="EU68" i="8"/>
  <c r="EL69" i="8"/>
  <c r="EL70" i="8"/>
  <c r="EL71" i="8"/>
  <c r="EL72" i="8"/>
  <c r="EL73" i="8"/>
  <c r="EL74" i="8"/>
  <c r="EL75" i="8"/>
  <c r="EL76" i="8"/>
  <c r="EL77" i="8"/>
  <c r="EL78" i="8"/>
  <c r="EL79" i="8"/>
  <c r="EL80" i="8"/>
  <c r="EL68" i="8"/>
  <c r="EC69" i="8"/>
  <c r="EC70" i="8"/>
  <c r="EC71" i="8"/>
  <c r="EC72" i="8"/>
  <c r="EC73" i="8"/>
  <c r="EC74" i="8"/>
  <c r="EC75" i="8"/>
  <c r="EC76" i="8"/>
  <c r="EC77" i="8"/>
  <c r="EC78" i="8"/>
  <c r="EC79" i="8"/>
  <c r="EC80" i="8"/>
  <c r="EC68" i="8"/>
  <c r="DT69" i="8"/>
  <c r="DT70" i="8"/>
  <c r="DT71" i="8"/>
  <c r="DT72" i="8"/>
  <c r="DT73" i="8"/>
  <c r="DT74" i="8"/>
  <c r="DT75" i="8"/>
  <c r="DT76" i="8"/>
  <c r="DT77" i="8"/>
  <c r="DT78" i="8"/>
  <c r="DT79" i="8"/>
  <c r="DT80" i="8"/>
  <c r="DT68" i="8"/>
  <c r="DK69" i="8"/>
  <c r="DK70" i="8"/>
  <c r="DK71" i="8"/>
  <c r="DK72" i="8"/>
  <c r="DK73" i="8"/>
  <c r="DK74" i="8"/>
  <c r="DK75" i="8"/>
  <c r="DK76" i="8"/>
  <c r="DK77" i="8"/>
  <c r="DK78" i="8"/>
  <c r="DK79" i="8"/>
  <c r="DK80" i="8"/>
  <c r="DK68" i="8"/>
  <c r="DB69" i="8"/>
  <c r="DB70" i="8"/>
  <c r="DB71" i="8"/>
  <c r="DB72" i="8"/>
  <c r="DB73" i="8"/>
  <c r="DB74" i="8"/>
  <c r="DB75" i="8"/>
  <c r="DB76" i="8"/>
  <c r="DB77" i="8"/>
  <c r="DB78" i="8"/>
  <c r="DB79" i="8"/>
  <c r="DB80" i="8"/>
  <c r="DB68" i="8"/>
  <c r="CS69" i="8"/>
  <c r="CS70" i="8"/>
  <c r="CS71" i="8"/>
  <c r="CS72" i="8"/>
  <c r="CS73" i="8"/>
  <c r="CS74" i="8"/>
  <c r="CS75" i="8"/>
  <c r="CS76" i="8"/>
  <c r="CS77" i="8"/>
  <c r="CS78" i="8"/>
  <c r="CS79" i="8"/>
  <c r="CS80" i="8"/>
  <c r="CS68" i="8"/>
  <c r="CJ69" i="8"/>
  <c r="CJ70" i="8"/>
  <c r="CJ71" i="8"/>
  <c r="CJ72" i="8"/>
  <c r="CJ73" i="8"/>
  <c r="CJ74" i="8"/>
  <c r="CJ75" i="8"/>
  <c r="CJ76" i="8"/>
  <c r="CJ77" i="8"/>
  <c r="CJ78" i="8"/>
  <c r="CJ79" i="8"/>
  <c r="CJ80" i="8"/>
  <c r="CJ68" i="8"/>
  <c r="CA69" i="8"/>
  <c r="CA70" i="8"/>
  <c r="CA71" i="8"/>
  <c r="CA72" i="8"/>
  <c r="CA73" i="8"/>
  <c r="CA74" i="8"/>
  <c r="CA75" i="8"/>
  <c r="CA76" i="8"/>
  <c r="CA77" i="8"/>
  <c r="CA78" i="8"/>
  <c r="CA79" i="8"/>
  <c r="CA80" i="8"/>
  <c r="CA68" i="8"/>
  <c r="BR80" i="8"/>
  <c r="BR69" i="8"/>
  <c r="BR70" i="8"/>
  <c r="BR71" i="8"/>
  <c r="BR72" i="8"/>
  <c r="BR73" i="8"/>
  <c r="BR74" i="8"/>
  <c r="BR75" i="8"/>
  <c r="BR76" i="8"/>
  <c r="BR77" i="8"/>
  <c r="BR78" i="8"/>
  <c r="BR79" i="8"/>
  <c r="BR68" i="8"/>
  <c r="BI69" i="8"/>
  <c r="BI70" i="8"/>
  <c r="BI71" i="8"/>
  <c r="BI72" i="8"/>
  <c r="BI73" i="8"/>
  <c r="BI74" i="8"/>
  <c r="BI75" i="8"/>
  <c r="BI76" i="8"/>
  <c r="BI77" i="8"/>
  <c r="BI78" i="8"/>
  <c r="BI79" i="8"/>
  <c r="BI80" i="8"/>
  <c r="BI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68" i="8"/>
  <c r="AQ69" i="8"/>
  <c r="AQ70" i="8"/>
  <c r="AQ71" i="8"/>
  <c r="AQ72" i="8"/>
  <c r="AQ73" i="8"/>
  <c r="AQ74" i="8"/>
  <c r="AQ75" i="8"/>
  <c r="AQ76" i="8"/>
  <c r="AQ77" i="8"/>
  <c r="AQ78" i="8"/>
  <c r="AQ79" i="8"/>
  <c r="AQ80" i="8"/>
  <c r="AQ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68" i="8"/>
  <c r="A4" i="8" a="1"/>
  <c r="A100" i="6"/>
  <c r="A116" i="6"/>
  <c r="A99" i="6"/>
  <c r="A4" i="8" l="1"/>
  <c r="P5" i="8"/>
  <c r="N133" i="9"/>
  <c r="J133" i="9"/>
  <c r="I133" i="9"/>
  <c r="H133" i="9"/>
  <c r="G133" i="9"/>
  <c r="P133" i="9" s="1"/>
  <c r="N132" i="9"/>
  <c r="J132" i="9"/>
  <c r="I132" i="9"/>
  <c r="H132" i="9"/>
  <c r="G132" i="9"/>
  <c r="P132" i="9" s="1"/>
  <c r="P131" i="9"/>
  <c r="N131" i="9"/>
  <c r="J131" i="9"/>
  <c r="I131" i="9"/>
  <c r="H131" i="9"/>
  <c r="G131" i="9"/>
  <c r="N130" i="9"/>
  <c r="J130" i="9"/>
  <c r="I130" i="9"/>
  <c r="H130" i="9"/>
  <c r="G130" i="9"/>
  <c r="P130" i="9" s="1"/>
  <c r="P129" i="9"/>
  <c r="N129" i="9"/>
  <c r="J129" i="9"/>
  <c r="I129" i="9"/>
  <c r="H129" i="9"/>
  <c r="G129" i="9"/>
  <c r="N128" i="9"/>
  <c r="J128" i="9"/>
  <c r="I128" i="9"/>
  <c r="G128" i="9"/>
  <c r="P128" i="9" s="1"/>
  <c r="P127" i="9"/>
  <c r="N127" i="9"/>
  <c r="J127" i="9"/>
  <c r="I127" i="9"/>
  <c r="G127" i="9"/>
  <c r="N126" i="9"/>
  <c r="J126" i="9"/>
  <c r="I126" i="9"/>
  <c r="G126" i="9"/>
  <c r="P126" i="9" s="1"/>
  <c r="P125" i="9"/>
  <c r="P124" i="9"/>
  <c r="P123" i="9"/>
  <c r="P122" i="9"/>
  <c r="P121" i="9"/>
  <c r="P120" i="9"/>
  <c r="P119" i="9"/>
  <c r="P118" i="9"/>
  <c r="P117" i="9"/>
  <c r="P116" i="9"/>
  <c r="P115" i="9"/>
  <c r="P114" i="9"/>
  <c r="A114" i="9"/>
  <c r="P113" i="9"/>
  <c r="A113" i="9"/>
  <c r="P112" i="9"/>
  <c r="A112" i="9"/>
  <c r="P111" i="9"/>
  <c r="A111" i="9"/>
  <c r="P110" i="9"/>
  <c r="A110" i="9"/>
  <c r="P109" i="9"/>
  <c r="A109" i="9"/>
  <c r="P108" i="9"/>
  <c r="A108" i="9"/>
  <c r="P107" i="9"/>
  <c r="A107" i="9"/>
  <c r="P106" i="9"/>
  <c r="A106" i="9"/>
  <c r="P105" i="9"/>
  <c r="A105" i="9"/>
  <c r="P104" i="9"/>
  <c r="A104" i="9"/>
  <c r="P103" i="9"/>
  <c r="A103" i="9"/>
  <c r="P102" i="9"/>
  <c r="A102" i="9"/>
  <c r="P101" i="9"/>
  <c r="A101" i="9"/>
  <c r="P100" i="9"/>
  <c r="A100" i="9"/>
  <c r="P99" i="9"/>
  <c r="A99" i="9"/>
  <c r="P98" i="9"/>
  <c r="A98" i="9"/>
  <c r="P97" i="9"/>
  <c r="A97" i="9"/>
  <c r="P96" i="9"/>
  <c r="A96" i="9"/>
  <c r="P95" i="9"/>
  <c r="A95" i="9"/>
  <c r="P94" i="9"/>
  <c r="A94" i="9"/>
  <c r="P93" i="9"/>
  <c r="A93" i="9"/>
  <c r="P92" i="9"/>
  <c r="A92" i="9"/>
  <c r="P91" i="9"/>
  <c r="P90" i="9"/>
  <c r="P89" i="9"/>
  <c r="I88" i="9"/>
  <c r="H88" i="9"/>
  <c r="P88" i="9" s="1"/>
  <c r="G88" i="9"/>
  <c r="I87" i="9"/>
  <c r="H87" i="9"/>
  <c r="G87" i="9"/>
  <c r="P87" i="9" s="1"/>
  <c r="I86" i="9"/>
  <c r="H86" i="9"/>
  <c r="G86" i="9"/>
  <c r="P86" i="9" s="1"/>
  <c r="I85" i="9"/>
  <c r="H85" i="9"/>
  <c r="P85" i="9" s="1"/>
  <c r="G85" i="9"/>
  <c r="I84" i="9"/>
  <c r="H84" i="9"/>
  <c r="G84" i="9"/>
  <c r="P84" i="9" s="1"/>
  <c r="I83" i="9"/>
  <c r="H83" i="9"/>
  <c r="G83" i="9"/>
  <c r="P83" i="9" s="1"/>
  <c r="I82" i="9"/>
  <c r="H82" i="9"/>
  <c r="P82" i="9" s="1"/>
  <c r="G82" i="9"/>
  <c r="P81" i="9"/>
  <c r="I81" i="9"/>
  <c r="H81" i="9"/>
  <c r="G81" i="9"/>
  <c r="I80" i="9"/>
  <c r="H80" i="9"/>
  <c r="G80" i="9"/>
  <c r="P80" i="9" s="1"/>
  <c r="I79" i="9"/>
  <c r="H79" i="9"/>
  <c r="P79" i="9" s="1"/>
  <c r="G79" i="9"/>
  <c r="P78" i="9"/>
  <c r="I78" i="9"/>
  <c r="H78" i="9"/>
  <c r="G78" i="9"/>
  <c r="I77" i="9"/>
  <c r="H77" i="9"/>
  <c r="G77" i="9"/>
  <c r="P77" i="9" s="1"/>
  <c r="I76" i="9"/>
  <c r="H76" i="9"/>
  <c r="P76" i="9" s="1"/>
  <c r="G76" i="9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50" i="9"/>
  <c r="P49" i="9"/>
  <c r="P48" i="9"/>
  <c r="P47" i="9"/>
  <c r="P46" i="9"/>
  <c r="P45" i="9"/>
  <c r="P44" i="9"/>
  <c r="P43" i="9"/>
  <c r="P42" i="9"/>
  <c r="P41" i="9"/>
  <c r="P40" i="9"/>
  <c r="P39" i="9"/>
  <c r="P38" i="9"/>
  <c r="P37" i="9"/>
  <c r="P36" i="9"/>
  <c r="J35" i="9"/>
  <c r="I35" i="9"/>
  <c r="P35" i="9" s="1"/>
  <c r="I34" i="9"/>
  <c r="P34" i="9" s="1"/>
  <c r="I33" i="9"/>
  <c r="P33" i="9" s="1"/>
  <c r="I32" i="9"/>
  <c r="P32" i="9" s="1"/>
  <c r="H32" i="9"/>
  <c r="G32" i="9"/>
  <c r="I31" i="9"/>
  <c r="H31" i="9"/>
  <c r="G31" i="9"/>
  <c r="P31" i="9" s="1"/>
  <c r="I30" i="9"/>
  <c r="H30" i="9"/>
  <c r="G30" i="9"/>
  <c r="P30" i="9" s="1"/>
  <c r="P29" i="9"/>
  <c r="I29" i="9"/>
  <c r="H29" i="9"/>
  <c r="G29" i="9"/>
  <c r="I28" i="9"/>
  <c r="H28" i="9"/>
  <c r="G28" i="9"/>
  <c r="P28" i="9" s="1"/>
  <c r="I27" i="9"/>
  <c r="H27" i="9"/>
  <c r="G27" i="9"/>
  <c r="P27" i="9" s="1"/>
  <c r="P26" i="9"/>
  <c r="I26" i="9"/>
  <c r="H26" i="9"/>
  <c r="G26" i="9"/>
  <c r="I25" i="9"/>
  <c r="H25" i="9"/>
  <c r="G25" i="9"/>
  <c r="P25" i="9" s="1"/>
  <c r="I24" i="9"/>
  <c r="H24" i="9"/>
  <c r="G24" i="9"/>
  <c r="P24" i="9" s="1"/>
  <c r="P23" i="9"/>
  <c r="I23" i="9"/>
  <c r="H23" i="9"/>
  <c r="G23" i="9"/>
  <c r="I22" i="9"/>
  <c r="H22" i="9"/>
  <c r="G22" i="9"/>
  <c r="P22" i="9" s="1"/>
  <c r="I21" i="9"/>
  <c r="H21" i="9"/>
  <c r="G21" i="9"/>
  <c r="P21" i="9" s="1"/>
  <c r="P20" i="9"/>
  <c r="I20" i="9"/>
  <c r="H20" i="9"/>
  <c r="G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L15" i="3" l="1"/>
  <c r="L12" i="3"/>
  <c r="GW38" i="8"/>
  <c r="GT36" i="7" s="1"/>
  <c r="GW39" i="8"/>
  <c r="GT37" i="7" s="1"/>
  <c r="GW40" i="8"/>
  <c r="GT38" i="7" s="1"/>
  <c r="GW41" i="8"/>
  <c r="GT39" i="7" s="1"/>
  <c r="GW42" i="8"/>
  <c r="GT40" i="7" s="1"/>
  <c r="GW43" i="8"/>
  <c r="GT41" i="7" s="1"/>
  <c r="GW44" i="8"/>
  <c r="GT42" i="7" s="1"/>
  <c r="GW45" i="8"/>
  <c r="GT43" i="7" s="1"/>
  <c r="GW46" i="8"/>
  <c r="GT44" i="7" s="1"/>
  <c r="GW47" i="8"/>
  <c r="GT45" i="7" s="1"/>
  <c r="GW48" i="8"/>
  <c r="GT46" i="7" s="1"/>
  <c r="GW49" i="8"/>
  <c r="GT47" i="7" s="1"/>
  <c r="GW50" i="8"/>
  <c r="GT48" i="7" s="1"/>
  <c r="GW51" i="8"/>
  <c r="GT49" i="7" s="1"/>
  <c r="GW52" i="8"/>
  <c r="GT50" i="7" s="1"/>
  <c r="GW53" i="8"/>
  <c r="GT51" i="7" s="1"/>
  <c r="GW54" i="8"/>
  <c r="GT52" i="7" s="1"/>
  <c r="GW55" i="8"/>
  <c r="GT53" i="7" s="1"/>
  <c r="GW56" i="8"/>
  <c r="GT54" i="7" s="1"/>
  <c r="GW57" i="8"/>
  <c r="GT55" i="7" s="1"/>
  <c r="GW58" i="8"/>
  <c r="GT56" i="7" s="1"/>
  <c r="GW59" i="8"/>
  <c r="GT57" i="7" s="1"/>
  <c r="GW60" i="8"/>
  <c r="GT58" i="7" s="1"/>
  <c r="GW61" i="8"/>
  <c r="GT59" i="7" s="1"/>
  <c r="GW62" i="8"/>
  <c r="GT60" i="7" s="1"/>
  <c r="GW63" i="8"/>
  <c r="GT61" i="7" s="1"/>
  <c r="GW64" i="8"/>
  <c r="GT62" i="7" s="1"/>
  <c r="GW65" i="8"/>
  <c r="GT63" i="7" s="1"/>
  <c r="GW66" i="8"/>
  <c r="GT64" i="7" s="1"/>
  <c r="GW37" i="8"/>
  <c r="GT35" i="7" s="1"/>
  <c r="GW7" i="8"/>
  <c r="GT5" i="7" s="1"/>
  <c r="GW8" i="8"/>
  <c r="GT6" i="7" s="1"/>
  <c r="GW9" i="8"/>
  <c r="GT7" i="7" s="1"/>
  <c r="GW10" i="8"/>
  <c r="GT8" i="7" s="1"/>
  <c r="GW11" i="8"/>
  <c r="GT9" i="7" s="1"/>
  <c r="GW12" i="8"/>
  <c r="GT10" i="7" s="1"/>
  <c r="GW13" i="8"/>
  <c r="GT11" i="7" s="1"/>
  <c r="GW14" i="8"/>
  <c r="GT12" i="7" s="1"/>
  <c r="GW15" i="8"/>
  <c r="GT13" i="7" s="1"/>
  <c r="GW16" i="8"/>
  <c r="GT14" i="7" s="1"/>
  <c r="GW17" i="8"/>
  <c r="GT15" i="7" s="1"/>
  <c r="GW18" i="8"/>
  <c r="GT16" i="7" s="1"/>
  <c r="GW19" i="8"/>
  <c r="GT17" i="7" s="1"/>
  <c r="GW20" i="8"/>
  <c r="GT18" i="7" s="1"/>
  <c r="GW21" i="8"/>
  <c r="GT19" i="7" s="1"/>
  <c r="GW22" i="8"/>
  <c r="GT20" i="7" s="1"/>
  <c r="GW23" i="8"/>
  <c r="GT21" i="7" s="1"/>
  <c r="GW24" i="8"/>
  <c r="GT22" i="7" s="1"/>
  <c r="GW25" i="8"/>
  <c r="GT23" i="7" s="1"/>
  <c r="GW26" i="8"/>
  <c r="GT24" i="7" s="1"/>
  <c r="GW27" i="8"/>
  <c r="GT25" i="7" s="1"/>
  <c r="GW28" i="8"/>
  <c r="GT26" i="7" s="1"/>
  <c r="GW29" i="8"/>
  <c r="GT27" i="7" s="1"/>
  <c r="GW30" i="8"/>
  <c r="GT28" i="7" s="1"/>
  <c r="GW31" i="8"/>
  <c r="GT29" i="7" s="1"/>
  <c r="GW32" i="8"/>
  <c r="GT30" i="7" s="1"/>
  <c r="GW33" i="8"/>
  <c r="GT31" i="7" s="1"/>
  <c r="GW34" i="8"/>
  <c r="GT32" i="7" s="1"/>
  <c r="GW35" i="8"/>
  <c r="GT33" i="7" s="1"/>
  <c r="GW6" i="8"/>
  <c r="GT4" i="7" s="1"/>
  <c r="GN38" i="8"/>
  <c r="GJ36" i="7" s="1"/>
  <c r="GN39" i="8"/>
  <c r="GJ37" i="7" s="1"/>
  <c r="GN40" i="8"/>
  <c r="GJ38" i="7" s="1"/>
  <c r="GN41" i="8"/>
  <c r="GJ39" i="7" s="1"/>
  <c r="GN42" i="8"/>
  <c r="GJ40" i="7" s="1"/>
  <c r="GN43" i="8"/>
  <c r="GJ41" i="7" s="1"/>
  <c r="GN44" i="8"/>
  <c r="GJ42" i="7" s="1"/>
  <c r="GN45" i="8"/>
  <c r="GJ43" i="7" s="1"/>
  <c r="GN46" i="8"/>
  <c r="GJ44" i="7" s="1"/>
  <c r="GN47" i="8"/>
  <c r="GJ45" i="7" s="1"/>
  <c r="GN48" i="8"/>
  <c r="GJ46" i="7" s="1"/>
  <c r="GN49" i="8"/>
  <c r="GJ47" i="7" s="1"/>
  <c r="GN50" i="8"/>
  <c r="GJ48" i="7" s="1"/>
  <c r="GN51" i="8"/>
  <c r="GJ49" i="7" s="1"/>
  <c r="GN52" i="8"/>
  <c r="GJ50" i="7" s="1"/>
  <c r="GN53" i="8"/>
  <c r="GJ51" i="7" s="1"/>
  <c r="GN54" i="8"/>
  <c r="GJ52" i="7" s="1"/>
  <c r="GN55" i="8"/>
  <c r="GJ53" i="7" s="1"/>
  <c r="GN56" i="8"/>
  <c r="GJ54" i="7" s="1"/>
  <c r="GN57" i="8"/>
  <c r="GJ55" i="7" s="1"/>
  <c r="GN58" i="8"/>
  <c r="GJ56" i="7" s="1"/>
  <c r="GN59" i="8"/>
  <c r="GJ57" i="7" s="1"/>
  <c r="GN60" i="8"/>
  <c r="GJ58" i="7" s="1"/>
  <c r="GN61" i="8"/>
  <c r="GJ59" i="7" s="1"/>
  <c r="GN62" i="8"/>
  <c r="GJ60" i="7" s="1"/>
  <c r="GN63" i="8"/>
  <c r="GJ61" i="7" s="1"/>
  <c r="GN64" i="8"/>
  <c r="GJ62" i="7" s="1"/>
  <c r="GN65" i="8"/>
  <c r="GJ63" i="7" s="1"/>
  <c r="GN66" i="8"/>
  <c r="GJ64" i="7" s="1"/>
  <c r="GN37" i="8"/>
  <c r="GJ35" i="7" s="1"/>
  <c r="GN7" i="8"/>
  <c r="GJ5" i="7" s="1"/>
  <c r="GN8" i="8"/>
  <c r="GJ6" i="7" s="1"/>
  <c r="GN9" i="8"/>
  <c r="GJ7" i="7" s="1"/>
  <c r="GN10" i="8"/>
  <c r="GJ8" i="7" s="1"/>
  <c r="GN11" i="8"/>
  <c r="GJ9" i="7" s="1"/>
  <c r="GN12" i="8"/>
  <c r="GJ10" i="7" s="1"/>
  <c r="GN13" i="8"/>
  <c r="GJ11" i="7" s="1"/>
  <c r="GN14" i="8"/>
  <c r="GJ12" i="7" s="1"/>
  <c r="GN15" i="8"/>
  <c r="GJ13" i="7" s="1"/>
  <c r="GN16" i="8"/>
  <c r="GJ14" i="7" s="1"/>
  <c r="GN17" i="8"/>
  <c r="GJ15" i="7" s="1"/>
  <c r="GN18" i="8"/>
  <c r="GJ16" i="7" s="1"/>
  <c r="GN19" i="8"/>
  <c r="GJ17" i="7" s="1"/>
  <c r="GN20" i="8"/>
  <c r="GJ18" i="7" s="1"/>
  <c r="GN21" i="8"/>
  <c r="GJ19" i="7" s="1"/>
  <c r="GN22" i="8"/>
  <c r="GJ20" i="7" s="1"/>
  <c r="GN23" i="8"/>
  <c r="GJ21" i="7" s="1"/>
  <c r="GN24" i="8"/>
  <c r="GJ22" i="7" s="1"/>
  <c r="GN25" i="8"/>
  <c r="GJ23" i="7" s="1"/>
  <c r="GN26" i="8"/>
  <c r="GJ24" i="7" s="1"/>
  <c r="GN27" i="8"/>
  <c r="GJ25" i="7" s="1"/>
  <c r="GN28" i="8"/>
  <c r="GJ26" i="7" s="1"/>
  <c r="GN29" i="8"/>
  <c r="GJ27" i="7" s="1"/>
  <c r="GN30" i="8"/>
  <c r="GJ28" i="7" s="1"/>
  <c r="GN31" i="8"/>
  <c r="GJ29" i="7" s="1"/>
  <c r="GN32" i="8"/>
  <c r="GJ30" i="7" s="1"/>
  <c r="GN33" i="8"/>
  <c r="GJ31" i="7" s="1"/>
  <c r="GN34" i="8"/>
  <c r="GJ32" i="7" s="1"/>
  <c r="GN35" i="8"/>
  <c r="GJ33" i="7" s="1"/>
  <c r="GN6" i="8"/>
  <c r="GJ4" i="7" s="1"/>
  <c r="GE38" i="8"/>
  <c r="FZ36" i="7" s="1"/>
  <c r="GE39" i="8"/>
  <c r="FZ37" i="7" s="1"/>
  <c r="GE40" i="8"/>
  <c r="FZ38" i="7" s="1"/>
  <c r="GE41" i="8"/>
  <c r="FZ39" i="7" s="1"/>
  <c r="GE42" i="8"/>
  <c r="FZ40" i="7" s="1"/>
  <c r="GE43" i="8"/>
  <c r="FZ41" i="7" s="1"/>
  <c r="GE44" i="8"/>
  <c r="FZ42" i="7" s="1"/>
  <c r="GE45" i="8"/>
  <c r="FZ43" i="7" s="1"/>
  <c r="GE46" i="8"/>
  <c r="FZ44" i="7" s="1"/>
  <c r="GE47" i="8"/>
  <c r="FZ45" i="7" s="1"/>
  <c r="GE48" i="8"/>
  <c r="FZ46" i="7" s="1"/>
  <c r="GE49" i="8"/>
  <c r="FZ47" i="7" s="1"/>
  <c r="GE50" i="8"/>
  <c r="FZ48" i="7" s="1"/>
  <c r="GE51" i="8"/>
  <c r="FZ49" i="7" s="1"/>
  <c r="GE52" i="8"/>
  <c r="FZ50" i="7" s="1"/>
  <c r="GE53" i="8"/>
  <c r="FZ51" i="7" s="1"/>
  <c r="GE54" i="8"/>
  <c r="FZ52" i="7" s="1"/>
  <c r="GE55" i="8"/>
  <c r="FZ53" i="7" s="1"/>
  <c r="GE56" i="8"/>
  <c r="FZ54" i="7" s="1"/>
  <c r="GE57" i="8"/>
  <c r="FZ55" i="7" s="1"/>
  <c r="GE58" i="8"/>
  <c r="FZ56" i="7" s="1"/>
  <c r="GE59" i="8"/>
  <c r="FZ57" i="7" s="1"/>
  <c r="GE60" i="8"/>
  <c r="FZ58" i="7" s="1"/>
  <c r="GE61" i="8"/>
  <c r="FZ59" i="7" s="1"/>
  <c r="GE62" i="8"/>
  <c r="FZ60" i="7" s="1"/>
  <c r="GE63" i="8"/>
  <c r="FZ61" i="7" s="1"/>
  <c r="GE64" i="8"/>
  <c r="FZ62" i="7" s="1"/>
  <c r="GE65" i="8"/>
  <c r="FZ63" i="7" s="1"/>
  <c r="GE66" i="8"/>
  <c r="FZ64" i="7" s="1"/>
  <c r="GE37" i="8"/>
  <c r="FZ35" i="7" s="1"/>
  <c r="FX7" i="8"/>
  <c r="FY7" i="8"/>
  <c r="FZ7" i="8"/>
  <c r="GA7" i="8"/>
  <c r="GB7" i="8"/>
  <c r="GC7" i="8"/>
  <c r="GD7" i="8"/>
  <c r="GE7" i="8"/>
  <c r="FZ5" i="7" s="1"/>
  <c r="FX8" i="8"/>
  <c r="FY8" i="8"/>
  <c r="FZ8" i="8"/>
  <c r="GA8" i="8"/>
  <c r="GB8" i="8"/>
  <c r="GC8" i="8"/>
  <c r="GD8" i="8"/>
  <c r="GE8" i="8"/>
  <c r="FZ6" i="7" s="1"/>
  <c r="FX9" i="8"/>
  <c r="FY9" i="8"/>
  <c r="FZ9" i="8"/>
  <c r="GA9" i="8"/>
  <c r="GB9" i="8"/>
  <c r="GC9" i="8"/>
  <c r="GD9" i="8"/>
  <c r="GE9" i="8"/>
  <c r="FZ7" i="7" s="1"/>
  <c r="FX10" i="8"/>
  <c r="FY10" i="8"/>
  <c r="FZ10" i="8"/>
  <c r="GA10" i="8"/>
  <c r="GB10" i="8"/>
  <c r="GC10" i="8"/>
  <c r="GD10" i="8"/>
  <c r="GE10" i="8"/>
  <c r="FZ8" i="7" s="1"/>
  <c r="FX11" i="8"/>
  <c r="FY11" i="8"/>
  <c r="FZ11" i="8"/>
  <c r="GA11" i="8"/>
  <c r="GB11" i="8"/>
  <c r="GC11" i="8"/>
  <c r="GD11" i="8"/>
  <c r="GE11" i="8"/>
  <c r="FZ9" i="7" s="1"/>
  <c r="FX12" i="8"/>
  <c r="FY12" i="8"/>
  <c r="FZ12" i="8"/>
  <c r="GA12" i="8"/>
  <c r="GB12" i="8"/>
  <c r="GC12" i="8"/>
  <c r="GD12" i="8"/>
  <c r="GE12" i="8"/>
  <c r="FZ10" i="7" s="1"/>
  <c r="FX13" i="8"/>
  <c r="FY13" i="8"/>
  <c r="FZ13" i="8"/>
  <c r="GA13" i="8"/>
  <c r="GB13" i="8"/>
  <c r="GC13" i="8"/>
  <c r="GD13" i="8"/>
  <c r="GE13" i="8"/>
  <c r="FZ11" i="7" s="1"/>
  <c r="FX14" i="8"/>
  <c r="FY14" i="8"/>
  <c r="FZ14" i="8"/>
  <c r="GA14" i="8"/>
  <c r="GB14" i="8"/>
  <c r="GC14" i="8"/>
  <c r="GD14" i="8"/>
  <c r="GE14" i="8"/>
  <c r="FZ12" i="7" s="1"/>
  <c r="FX15" i="8"/>
  <c r="FY15" i="8"/>
  <c r="FZ15" i="8"/>
  <c r="GA15" i="8"/>
  <c r="GB15" i="8"/>
  <c r="GC15" i="8"/>
  <c r="GD15" i="8"/>
  <c r="GE15" i="8"/>
  <c r="FZ13" i="7" s="1"/>
  <c r="FX16" i="8"/>
  <c r="FY16" i="8"/>
  <c r="FZ16" i="8"/>
  <c r="GA16" i="8"/>
  <c r="GB16" i="8"/>
  <c r="GC16" i="8"/>
  <c r="GD16" i="8"/>
  <c r="GE16" i="8"/>
  <c r="FZ14" i="7" s="1"/>
  <c r="FX17" i="8"/>
  <c r="FY17" i="8"/>
  <c r="FZ17" i="8"/>
  <c r="GA17" i="8"/>
  <c r="GB17" i="8"/>
  <c r="GC17" i="8"/>
  <c r="GD17" i="8"/>
  <c r="GE17" i="8"/>
  <c r="FZ15" i="7" s="1"/>
  <c r="FX18" i="8"/>
  <c r="FY18" i="8"/>
  <c r="FZ18" i="8"/>
  <c r="GA18" i="8"/>
  <c r="GB18" i="8"/>
  <c r="GC18" i="8"/>
  <c r="GD18" i="8"/>
  <c r="GE18" i="8"/>
  <c r="FZ16" i="7" s="1"/>
  <c r="FX19" i="8"/>
  <c r="FY19" i="8"/>
  <c r="FZ19" i="8"/>
  <c r="GA19" i="8"/>
  <c r="GB19" i="8"/>
  <c r="GC19" i="8"/>
  <c r="GD19" i="8"/>
  <c r="GE19" i="8"/>
  <c r="FZ17" i="7" s="1"/>
  <c r="FX20" i="8"/>
  <c r="FY20" i="8"/>
  <c r="FZ20" i="8"/>
  <c r="GA20" i="8"/>
  <c r="GB20" i="8"/>
  <c r="GC20" i="8"/>
  <c r="GD20" i="8"/>
  <c r="GE20" i="8"/>
  <c r="FZ18" i="7" s="1"/>
  <c r="FX21" i="8"/>
  <c r="FY21" i="8"/>
  <c r="FZ21" i="8"/>
  <c r="GA21" i="8"/>
  <c r="GB21" i="8"/>
  <c r="GC21" i="8"/>
  <c r="GD21" i="8"/>
  <c r="GE21" i="8"/>
  <c r="FZ19" i="7" s="1"/>
  <c r="FX22" i="8"/>
  <c r="FY22" i="8"/>
  <c r="FZ22" i="8"/>
  <c r="GA22" i="8"/>
  <c r="GB22" i="8"/>
  <c r="GC22" i="8"/>
  <c r="GD22" i="8"/>
  <c r="GE22" i="8"/>
  <c r="FZ20" i="7" s="1"/>
  <c r="FX23" i="8"/>
  <c r="FY23" i="8"/>
  <c r="FZ23" i="8"/>
  <c r="GA23" i="8"/>
  <c r="GB23" i="8"/>
  <c r="GC23" i="8"/>
  <c r="GD23" i="8"/>
  <c r="GE23" i="8"/>
  <c r="FZ21" i="7" s="1"/>
  <c r="FX24" i="8"/>
  <c r="FY24" i="8"/>
  <c r="FZ24" i="8"/>
  <c r="GA24" i="8"/>
  <c r="GB24" i="8"/>
  <c r="GC24" i="8"/>
  <c r="GD24" i="8"/>
  <c r="GE24" i="8"/>
  <c r="FZ22" i="7" s="1"/>
  <c r="FX25" i="8"/>
  <c r="FY25" i="8"/>
  <c r="FZ25" i="8"/>
  <c r="GA25" i="8"/>
  <c r="GB25" i="8"/>
  <c r="GC25" i="8"/>
  <c r="GD25" i="8"/>
  <c r="GE25" i="8"/>
  <c r="FZ23" i="7" s="1"/>
  <c r="FX26" i="8"/>
  <c r="FY26" i="8"/>
  <c r="FZ26" i="8"/>
  <c r="GA26" i="8"/>
  <c r="GB26" i="8"/>
  <c r="GC26" i="8"/>
  <c r="GD26" i="8"/>
  <c r="GE26" i="8"/>
  <c r="FZ24" i="7" s="1"/>
  <c r="FX27" i="8"/>
  <c r="FY27" i="8"/>
  <c r="FZ27" i="8"/>
  <c r="GA27" i="8"/>
  <c r="GB27" i="8"/>
  <c r="GC27" i="8"/>
  <c r="GD27" i="8"/>
  <c r="GE27" i="8"/>
  <c r="FZ25" i="7" s="1"/>
  <c r="FX28" i="8"/>
  <c r="FY28" i="8"/>
  <c r="FZ28" i="8"/>
  <c r="GA28" i="8"/>
  <c r="GB28" i="8"/>
  <c r="GC28" i="8"/>
  <c r="GD28" i="8"/>
  <c r="GE28" i="8"/>
  <c r="FZ26" i="7" s="1"/>
  <c r="FX29" i="8"/>
  <c r="FY29" i="8"/>
  <c r="FZ29" i="8"/>
  <c r="GA29" i="8"/>
  <c r="GB29" i="8"/>
  <c r="GC29" i="8"/>
  <c r="GD29" i="8"/>
  <c r="GE29" i="8"/>
  <c r="FZ27" i="7" s="1"/>
  <c r="FX30" i="8"/>
  <c r="FY30" i="8"/>
  <c r="FZ30" i="8"/>
  <c r="GA30" i="8"/>
  <c r="GB30" i="8"/>
  <c r="GC30" i="8"/>
  <c r="GD30" i="8"/>
  <c r="GE30" i="8"/>
  <c r="FZ28" i="7" s="1"/>
  <c r="FX31" i="8"/>
  <c r="FY31" i="8"/>
  <c r="FZ31" i="8"/>
  <c r="GA31" i="8"/>
  <c r="GB31" i="8"/>
  <c r="GC31" i="8"/>
  <c r="GD31" i="8"/>
  <c r="GE31" i="8"/>
  <c r="FZ29" i="7" s="1"/>
  <c r="FX32" i="8"/>
  <c r="FY32" i="8"/>
  <c r="FZ32" i="8"/>
  <c r="GA32" i="8"/>
  <c r="GB32" i="8"/>
  <c r="GC32" i="8"/>
  <c r="GD32" i="8"/>
  <c r="GE32" i="8"/>
  <c r="FZ30" i="7" s="1"/>
  <c r="FX33" i="8"/>
  <c r="FY33" i="8"/>
  <c r="FZ33" i="8"/>
  <c r="GA33" i="8"/>
  <c r="GB33" i="8"/>
  <c r="GC33" i="8"/>
  <c r="GD33" i="8"/>
  <c r="GE33" i="8"/>
  <c r="FZ31" i="7" s="1"/>
  <c r="FX34" i="8"/>
  <c r="FY34" i="8"/>
  <c r="FZ34" i="8"/>
  <c r="GA34" i="8"/>
  <c r="GB34" i="8"/>
  <c r="GC34" i="8"/>
  <c r="GD34" i="8"/>
  <c r="GE34" i="8"/>
  <c r="FZ32" i="7" s="1"/>
  <c r="FX35" i="8"/>
  <c r="FY35" i="8"/>
  <c r="FZ35" i="8"/>
  <c r="GA35" i="8"/>
  <c r="GB35" i="8"/>
  <c r="GC35" i="8"/>
  <c r="GD35" i="8"/>
  <c r="GE35" i="8"/>
  <c r="FZ33" i="7" s="1"/>
  <c r="GE6" i="8"/>
  <c r="FZ4" i="7" s="1"/>
  <c r="GD6" i="8"/>
  <c r="GC6" i="8"/>
  <c r="GB6" i="8"/>
  <c r="GA6" i="8"/>
  <c r="FZ6" i="8"/>
  <c r="FY6" i="8"/>
  <c r="FX6" i="8"/>
  <c r="FV38" i="8"/>
  <c r="FP36" i="7" s="1"/>
  <c r="FV39" i="8"/>
  <c r="FP37" i="7" s="1"/>
  <c r="FV40" i="8"/>
  <c r="FP38" i="7" s="1"/>
  <c r="FV41" i="8"/>
  <c r="FP39" i="7" s="1"/>
  <c r="FV42" i="8"/>
  <c r="FP40" i="7" s="1"/>
  <c r="FV43" i="8"/>
  <c r="FP41" i="7" s="1"/>
  <c r="FV44" i="8"/>
  <c r="FP42" i="7" s="1"/>
  <c r="FV45" i="8"/>
  <c r="FP43" i="7" s="1"/>
  <c r="FV46" i="8"/>
  <c r="FP44" i="7" s="1"/>
  <c r="FV47" i="8"/>
  <c r="FP45" i="7" s="1"/>
  <c r="FV48" i="8"/>
  <c r="FP46" i="7" s="1"/>
  <c r="FV49" i="8"/>
  <c r="FP47" i="7" s="1"/>
  <c r="FV50" i="8"/>
  <c r="FP48" i="7" s="1"/>
  <c r="FV51" i="8"/>
  <c r="FP49" i="7" s="1"/>
  <c r="FV52" i="8"/>
  <c r="FP50" i="7" s="1"/>
  <c r="FV53" i="8"/>
  <c r="FP51" i="7" s="1"/>
  <c r="FV54" i="8"/>
  <c r="FP52" i="7" s="1"/>
  <c r="FV55" i="8"/>
  <c r="FP53" i="7" s="1"/>
  <c r="FV56" i="8"/>
  <c r="FP54" i="7" s="1"/>
  <c r="FV57" i="8"/>
  <c r="FP55" i="7" s="1"/>
  <c r="FV58" i="8"/>
  <c r="FP56" i="7" s="1"/>
  <c r="FV59" i="8"/>
  <c r="FP57" i="7" s="1"/>
  <c r="FV60" i="8"/>
  <c r="FP58" i="7" s="1"/>
  <c r="FV61" i="8"/>
  <c r="FP59" i="7" s="1"/>
  <c r="FV62" i="8"/>
  <c r="FP60" i="7" s="1"/>
  <c r="FV63" i="8"/>
  <c r="FP61" i="7" s="1"/>
  <c r="FV64" i="8"/>
  <c r="FP62" i="7" s="1"/>
  <c r="FV65" i="8"/>
  <c r="FP63" i="7" s="1"/>
  <c r="FV66" i="8"/>
  <c r="FP64" i="7" s="1"/>
  <c r="FV37" i="8"/>
  <c r="FP35" i="7" s="1"/>
  <c r="FV7" i="8"/>
  <c r="FP5" i="7" s="1"/>
  <c r="FV8" i="8"/>
  <c r="FP6" i="7" s="1"/>
  <c r="FV9" i="8"/>
  <c r="FP7" i="7" s="1"/>
  <c r="FV10" i="8"/>
  <c r="FP8" i="7" s="1"/>
  <c r="FV11" i="8"/>
  <c r="FP9" i="7" s="1"/>
  <c r="FV12" i="8"/>
  <c r="FP10" i="7" s="1"/>
  <c r="FV13" i="8"/>
  <c r="FP11" i="7" s="1"/>
  <c r="FV14" i="8"/>
  <c r="FP12" i="7" s="1"/>
  <c r="FV15" i="8"/>
  <c r="FP13" i="7" s="1"/>
  <c r="FV16" i="8"/>
  <c r="FP14" i="7" s="1"/>
  <c r="FV17" i="8"/>
  <c r="FP15" i="7" s="1"/>
  <c r="FV18" i="8"/>
  <c r="FP16" i="7" s="1"/>
  <c r="FV19" i="8"/>
  <c r="FP17" i="7" s="1"/>
  <c r="FV20" i="8"/>
  <c r="FP18" i="7" s="1"/>
  <c r="FV21" i="8"/>
  <c r="FP19" i="7" s="1"/>
  <c r="FV22" i="8"/>
  <c r="FP20" i="7" s="1"/>
  <c r="FV23" i="8"/>
  <c r="FP21" i="7" s="1"/>
  <c r="FV24" i="8"/>
  <c r="FP22" i="7" s="1"/>
  <c r="FV25" i="8"/>
  <c r="FP23" i="7" s="1"/>
  <c r="FV26" i="8"/>
  <c r="FP24" i="7" s="1"/>
  <c r="FV27" i="8"/>
  <c r="FP25" i="7" s="1"/>
  <c r="FV28" i="8"/>
  <c r="FP26" i="7" s="1"/>
  <c r="FV29" i="8"/>
  <c r="FP27" i="7" s="1"/>
  <c r="FV30" i="8"/>
  <c r="FP28" i="7" s="1"/>
  <c r="FV31" i="8"/>
  <c r="FP29" i="7" s="1"/>
  <c r="FV32" i="8"/>
  <c r="FP30" i="7" s="1"/>
  <c r="FV33" i="8"/>
  <c r="FP31" i="7" s="1"/>
  <c r="FV34" i="8"/>
  <c r="FP32" i="7" s="1"/>
  <c r="FV35" i="8"/>
  <c r="FP33" i="7" s="1"/>
  <c r="FV6" i="8"/>
  <c r="FP4" i="7" s="1"/>
  <c r="FM38" i="8"/>
  <c r="FF36" i="7" s="1"/>
  <c r="FM39" i="8"/>
  <c r="FF37" i="7" s="1"/>
  <c r="FM40" i="8"/>
  <c r="FF38" i="7" s="1"/>
  <c r="FM41" i="8"/>
  <c r="FF39" i="7" s="1"/>
  <c r="FM42" i="8"/>
  <c r="FF40" i="7" s="1"/>
  <c r="FM43" i="8"/>
  <c r="FF41" i="7" s="1"/>
  <c r="FM44" i="8"/>
  <c r="FF42" i="7" s="1"/>
  <c r="FM45" i="8"/>
  <c r="FF43" i="7" s="1"/>
  <c r="FM46" i="8"/>
  <c r="FF44" i="7" s="1"/>
  <c r="FM47" i="8"/>
  <c r="FF45" i="7" s="1"/>
  <c r="FM48" i="8"/>
  <c r="FF46" i="7" s="1"/>
  <c r="FM49" i="8"/>
  <c r="FF47" i="7" s="1"/>
  <c r="FM50" i="8"/>
  <c r="FF48" i="7" s="1"/>
  <c r="FM51" i="8"/>
  <c r="FF49" i="7" s="1"/>
  <c r="FM52" i="8"/>
  <c r="FF50" i="7" s="1"/>
  <c r="FM53" i="8"/>
  <c r="FF51" i="7" s="1"/>
  <c r="FM54" i="8"/>
  <c r="FF52" i="7" s="1"/>
  <c r="FM55" i="8"/>
  <c r="FF53" i="7" s="1"/>
  <c r="FM56" i="8"/>
  <c r="FF54" i="7" s="1"/>
  <c r="FM57" i="8"/>
  <c r="FF55" i="7" s="1"/>
  <c r="FM58" i="8"/>
  <c r="FF56" i="7" s="1"/>
  <c r="FM59" i="8"/>
  <c r="FF57" i="7" s="1"/>
  <c r="FM60" i="8"/>
  <c r="FF58" i="7" s="1"/>
  <c r="FM61" i="8"/>
  <c r="FF59" i="7" s="1"/>
  <c r="FM62" i="8"/>
  <c r="FF60" i="7" s="1"/>
  <c r="FM63" i="8"/>
  <c r="FF61" i="7" s="1"/>
  <c r="FM64" i="8"/>
  <c r="FF62" i="7" s="1"/>
  <c r="FM65" i="8"/>
  <c r="FF63" i="7" s="1"/>
  <c r="FM66" i="8"/>
  <c r="FF64" i="7" s="1"/>
  <c r="FM37" i="8"/>
  <c r="FF35" i="7" s="1"/>
  <c r="FM35" i="8"/>
  <c r="FF33" i="7" s="1"/>
  <c r="FM7" i="8"/>
  <c r="FF5" i="7" s="1"/>
  <c r="FM8" i="8"/>
  <c r="FF6" i="7" s="1"/>
  <c r="FM9" i="8"/>
  <c r="FF7" i="7" s="1"/>
  <c r="FM10" i="8"/>
  <c r="FF8" i="7" s="1"/>
  <c r="FM11" i="8"/>
  <c r="FF9" i="7" s="1"/>
  <c r="FM12" i="8"/>
  <c r="FF10" i="7" s="1"/>
  <c r="FM13" i="8"/>
  <c r="FF11" i="7" s="1"/>
  <c r="FM14" i="8"/>
  <c r="FF12" i="7" s="1"/>
  <c r="FM15" i="8"/>
  <c r="FF13" i="7" s="1"/>
  <c r="FM16" i="8"/>
  <c r="FF14" i="7" s="1"/>
  <c r="FM17" i="8"/>
  <c r="FF15" i="7" s="1"/>
  <c r="FM18" i="8"/>
  <c r="FF16" i="7" s="1"/>
  <c r="FM19" i="8"/>
  <c r="FF17" i="7" s="1"/>
  <c r="FM20" i="8"/>
  <c r="FF18" i="7" s="1"/>
  <c r="FM21" i="8"/>
  <c r="FF19" i="7" s="1"/>
  <c r="FM22" i="8"/>
  <c r="FF20" i="7" s="1"/>
  <c r="FM23" i="8"/>
  <c r="FF21" i="7" s="1"/>
  <c r="FM24" i="8"/>
  <c r="FF22" i="7" s="1"/>
  <c r="FM25" i="8"/>
  <c r="FF23" i="7" s="1"/>
  <c r="FM26" i="8"/>
  <c r="FF24" i="7" s="1"/>
  <c r="FM27" i="8"/>
  <c r="FF25" i="7" s="1"/>
  <c r="FM28" i="8"/>
  <c r="FF26" i="7" s="1"/>
  <c r="FM29" i="8"/>
  <c r="FF27" i="7" s="1"/>
  <c r="FM30" i="8"/>
  <c r="FF28" i="7" s="1"/>
  <c r="FM31" i="8"/>
  <c r="FF29" i="7" s="1"/>
  <c r="FM32" i="8"/>
  <c r="FF30" i="7" s="1"/>
  <c r="FM33" i="8"/>
  <c r="FF31" i="7" s="1"/>
  <c r="FM34" i="8"/>
  <c r="FF32" i="7" s="1"/>
  <c r="FM6" i="8"/>
  <c r="FF4" i="7" s="1"/>
  <c r="FD38" i="8"/>
  <c r="EV36" i="7" s="1"/>
  <c r="FD39" i="8"/>
  <c r="EV37" i="7" s="1"/>
  <c r="FD40" i="8"/>
  <c r="EV38" i="7" s="1"/>
  <c r="FD41" i="8"/>
  <c r="EV39" i="7" s="1"/>
  <c r="FD42" i="8"/>
  <c r="EV40" i="7" s="1"/>
  <c r="FD43" i="8"/>
  <c r="EV41" i="7" s="1"/>
  <c r="FD44" i="8"/>
  <c r="EV42" i="7" s="1"/>
  <c r="FD45" i="8"/>
  <c r="EV43" i="7" s="1"/>
  <c r="FD46" i="8"/>
  <c r="EV44" i="7" s="1"/>
  <c r="FD47" i="8"/>
  <c r="EV45" i="7" s="1"/>
  <c r="FD48" i="8"/>
  <c r="EV46" i="7" s="1"/>
  <c r="FD49" i="8"/>
  <c r="EV47" i="7" s="1"/>
  <c r="FD50" i="8"/>
  <c r="EV48" i="7" s="1"/>
  <c r="FD51" i="8"/>
  <c r="EV49" i="7" s="1"/>
  <c r="FD52" i="8"/>
  <c r="EV50" i="7" s="1"/>
  <c r="FD53" i="8"/>
  <c r="EV51" i="7" s="1"/>
  <c r="FD54" i="8"/>
  <c r="EV52" i="7" s="1"/>
  <c r="FD55" i="8"/>
  <c r="EV53" i="7" s="1"/>
  <c r="FD56" i="8"/>
  <c r="EV54" i="7" s="1"/>
  <c r="FD57" i="8"/>
  <c r="EV55" i="7" s="1"/>
  <c r="FD58" i="8"/>
  <c r="EV56" i="7" s="1"/>
  <c r="FD59" i="8"/>
  <c r="EV57" i="7" s="1"/>
  <c r="FD60" i="8"/>
  <c r="EV58" i="7" s="1"/>
  <c r="FD61" i="8"/>
  <c r="EV59" i="7" s="1"/>
  <c r="FD62" i="8"/>
  <c r="EV60" i="7" s="1"/>
  <c r="FD63" i="8"/>
  <c r="EV61" i="7" s="1"/>
  <c r="FD64" i="8"/>
  <c r="EV62" i="7" s="1"/>
  <c r="FD65" i="8"/>
  <c r="EV63" i="7" s="1"/>
  <c r="FD66" i="8"/>
  <c r="EV64" i="7" s="1"/>
  <c r="FD37" i="8"/>
  <c r="EV35" i="7" s="1"/>
  <c r="FD7" i="8"/>
  <c r="EV5" i="7" s="1"/>
  <c r="FD8" i="8"/>
  <c r="EV6" i="7" s="1"/>
  <c r="FD9" i="8"/>
  <c r="EV7" i="7" s="1"/>
  <c r="FD10" i="8"/>
  <c r="EV8" i="7" s="1"/>
  <c r="FD11" i="8"/>
  <c r="EV9" i="7" s="1"/>
  <c r="FD12" i="8"/>
  <c r="EV10" i="7" s="1"/>
  <c r="FD13" i="8"/>
  <c r="EV11" i="7" s="1"/>
  <c r="FD14" i="8"/>
  <c r="EV12" i="7" s="1"/>
  <c r="FD15" i="8"/>
  <c r="EV13" i="7" s="1"/>
  <c r="FD16" i="8"/>
  <c r="EV14" i="7" s="1"/>
  <c r="FD17" i="8"/>
  <c r="EV15" i="7" s="1"/>
  <c r="FD18" i="8"/>
  <c r="EV16" i="7" s="1"/>
  <c r="FD19" i="8"/>
  <c r="EV17" i="7" s="1"/>
  <c r="FD20" i="8"/>
  <c r="EV18" i="7" s="1"/>
  <c r="FD21" i="8"/>
  <c r="EV19" i="7" s="1"/>
  <c r="FD22" i="8"/>
  <c r="EV20" i="7" s="1"/>
  <c r="FD23" i="8"/>
  <c r="EV21" i="7" s="1"/>
  <c r="FD24" i="8"/>
  <c r="EV22" i="7" s="1"/>
  <c r="FD25" i="8"/>
  <c r="EV23" i="7" s="1"/>
  <c r="FD26" i="8"/>
  <c r="EV24" i="7" s="1"/>
  <c r="FD27" i="8"/>
  <c r="EV25" i="7" s="1"/>
  <c r="FD28" i="8"/>
  <c r="EV26" i="7" s="1"/>
  <c r="FD29" i="8"/>
  <c r="EV27" i="7" s="1"/>
  <c r="FD30" i="8"/>
  <c r="EV28" i="7" s="1"/>
  <c r="FD31" i="8"/>
  <c r="EV29" i="7" s="1"/>
  <c r="FD32" i="8"/>
  <c r="EV30" i="7" s="1"/>
  <c r="FD33" i="8"/>
  <c r="EV31" i="7" s="1"/>
  <c r="FD34" i="8"/>
  <c r="EV32" i="7" s="1"/>
  <c r="FD35" i="8"/>
  <c r="EV33" i="7" s="1"/>
  <c r="FD6" i="8"/>
  <c r="EV4" i="7" s="1"/>
  <c r="EU38" i="8"/>
  <c r="EL36" i="7" s="1"/>
  <c r="EU39" i="8"/>
  <c r="EL37" i="7" s="1"/>
  <c r="EU40" i="8"/>
  <c r="EL38" i="7" s="1"/>
  <c r="EU41" i="8"/>
  <c r="EL39" i="7" s="1"/>
  <c r="EU42" i="8"/>
  <c r="EL40" i="7" s="1"/>
  <c r="EU43" i="8"/>
  <c r="EL41" i="7" s="1"/>
  <c r="EU44" i="8"/>
  <c r="EL42" i="7" s="1"/>
  <c r="EU45" i="8"/>
  <c r="EL43" i="7" s="1"/>
  <c r="EU46" i="8"/>
  <c r="EL44" i="7" s="1"/>
  <c r="EU47" i="8"/>
  <c r="EL45" i="7" s="1"/>
  <c r="EU48" i="8"/>
  <c r="EL46" i="7" s="1"/>
  <c r="EU49" i="8"/>
  <c r="EL47" i="7" s="1"/>
  <c r="EU50" i="8"/>
  <c r="EL48" i="7" s="1"/>
  <c r="EU51" i="8"/>
  <c r="EL49" i="7" s="1"/>
  <c r="EU52" i="8"/>
  <c r="EL50" i="7" s="1"/>
  <c r="EU53" i="8"/>
  <c r="EL51" i="7" s="1"/>
  <c r="EU54" i="8"/>
  <c r="EL52" i="7" s="1"/>
  <c r="EU55" i="8"/>
  <c r="EL53" i="7" s="1"/>
  <c r="EU56" i="8"/>
  <c r="EL54" i="7" s="1"/>
  <c r="EU57" i="8"/>
  <c r="EL55" i="7" s="1"/>
  <c r="EU58" i="8"/>
  <c r="EL56" i="7" s="1"/>
  <c r="EU59" i="8"/>
  <c r="EL57" i="7" s="1"/>
  <c r="EU60" i="8"/>
  <c r="EL58" i="7" s="1"/>
  <c r="EU61" i="8"/>
  <c r="EL59" i="7" s="1"/>
  <c r="EU62" i="8"/>
  <c r="EL60" i="7" s="1"/>
  <c r="EU63" i="8"/>
  <c r="EL61" i="7" s="1"/>
  <c r="EU64" i="8"/>
  <c r="EL62" i="7" s="1"/>
  <c r="EU65" i="8"/>
  <c r="EL63" i="7" s="1"/>
  <c r="EU66" i="8"/>
  <c r="EL64" i="7" s="1"/>
  <c r="EU37" i="8"/>
  <c r="EL35" i="7" s="1"/>
  <c r="EU7" i="8"/>
  <c r="EL5" i="7" s="1"/>
  <c r="EU8" i="8"/>
  <c r="EL6" i="7" s="1"/>
  <c r="EU9" i="8"/>
  <c r="EL7" i="7" s="1"/>
  <c r="EU10" i="8"/>
  <c r="EL8" i="7" s="1"/>
  <c r="EU11" i="8"/>
  <c r="EL9" i="7" s="1"/>
  <c r="EU12" i="8"/>
  <c r="EL10" i="7" s="1"/>
  <c r="EU13" i="8"/>
  <c r="EL11" i="7" s="1"/>
  <c r="EU14" i="8"/>
  <c r="EL12" i="7" s="1"/>
  <c r="EU15" i="8"/>
  <c r="EL13" i="7" s="1"/>
  <c r="EU16" i="8"/>
  <c r="EL14" i="7" s="1"/>
  <c r="EU17" i="8"/>
  <c r="EL15" i="7" s="1"/>
  <c r="EU18" i="8"/>
  <c r="EL16" i="7" s="1"/>
  <c r="EU19" i="8"/>
  <c r="EL17" i="7" s="1"/>
  <c r="EU20" i="8"/>
  <c r="EL18" i="7" s="1"/>
  <c r="EU21" i="8"/>
  <c r="EL19" i="7" s="1"/>
  <c r="EU22" i="8"/>
  <c r="EL20" i="7" s="1"/>
  <c r="EU23" i="8"/>
  <c r="EL21" i="7" s="1"/>
  <c r="EU24" i="8"/>
  <c r="EL22" i="7" s="1"/>
  <c r="EU25" i="8"/>
  <c r="EL23" i="7" s="1"/>
  <c r="EU26" i="8"/>
  <c r="EL24" i="7" s="1"/>
  <c r="EU27" i="8"/>
  <c r="EL25" i="7" s="1"/>
  <c r="EU28" i="8"/>
  <c r="EL26" i="7" s="1"/>
  <c r="EU29" i="8"/>
  <c r="EL27" i="7" s="1"/>
  <c r="EU30" i="8"/>
  <c r="EL28" i="7" s="1"/>
  <c r="EU31" i="8"/>
  <c r="EL29" i="7" s="1"/>
  <c r="EU32" i="8"/>
  <c r="EL30" i="7" s="1"/>
  <c r="EU33" i="8"/>
  <c r="EL31" i="7" s="1"/>
  <c r="EU34" i="8"/>
  <c r="EL32" i="7" s="1"/>
  <c r="EU35" i="8"/>
  <c r="EL33" i="7" s="1"/>
  <c r="EU6" i="8"/>
  <c r="EL4" i="7" s="1"/>
  <c r="EL38" i="8"/>
  <c r="EB36" i="7" s="1"/>
  <c r="EL39" i="8"/>
  <c r="EB37" i="7" s="1"/>
  <c r="EL40" i="8"/>
  <c r="EB38" i="7" s="1"/>
  <c r="EL41" i="8"/>
  <c r="EB39" i="7" s="1"/>
  <c r="EL42" i="8"/>
  <c r="EB40" i="7" s="1"/>
  <c r="EL43" i="8"/>
  <c r="EB41" i="7" s="1"/>
  <c r="EL44" i="8"/>
  <c r="EB42" i="7" s="1"/>
  <c r="EL45" i="8"/>
  <c r="EB43" i="7" s="1"/>
  <c r="EL46" i="8"/>
  <c r="EB44" i="7" s="1"/>
  <c r="EL47" i="8"/>
  <c r="EB45" i="7" s="1"/>
  <c r="EL48" i="8"/>
  <c r="EB46" i="7" s="1"/>
  <c r="EL49" i="8"/>
  <c r="EB47" i="7" s="1"/>
  <c r="EL50" i="8"/>
  <c r="EB48" i="7" s="1"/>
  <c r="EL51" i="8"/>
  <c r="EB49" i="7" s="1"/>
  <c r="EL52" i="8"/>
  <c r="EB50" i="7" s="1"/>
  <c r="EL53" i="8"/>
  <c r="EB51" i="7" s="1"/>
  <c r="EL54" i="8"/>
  <c r="EB52" i="7" s="1"/>
  <c r="EL55" i="8"/>
  <c r="EB53" i="7" s="1"/>
  <c r="EL56" i="8"/>
  <c r="EB54" i="7" s="1"/>
  <c r="EL57" i="8"/>
  <c r="EB55" i="7" s="1"/>
  <c r="EL58" i="8"/>
  <c r="EB56" i="7" s="1"/>
  <c r="EL59" i="8"/>
  <c r="EB57" i="7" s="1"/>
  <c r="EL60" i="8"/>
  <c r="EB58" i="7" s="1"/>
  <c r="EL61" i="8"/>
  <c r="EB59" i="7" s="1"/>
  <c r="EL62" i="8"/>
  <c r="EB60" i="7" s="1"/>
  <c r="EL63" i="8"/>
  <c r="EB61" i="7" s="1"/>
  <c r="EL64" i="8"/>
  <c r="EB62" i="7" s="1"/>
  <c r="EL65" i="8"/>
  <c r="EB63" i="7" s="1"/>
  <c r="EL66" i="8"/>
  <c r="EB64" i="7" s="1"/>
  <c r="EL37" i="8"/>
  <c r="EB35" i="7" s="1"/>
  <c r="EL7" i="8"/>
  <c r="EB5" i="7" s="1"/>
  <c r="EL8" i="8"/>
  <c r="EB6" i="7" s="1"/>
  <c r="EL9" i="8"/>
  <c r="EB7" i="7" s="1"/>
  <c r="EL10" i="8"/>
  <c r="EB8" i="7" s="1"/>
  <c r="EL11" i="8"/>
  <c r="EB9" i="7" s="1"/>
  <c r="EL12" i="8"/>
  <c r="EB10" i="7" s="1"/>
  <c r="EL13" i="8"/>
  <c r="EB11" i="7" s="1"/>
  <c r="EL14" i="8"/>
  <c r="EB12" i="7" s="1"/>
  <c r="EL15" i="8"/>
  <c r="EB13" i="7" s="1"/>
  <c r="EL16" i="8"/>
  <c r="EB14" i="7" s="1"/>
  <c r="EL17" i="8"/>
  <c r="EB15" i="7" s="1"/>
  <c r="EL18" i="8"/>
  <c r="EB16" i="7" s="1"/>
  <c r="EL19" i="8"/>
  <c r="EB17" i="7" s="1"/>
  <c r="EL20" i="8"/>
  <c r="EB18" i="7" s="1"/>
  <c r="EL21" i="8"/>
  <c r="EB19" i="7" s="1"/>
  <c r="EL22" i="8"/>
  <c r="EB20" i="7" s="1"/>
  <c r="EL23" i="8"/>
  <c r="EB21" i="7" s="1"/>
  <c r="EL24" i="8"/>
  <c r="EB22" i="7" s="1"/>
  <c r="EL25" i="8"/>
  <c r="EB23" i="7" s="1"/>
  <c r="EL26" i="8"/>
  <c r="EB24" i="7" s="1"/>
  <c r="EL27" i="8"/>
  <c r="EB25" i="7" s="1"/>
  <c r="EL28" i="8"/>
  <c r="EB26" i="7" s="1"/>
  <c r="EL29" i="8"/>
  <c r="EB27" i="7" s="1"/>
  <c r="EL30" i="8"/>
  <c r="EB28" i="7" s="1"/>
  <c r="EL31" i="8"/>
  <c r="EB29" i="7" s="1"/>
  <c r="EL32" i="8"/>
  <c r="EB30" i="7" s="1"/>
  <c r="EL33" i="8"/>
  <c r="EB31" i="7" s="1"/>
  <c r="EL34" i="8"/>
  <c r="EB32" i="7" s="1"/>
  <c r="EL35" i="8"/>
  <c r="EB33" i="7" s="1"/>
  <c r="EL6" i="8"/>
  <c r="EB4" i="7" s="1"/>
  <c r="EC38" i="8"/>
  <c r="DR36" i="7" s="1"/>
  <c r="EC39" i="8"/>
  <c r="DR37" i="7" s="1"/>
  <c r="EC40" i="8"/>
  <c r="DR38" i="7" s="1"/>
  <c r="EC41" i="8"/>
  <c r="DR39" i="7" s="1"/>
  <c r="EC42" i="8"/>
  <c r="DR40" i="7" s="1"/>
  <c r="EC43" i="8"/>
  <c r="DR41" i="7" s="1"/>
  <c r="EC44" i="8"/>
  <c r="DR42" i="7" s="1"/>
  <c r="EC45" i="8"/>
  <c r="DR43" i="7" s="1"/>
  <c r="EC46" i="8"/>
  <c r="DR44" i="7" s="1"/>
  <c r="EC47" i="8"/>
  <c r="DR45" i="7" s="1"/>
  <c r="EC48" i="8"/>
  <c r="DR46" i="7" s="1"/>
  <c r="EC49" i="8"/>
  <c r="DR47" i="7" s="1"/>
  <c r="EC50" i="8"/>
  <c r="DR48" i="7" s="1"/>
  <c r="EC51" i="8"/>
  <c r="DR49" i="7" s="1"/>
  <c r="EC52" i="8"/>
  <c r="DR50" i="7" s="1"/>
  <c r="EC53" i="8"/>
  <c r="DR51" i="7" s="1"/>
  <c r="EC54" i="8"/>
  <c r="DR52" i="7" s="1"/>
  <c r="EC55" i="8"/>
  <c r="DR53" i="7" s="1"/>
  <c r="EC56" i="8"/>
  <c r="DR54" i="7" s="1"/>
  <c r="EC57" i="8"/>
  <c r="DR55" i="7" s="1"/>
  <c r="EC58" i="8"/>
  <c r="DR56" i="7" s="1"/>
  <c r="EC59" i="8"/>
  <c r="DR57" i="7" s="1"/>
  <c r="EC60" i="8"/>
  <c r="DR58" i="7" s="1"/>
  <c r="EC61" i="8"/>
  <c r="DR59" i="7" s="1"/>
  <c r="EC62" i="8"/>
  <c r="DR60" i="7" s="1"/>
  <c r="EC63" i="8"/>
  <c r="DR61" i="7" s="1"/>
  <c r="EC64" i="8"/>
  <c r="DR62" i="7" s="1"/>
  <c r="EC65" i="8"/>
  <c r="DR63" i="7" s="1"/>
  <c r="EC66" i="8"/>
  <c r="DR64" i="7" s="1"/>
  <c r="EC37" i="8"/>
  <c r="DR35" i="7" s="1"/>
  <c r="EC7" i="8"/>
  <c r="DR5" i="7" s="1"/>
  <c r="EC8" i="8"/>
  <c r="DR6" i="7" s="1"/>
  <c r="EC9" i="8"/>
  <c r="DR7" i="7" s="1"/>
  <c r="EC10" i="8"/>
  <c r="DR8" i="7" s="1"/>
  <c r="EC11" i="8"/>
  <c r="DR9" i="7" s="1"/>
  <c r="EC12" i="8"/>
  <c r="DR10" i="7" s="1"/>
  <c r="EC13" i="8"/>
  <c r="DR11" i="7" s="1"/>
  <c r="EC14" i="8"/>
  <c r="DR12" i="7" s="1"/>
  <c r="EC15" i="8"/>
  <c r="DR13" i="7" s="1"/>
  <c r="EC16" i="8"/>
  <c r="DR14" i="7" s="1"/>
  <c r="EC17" i="8"/>
  <c r="DR15" i="7" s="1"/>
  <c r="EC18" i="8"/>
  <c r="DR16" i="7" s="1"/>
  <c r="EC19" i="8"/>
  <c r="DR17" i="7" s="1"/>
  <c r="EC20" i="8"/>
  <c r="DR18" i="7" s="1"/>
  <c r="EC21" i="8"/>
  <c r="DR19" i="7" s="1"/>
  <c r="EC22" i="8"/>
  <c r="DR20" i="7" s="1"/>
  <c r="EC23" i="8"/>
  <c r="DR21" i="7" s="1"/>
  <c r="EC24" i="8"/>
  <c r="DR22" i="7" s="1"/>
  <c r="EC25" i="8"/>
  <c r="DR23" i="7" s="1"/>
  <c r="EC26" i="8"/>
  <c r="DR24" i="7" s="1"/>
  <c r="EC27" i="8"/>
  <c r="DR25" i="7" s="1"/>
  <c r="EC28" i="8"/>
  <c r="DR26" i="7" s="1"/>
  <c r="EC29" i="8"/>
  <c r="DR27" i="7" s="1"/>
  <c r="EC30" i="8"/>
  <c r="DR28" i="7" s="1"/>
  <c r="EC31" i="8"/>
  <c r="DR29" i="7" s="1"/>
  <c r="EC32" i="8"/>
  <c r="DR30" i="7" s="1"/>
  <c r="EC33" i="8"/>
  <c r="DR31" i="7" s="1"/>
  <c r="EC34" i="8"/>
  <c r="DR32" i="7" s="1"/>
  <c r="EC35" i="8"/>
  <c r="DR33" i="7" s="1"/>
  <c r="EC6" i="8"/>
  <c r="DR4" i="7" s="1"/>
  <c r="DT38" i="8"/>
  <c r="DH36" i="7" s="1"/>
  <c r="DT39" i="8"/>
  <c r="DH37" i="7" s="1"/>
  <c r="DT40" i="8"/>
  <c r="DH38" i="7" s="1"/>
  <c r="DT41" i="8"/>
  <c r="DH39" i="7" s="1"/>
  <c r="DT42" i="8"/>
  <c r="DH40" i="7" s="1"/>
  <c r="DT43" i="8"/>
  <c r="DH41" i="7" s="1"/>
  <c r="DT44" i="8"/>
  <c r="DH42" i="7" s="1"/>
  <c r="DT45" i="8"/>
  <c r="DH43" i="7" s="1"/>
  <c r="DT46" i="8"/>
  <c r="DH44" i="7" s="1"/>
  <c r="DT47" i="8"/>
  <c r="DH45" i="7" s="1"/>
  <c r="DT48" i="8"/>
  <c r="DH46" i="7" s="1"/>
  <c r="DT49" i="8"/>
  <c r="DH47" i="7" s="1"/>
  <c r="DT50" i="8"/>
  <c r="DH48" i="7" s="1"/>
  <c r="DT51" i="8"/>
  <c r="DH49" i="7" s="1"/>
  <c r="DT52" i="8"/>
  <c r="DH50" i="7" s="1"/>
  <c r="DT53" i="8"/>
  <c r="DH51" i="7" s="1"/>
  <c r="DT54" i="8"/>
  <c r="DH52" i="7" s="1"/>
  <c r="DT55" i="8"/>
  <c r="DH53" i="7" s="1"/>
  <c r="DT56" i="8"/>
  <c r="DH54" i="7" s="1"/>
  <c r="DT57" i="8"/>
  <c r="DH55" i="7" s="1"/>
  <c r="DT58" i="8"/>
  <c r="DH56" i="7" s="1"/>
  <c r="DT59" i="8"/>
  <c r="DH57" i="7" s="1"/>
  <c r="DT60" i="8"/>
  <c r="DH58" i="7" s="1"/>
  <c r="DT61" i="8"/>
  <c r="DH59" i="7" s="1"/>
  <c r="DT62" i="8"/>
  <c r="DH60" i="7" s="1"/>
  <c r="DT63" i="8"/>
  <c r="DH61" i="7" s="1"/>
  <c r="DT64" i="8"/>
  <c r="DH62" i="7" s="1"/>
  <c r="DT65" i="8"/>
  <c r="DH63" i="7" s="1"/>
  <c r="DT66" i="8"/>
  <c r="DH64" i="7" s="1"/>
  <c r="DT37" i="8"/>
  <c r="DH35" i="7" s="1"/>
  <c r="DT7" i="8"/>
  <c r="DH5" i="7" s="1"/>
  <c r="DT8" i="8"/>
  <c r="DH6" i="7" s="1"/>
  <c r="DT9" i="8"/>
  <c r="DH7" i="7" s="1"/>
  <c r="DT10" i="8"/>
  <c r="DH8" i="7" s="1"/>
  <c r="DT11" i="8"/>
  <c r="DH9" i="7" s="1"/>
  <c r="DT12" i="8"/>
  <c r="DH10" i="7" s="1"/>
  <c r="DT13" i="8"/>
  <c r="DH11" i="7" s="1"/>
  <c r="DT14" i="8"/>
  <c r="DH12" i="7" s="1"/>
  <c r="DT15" i="8"/>
  <c r="DH13" i="7" s="1"/>
  <c r="DT16" i="8"/>
  <c r="DH14" i="7" s="1"/>
  <c r="DT17" i="8"/>
  <c r="DH15" i="7" s="1"/>
  <c r="DT18" i="8"/>
  <c r="DH16" i="7" s="1"/>
  <c r="DT19" i="8"/>
  <c r="DH17" i="7" s="1"/>
  <c r="DT20" i="8"/>
  <c r="DH18" i="7" s="1"/>
  <c r="DT21" i="8"/>
  <c r="DH19" i="7" s="1"/>
  <c r="DT22" i="8"/>
  <c r="DH20" i="7" s="1"/>
  <c r="DT23" i="8"/>
  <c r="DH21" i="7" s="1"/>
  <c r="DT24" i="8"/>
  <c r="DH22" i="7" s="1"/>
  <c r="DT25" i="8"/>
  <c r="DH23" i="7" s="1"/>
  <c r="DT26" i="8"/>
  <c r="DH24" i="7" s="1"/>
  <c r="DT27" i="8"/>
  <c r="DH25" i="7" s="1"/>
  <c r="DT28" i="8"/>
  <c r="DH26" i="7" s="1"/>
  <c r="DT29" i="8"/>
  <c r="DH27" i="7" s="1"/>
  <c r="DT30" i="8"/>
  <c r="DH28" i="7" s="1"/>
  <c r="DT31" i="8"/>
  <c r="DH29" i="7" s="1"/>
  <c r="DT32" i="8"/>
  <c r="DH30" i="7" s="1"/>
  <c r="DT33" i="8"/>
  <c r="DH31" i="7" s="1"/>
  <c r="DT34" i="8"/>
  <c r="DH32" i="7" s="1"/>
  <c r="DT35" i="8"/>
  <c r="DH33" i="7" s="1"/>
  <c r="DT6" i="8"/>
  <c r="DH4" i="7" s="1"/>
  <c r="DK38" i="8"/>
  <c r="CX36" i="7" s="1"/>
  <c r="DK39" i="8"/>
  <c r="CX37" i="7" s="1"/>
  <c r="DK40" i="8"/>
  <c r="CX38" i="7" s="1"/>
  <c r="DK41" i="8"/>
  <c r="CX39" i="7" s="1"/>
  <c r="DK42" i="8"/>
  <c r="CX40" i="7" s="1"/>
  <c r="DK43" i="8"/>
  <c r="CX41" i="7" s="1"/>
  <c r="DK44" i="8"/>
  <c r="CX42" i="7" s="1"/>
  <c r="DK45" i="8"/>
  <c r="CX43" i="7" s="1"/>
  <c r="DK46" i="8"/>
  <c r="CX44" i="7" s="1"/>
  <c r="DK47" i="8"/>
  <c r="CX45" i="7" s="1"/>
  <c r="DK48" i="8"/>
  <c r="CX46" i="7" s="1"/>
  <c r="DK49" i="8"/>
  <c r="CX47" i="7" s="1"/>
  <c r="DK50" i="8"/>
  <c r="CX48" i="7" s="1"/>
  <c r="DK51" i="8"/>
  <c r="CX49" i="7" s="1"/>
  <c r="DK52" i="8"/>
  <c r="CX50" i="7" s="1"/>
  <c r="DK53" i="8"/>
  <c r="CX51" i="7" s="1"/>
  <c r="DK54" i="8"/>
  <c r="CX52" i="7" s="1"/>
  <c r="DK55" i="8"/>
  <c r="CX53" i="7" s="1"/>
  <c r="DK56" i="8"/>
  <c r="CX54" i="7" s="1"/>
  <c r="DK57" i="8"/>
  <c r="CX55" i="7" s="1"/>
  <c r="DK58" i="8"/>
  <c r="CX56" i="7" s="1"/>
  <c r="DK59" i="8"/>
  <c r="CX57" i="7" s="1"/>
  <c r="DK60" i="8"/>
  <c r="CX58" i="7" s="1"/>
  <c r="DK61" i="8"/>
  <c r="CX59" i="7" s="1"/>
  <c r="DK62" i="8"/>
  <c r="CX60" i="7" s="1"/>
  <c r="DK63" i="8"/>
  <c r="CX61" i="7" s="1"/>
  <c r="DK64" i="8"/>
  <c r="CX62" i="7" s="1"/>
  <c r="DK65" i="8"/>
  <c r="CX63" i="7" s="1"/>
  <c r="DK66" i="8"/>
  <c r="CX64" i="7" s="1"/>
  <c r="DK37" i="8"/>
  <c r="CX35" i="7" s="1"/>
  <c r="DK7" i="8"/>
  <c r="CX5" i="7" s="1"/>
  <c r="DK8" i="8"/>
  <c r="CX6" i="7" s="1"/>
  <c r="DK9" i="8"/>
  <c r="CX7" i="7" s="1"/>
  <c r="DK10" i="8"/>
  <c r="CX8" i="7" s="1"/>
  <c r="DK11" i="8"/>
  <c r="CX9" i="7" s="1"/>
  <c r="DK12" i="8"/>
  <c r="CX10" i="7" s="1"/>
  <c r="DK13" i="8"/>
  <c r="CX11" i="7" s="1"/>
  <c r="DK14" i="8"/>
  <c r="CX12" i="7" s="1"/>
  <c r="DK15" i="8"/>
  <c r="CX13" i="7" s="1"/>
  <c r="DK16" i="8"/>
  <c r="CX14" i="7" s="1"/>
  <c r="DK17" i="8"/>
  <c r="DK18" i="8"/>
  <c r="CX16" i="7" s="1"/>
  <c r="DK19" i="8"/>
  <c r="CX17" i="7" s="1"/>
  <c r="DK20" i="8"/>
  <c r="CX18" i="7" s="1"/>
  <c r="DK21" i="8"/>
  <c r="CX19" i="7" s="1"/>
  <c r="DK22" i="8"/>
  <c r="CX20" i="7" s="1"/>
  <c r="DK23" i="8"/>
  <c r="CX21" i="7" s="1"/>
  <c r="DK24" i="8"/>
  <c r="CX22" i="7" s="1"/>
  <c r="DK25" i="8"/>
  <c r="CX23" i="7" s="1"/>
  <c r="DK26" i="8"/>
  <c r="CX24" i="7" s="1"/>
  <c r="DK27" i="8"/>
  <c r="CX25" i="7" s="1"/>
  <c r="DK28" i="8"/>
  <c r="CX26" i="7" s="1"/>
  <c r="DK29" i="8"/>
  <c r="CX27" i="7" s="1"/>
  <c r="DK30" i="8"/>
  <c r="CX28" i="7" s="1"/>
  <c r="DK31" i="8"/>
  <c r="CX29" i="7" s="1"/>
  <c r="DK32" i="8"/>
  <c r="CX30" i="7" s="1"/>
  <c r="DK33" i="8"/>
  <c r="CX31" i="7" s="1"/>
  <c r="DK34" i="8"/>
  <c r="CX32" i="7" s="1"/>
  <c r="DK35" i="8"/>
  <c r="CX33" i="7" s="1"/>
  <c r="DK6" i="8"/>
  <c r="CX4" i="7" s="1"/>
  <c r="DB38" i="8"/>
  <c r="CN36" i="7" s="1"/>
  <c r="DB39" i="8"/>
  <c r="CN37" i="7" s="1"/>
  <c r="DB40" i="8"/>
  <c r="CN38" i="7" s="1"/>
  <c r="DB41" i="8"/>
  <c r="CN39" i="7" s="1"/>
  <c r="DB42" i="8"/>
  <c r="CN40" i="7" s="1"/>
  <c r="DB43" i="8"/>
  <c r="CN41" i="7" s="1"/>
  <c r="DB44" i="8"/>
  <c r="CN42" i="7" s="1"/>
  <c r="DB45" i="8"/>
  <c r="CN43" i="7" s="1"/>
  <c r="DB46" i="8"/>
  <c r="CN44" i="7" s="1"/>
  <c r="DB47" i="8"/>
  <c r="CN45" i="7" s="1"/>
  <c r="DB48" i="8"/>
  <c r="CN46" i="7" s="1"/>
  <c r="DB49" i="8"/>
  <c r="CN47" i="7" s="1"/>
  <c r="DB50" i="8"/>
  <c r="CN48" i="7" s="1"/>
  <c r="DB51" i="8"/>
  <c r="CN49" i="7" s="1"/>
  <c r="DB52" i="8"/>
  <c r="CN50" i="7" s="1"/>
  <c r="DB53" i="8"/>
  <c r="CN51" i="7" s="1"/>
  <c r="DB54" i="8"/>
  <c r="CN52" i="7" s="1"/>
  <c r="DB55" i="8"/>
  <c r="CN53" i="7" s="1"/>
  <c r="DB56" i="8"/>
  <c r="CN54" i="7" s="1"/>
  <c r="DB57" i="8"/>
  <c r="CN55" i="7" s="1"/>
  <c r="DB58" i="8"/>
  <c r="CN56" i="7" s="1"/>
  <c r="DB59" i="8"/>
  <c r="CN57" i="7" s="1"/>
  <c r="DB60" i="8"/>
  <c r="CN58" i="7" s="1"/>
  <c r="DB61" i="8"/>
  <c r="CN59" i="7" s="1"/>
  <c r="DB62" i="8"/>
  <c r="CN60" i="7" s="1"/>
  <c r="DB63" i="8"/>
  <c r="CN61" i="7" s="1"/>
  <c r="DB64" i="8"/>
  <c r="CN62" i="7" s="1"/>
  <c r="DB65" i="8"/>
  <c r="CN63" i="7" s="1"/>
  <c r="DB66" i="8"/>
  <c r="CN64" i="7" s="1"/>
  <c r="DB37" i="8"/>
  <c r="CN35" i="7" s="1"/>
  <c r="DB7" i="8"/>
  <c r="CN5" i="7" s="1"/>
  <c r="DB8" i="8"/>
  <c r="CN6" i="7" s="1"/>
  <c r="DB9" i="8"/>
  <c r="CN7" i="7" s="1"/>
  <c r="DB10" i="8"/>
  <c r="CN8" i="7" s="1"/>
  <c r="DB11" i="8"/>
  <c r="CN9" i="7" s="1"/>
  <c r="DB12" i="8"/>
  <c r="CN10" i="7" s="1"/>
  <c r="DB13" i="8"/>
  <c r="CN11" i="7" s="1"/>
  <c r="DB14" i="8"/>
  <c r="CN12" i="7" s="1"/>
  <c r="DB15" i="8"/>
  <c r="CN13" i="7" s="1"/>
  <c r="DB16" i="8"/>
  <c r="CN14" i="7" s="1"/>
  <c r="DB17" i="8"/>
  <c r="CN15" i="7" s="1"/>
  <c r="DB18" i="8"/>
  <c r="CN16" i="7" s="1"/>
  <c r="DB19" i="8"/>
  <c r="CN17" i="7" s="1"/>
  <c r="DB20" i="8"/>
  <c r="CN18" i="7" s="1"/>
  <c r="DB21" i="8"/>
  <c r="CN19" i="7" s="1"/>
  <c r="DB22" i="8"/>
  <c r="CN20" i="7" s="1"/>
  <c r="DB23" i="8"/>
  <c r="CN21" i="7" s="1"/>
  <c r="DB24" i="8"/>
  <c r="CN22" i="7" s="1"/>
  <c r="DB25" i="8"/>
  <c r="CN23" i="7" s="1"/>
  <c r="DB26" i="8"/>
  <c r="CN24" i="7" s="1"/>
  <c r="DB27" i="8"/>
  <c r="CN25" i="7" s="1"/>
  <c r="DB28" i="8"/>
  <c r="CN26" i="7" s="1"/>
  <c r="DB29" i="8"/>
  <c r="CN27" i="7" s="1"/>
  <c r="DB30" i="8"/>
  <c r="CN28" i="7" s="1"/>
  <c r="DB31" i="8"/>
  <c r="CN29" i="7" s="1"/>
  <c r="DB32" i="8"/>
  <c r="CN30" i="7" s="1"/>
  <c r="DB33" i="8"/>
  <c r="CN31" i="7" s="1"/>
  <c r="DB34" i="8"/>
  <c r="CN32" i="7" s="1"/>
  <c r="DB35" i="8"/>
  <c r="CN33" i="7" s="1"/>
  <c r="DB6" i="8"/>
  <c r="CN4" i="7" s="1"/>
  <c r="CS38" i="8"/>
  <c r="CD36" i="7" s="1"/>
  <c r="CS39" i="8"/>
  <c r="CD37" i="7" s="1"/>
  <c r="CS40" i="8"/>
  <c r="CD38" i="7" s="1"/>
  <c r="CS41" i="8"/>
  <c r="CD39" i="7" s="1"/>
  <c r="CS42" i="8"/>
  <c r="CD40" i="7" s="1"/>
  <c r="CS43" i="8"/>
  <c r="CD41" i="7" s="1"/>
  <c r="CS44" i="8"/>
  <c r="CD42" i="7" s="1"/>
  <c r="CS45" i="8"/>
  <c r="CD43" i="7" s="1"/>
  <c r="CS46" i="8"/>
  <c r="CD44" i="7" s="1"/>
  <c r="CS47" i="8"/>
  <c r="CD45" i="7" s="1"/>
  <c r="CS48" i="8"/>
  <c r="CD46" i="7" s="1"/>
  <c r="CS49" i="8"/>
  <c r="CD47" i="7" s="1"/>
  <c r="CS50" i="8"/>
  <c r="CD48" i="7" s="1"/>
  <c r="CS51" i="8"/>
  <c r="CD49" i="7" s="1"/>
  <c r="CS52" i="8"/>
  <c r="CD50" i="7" s="1"/>
  <c r="CS53" i="8"/>
  <c r="CD51" i="7" s="1"/>
  <c r="CS54" i="8"/>
  <c r="CD52" i="7" s="1"/>
  <c r="CS55" i="8"/>
  <c r="CD53" i="7" s="1"/>
  <c r="CS56" i="8"/>
  <c r="CD54" i="7" s="1"/>
  <c r="CS57" i="8"/>
  <c r="CD55" i="7" s="1"/>
  <c r="CS58" i="8"/>
  <c r="CD56" i="7" s="1"/>
  <c r="CS59" i="8"/>
  <c r="CD57" i="7" s="1"/>
  <c r="CS60" i="8"/>
  <c r="CD58" i="7" s="1"/>
  <c r="CS61" i="8"/>
  <c r="CD59" i="7" s="1"/>
  <c r="CS62" i="8"/>
  <c r="CD60" i="7" s="1"/>
  <c r="CS63" i="8"/>
  <c r="CD61" i="7" s="1"/>
  <c r="CS64" i="8"/>
  <c r="CD62" i="7" s="1"/>
  <c r="CS65" i="8"/>
  <c r="CD63" i="7" s="1"/>
  <c r="CS66" i="8"/>
  <c r="CD64" i="7" s="1"/>
  <c r="CS37" i="8"/>
  <c r="CD35" i="7" s="1"/>
  <c r="CS7" i="8"/>
  <c r="CD5" i="7" s="1"/>
  <c r="CS8" i="8"/>
  <c r="CD6" i="7" s="1"/>
  <c r="CS9" i="8"/>
  <c r="CD7" i="7" s="1"/>
  <c r="CS10" i="8"/>
  <c r="CD8" i="7" s="1"/>
  <c r="CS11" i="8"/>
  <c r="CD9" i="7" s="1"/>
  <c r="CS12" i="8"/>
  <c r="CD10" i="7" s="1"/>
  <c r="CS13" i="8"/>
  <c r="CD11" i="7" s="1"/>
  <c r="CS14" i="8"/>
  <c r="CD12" i="7" s="1"/>
  <c r="CS15" i="8"/>
  <c r="CD13" i="7" s="1"/>
  <c r="CS16" i="8"/>
  <c r="CD14" i="7" s="1"/>
  <c r="CS17" i="8"/>
  <c r="CD15" i="7" s="1"/>
  <c r="CS18" i="8"/>
  <c r="CD16" i="7" s="1"/>
  <c r="CS19" i="8"/>
  <c r="CD17" i="7" s="1"/>
  <c r="CS20" i="8"/>
  <c r="CD18" i="7" s="1"/>
  <c r="CS21" i="8"/>
  <c r="CD19" i="7" s="1"/>
  <c r="CS22" i="8"/>
  <c r="CD20" i="7" s="1"/>
  <c r="CS23" i="8"/>
  <c r="CD21" i="7" s="1"/>
  <c r="CS24" i="8"/>
  <c r="CD22" i="7" s="1"/>
  <c r="CS25" i="8"/>
  <c r="CD23" i="7" s="1"/>
  <c r="CS26" i="8"/>
  <c r="CD24" i="7" s="1"/>
  <c r="CS27" i="8"/>
  <c r="CD25" i="7" s="1"/>
  <c r="CS28" i="8"/>
  <c r="CD26" i="7" s="1"/>
  <c r="CS29" i="8"/>
  <c r="CD27" i="7" s="1"/>
  <c r="CS30" i="8"/>
  <c r="CD28" i="7" s="1"/>
  <c r="CS31" i="8"/>
  <c r="CD29" i="7" s="1"/>
  <c r="CS32" i="8"/>
  <c r="CD30" i="7" s="1"/>
  <c r="CS33" i="8"/>
  <c r="CD31" i="7" s="1"/>
  <c r="CS34" i="8"/>
  <c r="CD32" i="7" s="1"/>
  <c r="CS35" i="8"/>
  <c r="CD33" i="7" s="1"/>
  <c r="CS6" i="8"/>
  <c r="CD4" i="7" s="1"/>
  <c r="CJ38" i="8"/>
  <c r="BT36" i="7" s="1"/>
  <c r="CJ39" i="8"/>
  <c r="BT37" i="7" s="1"/>
  <c r="CJ40" i="8"/>
  <c r="BT38" i="7" s="1"/>
  <c r="CJ41" i="8"/>
  <c r="BT39" i="7" s="1"/>
  <c r="CJ42" i="8"/>
  <c r="BT40" i="7" s="1"/>
  <c r="CJ43" i="8"/>
  <c r="BT41" i="7" s="1"/>
  <c r="CJ44" i="8"/>
  <c r="BT42" i="7" s="1"/>
  <c r="CJ45" i="8"/>
  <c r="BT43" i="7" s="1"/>
  <c r="CJ46" i="8"/>
  <c r="BT44" i="7" s="1"/>
  <c r="CJ47" i="8"/>
  <c r="BT45" i="7" s="1"/>
  <c r="CJ48" i="8"/>
  <c r="BT46" i="7" s="1"/>
  <c r="CJ49" i="8"/>
  <c r="BT47" i="7" s="1"/>
  <c r="CJ50" i="8"/>
  <c r="BT48" i="7" s="1"/>
  <c r="CJ51" i="8"/>
  <c r="BT49" i="7" s="1"/>
  <c r="CJ52" i="8"/>
  <c r="BT50" i="7" s="1"/>
  <c r="CJ53" i="8"/>
  <c r="BT51" i="7" s="1"/>
  <c r="CJ54" i="8"/>
  <c r="BT52" i="7" s="1"/>
  <c r="CJ55" i="8"/>
  <c r="BT53" i="7" s="1"/>
  <c r="CJ56" i="8"/>
  <c r="BT54" i="7" s="1"/>
  <c r="CJ57" i="8"/>
  <c r="BT55" i="7" s="1"/>
  <c r="CJ58" i="8"/>
  <c r="BT56" i="7" s="1"/>
  <c r="CJ59" i="8"/>
  <c r="BT57" i="7" s="1"/>
  <c r="CJ60" i="8"/>
  <c r="BT58" i="7" s="1"/>
  <c r="CJ61" i="8"/>
  <c r="BT59" i="7" s="1"/>
  <c r="CJ62" i="8"/>
  <c r="BT60" i="7" s="1"/>
  <c r="CJ63" i="8"/>
  <c r="BT61" i="7" s="1"/>
  <c r="CJ64" i="8"/>
  <c r="BT62" i="7" s="1"/>
  <c r="CJ65" i="8"/>
  <c r="BT63" i="7" s="1"/>
  <c r="CJ66" i="8"/>
  <c r="BT64" i="7" s="1"/>
  <c r="CJ37" i="8"/>
  <c r="BT35" i="7" s="1"/>
  <c r="CJ7" i="8"/>
  <c r="BT5" i="7" s="1"/>
  <c r="CJ8" i="8"/>
  <c r="BT6" i="7" s="1"/>
  <c r="CJ9" i="8"/>
  <c r="BT7" i="7" s="1"/>
  <c r="CJ10" i="8"/>
  <c r="BT8" i="7" s="1"/>
  <c r="CJ11" i="8"/>
  <c r="BT9" i="7" s="1"/>
  <c r="CJ12" i="8"/>
  <c r="BT10" i="7" s="1"/>
  <c r="CJ13" i="8"/>
  <c r="BT11" i="7" s="1"/>
  <c r="CJ14" i="8"/>
  <c r="BT12" i="7" s="1"/>
  <c r="CJ15" i="8"/>
  <c r="BT13" i="7" s="1"/>
  <c r="CJ16" i="8"/>
  <c r="BT14" i="7" s="1"/>
  <c r="CJ17" i="8"/>
  <c r="BT15" i="7" s="1"/>
  <c r="CJ18" i="8"/>
  <c r="BT16" i="7" s="1"/>
  <c r="CJ19" i="8"/>
  <c r="BT17" i="7" s="1"/>
  <c r="CJ20" i="8"/>
  <c r="BT18" i="7" s="1"/>
  <c r="CJ21" i="8"/>
  <c r="BT19" i="7" s="1"/>
  <c r="CJ22" i="8"/>
  <c r="BT20" i="7" s="1"/>
  <c r="CJ23" i="8"/>
  <c r="BT21" i="7" s="1"/>
  <c r="CJ24" i="8"/>
  <c r="BT22" i="7" s="1"/>
  <c r="CJ25" i="8"/>
  <c r="BT23" i="7" s="1"/>
  <c r="CJ26" i="8"/>
  <c r="BT24" i="7" s="1"/>
  <c r="CJ27" i="8"/>
  <c r="BT25" i="7" s="1"/>
  <c r="CJ28" i="8"/>
  <c r="BT26" i="7" s="1"/>
  <c r="CJ29" i="8"/>
  <c r="BT27" i="7" s="1"/>
  <c r="CJ30" i="8"/>
  <c r="BT28" i="7" s="1"/>
  <c r="CJ31" i="8"/>
  <c r="BT29" i="7" s="1"/>
  <c r="CJ32" i="8"/>
  <c r="BT30" i="7" s="1"/>
  <c r="CJ33" i="8"/>
  <c r="BT31" i="7" s="1"/>
  <c r="CJ34" i="8"/>
  <c r="BT32" i="7" s="1"/>
  <c r="CJ35" i="8"/>
  <c r="BT33" i="7" s="1"/>
  <c r="CJ6" i="8"/>
  <c r="BT4" i="7" s="1"/>
  <c r="CA38" i="8"/>
  <c r="BJ36" i="7" s="1"/>
  <c r="CA39" i="8"/>
  <c r="BJ37" i="7" s="1"/>
  <c r="CA40" i="8"/>
  <c r="BJ38" i="7" s="1"/>
  <c r="CA41" i="8"/>
  <c r="BJ39" i="7" s="1"/>
  <c r="CA42" i="8"/>
  <c r="BJ40" i="7" s="1"/>
  <c r="CA43" i="8"/>
  <c r="BJ41" i="7" s="1"/>
  <c r="CA44" i="8"/>
  <c r="BJ42" i="7" s="1"/>
  <c r="CA45" i="8"/>
  <c r="BJ43" i="7" s="1"/>
  <c r="CA46" i="8"/>
  <c r="BJ44" i="7" s="1"/>
  <c r="CA47" i="8"/>
  <c r="BJ45" i="7" s="1"/>
  <c r="CA48" i="8"/>
  <c r="BJ46" i="7" s="1"/>
  <c r="CA49" i="8"/>
  <c r="BJ47" i="7" s="1"/>
  <c r="CA50" i="8"/>
  <c r="BJ48" i="7" s="1"/>
  <c r="CA51" i="8"/>
  <c r="BJ49" i="7" s="1"/>
  <c r="CA52" i="8"/>
  <c r="BJ50" i="7" s="1"/>
  <c r="CA53" i="8"/>
  <c r="BJ51" i="7" s="1"/>
  <c r="CA54" i="8"/>
  <c r="BJ52" i="7" s="1"/>
  <c r="CA55" i="8"/>
  <c r="BJ53" i="7" s="1"/>
  <c r="CA56" i="8"/>
  <c r="BJ54" i="7" s="1"/>
  <c r="CA57" i="8"/>
  <c r="BJ55" i="7" s="1"/>
  <c r="CA58" i="8"/>
  <c r="BJ56" i="7" s="1"/>
  <c r="CA59" i="8"/>
  <c r="BJ57" i="7" s="1"/>
  <c r="CA60" i="8"/>
  <c r="BJ58" i="7" s="1"/>
  <c r="CA61" i="8"/>
  <c r="BJ59" i="7" s="1"/>
  <c r="CA62" i="8"/>
  <c r="BJ60" i="7" s="1"/>
  <c r="CA63" i="8"/>
  <c r="BJ61" i="7" s="1"/>
  <c r="CA64" i="8"/>
  <c r="BJ62" i="7" s="1"/>
  <c r="CA65" i="8"/>
  <c r="BJ63" i="7" s="1"/>
  <c r="CA66" i="8"/>
  <c r="BJ64" i="7" s="1"/>
  <c r="CA37" i="8"/>
  <c r="BJ35" i="7" s="1"/>
  <c r="CA7" i="8"/>
  <c r="BJ5" i="7" s="1"/>
  <c r="CA8" i="8"/>
  <c r="BJ6" i="7" s="1"/>
  <c r="CA9" i="8"/>
  <c r="BJ7" i="7" s="1"/>
  <c r="CA10" i="8"/>
  <c r="BJ8" i="7" s="1"/>
  <c r="CA11" i="8"/>
  <c r="BJ9" i="7" s="1"/>
  <c r="CA12" i="8"/>
  <c r="BJ10" i="7" s="1"/>
  <c r="CA13" i="8"/>
  <c r="BJ11" i="7" s="1"/>
  <c r="CA14" i="8"/>
  <c r="BJ12" i="7" s="1"/>
  <c r="CA15" i="8"/>
  <c r="BJ13" i="7" s="1"/>
  <c r="CA16" i="8"/>
  <c r="BJ14" i="7" s="1"/>
  <c r="CA17" i="8"/>
  <c r="BJ15" i="7" s="1"/>
  <c r="CA18" i="8"/>
  <c r="BJ16" i="7" s="1"/>
  <c r="CA19" i="8"/>
  <c r="BJ17" i="7" s="1"/>
  <c r="CA20" i="8"/>
  <c r="BJ18" i="7" s="1"/>
  <c r="CA21" i="8"/>
  <c r="BJ19" i="7" s="1"/>
  <c r="CA22" i="8"/>
  <c r="BJ20" i="7" s="1"/>
  <c r="CA23" i="8"/>
  <c r="BJ21" i="7" s="1"/>
  <c r="CA24" i="8"/>
  <c r="BJ22" i="7" s="1"/>
  <c r="CA25" i="8"/>
  <c r="BJ23" i="7" s="1"/>
  <c r="CA26" i="8"/>
  <c r="BJ24" i="7" s="1"/>
  <c r="CA27" i="8"/>
  <c r="BJ25" i="7" s="1"/>
  <c r="CA28" i="8"/>
  <c r="BJ26" i="7" s="1"/>
  <c r="CA29" i="8"/>
  <c r="BJ27" i="7" s="1"/>
  <c r="CA30" i="8"/>
  <c r="BJ28" i="7" s="1"/>
  <c r="CA31" i="8"/>
  <c r="BJ29" i="7" s="1"/>
  <c r="CA32" i="8"/>
  <c r="BJ30" i="7" s="1"/>
  <c r="CA33" i="8"/>
  <c r="BJ31" i="7" s="1"/>
  <c r="CA34" i="8"/>
  <c r="BJ32" i="7" s="1"/>
  <c r="CA35" i="8"/>
  <c r="BJ33" i="7" s="1"/>
  <c r="CA6" i="8"/>
  <c r="BJ4" i="7" s="1"/>
  <c r="BR38" i="8"/>
  <c r="AZ36" i="7" s="1"/>
  <c r="BR39" i="8"/>
  <c r="AZ37" i="7" s="1"/>
  <c r="BR40" i="8"/>
  <c r="AZ38" i="7" s="1"/>
  <c r="BR41" i="8"/>
  <c r="AZ39" i="7" s="1"/>
  <c r="BR42" i="8"/>
  <c r="AZ40" i="7" s="1"/>
  <c r="BR43" i="8"/>
  <c r="AZ41" i="7" s="1"/>
  <c r="BR44" i="8"/>
  <c r="AZ42" i="7" s="1"/>
  <c r="BR45" i="8"/>
  <c r="AZ43" i="7" s="1"/>
  <c r="BR46" i="8"/>
  <c r="AZ44" i="7" s="1"/>
  <c r="BR47" i="8"/>
  <c r="AZ45" i="7" s="1"/>
  <c r="BR48" i="8"/>
  <c r="AZ46" i="7" s="1"/>
  <c r="BR49" i="8"/>
  <c r="AZ47" i="7" s="1"/>
  <c r="BR50" i="8"/>
  <c r="AZ48" i="7" s="1"/>
  <c r="BR51" i="8"/>
  <c r="AZ49" i="7" s="1"/>
  <c r="BR52" i="8"/>
  <c r="AZ50" i="7" s="1"/>
  <c r="BR53" i="8"/>
  <c r="AZ51" i="7" s="1"/>
  <c r="BR54" i="8"/>
  <c r="AZ52" i="7" s="1"/>
  <c r="BR55" i="8"/>
  <c r="AZ53" i="7" s="1"/>
  <c r="BR56" i="8"/>
  <c r="AZ54" i="7" s="1"/>
  <c r="BR57" i="8"/>
  <c r="AZ55" i="7" s="1"/>
  <c r="BR58" i="8"/>
  <c r="AZ56" i="7" s="1"/>
  <c r="BR59" i="8"/>
  <c r="AZ57" i="7" s="1"/>
  <c r="BR60" i="8"/>
  <c r="AZ58" i="7" s="1"/>
  <c r="BR61" i="8"/>
  <c r="AZ59" i="7" s="1"/>
  <c r="BR62" i="8"/>
  <c r="AZ60" i="7" s="1"/>
  <c r="BR63" i="8"/>
  <c r="AZ61" i="7" s="1"/>
  <c r="BR64" i="8"/>
  <c r="AZ62" i="7" s="1"/>
  <c r="BR65" i="8"/>
  <c r="AZ63" i="7" s="1"/>
  <c r="BR66" i="8"/>
  <c r="AZ64" i="7" s="1"/>
  <c r="BR7" i="8"/>
  <c r="AZ5" i="7" s="1"/>
  <c r="BR8" i="8"/>
  <c r="AZ6" i="7" s="1"/>
  <c r="BR9" i="8"/>
  <c r="AZ7" i="7" s="1"/>
  <c r="BR10" i="8"/>
  <c r="AZ8" i="7" s="1"/>
  <c r="BR11" i="8"/>
  <c r="AZ9" i="7" s="1"/>
  <c r="BR12" i="8"/>
  <c r="AZ10" i="7" s="1"/>
  <c r="BR13" i="8"/>
  <c r="AZ11" i="7" s="1"/>
  <c r="BR14" i="8"/>
  <c r="AZ12" i="7" s="1"/>
  <c r="BR15" i="8"/>
  <c r="AZ13" i="7" s="1"/>
  <c r="BR16" i="8"/>
  <c r="AZ14" i="7" s="1"/>
  <c r="BR17" i="8"/>
  <c r="AZ15" i="7" s="1"/>
  <c r="BR18" i="8"/>
  <c r="AZ16" i="7" s="1"/>
  <c r="BR19" i="8"/>
  <c r="AZ17" i="7" s="1"/>
  <c r="BR20" i="8"/>
  <c r="AZ18" i="7" s="1"/>
  <c r="BR21" i="8"/>
  <c r="AZ19" i="7" s="1"/>
  <c r="BR22" i="8"/>
  <c r="AZ20" i="7" s="1"/>
  <c r="BR23" i="8"/>
  <c r="AZ21" i="7" s="1"/>
  <c r="BR24" i="8"/>
  <c r="AZ22" i="7" s="1"/>
  <c r="BR25" i="8"/>
  <c r="AZ23" i="7" s="1"/>
  <c r="BR26" i="8"/>
  <c r="AZ24" i="7" s="1"/>
  <c r="BR27" i="8"/>
  <c r="AZ25" i="7" s="1"/>
  <c r="BR28" i="8"/>
  <c r="AZ26" i="7" s="1"/>
  <c r="BR29" i="8"/>
  <c r="AZ27" i="7" s="1"/>
  <c r="BR30" i="8"/>
  <c r="AZ28" i="7" s="1"/>
  <c r="BR31" i="8"/>
  <c r="AZ29" i="7" s="1"/>
  <c r="BR32" i="8"/>
  <c r="AZ30" i="7" s="1"/>
  <c r="BR33" i="8"/>
  <c r="AZ31" i="7" s="1"/>
  <c r="BR34" i="8"/>
  <c r="AZ32" i="7" s="1"/>
  <c r="BR35" i="8"/>
  <c r="AZ33" i="7" s="1"/>
  <c r="BR37" i="8"/>
  <c r="AZ35" i="7" s="1"/>
  <c r="BR6" i="8"/>
  <c r="AZ4" i="7" s="1"/>
  <c r="BI38" i="8"/>
  <c r="AP36" i="7" s="1"/>
  <c r="BI39" i="8"/>
  <c r="AP37" i="7" s="1"/>
  <c r="BI40" i="8"/>
  <c r="AP38" i="7" s="1"/>
  <c r="BI41" i="8"/>
  <c r="AP39" i="7" s="1"/>
  <c r="BI42" i="8"/>
  <c r="AP40" i="7" s="1"/>
  <c r="BI43" i="8"/>
  <c r="AP41" i="7" s="1"/>
  <c r="BI44" i="8"/>
  <c r="AP42" i="7" s="1"/>
  <c r="BI45" i="8"/>
  <c r="AP43" i="7" s="1"/>
  <c r="BI46" i="8"/>
  <c r="AP44" i="7" s="1"/>
  <c r="BI47" i="8"/>
  <c r="AP45" i="7" s="1"/>
  <c r="BI48" i="8"/>
  <c r="AP46" i="7" s="1"/>
  <c r="BI49" i="8"/>
  <c r="AP47" i="7" s="1"/>
  <c r="BI50" i="8"/>
  <c r="AP48" i="7" s="1"/>
  <c r="BI51" i="8"/>
  <c r="AP49" i="7" s="1"/>
  <c r="BI52" i="8"/>
  <c r="AP50" i="7" s="1"/>
  <c r="BI53" i="8"/>
  <c r="AP51" i="7" s="1"/>
  <c r="BI54" i="8"/>
  <c r="AP52" i="7" s="1"/>
  <c r="BI55" i="8"/>
  <c r="AP53" i="7" s="1"/>
  <c r="BI56" i="8"/>
  <c r="AP54" i="7" s="1"/>
  <c r="BI57" i="8"/>
  <c r="AP55" i="7" s="1"/>
  <c r="BI58" i="8"/>
  <c r="AP56" i="7" s="1"/>
  <c r="BI59" i="8"/>
  <c r="AP57" i="7" s="1"/>
  <c r="BI60" i="8"/>
  <c r="AP58" i="7" s="1"/>
  <c r="BI61" i="8"/>
  <c r="AP59" i="7" s="1"/>
  <c r="BI62" i="8"/>
  <c r="AP60" i="7" s="1"/>
  <c r="BI63" i="8"/>
  <c r="AP61" i="7" s="1"/>
  <c r="BI64" i="8"/>
  <c r="AP62" i="7" s="1"/>
  <c r="BI65" i="8"/>
  <c r="AP63" i="7" s="1"/>
  <c r="BI66" i="8"/>
  <c r="AP64" i="7" s="1"/>
  <c r="BI37" i="8"/>
  <c r="AP35" i="7" s="1"/>
  <c r="BI7" i="8"/>
  <c r="AP5" i="7" s="1"/>
  <c r="BI8" i="8"/>
  <c r="AP6" i="7" s="1"/>
  <c r="BI9" i="8"/>
  <c r="AP7" i="7" s="1"/>
  <c r="BI10" i="8"/>
  <c r="AP8" i="7" s="1"/>
  <c r="BI11" i="8"/>
  <c r="AP9" i="7" s="1"/>
  <c r="BI12" i="8"/>
  <c r="AP10" i="7" s="1"/>
  <c r="BI13" i="8"/>
  <c r="AP11" i="7" s="1"/>
  <c r="BI14" i="8"/>
  <c r="AP12" i="7" s="1"/>
  <c r="BI15" i="8"/>
  <c r="AP13" i="7" s="1"/>
  <c r="BI16" i="8"/>
  <c r="AP14" i="7" s="1"/>
  <c r="BI17" i="8"/>
  <c r="AP15" i="7" s="1"/>
  <c r="BI18" i="8"/>
  <c r="AP16" i="7" s="1"/>
  <c r="BI19" i="8"/>
  <c r="AP17" i="7" s="1"/>
  <c r="BI20" i="8"/>
  <c r="AP18" i="7" s="1"/>
  <c r="BI21" i="8"/>
  <c r="AP19" i="7" s="1"/>
  <c r="BI22" i="8"/>
  <c r="AP20" i="7" s="1"/>
  <c r="BI23" i="8"/>
  <c r="AP21" i="7" s="1"/>
  <c r="BI24" i="8"/>
  <c r="AP22" i="7" s="1"/>
  <c r="BI25" i="8"/>
  <c r="AP23" i="7" s="1"/>
  <c r="BI26" i="8"/>
  <c r="AP24" i="7" s="1"/>
  <c r="BI27" i="8"/>
  <c r="AP25" i="7" s="1"/>
  <c r="BI28" i="8"/>
  <c r="AP26" i="7" s="1"/>
  <c r="BI29" i="8"/>
  <c r="AP27" i="7" s="1"/>
  <c r="BI30" i="8"/>
  <c r="AP28" i="7" s="1"/>
  <c r="BI31" i="8"/>
  <c r="AP29" i="7" s="1"/>
  <c r="BI32" i="8"/>
  <c r="AP30" i="7" s="1"/>
  <c r="BI33" i="8"/>
  <c r="AP31" i="7" s="1"/>
  <c r="BI34" i="8"/>
  <c r="AP32" i="7" s="1"/>
  <c r="BI35" i="8"/>
  <c r="AP33" i="7" s="1"/>
  <c r="BI6" i="8"/>
  <c r="AP4" i="7" s="1"/>
  <c r="AZ38" i="8"/>
  <c r="AF36" i="7" s="1"/>
  <c r="AZ39" i="8"/>
  <c r="AF37" i="7" s="1"/>
  <c r="AZ40" i="8"/>
  <c r="AF38" i="7" s="1"/>
  <c r="AZ41" i="8"/>
  <c r="AF39" i="7" s="1"/>
  <c r="AZ42" i="8"/>
  <c r="AF40" i="7" s="1"/>
  <c r="AZ43" i="8"/>
  <c r="AF41" i="7" s="1"/>
  <c r="AZ44" i="8"/>
  <c r="AF42" i="7" s="1"/>
  <c r="AZ45" i="8"/>
  <c r="AF43" i="7" s="1"/>
  <c r="AZ46" i="8"/>
  <c r="AF44" i="7" s="1"/>
  <c r="AZ47" i="8"/>
  <c r="AF45" i="7" s="1"/>
  <c r="AZ48" i="8"/>
  <c r="AF46" i="7" s="1"/>
  <c r="AZ49" i="8"/>
  <c r="AF47" i="7" s="1"/>
  <c r="AZ50" i="8"/>
  <c r="AF48" i="7" s="1"/>
  <c r="AZ51" i="8"/>
  <c r="AF49" i="7" s="1"/>
  <c r="AZ52" i="8"/>
  <c r="AF50" i="7" s="1"/>
  <c r="AZ53" i="8"/>
  <c r="AF51" i="7" s="1"/>
  <c r="AZ54" i="8"/>
  <c r="AF52" i="7" s="1"/>
  <c r="AZ55" i="8"/>
  <c r="AF53" i="7" s="1"/>
  <c r="AZ56" i="8"/>
  <c r="AF54" i="7" s="1"/>
  <c r="AZ57" i="8"/>
  <c r="AF55" i="7" s="1"/>
  <c r="AZ58" i="8"/>
  <c r="AF56" i="7" s="1"/>
  <c r="AZ59" i="8"/>
  <c r="AF57" i="7" s="1"/>
  <c r="AZ60" i="8"/>
  <c r="AF58" i="7" s="1"/>
  <c r="AZ61" i="8"/>
  <c r="AF59" i="7" s="1"/>
  <c r="AZ62" i="8"/>
  <c r="AF60" i="7" s="1"/>
  <c r="AZ63" i="8"/>
  <c r="AF61" i="7" s="1"/>
  <c r="AZ64" i="8"/>
  <c r="AF62" i="7" s="1"/>
  <c r="AZ65" i="8"/>
  <c r="AF63" i="7" s="1"/>
  <c r="AZ66" i="8"/>
  <c r="AF64" i="7" s="1"/>
  <c r="AZ37" i="8"/>
  <c r="AF35" i="7" s="1"/>
  <c r="AZ7" i="8"/>
  <c r="AF5" i="7" s="1"/>
  <c r="AZ8" i="8"/>
  <c r="AF6" i="7" s="1"/>
  <c r="AZ9" i="8"/>
  <c r="AF7" i="7" s="1"/>
  <c r="AZ10" i="8"/>
  <c r="AF8" i="7" s="1"/>
  <c r="AZ11" i="8"/>
  <c r="AF9" i="7" s="1"/>
  <c r="AZ12" i="8"/>
  <c r="AF10" i="7" s="1"/>
  <c r="AZ13" i="8"/>
  <c r="AF11" i="7" s="1"/>
  <c r="AZ14" i="8"/>
  <c r="AF12" i="7" s="1"/>
  <c r="AZ15" i="8"/>
  <c r="AF13" i="7" s="1"/>
  <c r="AZ16" i="8"/>
  <c r="AF14" i="7" s="1"/>
  <c r="AZ17" i="8"/>
  <c r="AF15" i="7" s="1"/>
  <c r="AZ18" i="8"/>
  <c r="AF16" i="7" s="1"/>
  <c r="AZ19" i="8"/>
  <c r="AF17" i="7" s="1"/>
  <c r="AZ20" i="8"/>
  <c r="AF18" i="7" s="1"/>
  <c r="AZ21" i="8"/>
  <c r="AF19" i="7" s="1"/>
  <c r="AZ22" i="8"/>
  <c r="AF20" i="7" s="1"/>
  <c r="AZ23" i="8"/>
  <c r="AF21" i="7" s="1"/>
  <c r="AZ24" i="8"/>
  <c r="AF22" i="7" s="1"/>
  <c r="AZ25" i="8"/>
  <c r="AF23" i="7" s="1"/>
  <c r="AZ26" i="8"/>
  <c r="AF24" i="7" s="1"/>
  <c r="AZ27" i="8"/>
  <c r="AF25" i="7" s="1"/>
  <c r="AZ28" i="8"/>
  <c r="AF26" i="7" s="1"/>
  <c r="AZ29" i="8"/>
  <c r="AF27" i="7" s="1"/>
  <c r="AZ30" i="8"/>
  <c r="AF28" i="7" s="1"/>
  <c r="AZ31" i="8"/>
  <c r="AF29" i="7" s="1"/>
  <c r="AZ32" i="8"/>
  <c r="AF30" i="7" s="1"/>
  <c r="AZ33" i="8"/>
  <c r="AF31" i="7" s="1"/>
  <c r="AZ34" i="8"/>
  <c r="AF32" i="7" s="1"/>
  <c r="AZ35" i="8"/>
  <c r="AF33" i="7" s="1"/>
  <c r="AZ6" i="8"/>
  <c r="AF4" i="7" s="1"/>
  <c r="AQ38" i="8"/>
  <c r="V36" i="7" s="1"/>
  <c r="AQ39" i="8"/>
  <c r="V37" i="7" s="1"/>
  <c r="AQ40" i="8"/>
  <c r="V38" i="7" s="1"/>
  <c r="AQ41" i="8"/>
  <c r="V39" i="7" s="1"/>
  <c r="AQ42" i="8"/>
  <c r="V40" i="7" s="1"/>
  <c r="AQ43" i="8"/>
  <c r="V41" i="7" s="1"/>
  <c r="AQ44" i="8"/>
  <c r="V42" i="7" s="1"/>
  <c r="AQ45" i="8"/>
  <c r="V43" i="7" s="1"/>
  <c r="AQ46" i="8"/>
  <c r="V44" i="7" s="1"/>
  <c r="AQ47" i="8"/>
  <c r="V45" i="7" s="1"/>
  <c r="AQ48" i="8"/>
  <c r="V46" i="7" s="1"/>
  <c r="AQ49" i="8"/>
  <c r="V47" i="7" s="1"/>
  <c r="AQ50" i="8"/>
  <c r="V48" i="7" s="1"/>
  <c r="AQ51" i="8"/>
  <c r="V49" i="7" s="1"/>
  <c r="AQ52" i="8"/>
  <c r="V50" i="7" s="1"/>
  <c r="AQ53" i="8"/>
  <c r="V51" i="7" s="1"/>
  <c r="AQ54" i="8"/>
  <c r="V52" i="7" s="1"/>
  <c r="AQ55" i="8"/>
  <c r="V53" i="7" s="1"/>
  <c r="AQ56" i="8"/>
  <c r="V54" i="7" s="1"/>
  <c r="AQ57" i="8"/>
  <c r="V55" i="7" s="1"/>
  <c r="AQ58" i="8"/>
  <c r="V56" i="7" s="1"/>
  <c r="AQ59" i="8"/>
  <c r="V57" i="7" s="1"/>
  <c r="AQ60" i="8"/>
  <c r="V58" i="7" s="1"/>
  <c r="AQ61" i="8"/>
  <c r="V59" i="7" s="1"/>
  <c r="AQ62" i="8"/>
  <c r="V60" i="7" s="1"/>
  <c r="AQ63" i="8"/>
  <c r="V61" i="7" s="1"/>
  <c r="AQ64" i="8"/>
  <c r="V62" i="7" s="1"/>
  <c r="AQ65" i="8"/>
  <c r="V63" i="7" s="1"/>
  <c r="AQ66" i="8"/>
  <c r="V64" i="7" s="1"/>
  <c r="AQ37" i="8"/>
  <c r="V35" i="7" s="1"/>
  <c r="AQ7" i="8"/>
  <c r="V5" i="7" s="1"/>
  <c r="AQ8" i="8"/>
  <c r="V6" i="7" s="1"/>
  <c r="AQ9" i="8"/>
  <c r="V7" i="7" s="1"/>
  <c r="AQ10" i="8"/>
  <c r="V8" i="7" s="1"/>
  <c r="AQ11" i="8"/>
  <c r="V9" i="7" s="1"/>
  <c r="AQ12" i="8"/>
  <c r="V10" i="7" s="1"/>
  <c r="AQ13" i="8"/>
  <c r="V11" i="7" s="1"/>
  <c r="AQ14" i="8"/>
  <c r="V12" i="7" s="1"/>
  <c r="AQ15" i="8"/>
  <c r="V13" i="7" s="1"/>
  <c r="AQ16" i="8"/>
  <c r="V14" i="7" s="1"/>
  <c r="AQ17" i="8"/>
  <c r="V15" i="7" s="1"/>
  <c r="AQ18" i="8"/>
  <c r="V16" i="7" s="1"/>
  <c r="AQ19" i="8"/>
  <c r="V17" i="7" s="1"/>
  <c r="AQ20" i="8"/>
  <c r="V18" i="7" s="1"/>
  <c r="AQ21" i="8"/>
  <c r="V19" i="7" s="1"/>
  <c r="AQ22" i="8"/>
  <c r="V20" i="7" s="1"/>
  <c r="AQ23" i="8"/>
  <c r="V21" i="7" s="1"/>
  <c r="AQ24" i="8"/>
  <c r="V22" i="7" s="1"/>
  <c r="AQ25" i="8"/>
  <c r="V23" i="7" s="1"/>
  <c r="AQ26" i="8"/>
  <c r="V24" i="7" s="1"/>
  <c r="AQ27" i="8"/>
  <c r="V25" i="7" s="1"/>
  <c r="AQ28" i="8"/>
  <c r="V26" i="7" s="1"/>
  <c r="AQ29" i="8"/>
  <c r="V27" i="7" s="1"/>
  <c r="AQ30" i="8"/>
  <c r="V28" i="7" s="1"/>
  <c r="AQ31" i="8"/>
  <c r="V29" i="7" s="1"/>
  <c r="AQ32" i="8"/>
  <c r="V30" i="7" s="1"/>
  <c r="AQ33" i="8"/>
  <c r="V31" i="7" s="1"/>
  <c r="AQ34" i="8"/>
  <c r="V32" i="7" s="1"/>
  <c r="AQ35" i="8"/>
  <c r="V33" i="7" s="1"/>
  <c r="AQ6" i="8"/>
  <c r="V4" i="7" s="1"/>
  <c r="GT78" i="7"/>
  <c r="GT77" i="7"/>
  <c r="GT76" i="7"/>
  <c r="GT75" i="7"/>
  <c r="GT74" i="7"/>
  <c r="GT73" i="7"/>
  <c r="GT72" i="7"/>
  <c r="GT71" i="7"/>
  <c r="GT70" i="7"/>
  <c r="GT69" i="7"/>
  <c r="GT68" i="7"/>
  <c r="GT67" i="7"/>
  <c r="GJ78" i="7"/>
  <c r="GJ77" i="7"/>
  <c r="GJ76" i="7"/>
  <c r="GJ75" i="7"/>
  <c r="GJ74" i="7"/>
  <c r="GJ73" i="7"/>
  <c r="GJ72" i="7"/>
  <c r="GJ71" i="7"/>
  <c r="GJ70" i="7"/>
  <c r="GJ69" i="7"/>
  <c r="GJ68" i="7"/>
  <c r="GJ67" i="7"/>
  <c r="GJ66" i="7"/>
  <c r="FZ78" i="7"/>
  <c r="FZ77" i="7"/>
  <c r="FZ76" i="7"/>
  <c r="FZ75" i="7"/>
  <c r="FZ74" i="7"/>
  <c r="FZ73" i="7"/>
  <c r="FZ72" i="7"/>
  <c r="FZ71" i="7"/>
  <c r="FZ70" i="7"/>
  <c r="FZ69" i="7"/>
  <c r="FZ68" i="7"/>
  <c r="FZ67" i="7"/>
  <c r="FZ66" i="7"/>
  <c r="FP78" i="7"/>
  <c r="FP77" i="7"/>
  <c r="FP76" i="7"/>
  <c r="FP75" i="7"/>
  <c r="FP74" i="7"/>
  <c r="FP73" i="7"/>
  <c r="FP72" i="7"/>
  <c r="FP71" i="7"/>
  <c r="FP70" i="7"/>
  <c r="FP69" i="7"/>
  <c r="FP68" i="7"/>
  <c r="FP67" i="7"/>
  <c r="FP66" i="7"/>
  <c r="FF78" i="7"/>
  <c r="FF77" i="7"/>
  <c r="FF76" i="7"/>
  <c r="FF75" i="7"/>
  <c r="FF74" i="7"/>
  <c r="FF73" i="7"/>
  <c r="FF72" i="7"/>
  <c r="FF71" i="7"/>
  <c r="FF70" i="7"/>
  <c r="FF69" i="7"/>
  <c r="FF68" i="7"/>
  <c r="FF67" i="7"/>
  <c r="EV78" i="7"/>
  <c r="EV77" i="7"/>
  <c r="EV76" i="7"/>
  <c r="EV75" i="7"/>
  <c r="EV74" i="7"/>
  <c r="EV73" i="7"/>
  <c r="EV72" i="7"/>
  <c r="EV71" i="7"/>
  <c r="EV70" i="7"/>
  <c r="EV69" i="7"/>
  <c r="EV68" i="7"/>
  <c r="EV67" i="7"/>
  <c r="EV66" i="7"/>
  <c r="EL78" i="7"/>
  <c r="EL77" i="7"/>
  <c r="EL76" i="7"/>
  <c r="EL75" i="7"/>
  <c r="EL74" i="7"/>
  <c r="EL73" i="7"/>
  <c r="EL72" i="7"/>
  <c r="EL71" i="7"/>
  <c r="EL70" i="7"/>
  <c r="EL69" i="7"/>
  <c r="EL68" i="7"/>
  <c r="EL67" i="7"/>
  <c r="EB78" i="7"/>
  <c r="EB77" i="7"/>
  <c r="EB76" i="7"/>
  <c r="EB75" i="7"/>
  <c r="EB74" i="7"/>
  <c r="EB73" i="7"/>
  <c r="EB72" i="7"/>
  <c r="EB71" i="7"/>
  <c r="EB70" i="7"/>
  <c r="EB69" i="7"/>
  <c r="EB68" i="7"/>
  <c r="EB67" i="7"/>
  <c r="DR78" i="7"/>
  <c r="DR77" i="7"/>
  <c r="DR76" i="7"/>
  <c r="DR75" i="7"/>
  <c r="DR74" i="7"/>
  <c r="DR73" i="7"/>
  <c r="DR72" i="7"/>
  <c r="DR71" i="7"/>
  <c r="DR70" i="7"/>
  <c r="DR69" i="7"/>
  <c r="DR68" i="7"/>
  <c r="DR67" i="7"/>
  <c r="DH78" i="7"/>
  <c r="DH77" i="7"/>
  <c r="DH76" i="7"/>
  <c r="DH75" i="7"/>
  <c r="DH74" i="7"/>
  <c r="DH73" i="7"/>
  <c r="DH72" i="7"/>
  <c r="DH71" i="7"/>
  <c r="DH70" i="7"/>
  <c r="DH69" i="7"/>
  <c r="DH68" i="7"/>
  <c r="DH67" i="7"/>
  <c r="CX78" i="7"/>
  <c r="CX77" i="7"/>
  <c r="CX76" i="7"/>
  <c r="CX75" i="7"/>
  <c r="CX74" i="7"/>
  <c r="CX73" i="7"/>
  <c r="CX72" i="7"/>
  <c r="CX71" i="7"/>
  <c r="CX70" i="7"/>
  <c r="CX69" i="7"/>
  <c r="CX68" i="7"/>
  <c r="CX67" i="7"/>
  <c r="CN78" i="7"/>
  <c r="CN77" i="7"/>
  <c r="CN76" i="7"/>
  <c r="CN75" i="7"/>
  <c r="CN74" i="7"/>
  <c r="CN73" i="7"/>
  <c r="CN72" i="7"/>
  <c r="CN71" i="7"/>
  <c r="CN70" i="7"/>
  <c r="CN69" i="7"/>
  <c r="CN68" i="7"/>
  <c r="CN67" i="7"/>
  <c r="CN66" i="7"/>
  <c r="CD78" i="7"/>
  <c r="CD77" i="7"/>
  <c r="CD76" i="7"/>
  <c r="CD75" i="7"/>
  <c r="CD74" i="7"/>
  <c r="CD73" i="7"/>
  <c r="CD72" i="7"/>
  <c r="CD71" i="7"/>
  <c r="CD70" i="7"/>
  <c r="CD69" i="7"/>
  <c r="CD68" i="7"/>
  <c r="CD67" i="7"/>
  <c r="BT78" i="7"/>
  <c r="BT77" i="7"/>
  <c r="BT76" i="7"/>
  <c r="BT75" i="7"/>
  <c r="BT74" i="7"/>
  <c r="BT73" i="7"/>
  <c r="BT72" i="7"/>
  <c r="BT71" i="7"/>
  <c r="BT70" i="7"/>
  <c r="BT69" i="7"/>
  <c r="BT68" i="7"/>
  <c r="BT67" i="7"/>
  <c r="BJ78" i="7"/>
  <c r="BJ77" i="7"/>
  <c r="BJ76" i="7"/>
  <c r="BJ75" i="7"/>
  <c r="BJ74" i="7"/>
  <c r="BJ73" i="7"/>
  <c r="BJ72" i="7"/>
  <c r="BJ71" i="7"/>
  <c r="BJ70" i="7"/>
  <c r="BJ69" i="7"/>
  <c r="BJ68" i="7"/>
  <c r="BJ67" i="7"/>
  <c r="BJ66" i="7"/>
  <c r="AZ78" i="7"/>
  <c r="AZ77" i="7"/>
  <c r="AZ76" i="7"/>
  <c r="AZ75" i="7"/>
  <c r="AZ74" i="7"/>
  <c r="AZ73" i="7"/>
  <c r="AZ72" i="7"/>
  <c r="AZ71" i="7"/>
  <c r="AZ70" i="7"/>
  <c r="AZ69" i="7"/>
  <c r="AZ68" i="7"/>
  <c r="AZ67" i="7"/>
  <c r="AZ66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AH38" i="8"/>
  <c r="L36" i="7" s="1"/>
  <c r="AH39" i="8"/>
  <c r="L37" i="7" s="1"/>
  <c r="AH40" i="8"/>
  <c r="L38" i="7" s="1"/>
  <c r="AH41" i="8"/>
  <c r="L39" i="7" s="1"/>
  <c r="AH42" i="8"/>
  <c r="L40" i="7" s="1"/>
  <c r="AH43" i="8"/>
  <c r="L41" i="7" s="1"/>
  <c r="AH44" i="8"/>
  <c r="L42" i="7" s="1"/>
  <c r="AH45" i="8"/>
  <c r="L43" i="7" s="1"/>
  <c r="AH46" i="8"/>
  <c r="L44" i="7" s="1"/>
  <c r="AH47" i="8"/>
  <c r="L45" i="7" s="1"/>
  <c r="AH48" i="8"/>
  <c r="L46" i="7" s="1"/>
  <c r="AH49" i="8"/>
  <c r="L47" i="7" s="1"/>
  <c r="AH50" i="8"/>
  <c r="L48" i="7" s="1"/>
  <c r="AH51" i="8"/>
  <c r="L49" i="7" s="1"/>
  <c r="AH52" i="8"/>
  <c r="L50" i="7" s="1"/>
  <c r="AH53" i="8"/>
  <c r="L51" i="7" s="1"/>
  <c r="AH54" i="8"/>
  <c r="L52" i="7" s="1"/>
  <c r="AH55" i="8"/>
  <c r="L53" i="7" s="1"/>
  <c r="AH56" i="8"/>
  <c r="L54" i="7" s="1"/>
  <c r="AH57" i="8"/>
  <c r="L55" i="7" s="1"/>
  <c r="AH58" i="8"/>
  <c r="L56" i="7" s="1"/>
  <c r="AH59" i="8"/>
  <c r="L57" i="7" s="1"/>
  <c r="AH60" i="8"/>
  <c r="L58" i="7" s="1"/>
  <c r="AH61" i="8"/>
  <c r="L59" i="7" s="1"/>
  <c r="AH62" i="8"/>
  <c r="L60" i="7" s="1"/>
  <c r="AH63" i="8"/>
  <c r="L61" i="7" s="1"/>
  <c r="AH64" i="8"/>
  <c r="L62" i="7" s="1"/>
  <c r="AH65" i="8"/>
  <c r="L63" i="7" s="1"/>
  <c r="AH66" i="8"/>
  <c r="L64" i="7" s="1"/>
  <c r="AH37" i="8"/>
  <c r="L35" i="7" s="1"/>
  <c r="AH7" i="8"/>
  <c r="L5" i="7" s="1"/>
  <c r="AH8" i="8"/>
  <c r="L6" i="7" s="1"/>
  <c r="AH9" i="8"/>
  <c r="L7" i="7" s="1"/>
  <c r="AH10" i="8"/>
  <c r="L8" i="7" s="1"/>
  <c r="AH11" i="8"/>
  <c r="L9" i="7" s="1"/>
  <c r="AH12" i="8"/>
  <c r="L10" i="7" s="1"/>
  <c r="AH13" i="8"/>
  <c r="L11" i="7" s="1"/>
  <c r="AH14" i="8"/>
  <c r="L12" i="7" s="1"/>
  <c r="AH15" i="8"/>
  <c r="L13" i="7" s="1"/>
  <c r="AH16" i="8"/>
  <c r="L14" i="7" s="1"/>
  <c r="AH17" i="8"/>
  <c r="L15" i="7" s="1"/>
  <c r="AH18" i="8"/>
  <c r="L16" i="7" s="1"/>
  <c r="AH19" i="8"/>
  <c r="L17" i="7" s="1"/>
  <c r="AH20" i="8"/>
  <c r="L18" i="7" s="1"/>
  <c r="AH21" i="8"/>
  <c r="L19" i="7" s="1"/>
  <c r="AH22" i="8"/>
  <c r="L20" i="7" s="1"/>
  <c r="AH23" i="8"/>
  <c r="L21" i="7" s="1"/>
  <c r="AH24" i="8"/>
  <c r="L22" i="7" s="1"/>
  <c r="AH25" i="8"/>
  <c r="L23" i="7" s="1"/>
  <c r="AH26" i="8"/>
  <c r="L24" i="7" s="1"/>
  <c r="AH27" i="8"/>
  <c r="L25" i="7" s="1"/>
  <c r="AH28" i="8"/>
  <c r="L26" i="7" s="1"/>
  <c r="AH29" i="8"/>
  <c r="L27" i="7" s="1"/>
  <c r="AH30" i="8"/>
  <c r="L28" i="7" s="1"/>
  <c r="AH31" i="8"/>
  <c r="L29" i="7" s="1"/>
  <c r="AH32" i="8"/>
  <c r="L30" i="7" s="1"/>
  <c r="AH33" i="8"/>
  <c r="L31" i="7" s="1"/>
  <c r="AH6" i="8"/>
  <c r="L4" i="7" s="1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AH35" i="8"/>
  <c r="L33" i="7" s="1"/>
  <c r="AH34" i="8"/>
  <c r="L32" i="7" s="1"/>
  <c r="A102" i="6"/>
  <c r="A103" i="6"/>
  <c r="CJ81" i="8" l="1"/>
  <c r="BT66" i="7"/>
  <c r="BT89" i="7" s="1"/>
  <c r="BT90" i="7" s="1"/>
  <c r="CS81" i="8"/>
  <c r="CD66" i="7"/>
  <c r="CD89" i="7" s="1"/>
  <c r="CD90" i="7" s="1"/>
  <c r="DK81" i="8"/>
  <c r="EU81" i="8"/>
  <c r="EL66" i="7"/>
  <c r="EL89" i="7" s="1"/>
  <c r="EL90" i="7" s="1"/>
  <c r="CX66" i="7"/>
  <c r="CX89" i="7" s="1"/>
  <c r="CX90" i="7" s="1"/>
  <c r="DT81" i="8"/>
  <c r="EL81" i="8"/>
  <c r="EB66" i="7"/>
  <c r="EB89" i="7" s="1"/>
  <c r="EB90" i="7" s="1"/>
  <c r="DH66" i="7"/>
  <c r="DH89" i="7" s="1"/>
  <c r="DH90" i="7" s="1"/>
  <c r="GW81" i="8"/>
  <c r="DB81" i="8"/>
  <c r="EC81" i="8"/>
  <c r="DR66" i="7"/>
  <c r="DR89" i="7" s="1"/>
  <c r="DR90" i="7" s="1"/>
  <c r="FM81" i="8"/>
  <c r="FD81" i="8"/>
  <c r="FV81" i="8"/>
  <c r="GE81" i="8"/>
  <c r="GN81" i="8"/>
  <c r="FF66" i="7"/>
  <c r="FF89" i="7" s="1"/>
  <c r="FF90" i="7" s="1"/>
  <c r="GT66" i="7"/>
  <c r="GT89" i="7" s="1"/>
  <c r="GT90" i="7" s="1"/>
  <c r="DK36" i="8"/>
  <c r="L86" i="7"/>
  <c r="L87" i="7" s="1"/>
  <c r="FZ86" i="7"/>
  <c r="FZ87" i="7" s="1"/>
  <c r="V86" i="7"/>
  <c r="V87" i="7" s="1"/>
  <c r="AF86" i="7"/>
  <c r="AF87" i="7" s="1"/>
  <c r="AP86" i="7"/>
  <c r="AP87" i="7" s="1"/>
  <c r="BJ86" i="7"/>
  <c r="BJ87" i="7" s="1"/>
  <c r="BT86" i="7"/>
  <c r="BT87" i="7" s="1"/>
  <c r="CD86" i="7"/>
  <c r="CD87" i="7" s="1"/>
  <c r="CN86" i="7"/>
  <c r="CN87" i="7" s="1"/>
  <c r="CX86" i="7"/>
  <c r="CX87" i="7" s="1"/>
  <c r="DH86" i="7"/>
  <c r="DH87" i="7" s="1"/>
  <c r="DR86" i="7"/>
  <c r="DR87" i="7" s="1"/>
  <c r="EB86" i="7"/>
  <c r="EB87" i="7" s="1"/>
  <c r="EL86" i="7"/>
  <c r="EL87" i="7" s="1"/>
  <c r="EV86" i="7"/>
  <c r="EV87" i="7" s="1"/>
  <c r="FF86" i="7"/>
  <c r="FF87" i="7" s="1"/>
  <c r="FP86" i="7"/>
  <c r="FP87" i="7" s="1"/>
  <c r="AZ86" i="7"/>
  <c r="AZ87" i="7" s="1"/>
  <c r="GJ86" i="7"/>
  <c r="GJ87" i="7" s="1"/>
  <c r="GT86" i="7"/>
  <c r="GT87" i="7" s="1"/>
  <c r="GJ83" i="7"/>
  <c r="GJ84" i="7" s="1"/>
  <c r="GT83" i="7"/>
  <c r="GT84" i="7" s="1"/>
  <c r="EC36" i="8"/>
  <c r="CX15" i="7"/>
  <c r="CX83" i="7" s="1"/>
  <c r="CX84" i="7" s="1"/>
  <c r="FZ83" i="7"/>
  <c r="FZ84" i="7" s="1"/>
  <c r="EL36" i="8"/>
  <c r="V83" i="7"/>
  <c r="V84" i="7" s="1"/>
  <c r="AF83" i="7"/>
  <c r="AF84" i="7" s="1"/>
  <c r="AP83" i="7"/>
  <c r="AP84" i="7" s="1"/>
  <c r="AZ83" i="7"/>
  <c r="AZ84" i="7" s="1"/>
  <c r="BJ83" i="7"/>
  <c r="BJ84" i="7" s="1"/>
  <c r="BT83" i="7"/>
  <c r="BT84" i="7" s="1"/>
  <c r="CD83" i="7"/>
  <c r="CD84" i="7" s="1"/>
  <c r="CN83" i="7"/>
  <c r="CN84" i="7" s="1"/>
  <c r="DH83" i="7"/>
  <c r="DH84" i="7" s="1"/>
  <c r="DR83" i="7"/>
  <c r="DR84" i="7" s="1"/>
  <c r="EB83" i="7"/>
  <c r="EB84" i="7" s="1"/>
  <c r="EL83" i="7"/>
  <c r="EL84" i="7" s="1"/>
  <c r="EV83" i="7"/>
  <c r="EV84" i="7" s="1"/>
  <c r="FF83" i="7"/>
  <c r="FF84" i="7" s="1"/>
  <c r="FP83" i="7"/>
  <c r="FP84" i="7" s="1"/>
  <c r="DT36" i="8"/>
  <c r="FD36" i="8"/>
  <c r="FM36" i="8"/>
  <c r="EU36" i="8"/>
  <c r="GE67" i="8"/>
  <c r="GN67" i="8"/>
  <c r="FV67" i="8"/>
  <c r="DK67" i="8"/>
  <c r="FV36" i="8"/>
  <c r="FZ89" i="7"/>
  <c r="FZ90" i="7" s="1"/>
  <c r="GJ89" i="7"/>
  <c r="GJ90" i="7" s="1"/>
  <c r="FP89" i="7"/>
  <c r="FP90" i="7" s="1"/>
  <c r="EV89" i="7"/>
  <c r="EV90" i="7" s="1"/>
  <c r="CN89" i="7"/>
  <c r="CN90" i="7" s="1"/>
  <c r="BJ89" i="7"/>
  <c r="BJ90" i="7" s="1"/>
  <c r="AP89" i="7"/>
  <c r="AP90" i="7" s="1"/>
  <c r="AZ89" i="7"/>
  <c r="AZ90" i="7" s="1"/>
  <c r="AF89" i="7"/>
  <c r="AF90" i="7" s="1"/>
  <c r="V89" i="7"/>
  <c r="V90" i="7" s="1"/>
  <c r="L83" i="7"/>
  <c r="L84" i="7" s="1"/>
  <c r="L89" i="7"/>
  <c r="L90" i="7" s="1"/>
  <c r="GW67" i="8"/>
  <c r="DB67" i="8"/>
  <c r="FD67" i="8"/>
  <c r="DT67" i="8"/>
  <c r="EL67" i="8"/>
  <c r="CJ67" i="8"/>
  <c r="CS67" i="8"/>
  <c r="EU67" i="8"/>
  <c r="EC67" i="8"/>
  <c r="FM67" i="8"/>
  <c r="DB36" i="8"/>
  <c r="CJ36" i="8"/>
  <c r="GE36" i="8"/>
  <c r="GN36" i="8"/>
  <c r="CS36" i="8"/>
  <c r="GW36" i="8"/>
  <c r="CA67" i="8"/>
  <c r="CA36" i="8"/>
  <c r="CA81" i="8"/>
  <c r="BR36" i="8"/>
  <c r="BI67" i="8"/>
  <c r="BI81" i="8"/>
  <c r="BR67" i="8"/>
  <c r="AZ67" i="8"/>
  <c r="AZ81" i="8"/>
  <c r="AZ36" i="8"/>
  <c r="BI36" i="8"/>
  <c r="BR81" i="8"/>
  <c r="AQ36" i="8"/>
  <c r="AQ67" i="8"/>
  <c r="AQ81" i="8"/>
  <c r="AH81" i="8"/>
  <c r="AH67" i="8"/>
  <c r="AH36" i="8"/>
  <c r="A118" i="6"/>
  <c r="B191" i="7"/>
  <c r="B190" i="7"/>
  <c r="B189" i="7"/>
  <c r="B186" i="7"/>
  <c r="B185" i="7"/>
  <c r="B184" i="7"/>
  <c r="B181" i="7"/>
  <c r="B180" i="7"/>
  <c r="B179" i="7"/>
  <c r="B176" i="7"/>
  <c r="B175" i="7"/>
  <c r="B174" i="7"/>
  <c r="B171" i="7"/>
  <c r="B170" i="7"/>
  <c r="B169" i="7"/>
  <c r="B166" i="7"/>
  <c r="B165" i="7"/>
  <c r="B164" i="7"/>
  <c r="B161" i="7"/>
  <c r="B160" i="7"/>
  <c r="B159" i="7"/>
  <c r="B156" i="7"/>
  <c r="B155" i="7"/>
  <c r="B154" i="7"/>
  <c r="B151" i="7"/>
  <c r="B150" i="7"/>
  <c r="B149" i="7"/>
  <c r="B146" i="7"/>
  <c r="B145" i="7"/>
  <c r="B144" i="7"/>
  <c r="B141" i="7"/>
  <c r="B140" i="7"/>
  <c r="B139" i="7"/>
  <c r="B136" i="7"/>
  <c r="B135" i="7"/>
  <c r="B134" i="7"/>
  <c r="B131" i="7"/>
  <c r="B130" i="7"/>
  <c r="B129" i="7"/>
  <c r="B126" i="7"/>
  <c r="B125" i="7"/>
  <c r="B124" i="7"/>
  <c r="B121" i="7"/>
  <c r="B120" i="7"/>
  <c r="B119" i="7"/>
  <c r="B116" i="7"/>
  <c r="B115" i="7"/>
  <c r="B114" i="7"/>
  <c r="B111" i="7"/>
  <c r="B110" i="7"/>
  <c r="B109" i="7"/>
  <c r="B106" i="7"/>
  <c r="B105" i="7"/>
  <c r="B104" i="7"/>
  <c r="B101" i="7"/>
  <c r="B100" i="7"/>
  <c r="B99" i="7"/>
  <c r="B96" i="7"/>
  <c r="B95" i="7"/>
  <c r="B94" i="7"/>
  <c r="L8" i="3" l="1"/>
  <c r="L9" i="3" s="1"/>
  <c r="L5" i="3"/>
  <c r="L6" i="3" s="1"/>
  <c r="L2" i="3"/>
  <c r="M86" i="7"/>
  <c r="L3" i="3" l="1"/>
  <c r="L17" i="3"/>
  <c r="B31" i="3" s="1"/>
  <c r="L20" i="3"/>
  <c r="W5" i="8"/>
  <c r="V5" i="8"/>
  <c r="U5" i="8"/>
  <c r="T5" i="8"/>
  <c r="S5" i="8"/>
  <c r="R5" i="8"/>
  <c r="Q5" i="8"/>
  <c r="BS69" i="8"/>
  <c r="BT69" i="8"/>
  <c r="BU69" i="8"/>
  <c r="BV69" i="8"/>
  <c r="BW69" i="8"/>
  <c r="BX69" i="8"/>
  <c r="BY69" i="8"/>
  <c r="BZ69" i="8"/>
  <c r="CB69" i="8"/>
  <c r="CC69" i="8"/>
  <c r="CD69" i="8"/>
  <c r="CE69" i="8"/>
  <c r="CF69" i="8"/>
  <c r="CG69" i="8"/>
  <c r="CH69" i="8"/>
  <c r="CI69" i="8"/>
  <c r="CK69" i="8"/>
  <c r="CL69" i="8"/>
  <c r="CM69" i="8"/>
  <c r="CN69" i="8"/>
  <c r="CO69" i="8"/>
  <c r="CP69" i="8"/>
  <c r="CQ69" i="8"/>
  <c r="CR69" i="8"/>
  <c r="CT69" i="8"/>
  <c r="CU69" i="8"/>
  <c r="CV69" i="8"/>
  <c r="CW69" i="8"/>
  <c r="CX69" i="8"/>
  <c r="CY69" i="8"/>
  <c r="CZ69" i="8"/>
  <c r="DA69" i="8"/>
  <c r="DC69" i="8"/>
  <c r="DD69" i="8"/>
  <c r="DE69" i="8"/>
  <c r="DF69" i="8"/>
  <c r="DG69" i="8"/>
  <c r="DH69" i="8"/>
  <c r="DI69" i="8"/>
  <c r="DJ69" i="8"/>
  <c r="DL69" i="8"/>
  <c r="DM69" i="8"/>
  <c r="DN69" i="8"/>
  <c r="DO69" i="8"/>
  <c r="DP69" i="8"/>
  <c r="DQ69" i="8"/>
  <c r="DR69" i="8"/>
  <c r="DS69" i="8"/>
  <c r="DU69" i="8"/>
  <c r="DJ67" i="7" s="1"/>
  <c r="DV69" i="8"/>
  <c r="DK67" i="7" s="1"/>
  <c r="DW69" i="8"/>
  <c r="DL67" i="7" s="1"/>
  <c r="DX69" i="8"/>
  <c r="DM67" i="7" s="1"/>
  <c r="DY69" i="8"/>
  <c r="DN67" i="7" s="1"/>
  <c r="DZ69" i="8"/>
  <c r="DO67" i="7" s="1"/>
  <c r="EA69" i="8"/>
  <c r="DP67" i="7" s="1"/>
  <c r="EB69" i="8"/>
  <c r="DQ67" i="7" s="1"/>
  <c r="ED69" i="8"/>
  <c r="DT67" i="7" s="1"/>
  <c r="EE69" i="8"/>
  <c r="DU67" i="7" s="1"/>
  <c r="EF69" i="8"/>
  <c r="DV67" i="7" s="1"/>
  <c r="EG69" i="8"/>
  <c r="DW67" i="7" s="1"/>
  <c r="EH69" i="8"/>
  <c r="DX67" i="7" s="1"/>
  <c r="EI69" i="8"/>
  <c r="DY67" i="7" s="1"/>
  <c r="EJ69" i="8"/>
  <c r="DZ67" i="7" s="1"/>
  <c r="EK69" i="8"/>
  <c r="EA67" i="7" s="1"/>
  <c r="EM69" i="8"/>
  <c r="ED67" i="7" s="1"/>
  <c r="EN69" i="8"/>
  <c r="EE67" i="7" s="1"/>
  <c r="EO69" i="8"/>
  <c r="EF67" i="7" s="1"/>
  <c r="EP69" i="8"/>
  <c r="EG67" i="7" s="1"/>
  <c r="EQ69" i="8"/>
  <c r="EH67" i="7" s="1"/>
  <c r="ER69" i="8"/>
  <c r="EI67" i="7" s="1"/>
  <c r="ES69" i="8"/>
  <c r="EJ67" i="7" s="1"/>
  <c r="ET69" i="8"/>
  <c r="EK67" i="7" s="1"/>
  <c r="EV69" i="8"/>
  <c r="EN67" i="7" s="1"/>
  <c r="EW69" i="8"/>
  <c r="EO67" i="7" s="1"/>
  <c r="EX69" i="8"/>
  <c r="EP67" i="7" s="1"/>
  <c r="EY69" i="8"/>
  <c r="EQ67" i="7" s="1"/>
  <c r="EZ69" i="8"/>
  <c r="ER67" i="7" s="1"/>
  <c r="FA69" i="8"/>
  <c r="ES67" i="7" s="1"/>
  <c r="FB69" i="8"/>
  <c r="ET67" i="7" s="1"/>
  <c r="FC69" i="8"/>
  <c r="EU67" i="7" s="1"/>
  <c r="FE69" i="8"/>
  <c r="EX67" i="7" s="1"/>
  <c r="FF69" i="8"/>
  <c r="EY67" i="7" s="1"/>
  <c r="FG69" i="8"/>
  <c r="EZ67" i="7" s="1"/>
  <c r="FH69" i="8"/>
  <c r="FA67" i="7" s="1"/>
  <c r="FI69" i="8"/>
  <c r="FB67" i="7" s="1"/>
  <c r="FJ69" i="8"/>
  <c r="FC67" i="7" s="1"/>
  <c r="FK69" i="8"/>
  <c r="FD67" i="7" s="1"/>
  <c r="FL69" i="8"/>
  <c r="FE67" i="7" s="1"/>
  <c r="FN69" i="8"/>
  <c r="FH67" i="7" s="1"/>
  <c r="FO69" i="8"/>
  <c r="FI67" i="7" s="1"/>
  <c r="FP69" i="8"/>
  <c r="FJ67" i="7" s="1"/>
  <c r="FQ69" i="8"/>
  <c r="FK67" i="7" s="1"/>
  <c r="FR69" i="8"/>
  <c r="FL67" i="7" s="1"/>
  <c r="FS69" i="8"/>
  <c r="FM67" i="7" s="1"/>
  <c r="FT69" i="8"/>
  <c r="FN67" i="7" s="1"/>
  <c r="FU69" i="8"/>
  <c r="FO67" i="7" s="1"/>
  <c r="FW69" i="8"/>
  <c r="FR67" i="7" s="1"/>
  <c r="FX69" i="8"/>
  <c r="FS67" i="7" s="1"/>
  <c r="FY69" i="8"/>
  <c r="FT67" i="7" s="1"/>
  <c r="FZ69" i="8"/>
  <c r="FU67" i="7" s="1"/>
  <c r="GA69" i="8"/>
  <c r="FV67" i="7" s="1"/>
  <c r="GB69" i="8"/>
  <c r="FW67" i="7" s="1"/>
  <c r="GC69" i="8"/>
  <c r="FX67" i="7" s="1"/>
  <c r="GD69" i="8"/>
  <c r="FY67" i="7" s="1"/>
  <c r="GF69" i="8"/>
  <c r="GB67" i="7" s="1"/>
  <c r="GG69" i="8"/>
  <c r="GC67" i="7" s="1"/>
  <c r="GH69" i="8"/>
  <c r="GD67" i="7" s="1"/>
  <c r="GI69" i="8"/>
  <c r="GE67" i="7" s="1"/>
  <c r="GJ69" i="8"/>
  <c r="GF67" i="7" s="1"/>
  <c r="GK69" i="8"/>
  <c r="GG67" i="7" s="1"/>
  <c r="GL69" i="8"/>
  <c r="GH67" i="7" s="1"/>
  <c r="GM69" i="8"/>
  <c r="GI67" i="7" s="1"/>
  <c r="GO69" i="8"/>
  <c r="GL67" i="7" s="1"/>
  <c r="GP69" i="8"/>
  <c r="GM67" i="7" s="1"/>
  <c r="GQ69" i="8"/>
  <c r="GN67" i="7" s="1"/>
  <c r="GR69" i="8"/>
  <c r="GO67" i="7" s="1"/>
  <c r="GS69" i="8"/>
  <c r="GP67" i="7" s="1"/>
  <c r="GT69" i="8"/>
  <c r="GQ67" i="7" s="1"/>
  <c r="GU69" i="8"/>
  <c r="GR67" i="7" s="1"/>
  <c r="GV69" i="8"/>
  <c r="GS67" i="7" s="1"/>
  <c r="BS70" i="8"/>
  <c r="BT70" i="8"/>
  <c r="BU70" i="8"/>
  <c r="BV70" i="8"/>
  <c r="BW70" i="8"/>
  <c r="BX70" i="8"/>
  <c r="BY70" i="8"/>
  <c r="BZ70" i="8"/>
  <c r="CB70" i="8"/>
  <c r="CC70" i="8"/>
  <c r="CD70" i="8"/>
  <c r="CE70" i="8"/>
  <c r="CF70" i="8"/>
  <c r="CG70" i="8"/>
  <c r="CH70" i="8"/>
  <c r="CI70" i="8"/>
  <c r="CK70" i="8"/>
  <c r="CL70" i="8"/>
  <c r="CM70" i="8"/>
  <c r="CN70" i="8"/>
  <c r="CO70" i="8"/>
  <c r="CP70" i="8"/>
  <c r="CQ70" i="8"/>
  <c r="CR70" i="8"/>
  <c r="CT70" i="8"/>
  <c r="CU70" i="8"/>
  <c r="CV70" i="8"/>
  <c r="CW70" i="8"/>
  <c r="CX70" i="8"/>
  <c r="CY70" i="8"/>
  <c r="CZ70" i="8"/>
  <c r="DA70" i="8"/>
  <c r="DC70" i="8"/>
  <c r="DD70" i="8"/>
  <c r="DE70" i="8"/>
  <c r="DF70" i="8"/>
  <c r="DG70" i="8"/>
  <c r="DH70" i="8"/>
  <c r="DI70" i="8"/>
  <c r="DJ70" i="8"/>
  <c r="DL70" i="8"/>
  <c r="DM70" i="8"/>
  <c r="DN70" i="8"/>
  <c r="DO70" i="8"/>
  <c r="DP70" i="8"/>
  <c r="DQ70" i="8"/>
  <c r="DR70" i="8"/>
  <c r="DS70" i="8"/>
  <c r="DU70" i="8"/>
  <c r="DJ68" i="7" s="1"/>
  <c r="DV70" i="8"/>
  <c r="DK68" i="7" s="1"/>
  <c r="DW70" i="8"/>
  <c r="DL68" i="7" s="1"/>
  <c r="DX70" i="8"/>
  <c r="DM68" i="7" s="1"/>
  <c r="DY70" i="8"/>
  <c r="DN68" i="7" s="1"/>
  <c r="DZ70" i="8"/>
  <c r="DO68" i="7" s="1"/>
  <c r="EA70" i="8"/>
  <c r="DP68" i="7" s="1"/>
  <c r="EB70" i="8"/>
  <c r="DQ68" i="7" s="1"/>
  <c r="ED70" i="8"/>
  <c r="DT68" i="7" s="1"/>
  <c r="EE70" i="8"/>
  <c r="DU68" i="7" s="1"/>
  <c r="EF70" i="8"/>
  <c r="DV68" i="7" s="1"/>
  <c r="EG70" i="8"/>
  <c r="DW68" i="7" s="1"/>
  <c r="EH70" i="8"/>
  <c r="DX68" i="7" s="1"/>
  <c r="EI70" i="8"/>
  <c r="DY68" i="7" s="1"/>
  <c r="EJ70" i="8"/>
  <c r="DZ68" i="7" s="1"/>
  <c r="EK70" i="8"/>
  <c r="EA68" i="7" s="1"/>
  <c r="EM70" i="8"/>
  <c r="ED68" i="7" s="1"/>
  <c r="EN70" i="8"/>
  <c r="EE68" i="7" s="1"/>
  <c r="EO70" i="8"/>
  <c r="EF68" i="7" s="1"/>
  <c r="EP70" i="8"/>
  <c r="EG68" i="7" s="1"/>
  <c r="EQ70" i="8"/>
  <c r="EH68" i="7" s="1"/>
  <c r="ER70" i="8"/>
  <c r="EI68" i="7" s="1"/>
  <c r="ES70" i="8"/>
  <c r="EJ68" i="7" s="1"/>
  <c r="ET70" i="8"/>
  <c r="EK68" i="7" s="1"/>
  <c r="EV70" i="8"/>
  <c r="EN68" i="7" s="1"/>
  <c r="EW70" i="8"/>
  <c r="EO68" i="7" s="1"/>
  <c r="EX70" i="8"/>
  <c r="EP68" i="7" s="1"/>
  <c r="EY70" i="8"/>
  <c r="EQ68" i="7" s="1"/>
  <c r="EZ70" i="8"/>
  <c r="ER68" i="7" s="1"/>
  <c r="FA70" i="8"/>
  <c r="ES68" i="7" s="1"/>
  <c r="FB70" i="8"/>
  <c r="ET68" i="7" s="1"/>
  <c r="FC70" i="8"/>
  <c r="EU68" i="7" s="1"/>
  <c r="FE70" i="8"/>
  <c r="EX68" i="7" s="1"/>
  <c r="FF70" i="8"/>
  <c r="EY68" i="7" s="1"/>
  <c r="FG70" i="8"/>
  <c r="EZ68" i="7" s="1"/>
  <c r="FH70" i="8"/>
  <c r="FA68" i="7" s="1"/>
  <c r="FI70" i="8"/>
  <c r="FB68" i="7" s="1"/>
  <c r="FJ70" i="8"/>
  <c r="FC68" i="7" s="1"/>
  <c r="FK70" i="8"/>
  <c r="FD68" i="7" s="1"/>
  <c r="FL70" i="8"/>
  <c r="FE68" i="7" s="1"/>
  <c r="FN70" i="8"/>
  <c r="FH68" i="7" s="1"/>
  <c r="FO70" i="8"/>
  <c r="FI68" i="7" s="1"/>
  <c r="FP70" i="8"/>
  <c r="FJ68" i="7" s="1"/>
  <c r="FQ70" i="8"/>
  <c r="FK68" i="7" s="1"/>
  <c r="FR70" i="8"/>
  <c r="FL68" i="7" s="1"/>
  <c r="FS70" i="8"/>
  <c r="FM68" i="7" s="1"/>
  <c r="FT70" i="8"/>
  <c r="FN68" i="7" s="1"/>
  <c r="FU70" i="8"/>
  <c r="FO68" i="7" s="1"/>
  <c r="FW70" i="8"/>
  <c r="FR68" i="7" s="1"/>
  <c r="FX70" i="8"/>
  <c r="FS68" i="7" s="1"/>
  <c r="FY70" i="8"/>
  <c r="FT68" i="7" s="1"/>
  <c r="FZ70" i="8"/>
  <c r="FU68" i="7" s="1"/>
  <c r="GA70" i="8"/>
  <c r="FV68" i="7" s="1"/>
  <c r="GB70" i="8"/>
  <c r="FW68" i="7" s="1"/>
  <c r="GC70" i="8"/>
  <c r="FX68" i="7" s="1"/>
  <c r="GD70" i="8"/>
  <c r="FY68" i="7" s="1"/>
  <c r="GF70" i="8"/>
  <c r="GB68" i="7" s="1"/>
  <c r="GG70" i="8"/>
  <c r="GC68" i="7" s="1"/>
  <c r="GH70" i="8"/>
  <c r="GD68" i="7" s="1"/>
  <c r="GI70" i="8"/>
  <c r="GE68" i="7" s="1"/>
  <c r="GJ70" i="8"/>
  <c r="GF68" i="7" s="1"/>
  <c r="GK70" i="8"/>
  <c r="GG68" i="7" s="1"/>
  <c r="GL70" i="8"/>
  <c r="GH68" i="7" s="1"/>
  <c r="GM70" i="8"/>
  <c r="GI68" i="7" s="1"/>
  <c r="GO70" i="8"/>
  <c r="GL68" i="7" s="1"/>
  <c r="GP70" i="8"/>
  <c r="GM68" i="7" s="1"/>
  <c r="GQ70" i="8"/>
  <c r="GN68" i="7" s="1"/>
  <c r="GR70" i="8"/>
  <c r="GO68" i="7" s="1"/>
  <c r="GS70" i="8"/>
  <c r="GP68" i="7" s="1"/>
  <c r="GT70" i="8"/>
  <c r="GQ68" i="7" s="1"/>
  <c r="GU70" i="8"/>
  <c r="GR68" i="7" s="1"/>
  <c r="GV70" i="8"/>
  <c r="GS68" i="7" s="1"/>
  <c r="BS71" i="8"/>
  <c r="BT71" i="8"/>
  <c r="BU71" i="8"/>
  <c r="BV71" i="8"/>
  <c r="BW71" i="8"/>
  <c r="BX71" i="8"/>
  <c r="BY71" i="8"/>
  <c r="BZ71" i="8"/>
  <c r="CB71" i="8"/>
  <c r="CC71" i="8"/>
  <c r="CD71" i="8"/>
  <c r="CE71" i="8"/>
  <c r="CF71" i="8"/>
  <c r="CG71" i="8"/>
  <c r="CH71" i="8"/>
  <c r="CI71" i="8"/>
  <c r="CK71" i="8"/>
  <c r="CL71" i="8"/>
  <c r="CM71" i="8"/>
  <c r="CN71" i="8"/>
  <c r="CO71" i="8"/>
  <c r="CP71" i="8"/>
  <c r="CQ71" i="8"/>
  <c r="CR71" i="8"/>
  <c r="CT71" i="8"/>
  <c r="CU71" i="8"/>
  <c r="CV71" i="8"/>
  <c r="CW71" i="8"/>
  <c r="CX71" i="8"/>
  <c r="CY71" i="8"/>
  <c r="CZ71" i="8"/>
  <c r="DA71" i="8"/>
  <c r="DC71" i="8"/>
  <c r="DD71" i="8"/>
  <c r="DE71" i="8"/>
  <c r="DF71" i="8"/>
  <c r="DG71" i="8"/>
  <c r="DH71" i="8"/>
  <c r="DI71" i="8"/>
  <c r="DJ71" i="8"/>
  <c r="DL71" i="8"/>
  <c r="DM71" i="8"/>
  <c r="DN71" i="8"/>
  <c r="DO71" i="8"/>
  <c r="DP71" i="8"/>
  <c r="DQ71" i="8"/>
  <c r="DR71" i="8"/>
  <c r="DS71" i="8"/>
  <c r="DU71" i="8"/>
  <c r="DJ69" i="7" s="1"/>
  <c r="DV71" i="8"/>
  <c r="DK69" i="7" s="1"/>
  <c r="DW71" i="8"/>
  <c r="DL69" i="7" s="1"/>
  <c r="DX71" i="8"/>
  <c r="DM69" i="7" s="1"/>
  <c r="DY71" i="8"/>
  <c r="DN69" i="7" s="1"/>
  <c r="DZ71" i="8"/>
  <c r="DO69" i="7" s="1"/>
  <c r="EA71" i="8"/>
  <c r="DP69" i="7" s="1"/>
  <c r="EB71" i="8"/>
  <c r="DQ69" i="7" s="1"/>
  <c r="ED71" i="8"/>
  <c r="DT69" i="7" s="1"/>
  <c r="EE71" i="8"/>
  <c r="DU69" i="7" s="1"/>
  <c r="EF71" i="8"/>
  <c r="DV69" i="7" s="1"/>
  <c r="EG71" i="8"/>
  <c r="DW69" i="7" s="1"/>
  <c r="EH71" i="8"/>
  <c r="DX69" i="7" s="1"/>
  <c r="EI71" i="8"/>
  <c r="DY69" i="7" s="1"/>
  <c r="EJ71" i="8"/>
  <c r="DZ69" i="7" s="1"/>
  <c r="EK71" i="8"/>
  <c r="EA69" i="7" s="1"/>
  <c r="EM71" i="8"/>
  <c r="ED69" i="7" s="1"/>
  <c r="EN71" i="8"/>
  <c r="EE69" i="7" s="1"/>
  <c r="EO71" i="8"/>
  <c r="EF69" i="7" s="1"/>
  <c r="EP71" i="8"/>
  <c r="EG69" i="7" s="1"/>
  <c r="EQ71" i="8"/>
  <c r="EH69" i="7" s="1"/>
  <c r="ER71" i="8"/>
  <c r="EI69" i="7" s="1"/>
  <c r="ES71" i="8"/>
  <c r="EJ69" i="7" s="1"/>
  <c r="ET71" i="8"/>
  <c r="EK69" i="7" s="1"/>
  <c r="EV71" i="8"/>
  <c r="EN69" i="7" s="1"/>
  <c r="EW71" i="8"/>
  <c r="EO69" i="7" s="1"/>
  <c r="EX71" i="8"/>
  <c r="EP69" i="7" s="1"/>
  <c r="EY71" i="8"/>
  <c r="EQ69" i="7" s="1"/>
  <c r="EZ71" i="8"/>
  <c r="ER69" i="7" s="1"/>
  <c r="FA71" i="8"/>
  <c r="ES69" i="7" s="1"/>
  <c r="FB71" i="8"/>
  <c r="ET69" i="7" s="1"/>
  <c r="FC71" i="8"/>
  <c r="EU69" i="7" s="1"/>
  <c r="FE71" i="8"/>
  <c r="EX69" i="7" s="1"/>
  <c r="FF71" i="8"/>
  <c r="EY69" i="7" s="1"/>
  <c r="FG71" i="8"/>
  <c r="EZ69" i="7" s="1"/>
  <c r="FH71" i="8"/>
  <c r="FA69" i="7" s="1"/>
  <c r="FI71" i="8"/>
  <c r="FB69" i="7" s="1"/>
  <c r="FJ71" i="8"/>
  <c r="FC69" i="7" s="1"/>
  <c r="FK71" i="8"/>
  <c r="FD69" i="7" s="1"/>
  <c r="FL71" i="8"/>
  <c r="FE69" i="7" s="1"/>
  <c r="FN71" i="8"/>
  <c r="FH69" i="7" s="1"/>
  <c r="FO71" i="8"/>
  <c r="FI69" i="7" s="1"/>
  <c r="FP71" i="8"/>
  <c r="FJ69" i="7" s="1"/>
  <c r="FQ71" i="8"/>
  <c r="FK69" i="7" s="1"/>
  <c r="FR71" i="8"/>
  <c r="FL69" i="7" s="1"/>
  <c r="FS71" i="8"/>
  <c r="FM69" i="7" s="1"/>
  <c r="FT71" i="8"/>
  <c r="FN69" i="7" s="1"/>
  <c r="FU71" i="8"/>
  <c r="FO69" i="7" s="1"/>
  <c r="FW71" i="8"/>
  <c r="FR69" i="7" s="1"/>
  <c r="FX71" i="8"/>
  <c r="FS69" i="7" s="1"/>
  <c r="FY71" i="8"/>
  <c r="FT69" i="7" s="1"/>
  <c r="FZ71" i="8"/>
  <c r="FU69" i="7" s="1"/>
  <c r="GA71" i="8"/>
  <c r="FV69" i="7" s="1"/>
  <c r="GB71" i="8"/>
  <c r="FW69" i="7" s="1"/>
  <c r="GC71" i="8"/>
  <c r="FX69" i="7" s="1"/>
  <c r="GD71" i="8"/>
  <c r="FY69" i="7" s="1"/>
  <c r="GF71" i="8"/>
  <c r="GB69" i="7" s="1"/>
  <c r="GG71" i="8"/>
  <c r="GC69" i="7" s="1"/>
  <c r="GH71" i="8"/>
  <c r="GD69" i="7" s="1"/>
  <c r="GI71" i="8"/>
  <c r="GE69" i="7" s="1"/>
  <c r="GJ71" i="8"/>
  <c r="GF69" i="7" s="1"/>
  <c r="GK71" i="8"/>
  <c r="GG69" i="7" s="1"/>
  <c r="GL71" i="8"/>
  <c r="GH69" i="7" s="1"/>
  <c r="GM71" i="8"/>
  <c r="GI69" i="7" s="1"/>
  <c r="GO71" i="8"/>
  <c r="GL69" i="7" s="1"/>
  <c r="GP71" i="8"/>
  <c r="GM69" i="7" s="1"/>
  <c r="GQ71" i="8"/>
  <c r="GN69" i="7" s="1"/>
  <c r="GR71" i="8"/>
  <c r="GO69" i="7" s="1"/>
  <c r="GS71" i="8"/>
  <c r="GP69" i="7" s="1"/>
  <c r="GT71" i="8"/>
  <c r="GQ69" i="7" s="1"/>
  <c r="GU71" i="8"/>
  <c r="GR69" i="7" s="1"/>
  <c r="GV71" i="8"/>
  <c r="GS69" i="7" s="1"/>
  <c r="BS72" i="8"/>
  <c r="BT72" i="8"/>
  <c r="BU72" i="8"/>
  <c r="BV72" i="8"/>
  <c r="BW72" i="8"/>
  <c r="BX72" i="8"/>
  <c r="BY72" i="8"/>
  <c r="BZ72" i="8"/>
  <c r="CB72" i="8"/>
  <c r="CC72" i="8"/>
  <c r="CD72" i="8"/>
  <c r="CE72" i="8"/>
  <c r="CF72" i="8"/>
  <c r="CG72" i="8"/>
  <c r="CH72" i="8"/>
  <c r="CI72" i="8"/>
  <c r="CK72" i="8"/>
  <c r="CL72" i="8"/>
  <c r="CM72" i="8"/>
  <c r="CN72" i="8"/>
  <c r="CO72" i="8"/>
  <c r="CP72" i="8"/>
  <c r="CQ72" i="8"/>
  <c r="CR72" i="8"/>
  <c r="CT72" i="8"/>
  <c r="CU72" i="8"/>
  <c r="CV72" i="8"/>
  <c r="CW72" i="8"/>
  <c r="CX72" i="8"/>
  <c r="CY72" i="8"/>
  <c r="CZ72" i="8"/>
  <c r="DA72" i="8"/>
  <c r="DC72" i="8"/>
  <c r="DD72" i="8"/>
  <c r="DE72" i="8"/>
  <c r="DF72" i="8"/>
  <c r="DG72" i="8"/>
  <c r="DH72" i="8"/>
  <c r="DI72" i="8"/>
  <c r="DJ72" i="8"/>
  <c r="DL72" i="8"/>
  <c r="DM72" i="8"/>
  <c r="DN72" i="8"/>
  <c r="DO72" i="8"/>
  <c r="DP72" i="8"/>
  <c r="DQ72" i="8"/>
  <c r="DR72" i="8"/>
  <c r="DS72" i="8"/>
  <c r="DU72" i="8"/>
  <c r="DJ70" i="7" s="1"/>
  <c r="DV72" i="8"/>
  <c r="DK70" i="7" s="1"/>
  <c r="DW72" i="8"/>
  <c r="DL70" i="7" s="1"/>
  <c r="DX72" i="8"/>
  <c r="DM70" i="7" s="1"/>
  <c r="DY72" i="8"/>
  <c r="DN70" i="7" s="1"/>
  <c r="DZ72" i="8"/>
  <c r="DO70" i="7" s="1"/>
  <c r="EA72" i="8"/>
  <c r="DP70" i="7" s="1"/>
  <c r="EB72" i="8"/>
  <c r="DQ70" i="7" s="1"/>
  <c r="ED72" i="8"/>
  <c r="DT70" i="7" s="1"/>
  <c r="EE72" i="8"/>
  <c r="DU70" i="7" s="1"/>
  <c r="EF72" i="8"/>
  <c r="DV70" i="7" s="1"/>
  <c r="EG72" i="8"/>
  <c r="DW70" i="7" s="1"/>
  <c r="EH72" i="8"/>
  <c r="DX70" i="7" s="1"/>
  <c r="EI72" i="8"/>
  <c r="DY70" i="7" s="1"/>
  <c r="EJ72" i="8"/>
  <c r="DZ70" i="7" s="1"/>
  <c r="EK72" i="8"/>
  <c r="EA70" i="7" s="1"/>
  <c r="EM72" i="8"/>
  <c r="ED70" i="7" s="1"/>
  <c r="EN72" i="8"/>
  <c r="EE70" i="7" s="1"/>
  <c r="EO72" i="8"/>
  <c r="EF70" i="7" s="1"/>
  <c r="EP72" i="8"/>
  <c r="EG70" i="7" s="1"/>
  <c r="EQ72" i="8"/>
  <c r="EH70" i="7" s="1"/>
  <c r="ER72" i="8"/>
  <c r="EI70" i="7" s="1"/>
  <c r="ES72" i="8"/>
  <c r="EJ70" i="7" s="1"/>
  <c r="ET72" i="8"/>
  <c r="EK70" i="7" s="1"/>
  <c r="EV72" i="8"/>
  <c r="EN70" i="7" s="1"/>
  <c r="EW72" i="8"/>
  <c r="EO70" i="7" s="1"/>
  <c r="EX72" i="8"/>
  <c r="EP70" i="7" s="1"/>
  <c r="EY72" i="8"/>
  <c r="EQ70" i="7" s="1"/>
  <c r="EZ72" i="8"/>
  <c r="ER70" i="7" s="1"/>
  <c r="FA72" i="8"/>
  <c r="ES70" i="7" s="1"/>
  <c r="FB72" i="8"/>
  <c r="ET70" i="7" s="1"/>
  <c r="FC72" i="8"/>
  <c r="EU70" i="7" s="1"/>
  <c r="FE72" i="8"/>
  <c r="EX70" i="7" s="1"/>
  <c r="FF72" i="8"/>
  <c r="EY70" i="7" s="1"/>
  <c r="FG72" i="8"/>
  <c r="EZ70" i="7" s="1"/>
  <c r="FH72" i="8"/>
  <c r="FA70" i="7" s="1"/>
  <c r="FI72" i="8"/>
  <c r="FB70" i="7" s="1"/>
  <c r="FJ72" i="8"/>
  <c r="FC70" i="7" s="1"/>
  <c r="FK72" i="8"/>
  <c r="FD70" i="7" s="1"/>
  <c r="FL72" i="8"/>
  <c r="FE70" i="7" s="1"/>
  <c r="FN72" i="8"/>
  <c r="FH70" i="7" s="1"/>
  <c r="FO72" i="8"/>
  <c r="FI70" i="7" s="1"/>
  <c r="FP72" i="8"/>
  <c r="FJ70" i="7" s="1"/>
  <c r="FQ72" i="8"/>
  <c r="FK70" i="7" s="1"/>
  <c r="FR72" i="8"/>
  <c r="FL70" i="7" s="1"/>
  <c r="FS72" i="8"/>
  <c r="FM70" i="7" s="1"/>
  <c r="FT72" i="8"/>
  <c r="FN70" i="7" s="1"/>
  <c r="FU72" i="8"/>
  <c r="FO70" i="7" s="1"/>
  <c r="FW72" i="8"/>
  <c r="FR70" i="7" s="1"/>
  <c r="FX72" i="8"/>
  <c r="FS70" i="7" s="1"/>
  <c r="FY72" i="8"/>
  <c r="FT70" i="7" s="1"/>
  <c r="FZ72" i="8"/>
  <c r="FU70" i="7" s="1"/>
  <c r="GA72" i="8"/>
  <c r="FV70" i="7" s="1"/>
  <c r="GB72" i="8"/>
  <c r="FW70" i="7" s="1"/>
  <c r="GC72" i="8"/>
  <c r="FX70" i="7" s="1"/>
  <c r="GD72" i="8"/>
  <c r="FY70" i="7" s="1"/>
  <c r="GF72" i="8"/>
  <c r="GB70" i="7" s="1"/>
  <c r="GG72" i="8"/>
  <c r="GC70" i="7" s="1"/>
  <c r="GH72" i="8"/>
  <c r="GD70" i="7" s="1"/>
  <c r="GI72" i="8"/>
  <c r="GE70" i="7" s="1"/>
  <c r="GJ72" i="8"/>
  <c r="GF70" i="7" s="1"/>
  <c r="GK72" i="8"/>
  <c r="GG70" i="7" s="1"/>
  <c r="GL72" i="8"/>
  <c r="GH70" i="7" s="1"/>
  <c r="GM72" i="8"/>
  <c r="GI70" i="7" s="1"/>
  <c r="GO72" i="8"/>
  <c r="GL70" i="7" s="1"/>
  <c r="GP72" i="8"/>
  <c r="GM70" i="7" s="1"/>
  <c r="GQ72" i="8"/>
  <c r="GN70" i="7" s="1"/>
  <c r="GR72" i="8"/>
  <c r="GO70" i="7" s="1"/>
  <c r="GS72" i="8"/>
  <c r="GP70" i="7" s="1"/>
  <c r="GT72" i="8"/>
  <c r="GQ70" i="7" s="1"/>
  <c r="GU72" i="8"/>
  <c r="GR70" i="7" s="1"/>
  <c r="GV72" i="8"/>
  <c r="GS70" i="7" s="1"/>
  <c r="BS73" i="8"/>
  <c r="BT73" i="8"/>
  <c r="BU73" i="8"/>
  <c r="BV73" i="8"/>
  <c r="BW73" i="8"/>
  <c r="BX73" i="8"/>
  <c r="BY73" i="8"/>
  <c r="BZ73" i="8"/>
  <c r="CB73" i="8"/>
  <c r="CC73" i="8"/>
  <c r="CD73" i="8"/>
  <c r="CE73" i="8"/>
  <c r="CF73" i="8"/>
  <c r="CG73" i="8"/>
  <c r="CH73" i="8"/>
  <c r="CI73" i="8"/>
  <c r="CK73" i="8"/>
  <c r="CL73" i="8"/>
  <c r="CM73" i="8"/>
  <c r="CN73" i="8"/>
  <c r="CO73" i="8"/>
  <c r="CP73" i="8"/>
  <c r="CQ73" i="8"/>
  <c r="CR73" i="8"/>
  <c r="CT73" i="8"/>
  <c r="CU73" i="8"/>
  <c r="CV73" i="8"/>
  <c r="CW73" i="8"/>
  <c r="CX73" i="8"/>
  <c r="CY73" i="8"/>
  <c r="CZ73" i="8"/>
  <c r="DA73" i="8"/>
  <c r="DC73" i="8"/>
  <c r="DD73" i="8"/>
  <c r="DE73" i="8"/>
  <c r="DF73" i="8"/>
  <c r="DG73" i="8"/>
  <c r="DH73" i="8"/>
  <c r="DI73" i="8"/>
  <c r="DJ73" i="8"/>
  <c r="DL73" i="8"/>
  <c r="DM73" i="8"/>
  <c r="DN73" i="8"/>
  <c r="DO73" i="8"/>
  <c r="DP73" i="8"/>
  <c r="DQ73" i="8"/>
  <c r="DR73" i="8"/>
  <c r="DS73" i="8"/>
  <c r="DU73" i="8"/>
  <c r="DJ71" i="7" s="1"/>
  <c r="DV73" i="8"/>
  <c r="DK71" i="7" s="1"/>
  <c r="DW73" i="8"/>
  <c r="DL71" i="7" s="1"/>
  <c r="DX73" i="8"/>
  <c r="DM71" i="7" s="1"/>
  <c r="DY73" i="8"/>
  <c r="DN71" i="7" s="1"/>
  <c r="DZ73" i="8"/>
  <c r="DO71" i="7" s="1"/>
  <c r="EA73" i="8"/>
  <c r="DP71" i="7" s="1"/>
  <c r="EB73" i="8"/>
  <c r="DQ71" i="7" s="1"/>
  <c r="ED73" i="8"/>
  <c r="DT71" i="7" s="1"/>
  <c r="EE73" i="8"/>
  <c r="DU71" i="7" s="1"/>
  <c r="EF73" i="8"/>
  <c r="DV71" i="7" s="1"/>
  <c r="EG73" i="8"/>
  <c r="DW71" i="7" s="1"/>
  <c r="EH73" i="8"/>
  <c r="DX71" i="7" s="1"/>
  <c r="EI73" i="8"/>
  <c r="DY71" i="7" s="1"/>
  <c r="EJ73" i="8"/>
  <c r="DZ71" i="7" s="1"/>
  <c r="EK73" i="8"/>
  <c r="EA71" i="7" s="1"/>
  <c r="EM73" i="8"/>
  <c r="ED71" i="7" s="1"/>
  <c r="EN73" i="8"/>
  <c r="EE71" i="7" s="1"/>
  <c r="EO73" i="8"/>
  <c r="EF71" i="7" s="1"/>
  <c r="EP73" i="8"/>
  <c r="EG71" i="7" s="1"/>
  <c r="EQ73" i="8"/>
  <c r="EH71" i="7" s="1"/>
  <c r="ER73" i="8"/>
  <c r="EI71" i="7" s="1"/>
  <c r="ES73" i="8"/>
  <c r="EJ71" i="7" s="1"/>
  <c r="ET73" i="8"/>
  <c r="EK71" i="7" s="1"/>
  <c r="EV73" i="8"/>
  <c r="EN71" i="7" s="1"/>
  <c r="EW73" i="8"/>
  <c r="EO71" i="7" s="1"/>
  <c r="EX73" i="8"/>
  <c r="EP71" i="7" s="1"/>
  <c r="EY73" i="8"/>
  <c r="EQ71" i="7" s="1"/>
  <c r="EZ73" i="8"/>
  <c r="ER71" i="7" s="1"/>
  <c r="FA73" i="8"/>
  <c r="ES71" i="7" s="1"/>
  <c r="FB73" i="8"/>
  <c r="ET71" i="7" s="1"/>
  <c r="FC73" i="8"/>
  <c r="EU71" i="7" s="1"/>
  <c r="FE73" i="8"/>
  <c r="FF73" i="8"/>
  <c r="FG73" i="8"/>
  <c r="FH73" i="8"/>
  <c r="FI73" i="8"/>
  <c r="FJ73" i="8"/>
  <c r="FK73" i="8"/>
  <c r="FL73" i="8"/>
  <c r="FN73" i="8"/>
  <c r="FO73" i="8"/>
  <c r="FP73" i="8"/>
  <c r="FQ73" i="8"/>
  <c r="FR73" i="8"/>
  <c r="FS73" i="8"/>
  <c r="FT73" i="8"/>
  <c r="FU73" i="8"/>
  <c r="FW73" i="8"/>
  <c r="FX73" i="8"/>
  <c r="FY73" i="8"/>
  <c r="FZ73" i="8"/>
  <c r="GA73" i="8"/>
  <c r="GB73" i="8"/>
  <c r="GC73" i="8"/>
  <c r="GD73" i="8"/>
  <c r="GF73" i="8"/>
  <c r="GG73" i="8"/>
  <c r="GH73" i="8"/>
  <c r="GI73" i="8"/>
  <c r="GJ73" i="8"/>
  <c r="GK73" i="8"/>
  <c r="GL73" i="8"/>
  <c r="GM73" i="8"/>
  <c r="GO73" i="8"/>
  <c r="GP73" i="8"/>
  <c r="GQ73" i="8"/>
  <c r="GR73" i="8"/>
  <c r="GS73" i="8"/>
  <c r="GT73" i="8"/>
  <c r="GU73" i="8"/>
  <c r="GV73" i="8"/>
  <c r="BS74" i="8"/>
  <c r="BT74" i="8"/>
  <c r="BU74" i="8"/>
  <c r="BV74" i="8"/>
  <c r="BW74" i="8"/>
  <c r="BX74" i="8"/>
  <c r="BY74" i="8"/>
  <c r="BZ74" i="8"/>
  <c r="CB74" i="8"/>
  <c r="CC74" i="8"/>
  <c r="CD74" i="8"/>
  <c r="CE74" i="8"/>
  <c r="CF74" i="8"/>
  <c r="CG74" i="8"/>
  <c r="CH74" i="8"/>
  <c r="CI74" i="8"/>
  <c r="CK74" i="8"/>
  <c r="CL74" i="8"/>
  <c r="CM74" i="8"/>
  <c r="CN74" i="8"/>
  <c r="CO74" i="8"/>
  <c r="CP74" i="8"/>
  <c r="CQ74" i="8"/>
  <c r="CR74" i="8"/>
  <c r="CT74" i="8"/>
  <c r="CU74" i="8"/>
  <c r="CV74" i="8"/>
  <c r="CW74" i="8"/>
  <c r="CX74" i="8"/>
  <c r="CY74" i="8"/>
  <c r="CZ74" i="8"/>
  <c r="DA74" i="8"/>
  <c r="DC74" i="8"/>
  <c r="DD74" i="8"/>
  <c r="DE74" i="8"/>
  <c r="DF74" i="8"/>
  <c r="DG74" i="8"/>
  <c r="DH74" i="8"/>
  <c r="DI74" i="8"/>
  <c r="DJ74" i="8"/>
  <c r="DL74" i="8"/>
  <c r="DM74" i="8"/>
  <c r="DN74" i="8"/>
  <c r="DO74" i="8"/>
  <c r="DP74" i="8"/>
  <c r="DQ74" i="8"/>
  <c r="DR74" i="8"/>
  <c r="DS74" i="8"/>
  <c r="DU74" i="8"/>
  <c r="DJ72" i="7" s="1"/>
  <c r="DV74" i="8"/>
  <c r="DK72" i="7" s="1"/>
  <c r="DW74" i="8"/>
  <c r="DL72" i="7" s="1"/>
  <c r="DX74" i="8"/>
  <c r="DM72" i="7" s="1"/>
  <c r="DY74" i="8"/>
  <c r="DN72" i="7" s="1"/>
  <c r="DZ74" i="8"/>
  <c r="DO72" i="7" s="1"/>
  <c r="EA74" i="8"/>
  <c r="DP72" i="7" s="1"/>
  <c r="EB74" i="8"/>
  <c r="DQ72" i="7" s="1"/>
  <c r="ED74" i="8"/>
  <c r="DT72" i="7" s="1"/>
  <c r="EE74" i="8"/>
  <c r="DU72" i="7" s="1"/>
  <c r="EF74" i="8"/>
  <c r="DV72" i="7" s="1"/>
  <c r="EG74" i="8"/>
  <c r="DW72" i="7" s="1"/>
  <c r="EH74" i="8"/>
  <c r="DX72" i="7" s="1"/>
  <c r="EI74" i="8"/>
  <c r="DY72" i="7" s="1"/>
  <c r="EJ74" i="8"/>
  <c r="DZ72" i="7" s="1"/>
  <c r="EK74" i="8"/>
  <c r="EA72" i="7" s="1"/>
  <c r="EM74" i="8"/>
  <c r="ED72" i="7" s="1"/>
  <c r="EN74" i="8"/>
  <c r="EE72" i="7" s="1"/>
  <c r="EO74" i="8"/>
  <c r="EF72" i="7" s="1"/>
  <c r="EP74" i="8"/>
  <c r="EG72" i="7" s="1"/>
  <c r="EQ74" i="8"/>
  <c r="EH72" i="7" s="1"/>
  <c r="ER74" i="8"/>
  <c r="EI72" i="7" s="1"/>
  <c r="ES74" i="8"/>
  <c r="EJ72" i="7" s="1"/>
  <c r="ET74" i="8"/>
  <c r="EK72" i="7" s="1"/>
  <c r="EV74" i="8"/>
  <c r="EN72" i="7" s="1"/>
  <c r="EW74" i="8"/>
  <c r="EO72" i="7" s="1"/>
  <c r="EX74" i="8"/>
  <c r="EP72" i="7" s="1"/>
  <c r="EY74" i="8"/>
  <c r="EQ72" i="7" s="1"/>
  <c r="EZ74" i="8"/>
  <c r="ER72" i="7" s="1"/>
  <c r="FA74" i="8"/>
  <c r="ES72" i="7" s="1"/>
  <c r="FB74" i="8"/>
  <c r="ET72" i="7" s="1"/>
  <c r="FC74" i="8"/>
  <c r="EU72" i="7" s="1"/>
  <c r="FE74" i="8"/>
  <c r="EX72" i="7" s="1"/>
  <c r="FF74" i="8"/>
  <c r="EY72" i="7" s="1"/>
  <c r="FG74" i="8"/>
  <c r="EZ72" i="7" s="1"/>
  <c r="FH74" i="8"/>
  <c r="FA72" i="7" s="1"/>
  <c r="FI74" i="8"/>
  <c r="FB72" i="7" s="1"/>
  <c r="FJ74" i="8"/>
  <c r="FC72" i="7" s="1"/>
  <c r="FK74" i="8"/>
  <c r="FD72" i="7" s="1"/>
  <c r="FL74" i="8"/>
  <c r="FE72" i="7" s="1"/>
  <c r="FN74" i="8"/>
  <c r="FH72" i="7" s="1"/>
  <c r="FO74" i="8"/>
  <c r="FI72" i="7" s="1"/>
  <c r="FP74" i="8"/>
  <c r="FJ72" i="7" s="1"/>
  <c r="FQ74" i="8"/>
  <c r="FK72" i="7" s="1"/>
  <c r="FR74" i="8"/>
  <c r="FL72" i="7" s="1"/>
  <c r="FS74" i="8"/>
  <c r="FM72" i="7" s="1"/>
  <c r="FT74" i="8"/>
  <c r="FN72" i="7" s="1"/>
  <c r="FU74" i="8"/>
  <c r="FO72" i="7" s="1"/>
  <c r="FW74" i="8"/>
  <c r="FR72" i="7" s="1"/>
  <c r="FX74" i="8"/>
  <c r="FS72" i="7" s="1"/>
  <c r="FY74" i="8"/>
  <c r="FT72" i="7" s="1"/>
  <c r="FZ74" i="8"/>
  <c r="FU72" i="7" s="1"/>
  <c r="GA74" i="8"/>
  <c r="FV72" i="7" s="1"/>
  <c r="GB74" i="8"/>
  <c r="FW72" i="7" s="1"/>
  <c r="GC74" i="8"/>
  <c r="FX72" i="7" s="1"/>
  <c r="GD74" i="8"/>
  <c r="FY72" i="7" s="1"/>
  <c r="GF74" i="8"/>
  <c r="GB72" i="7" s="1"/>
  <c r="GG74" i="8"/>
  <c r="GC72" i="7" s="1"/>
  <c r="GH74" i="8"/>
  <c r="GD72" i="7" s="1"/>
  <c r="GI74" i="8"/>
  <c r="GE72" i="7" s="1"/>
  <c r="GJ74" i="8"/>
  <c r="GF72" i="7" s="1"/>
  <c r="GK74" i="8"/>
  <c r="GG72" i="7" s="1"/>
  <c r="GL74" i="8"/>
  <c r="GH72" i="7" s="1"/>
  <c r="GM74" i="8"/>
  <c r="GI72" i="7" s="1"/>
  <c r="GO74" i="8"/>
  <c r="GL72" i="7" s="1"/>
  <c r="GP74" i="8"/>
  <c r="GM72" i="7" s="1"/>
  <c r="GQ74" i="8"/>
  <c r="GN72" i="7" s="1"/>
  <c r="GR74" i="8"/>
  <c r="GO72" i="7" s="1"/>
  <c r="GS74" i="8"/>
  <c r="GP72" i="7" s="1"/>
  <c r="GT74" i="8"/>
  <c r="GQ72" i="7" s="1"/>
  <c r="GU74" i="8"/>
  <c r="GR72" i="7" s="1"/>
  <c r="GV74" i="8"/>
  <c r="GS72" i="7" s="1"/>
  <c r="BS75" i="8"/>
  <c r="BT75" i="8"/>
  <c r="BU75" i="8"/>
  <c r="BV75" i="8"/>
  <c r="BW75" i="8"/>
  <c r="BX75" i="8"/>
  <c r="BY75" i="8"/>
  <c r="BZ75" i="8"/>
  <c r="CB75" i="8"/>
  <c r="CC75" i="8"/>
  <c r="CD75" i="8"/>
  <c r="CE75" i="8"/>
  <c r="CF75" i="8"/>
  <c r="CG75" i="8"/>
  <c r="CH75" i="8"/>
  <c r="CI75" i="8"/>
  <c r="CK75" i="8"/>
  <c r="CL75" i="8"/>
  <c r="CM75" i="8"/>
  <c r="CN75" i="8"/>
  <c r="CO75" i="8"/>
  <c r="CP75" i="8"/>
  <c r="CQ75" i="8"/>
  <c r="CR75" i="8"/>
  <c r="CT75" i="8"/>
  <c r="CU75" i="8"/>
  <c r="CV75" i="8"/>
  <c r="CW75" i="8"/>
  <c r="CX75" i="8"/>
  <c r="CY75" i="8"/>
  <c r="CZ75" i="8"/>
  <c r="DA75" i="8"/>
  <c r="DC75" i="8"/>
  <c r="DD75" i="8"/>
  <c r="DE75" i="8"/>
  <c r="DF75" i="8"/>
  <c r="DG75" i="8"/>
  <c r="DH75" i="8"/>
  <c r="DI75" i="8"/>
  <c r="DJ75" i="8"/>
  <c r="DL75" i="8"/>
  <c r="DM75" i="8"/>
  <c r="DN75" i="8"/>
  <c r="DO75" i="8"/>
  <c r="DP75" i="8"/>
  <c r="DQ75" i="8"/>
  <c r="DR75" i="8"/>
  <c r="DS75" i="8"/>
  <c r="DU75" i="8"/>
  <c r="DJ73" i="7" s="1"/>
  <c r="DV75" i="8"/>
  <c r="DK73" i="7" s="1"/>
  <c r="DW75" i="8"/>
  <c r="DL73" i="7" s="1"/>
  <c r="DX75" i="8"/>
  <c r="DM73" i="7" s="1"/>
  <c r="DY75" i="8"/>
  <c r="DN73" i="7" s="1"/>
  <c r="DZ75" i="8"/>
  <c r="DO73" i="7" s="1"/>
  <c r="EA75" i="8"/>
  <c r="DP73" i="7" s="1"/>
  <c r="EB75" i="8"/>
  <c r="DQ73" i="7" s="1"/>
  <c r="ED75" i="8"/>
  <c r="DT73" i="7" s="1"/>
  <c r="EE75" i="8"/>
  <c r="DU73" i="7" s="1"/>
  <c r="EF75" i="8"/>
  <c r="DV73" i="7" s="1"/>
  <c r="EG75" i="8"/>
  <c r="DW73" i="7" s="1"/>
  <c r="EH75" i="8"/>
  <c r="DX73" i="7" s="1"/>
  <c r="EI75" i="8"/>
  <c r="DY73" i="7" s="1"/>
  <c r="EJ75" i="8"/>
  <c r="DZ73" i="7" s="1"/>
  <c r="EK75" i="8"/>
  <c r="EA73" i="7" s="1"/>
  <c r="EM75" i="8"/>
  <c r="ED73" i="7" s="1"/>
  <c r="EN75" i="8"/>
  <c r="EE73" i="7" s="1"/>
  <c r="EO75" i="8"/>
  <c r="EF73" i="7" s="1"/>
  <c r="EP75" i="8"/>
  <c r="EG73" i="7" s="1"/>
  <c r="EQ75" i="8"/>
  <c r="EH73" i="7" s="1"/>
  <c r="ER75" i="8"/>
  <c r="EI73" i="7" s="1"/>
  <c r="ES75" i="8"/>
  <c r="EJ73" i="7" s="1"/>
  <c r="ET75" i="8"/>
  <c r="EK73" i="7" s="1"/>
  <c r="EV75" i="8"/>
  <c r="EN73" i="7" s="1"/>
  <c r="EW75" i="8"/>
  <c r="EO73" i="7" s="1"/>
  <c r="EX75" i="8"/>
  <c r="EP73" i="7" s="1"/>
  <c r="EY75" i="8"/>
  <c r="EQ73" i="7" s="1"/>
  <c r="EZ75" i="8"/>
  <c r="ER73" i="7" s="1"/>
  <c r="FA75" i="8"/>
  <c r="ES73" i="7" s="1"/>
  <c r="FB75" i="8"/>
  <c r="ET73" i="7" s="1"/>
  <c r="FC75" i="8"/>
  <c r="EU73" i="7" s="1"/>
  <c r="FE75" i="8"/>
  <c r="EX73" i="7" s="1"/>
  <c r="FF75" i="8"/>
  <c r="EY73" i="7" s="1"/>
  <c r="FG75" i="8"/>
  <c r="EZ73" i="7" s="1"/>
  <c r="FH75" i="8"/>
  <c r="FA73" i="7" s="1"/>
  <c r="FI75" i="8"/>
  <c r="FB73" i="7" s="1"/>
  <c r="FJ75" i="8"/>
  <c r="FC73" i="7" s="1"/>
  <c r="FK75" i="8"/>
  <c r="FD73" i="7" s="1"/>
  <c r="FL75" i="8"/>
  <c r="FE73" i="7" s="1"/>
  <c r="FN75" i="8"/>
  <c r="FH73" i="7" s="1"/>
  <c r="FO75" i="8"/>
  <c r="FI73" i="7" s="1"/>
  <c r="FP75" i="8"/>
  <c r="FJ73" i="7" s="1"/>
  <c r="FQ75" i="8"/>
  <c r="FK73" i="7" s="1"/>
  <c r="FR75" i="8"/>
  <c r="FL73" i="7" s="1"/>
  <c r="FS75" i="8"/>
  <c r="FM73" i="7" s="1"/>
  <c r="FT75" i="8"/>
  <c r="FN73" i="7" s="1"/>
  <c r="FU75" i="8"/>
  <c r="FO73" i="7" s="1"/>
  <c r="FW75" i="8"/>
  <c r="FR73" i="7" s="1"/>
  <c r="FX75" i="8"/>
  <c r="FS73" i="7" s="1"/>
  <c r="FY75" i="8"/>
  <c r="FT73" i="7" s="1"/>
  <c r="FZ75" i="8"/>
  <c r="FU73" i="7" s="1"/>
  <c r="GA75" i="8"/>
  <c r="FV73" i="7" s="1"/>
  <c r="GB75" i="8"/>
  <c r="FW73" i="7" s="1"/>
  <c r="GC75" i="8"/>
  <c r="FX73" i="7" s="1"/>
  <c r="GD75" i="8"/>
  <c r="FY73" i="7" s="1"/>
  <c r="GF75" i="8"/>
  <c r="GB73" i="7" s="1"/>
  <c r="GG75" i="8"/>
  <c r="GC73" i="7" s="1"/>
  <c r="GH75" i="8"/>
  <c r="GD73" i="7" s="1"/>
  <c r="GI75" i="8"/>
  <c r="GE73" i="7" s="1"/>
  <c r="GJ75" i="8"/>
  <c r="GF73" i="7" s="1"/>
  <c r="GK75" i="8"/>
  <c r="GG73" i="7" s="1"/>
  <c r="GL75" i="8"/>
  <c r="GH73" i="7" s="1"/>
  <c r="GM75" i="8"/>
  <c r="GI73" i="7" s="1"/>
  <c r="GO75" i="8"/>
  <c r="GL73" i="7" s="1"/>
  <c r="GP75" i="8"/>
  <c r="GM73" i="7" s="1"/>
  <c r="GQ75" i="8"/>
  <c r="GN73" i="7" s="1"/>
  <c r="GR75" i="8"/>
  <c r="GO73" i="7" s="1"/>
  <c r="GS75" i="8"/>
  <c r="GP73" i="7" s="1"/>
  <c r="GT75" i="8"/>
  <c r="GQ73" i="7" s="1"/>
  <c r="GU75" i="8"/>
  <c r="GR73" i="7" s="1"/>
  <c r="GV75" i="8"/>
  <c r="GS73" i="7" s="1"/>
  <c r="BS76" i="8"/>
  <c r="BT76" i="8"/>
  <c r="BU76" i="8"/>
  <c r="BV76" i="8"/>
  <c r="BW76" i="8"/>
  <c r="BX76" i="8"/>
  <c r="BY76" i="8"/>
  <c r="BZ76" i="8"/>
  <c r="CB76" i="8"/>
  <c r="CC76" i="8"/>
  <c r="CD76" i="8"/>
  <c r="CE76" i="8"/>
  <c r="CF76" i="8"/>
  <c r="CG76" i="8"/>
  <c r="CH76" i="8"/>
  <c r="CI76" i="8"/>
  <c r="CK76" i="8"/>
  <c r="CL76" i="8"/>
  <c r="CM76" i="8"/>
  <c r="CN76" i="8"/>
  <c r="CO76" i="8"/>
  <c r="CP76" i="8"/>
  <c r="CQ76" i="8"/>
  <c r="CR76" i="8"/>
  <c r="CT76" i="8"/>
  <c r="CU76" i="8"/>
  <c r="CV76" i="8"/>
  <c r="CW76" i="8"/>
  <c r="CX76" i="8"/>
  <c r="CY76" i="8"/>
  <c r="CZ76" i="8"/>
  <c r="DA76" i="8"/>
  <c r="DC76" i="8"/>
  <c r="DD76" i="8"/>
  <c r="DE76" i="8"/>
  <c r="DF76" i="8"/>
  <c r="DG76" i="8"/>
  <c r="DH76" i="8"/>
  <c r="DI76" i="8"/>
  <c r="DJ76" i="8"/>
  <c r="DL76" i="8"/>
  <c r="DM76" i="8"/>
  <c r="DN76" i="8"/>
  <c r="DO76" i="8"/>
  <c r="DP76" i="8"/>
  <c r="DQ76" i="8"/>
  <c r="DR76" i="8"/>
  <c r="DS76" i="8"/>
  <c r="DU76" i="8"/>
  <c r="DJ74" i="7" s="1"/>
  <c r="DV76" i="8"/>
  <c r="DK74" i="7" s="1"/>
  <c r="DW76" i="8"/>
  <c r="DL74" i="7" s="1"/>
  <c r="DX76" i="8"/>
  <c r="DM74" i="7" s="1"/>
  <c r="DY76" i="8"/>
  <c r="DN74" i="7" s="1"/>
  <c r="DZ76" i="8"/>
  <c r="DO74" i="7" s="1"/>
  <c r="EA76" i="8"/>
  <c r="DP74" i="7" s="1"/>
  <c r="EB76" i="8"/>
  <c r="DQ74" i="7" s="1"/>
  <c r="ED76" i="8"/>
  <c r="DT74" i="7" s="1"/>
  <c r="EE76" i="8"/>
  <c r="DU74" i="7" s="1"/>
  <c r="EF76" i="8"/>
  <c r="DV74" i="7" s="1"/>
  <c r="EG76" i="8"/>
  <c r="DW74" i="7" s="1"/>
  <c r="EH76" i="8"/>
  <c r="DX74" i="7" s="1"/>
  <c r="EI76" i="8"/>
  <c r="DY74" i="7" s="1"/>
  <c r="EJ76" i="8"/>
  <c r="DZ74" i="7" s="1"/>
  <c r="EK76" i="8"/>
  <c r="EA74" i="7" s="1"/>
  <c r="EM76" i="8"/>
  <c r="ED74" i="7" s="1"/>
  <c r="EN76" i="8"/>
  <c r="EE74" i="7" s="1"/>
  <c r="EO76" i="8"/>
  <c r="EF74" i="7" s="1"/>
  <c r="EP76" i="8"/>
  <c r="EG74" i="7" s="1"/>
  <c r="EQ76" i="8"/>
  <c r="EH74" i="7" s="1"/>
  <c r="ER76" i="8"/>
  <c r="EI74" i="7" s="1"/>
  <c r="ES76" i="8"/>
  <c r="EJ74" i="7" s="1"/>
  <c r="ET76" i="8"/>
  <c r="EK74" i="7" s="1"/>
  <c r="EV76" i="8"/>
  <c r="EN74" i="7" s="1"/>
  <c r="EW76" i="8"/>
  <c r="EO74" i="7" s="1"/>
  <c r="EX76" i="8"/>
  <c r="EP74" i="7" s="1"/>
  <c r="EY76" i="8"/>
  <c r="EQ74" i="7" s="1"/>
  <c r="EZ76" i="8"/>
  <c r="ER74" i="7" s="1"/>
  <c r="FA76" i="8"/>
  <c r="ES74" i="7" s="1"/>
  <c r="FB76" i="8"/>
  <c r="ET74" i="7" s="1"/>
  <c r="FC76" i="8"/>
  <c r="EU74" i="7" s="1"/>
  <c r="FE76" i="8"/>
  <c r="EX74" i="7" s="1"/>
  <c r="FF76" i="8"/>
  <c r="EY74" i="7" s="1"/>
  <c r="FG76" i="8"/>
  <c r="EZ74" i="7" s="1"/>
  <c r="FH76" i="8"/>
  <c r="FA74" i="7" s="1"/>
  <c r="FI76" i="8"/>
  <c r="FB74" i="7" s="1"/>
  <c r="FJ76" i="8"/>
  <c r="FC74" i="7" s="1"/>
  <c r="FK76" i="8"/>
  <c r="FD74" i="7" s="1"/>
  <c r="FL76" i="8"/>
  <c r="FE74" i="7" s="1"/>
  <c r="FN76" i="8"/>
  <c r="FH74" i="7" s="1"/>
  <c r="FO76" i="8"/>
  <c r="FI74" i="7" s="1"/>
  <c r="FP76" i="8"/>
  <c r="FJ74" i="7" s="1"/>
  <c r="FQ76" i="8"/>
  <c r="FK74" i="7" s="1"/>
  <c r="FR76" i="8"/>
  <c r="FL74" i="7" s="1"/>
  <c r="FS76" i="8"/>
  <c r="FM74" i="7" s="1"/>
  <c r="FT76" i="8"/>
  <c r="FN74" i="7" s="1"/>
  <c r="FU76" i="8"/>
  <c r="FO74" i="7" s="1"/>
  <c r="FW76" i="8"/>
  <c r="FR74" i="7" s="1"/>
  <c r="FX76" i="8"/>
  <c r="FS74" i="7" s="1"/>
  <c r="FY76" i="8"/>
  <c r="FT74" i="7" s="1"/>
  <c r="FZ76" i="8"/>
  <c r="FU74" i="7" s="1"/>
  <c r="GA76" i="8"/>
  <c r="FV74" i="7" s="1"/>
  <c r="GB76" i="8"/>
  <c r="FW74" i="7" s="1"/>
  <c r="GC76" i="8"/>
  <c r="FX74" i="7" s="1"/>
  <c r="GD76" i="8"/>
  <c r="FY74" i="7" s="1"/>
  <c r="GF76" i="8"/>
  <c r="GB74" i="7" s="1"/>
  <c r="GG76" i="8"/>
  <c r="GC74" i="7" s="1"/>
  <c r="GH76" i="8"/>
  <c r="GD74" i="7" s="1"/>
  <c r="GI76" i="8"/>
  <c r="GE74" i="7" s="1"/>
  <c r="GJ76" i="8"/>
  <c r="GF74" i="7" s="1"/>
  <c r="GK76" i="8"/>
  <c r="GG74" i="7" s="1"/>
  <c r="GL76" i="8"/>
  <c r="GH74" i="7" s="1"/>
  <c r="GM76" i="8"/>
  <c r="GI74" i="7" s="1"/>
  <c r="GO76" i="8"/>
  <c r="GL74" i="7" s="1"/>
  <c r="GP76" i="8"/>
  <c r="GM74" i="7" s="1"/>
  <c r="GQ76" i="8"/>
  <c r="GN74" i="7" s="1"/>
  <c r="GR76" i="8"/>
  <c r="GO74" i="7" s="1"/>
  <c r="GS76" i="8"/>
  <c r="GP74" i="7" s="1"/>
  <c r="GT76" i="8"/>
  <c r="GQ74" i="7" s="1"/>
  <c r="GU76" i="8"/>
  <c r="GR74" i="7" s="1"/>
  <c r="GV76" i="8"/>
  <c r="GS74" i="7" s="1"/>
  <c r="BS77" i="8"/>
  <c r="BT77" i="8"/>
  <c r="BU77" i="8"/>
  <c r="BV77" i="8"/>
  <c r="BW77" i="8"/>
  <c r="BX77" i="8"/>
  <c r="BY77" i="8"/>
  <c r="BZ77" i="8"/>
  <c r="CB77" i="8"/>
  <c r="CC77" i="8"/>
  <c r="CD77" i="8"/>
  <c r="CE77" i="8"/>
  <c r="CF77" i="8"/>
  <c r="CG77" i="8"/>
  <c r="CH77" i="8"/>
  <c r="CI77" i="8"/>
  <c r="CK77" i="8"/>
  <c r="CL77" i="8"/>
  <c r="CM77" i="8"/>
  <c r="CN77" i="8"/>
  <c r="CO77" i="8"/>
  <c r="CP77" i="8"/>
  <c r="CQ77" i="8"/>
  <c r="CR77" i="8"/>
  <c r="CT77" i="8"/>
  <c r="CU77" i="8"/>
  <c r="CV77" i="8"/>
  <c r="CW77" i="8"/>
  <c r="CX77" i="8"/>
  <c r="CY77" i="8"/>
  <c r="CZ77" i="8"/>
  <c r="DA77" i="8"/>
  <c r="DC77" i="8"/>
  <c r="DD77" i="8"/>
  <c r="DE77" i="8"/>
  <c r="DF77" i="8"/>
  <c r="DG77" i="8"/>
  <c r="DH77" i="8"/>
  <c r="DI77" i="8"/>
  <c r="DJ77" i="8"/>
  <c r="DL77" i="8"/>
  <c r="DM77" i="8"/>
  <c r="DN77" i="8"/>
  <c r="DO77" i="8"/>
  <c r="DP77" i="8"/>
  <c r="DQ77" i="8"/>
  <c r="DR77" i="8"/>
  <c r="DS77" i="8"/>
  <c r="DU77" i="8"/>
  <c r="DJ75" i="7" s="1"/>
  <c r="DV77" i="8"/>
  <c r="DK75" i="7" s="1"/>
  <c r="DW77" i="8"/>
  <c r="DL75" i="7" s="1"/>
  <c r="DX77" i="8"/>
  <c r="DM75" i="7" s="1"/>
  <c r="DY77" i="8"/>
  <c r="DN75" i="7" s="1"/>
  <c r="DZ77" i="8"/>
  <c r="DO75" i="7" s="1"/>
  <c r="EA77" i="8"/>
  <c r="DP75" i="7" s="1"/>
  <c r="EB77" i="8"/>
  <c r="DQ75" i="7" s="1"/>
  <c r="ED77" i="8"/>
  <c r="DT75" i="7" s="1"/>
  <c r="EE77" i="8"/>
  <c r="DU75" i="7" s="1"/>
  <c r="EF77" i="8"/>
  <c r="DV75" i="7" s="1"/>
  <c r="EG77" i="8"/>
  <c r="DW75" i="7" s="1"/>
  <c r="EH77" i="8"/>
  <c r="DX75" i="7" s="1"/>
  <c r="EI77" i="8"/>
  <c r="DY75" i="7" s="1"/>
  <c r="EJ77" i="8"/>
  <c r="DZ75" i="7" s="1"/>
  <c r="EK77" i="8"/>
  <c r="EA75" i="7" s="1"/>
  <c r="EM77" i="8"/>
  <c r="ED75" i="7" s="1"/>
  <c r="EN77" i="8"/>
  <c r="EE75" i="7" s="1"/>
  <c r="EO77" i="8"/>
  <c r="EF75" i="7" s="1"/>
  <c r="EP77" i="8"/>
  <c r="EG75" i="7" s="1"/>
  <c r="EQ77" i="8"/>
  <c r="EH75" i="7" s="1"/>
  <c r="ER77" i="8"/>
  <c r="EI75" i="7" s="1"/>
  <c r="ES77" i="8"/>
  <c r="EJ75" i="7" s="1"/>
  <c r="ET77" i="8"/>
  <c r="EK75" i="7" s="1"/>
  <c r="EV77" i="8"/>
  <c r="EN75" i="7" s="1"/>
  <c r="EW77" i="8"/>
  <c r="EO75" i="7" s="1"/>
  <c r="EX77" i="8"/>
  <c r="EP75" i="7" s="1"/>
  <c r="EY77" i="8"/>
  <c r="EQ75" i="7" s="1"/>
  <c r="EZ77" i="8"/>
  <c r="ER75" i="7" s="1"/>
  <c r="FA77" i="8"/>
  <c r="ES75" i="7" s="1"/>
  <c r="FB77" i="8"/>
  <c r="ET75" i="7" s="1"/>
  <c r="FC77" i="8"/>
  <c r="EU75" i="7" s="1"/>
  <c r="FE77" i="8"/>
  <c r="EX75" i="7" s="1"/>
  <c r="FF77" i="8"/>
  <c r="EY75" i="7" s="1"/>
  <c r="FG77" i="8"/>
  <c r="EZ75" i="7" s="1"/>
  <c r="FH77" i="8"/>
  <c r="FA75" i="7" s="1"/>
  <c r="FI77" i="8"/>
  <c r="FB75" i="7" s="1"/>
  <c r="FJ77" i="8"/>
  <c r="FC75" i="7" s="1"/>
  <c r="FK77" i="8"/>
  <c r="FD75" i="7" s="1"/>
  <c r="FL77" i="8"/>
  <c r="FE75" i="7" s="1"/>
  <c r="FN77" i="8"/>
  <c r="FH75" i="7" s="1"/>
  <c r="FO77" i="8"/>
  <c r="FI75" i="7" s="1"/>
  <c r="FP77" i="8"/>
  <c r="FJ75" i="7" s="1"/>
  <c r="FQ77" i="8"/>
  <c r="FK75" i="7" s="1"/>
  <c r="FR77" i="8"/>
  <c r="FL75" i="7" s="1"/>
  <c r="FS77" i="8"/>
  <c r="FM75" i="7" s="1"/>
  <c r="FT77" i="8"/>
  <c r="FN75" i="7" s="1"/>
  <c r="FU77" i="8"/>
  <c r="FO75" i="7" s="1"/>
  <c r="FW77" i="8"/>
  <c r="FR75" i="7" s="1"/>
  <c r="FX77" i="8"/>
  <c r="FS75" i="7" s="1"/>
  <c r="FY77" i="8"/>
  <c r="FT75" i="7" s="1"/>
  <c r="FZ77" i="8"/>
  <c r="FU75" i="7" s="1"/>
  <c r="GA77" i="8"/>
  <c r="FV75" i="7" s="1"/>
  <c r="GB77" i="8"/>
  <c r="FW75" i="7" s="1"/>
  <c r="GC77" i="8"/>
  <c r="FX75" i="7" s="1"/>
  <c r="GD77" i="8"/>
  <c r="FY75" i="7" s="1"/>
  <c r="GF77" i="8"/>
  <c r="GB75" i="7" s="1"/>
  <c r="GG77" i="8"/>
  <c r="GC75" i="7" s="1"/>
  <c r="GH77" i="8"/>
  <c r="GD75" i="7" s="1"/>
  <c r="GI77" i="8"/>
  <c r="GE75" i="7" s="1"/>
  <c r="GJ77" i="8"/>
  <c r="GF75" i="7" s="1"/>
  <c r="GK77" i="8"/>
  <c r="GG75" i="7" s="1"/>
  <c r="GL77" i="8"/>
  <c r="GH75" i="7" s="1"/>
  <c r="GM77" i="8"/>
  <c r="GI75" i="7" s="1"/>
  <c r="GO77" i="8"/>
  <c r="GL75" i="7" s="1"/>
  <c r="GP77" i="8"/>
  <c r="GM75" i="7" s="1"/>
  <c r="GQ77" i="8"/>
  <c r="GN75" i="7" s="1"/>
  <c r="GR77" i="8"/>
  <c r="GO75" i="7" s="1"/>
  <c r="GS77" i="8"/>
  <c r="GP75" i="7" s="1"/>
  <c r="GT77" i="8"/>
  <c r="GQ75" i="7" s="1"/>
  <c r="GU77" i="8"/>
  <c r="GR75" i="7" s="1"/>
  <c r="GV77" i="8"/>
  <c r="GS75" i="7" s="1"/>
  <c r="BS78" i="8"/>
  <c r="BT78" i="8"/>
  <c r="BU78" i="8"/>
  <c r="BV78" i="8"/>
  <c r="BW78" i="8"/>
  <c r="BX78" i="8"/>
  <c r="BY78" i="8"/>
  <c r="BZ78" i="8"/>
  <c r="CB78" i="8"/>
  <c r="CC78" i="8"/>
  <c r="CD78" i="8"/>
  <c r="CE78" i="8"/>
  <c r="CF78" i="8"/>
  <c r="CG78" i="8"/>
  <c r="CH78" i="8"/>
  <c r="CI78" i="8"/>
  <c r="CK78" i="8"/>
  <c r="CL78" i="8"/>
  <c r="CM78" i="8"/>
  <c r="CN78" i="8"/>
  <c r="CO78" i="8"/>
  <c r="CP78" i="8"/>
  <c r="CQ78" i="8"/>
  <c r="CR78" i="8"/>
  <c r="CT78" i="8"/>
  <c r="CU78" i="8"/>
  <c r="CV78" i="8"/>
  <c r="CW78" i="8"/>
  <c r="CX78" i="8"/>
  <c r="CY78" i="8"/>
  <c r="CZ78" i="8"/>
  <c r="DA78" i="8"/>
  <c r="DC78" i="8"/>
  <c r="DD78" i="8"/>
  <c r="DE78" i="8"/>
  <c r="DF78" i="8"/>
  <c r="DG78" i="8"/>
  <c r="DH78" i="8"/>
  <c r="DI78" i="8"/>
  <c r="DJ78" i="8"/>
  <c r="DL78" i="8"/>
  <c r="DM78" i="8"/>
  <c r="DN78" i="8"/>
  <c r="DO78" i="8"/>
  <c r="DP78" i="8"/>
  <c r="DQ78" i="8"/>
  <c r="DR78" i="8"/>
  <c r="DS78" i="8"/>
  <c r="DU78" i="8"/>
  <c r="DJ76" i="7" s="1"/>
  <c r="DV78" i="8"/>
  <c r="DK76" i="7" s="1"/>
  <c r="DW78" i="8"/>
  <c r="DL76" i="7" s="1"/>
  <c r="DX78" i="8"/>
  <c r="DM76" i="7" s="1"/>
  <c r="DY78" i="8"/>
  <c r="DN76" i="7" s="1"/>
  <c r="DZ78" i="8"/>
  <c r="DO76" i="7" s="1"/>
  <c r="EA78" i="8"/>
  <c r="DP76" i="7" s="1"/>
  <c r="EB78" i="8"/>
  <c r="DQ76" i="7" s="1"/>
  <c r="ED78" i="8"/>
  <c r="DT76" i="7" s="1"/>
  <c r="EE78" i="8"/>
  <c r="DU76" i="7" s="1"/>
  <c r="EF78" i="8"/>
  <c r="DV76" i="7" s="1"/>
  <c r="EG78" i="8"/>
  <c r="DW76" i="7" s="1"/>
  <c r="EH78" i="8"/>
  <c r="DX76" i="7" s="1"/>
  <c r="EI78" i="8"/>
  <c r="DY76" i="7" s="1"/>
  <c r="EJ78" i="8"/>
  <c r="DZ76" i="7" s="1"/>
  <c r="EK78" i="8"/>
  <c r="EA76" i="7" s="1"/>
  <c r="EM78" i="8"/>
  <c r="ED76" i="7" s="1"/>
  <c r="EN78" i="8"/>
  <c r="EE76" i="7" s="1"/>
  <c r="EO78" i="8"/>
  <c r="EF76" i="7" s="1"/>
  <c r="EP78" i="8"/>
  <c r="EG76" i="7" s="1"/>
  <c r="EQ78" i="8"/>
  <c r="EH76" i="7" s="1"/>
  <c r="ER78" i="8"/>
  <c r="EI76" i="7" s="1"/>
  <c r="ES78" i="8"/>
  <c r="EJ76" i="7" s="1"/>
  <c r="ET78" i="8"/>
  <c r="EK76" i="7" s="1"/>
  <c r="EV78" i="8"/>
  <c r="EN76" i="7" s="1"/>
  <c r="EW78" i="8"/>
  <c r="EO76" i="7" s="1"/>
  <c r="EX78" i="8"/>
  <c r="EP76" i="7" s="1"/>
  <c r="EY78" i="8"/>
  <c r="EQ76" i="7" s="1"/>
  <c r="EZ78" i="8"/>
  <c r="ER76" i="7" s="1"/>
  <c r="FA78" i="8"/>
  <c r="ES76" i="7" s="1"/>
  <c r="FB78" i="8"/>
  <c r="ET76" i="7" s="1"/>
  <c r="FC78" i="8"/>
  <c r="EU76" i="7" s="1"/>
  <c r="FE78" i="8"/>
  <c r="EX76" i="7" s="1"/>
  <c r="FF78" i="8"/>
  <c r="EY76" i="7" s="1"/>
  <c r="FG78" i="8"/>
  <c r="EZ76" i="7" s="1"/>
  <c r="FH78" i="8"/>
  <c r="FA76" i="7" s="1"/>
  <c r="FI78" i="8"/>
  <c r="FB76" i="7" s="1"/>
  <c r="FJ78" i="8"/>
  <c r="FC76" i="7" s="1"/>
  <c r="FK78" i="8"/>
  <c r="FD76" i="7" s="1"/>
  <c r="FL78" i="8"/>
  <c r="FE76" i="7" s="1"/>
  <c r="FN78" i="8"/>
  <c r="FH76" i="7" s="1"/>
  <c r="FO78" i="8"/>
  <c r="FI76" i="7" s="1"/>
  <c r="FP78" i="8"/>
  <c r="FJ76" i="7" s="1"/>
  <c r="FQ78" i="8"/>
  <c r="FK76" i="7" s="1"/>
  <c r="FR78" i="8"/>
  <c r="FL76" i="7" s="1"/>
  <c r="FS78" i="8"/>
  <c r="FM76" i="7" s="1"/>
  <c r="FT78" i="8"/>
  <c r="FN76" i="7" s="1"/>
  <c r="FU78" i="8"/>
  <c r="FO76" i="7" s="1"/>
  <c r="FW78" i="8"/>
  <c r="FR76" i="7" s="1"/>
  <c r="FX78" i="8"/>
  <c r="FS76" i="7" s="1"/>
  <c r="FY78" i="8"/>
  <c r="FT76" i="7" s="1"/>
  <c r="FZ78" i="8"/>
  <c r="FU76" i="7" s="1"/>
  <c r="GA78" i="8"/>
  <c r="FV76" i="7" s="1"/>
  <c r="GB78" i="8"/>
  <c r="FW76" i="7" s="1"/>
  <c r="GC78" i="8"/>
  <c r="FX76" i="7" s="1"/>
  <c r="GD78" i="8"/>
  <c r="FY76" i="7" s="1"/>
  <c r="GF78" i="8"/>
  <c r="GB76" i="7" s="1"/>
  <c r="GG78" i="8"/>
  <c r="GC76" i="7" s="1"/>
  <c r="GH78" i="8"/>
  <c r="GD76" i="7" s="1"/>
  <c r="GI78" i="8"/>
  <c r="GE76" i="7" s="1"/>
  <c r="GJ78" i="8"/>
  <c r="GF76" i="7" s="1"/>
  <c r="GK78" i="8"/>
  <c r="GG76" i="7" s="1"/>
  <c r="GL78" i="8"/>
  <c r="GH76" i="7" s="1"/>
  <c r="GM78" i="8"/>
  <c r="GI76" i="7" s="1"/>
  <c r="GO78" i="8"/>
  <c r="GL76" i="7" s="1"/>
  <c r="GP78" i="8"/>
  <c r="GM76" i="7" s="1"/>
  <c r="GQ78" i="8"/>
  <c r="GN76" i="7" s="1"/>
  <c r="GR78" i="8"/>
  <c r="GO76" i="7" s="1"/>
  <c r="GS78" i="8"/>
  <c r="GP76" i="7" s="1"/>
  <c r="GT78" i="8"/>
  <c r="GQ76" i="7" s="1"/>
  <c r="GU78" i="8"/>
  <c r="GR76" i="7" s="1"/>
  <c r="GV78" i="8"/>
  <c r="GS76" i="7" s="1"/>
  <c r="BS79" i="8"/>
  <c r="BT79" i="8"/>
  <c r="BU79" i="8"/>
  <c r="BV79" i="8"/>
  <c r="BW79" i="8"/>
  <c r="BX79" i="8"/>
  <c r="BY79" i="8"/>
  <c r="BZ79" i="8"/>
  <c r="CB79" i="8"/>
  <c r="CC79" i="8"/>
  <c r="CD79" i="8"/>
  <c r="CE79" i="8"/>
  <c r="CF79" i="8"/>
  <c r="CG79" i="8"/>
  <c r="CH79" i="8"/>
  <c r="CI79" i="8"/>
  <c r="CK79" i="8"/>
  <c r="CL79" i="8"/>
  <c r="CM79" i="8"/>
  <c r="CN79" i="8"/>
  <c r="CO79" i="8"/>
  <c r="CP79" i="8"/>
  <c r="CQ79" i="8"/>
  <c r="CR79" i="8"/>
  <c r="CT79" i="8"/>
  <c r="CU79" i="8"/>
  <c r="CV79" i="8"/>
  <c r="CW79" i="8"/>
  <c r="CX79" i="8"/>
  <c r="CY79" i="8"/>
  <c r="CZ79" i="8"/>
  <c r="DA79" i="8"/>
  <c r="DC79" i="8"/>
  <c r="DD79" i="8"/>
  <c r="DE79" i="8"/>
  <c r="DF79" i="8"/>
  <c r="DG79" i="8"/>
  <c r="DH79" i="8"/>
  <c r="DI79" i="8"/>
  <c r="DJ79" i="8"/>
  <c r="DL79" i="8"/>
  <c r="DM79" i="8"/>
  <c r="DN79" i="8"/>
  <c r="DO79" i="8"/>
  <c r="DP79" i="8"/>
  <c r="DQ79" i="8"/>
  <c r="DR79" i="8"/>
  <c r="DS79" i="8"/>
  <c r="DU79" i="8"/>
  <c r="DJ77" i="7" s="1"/>
  <c r="DV79" i="8"/>
  <c r="DK77" i="7" s="1"/>
  <c r="DW79" i="8"/>
  <c r="DL77" i="7" s="1"/>
  <c r="DX79" i="8"/>
  <c r="DM77" i="7" s="1"/>
  <c r="DY79" i="8"/>
  <c r="DN77" i="7" s="1"/>
  <c r="DZ79" i="8"/>
  <c r="DO77" i="7" s="1"/>
  <c r="EA79" i="8"/>
  <c r="DP77" i="7" s="1"/>
  <c r="EB79" i="8"/>
  <c r="DQ77" i="7" s="1"/>
  <c r="ED79" i="8"/>
  <c r="DT77" i="7" s="1"/>
  <c r="EE79" i="8"/>
  <c r="DU77" i="7" s="1"/>
  <c r="EF79" i="8"/>
  <c r="DV77" i="7" s="1"/>
  <c r="EG79" i="8"/>
  <c r="DW77" i="7" s="1"/>
  <c r="EH79" i="8"/>
  <c r="DX77" i="7" s="1"/>
  <c r="EI79" i="8"/>
  <c r="DY77" i="7" s="1"/>
  <c r="EJ79" i="8"/>
  <c r="DZ77" i="7" s="1"/>
  <c r="EK79" i="8"/>
  <c r="EA77" i="7" s="1"/>
  <c r="EM79" i="8"/>
  <c r="ED77" i="7" s="1"/>
  <c r="EN79" i="8"/>
  <c r="EE77" i="7" s="1"/>
  <c r="EO79" i="8"/>
  <c r="EF77" i="7" s="1"/>
  <c r="EP79" i="8"/>
  <c r="EG77" i="7" s="1"/>
  <c r="EQ79" i="8"/>
  <c r="EH77" i="7" s="1"/>
  <c r="ER79" i="8"/>
  <c r="EI77" i="7" s="1"/>
  <c r="ES79" i="8"/>
  <c r="EJ77" i="7" s="1"/>
  <c r="ET79" i="8"/>
  <c r="EK77" i="7" s="1"/>
  <c r="EV79" i="8"/>
  <c r="EN77" i="7" s="1"/>
  <c r="EW79" i="8"/>
  <c r="EO77" i="7" s="1"/>
  <c r="EX79" i="8"/>
  <c r="EP77" i="7" s="1"/>
  <c r="EY79" i="8"/>
  <c r="EQ77" i="7" s="1"/>
  <c r="EZ79" i="8"/>
  <c r="ER77" i="7" s="1"/>
  <c r="FA79" i="8"/>
  <c r="ES77" i="7" s="1"/>
  <c r="FB79" i="8"/>
  <c r="ET77" i="7" s="1"/>
  <c r="FC79" i="8"/>
  <c r="EU77" i="7" s="1"/>
  <c r="FE79" i="8"/>
  <c r="EX77" i="7" s="1"/>
  <c r="FF79" i="8"/>
  <c r="EY77" i="7" s="1"/>
  <c r="FG79" i="8"/>
  <c r="EZ77" i="7" s="1"/>
  <c r="FH79" i="8"/>
  <c r="FA77" i="7" s="1"/>
  <c r="FI79" i="8"/>
  <c r="FB77" i="7" s="1"/>
  <c r="FJ79" i="8"/>
  <c r="FC77" i="7" s="1"/>
  <c r="FK79" i="8"/>
  <c r="FD77" i="7" s="1"/>
  <c r="FL79" i="8"/>
  <c r="FE77" i="7" s="1"/>
  <c r="FN79" i="8"/>
  <c r="FH77" i="7" s="1"/>
  <c r="FO79" i="8"/>
  <c r="FI77" i="7" s="1"/>
  <c r="FP79" i="8"/>
  <c r="FJ77" i="7" s="1"/>
  <c r="FQ79" i="8"/>
  <c r="FK77" i="7" s="1"/>
  <c r="FR79" i="8"/>
  <c r="FL77" i="7" s="1"/>
  <c r="FS79" i="8"/>
  <c r="FM77" i="7" s="1"/>
  <c r="FT79" i="8"/>
  <c r="FN77" i="7" s="1"/>
  <c r="FU79" i="8"/>
  <c r="FO77" i="7" s="1"/>
  <c r="FW79" i="8"/>
  <c r="FR77" i="7" s="1"/>
  <c r="FX79" i="8"/>
  <c r="FS77" i="7" s="1"/>
  <c r="FY79" i="8"/>
  <c r="FT77" i="7" s="1"/>
  <c r="FZ79" i="8"/>
  <c r="FU77" i="7" s="1"/>
  <c r="GA79" i="8"/>
  <c r="FV77" i="7" s="1"/>
  <c r="GB79" i="8"/>
  <c r="FW77" i="7" s="1"/>
  <c r="GC79" i="8"/>
  <c r="FX77" i="7" s="1"/>
  <c r="GD79" i="8"/>
  <c r="FY77" i="7" s="1"/>
  <c r="GF79" i="8"/>
  <c r="GB77" i="7" s="1"/>
  <c r="GG79" i="8"/>
  <c r="GC77" i="7" s="1"/>
  <c r="GH79" i="8"/>
  <c r="GD77" i="7" s="1"/>
  <c r="GI79" i="8"/>
  <c r="GE77" i="7" s="1"/>
  <c r="GJ79" i="8"/>
  <c r="GF77" i="7" s="1"/>
  <c r="GK79" i="8"/>
  <c r="GG77" i="7" s="1"/>
  <c r="GL79" i="8"/>
  <c r="GH77" i="7" s="1"/>
  <c r="GM79" i="8"/>
  <c r="GI77" i="7" s="1"/>
  <c r="GO79" i="8"/>
  <c r="GL77" i="7" s="1"/>
  <c r="GP79" i="8"/>
  <c r="GM77" i="7" s="1"/>
  <c r="GQ79" i="8"/>
  <c r="GN77" i="7" s="1"/>
  <c r="GR79" i="8"/>
  <c r="GO77" i="7" s="1"/>
  <c r="GS79" i="8"/>
  <c r="GP77" i="7" s="1"/>
  <c r="GT79" i="8"/>
  <c r="GQ77" i="7" s="1"/>
  <c r="GU79" i="8"/>
  <c r="GR77" i="7" s="1"/>
  <c r="GV79" i="8"/>
  <c r="GS77" i="7" s="1"/>
  <c r="BS80" i="8"/>
  <c r="BT80" i="8"/>
  <c r="BU80" i="8"/>
  <c r="BV80" i="8"/>
  <c r="BW80" i="8"/>
  <c r="BX80" i="8"/>
  <c r="BY80" i="8"/>
  <c r="BZ80" i="8"/>
  <c r="CB80" i="8"/>
  <c r="CC80" i="8"/>
  <c r="CD80" i="8"/>
  <c r="CE80" i="8"/>
  <c r="CF80" i="8"/>
  <c r="CG80" i="8"/>
  <c r="CH80" i="8"/>
  <c r="CI80" i="8"/>
  <c r="CK80" i="8"/>
  <c r="CL80" i="8"/>
  <c r="CM80" i="8"/>
  <c r="CN80" i="8"/>
  <c r="CO80" i="8"/>
  <c r="CP80" i="8"/>
  <c r="CQ80" i="8"/>
  <c r="CR80" i="8"/>
  <c r="CT80" i="8"/>
  <c r="CU80" i="8"/>
  <c r="CV80" i="8"/>
  <c r="CW80" i="8"/>
  <c r="CX80" i="8"/>
  <c r="CY80" i="8"/>
  <c r="CZ80" i="8"/>
  <c r="DA80" i="8"/>
  <c r="DC80" i="8"/>
  <c r="DD80" i="8"/>
  <c r="DE80" i="8"/>
  <c r="DF80" i="8"/>
  <c r="DG80" i="8"/>
  <c r="DH80" i="8"/>
  <c r="DI80" i="8"/>
  <c r="DJ80" i="8"/>
  <c r="DL80" i="8"/>
  <c r="DM80" i="8"/>
  <c r="DN80" i="8"/>
  <c r="DO80" i="8"/>
  <c r="DP80" i="8"/>
  <c r="DQ80" i="8"/>
  <c r="DR80" i="8"/>
  <c r="DS80" i="8"/>
  <c r="DU80" i="8"/>
  <c r="DJ78" i="7" s="1"/>
  <c r="DV80" i="8"/>
  <c r="DK78" i="7" s="1"/>
  <c r="DW80" i="8"/>
  <c r="DL78" i="7" s="1"/>
  <c r="DX80" i="8"/>
  <c r="DM78" i="7" s="1"/>
  <c r="DY80" i="8"/>
  <c r="DN78" i="7" s="1"/>
  <c r="DZ80" i="8"/>
  <c r="DO78" i="7" s="1"/>
  <c r="EA80" i="8"/>
  <c r="DP78" i="7" s="1"/>
  <c r="EB80" i="8"/>
  <c r="DQ78" i="7" s="1"/>
  <c r="ED80" i="8"/>
  <c r="DT78" i="7" s="1"/>
  <c r="EE80" i="8"/>
  <c r="DU78" i="7" s="1"/>
  <c r="EF80" i="8"/>
  <c r="DV78" i="7" s="1"/>
  <c r="EG80" i="8"/>
  <c r="DW78" i="7" s="1"/>
  <c r="EH80" i="8"/>
  <c r="DX78" i="7" s="1"/>
  <c r="EI80" i="8"/>
  <c r="DY78" i="7" s="1"/>
  <c r="EJ80" i="8"/>
  <c r="DZ78" i="7" s="1"/>
  <c r="EK80" i="8"/>
  <c r="EA78" i="7" s="1"/>
  <c r="EM80" i="8"/>
  <c r="ED78" i="7" s="1"/>
  <c r="EN80" i="8"/>
  <c r="EE78" i="7" s="1"/>
  <c r="EO80" i="8"/>
  <c r="EF78" i="7" s="1"/>
  <c r="EP80" i="8"/>
  <c r="EG78" i="7" s="1"/>
  <c r="EQ80" i="8"/>
  <c r="EH78" i="7" s="1"/>
  <c r="ER80" i="8"/>
  <c r="EI78" i="7" s="1"/>
  <c r="ES80" i="8"/>
  <c r="EJ78" i="7" s="1"/>
  <c r="ET80" i="8"/>
  <c r="EK78" i="7" s="1"/>
  <c r="EV80" i="8"/>
  <c r="EN78" i="7" s="1"/>
  <c r="EW80" i="8"/>
  <c r="EO78" i="7" s="1"/>
  <c r="EX80" i="8"/>
  <c r="EP78" i="7" s="1"/>
  <c r="EY80" i="8"/>
  <c r="EQ78" i="7" s="1"/>
  <c r="EZ80" i="8"/>
  <c r="ER78" i="7" s="1"/>
  <c r="FA80" i="8"/>
  <c r="ES78" i="7" s="1"/>
  <c r="FB80" i="8"/>
  <c r="ET78" i="7" s="1"/>
  <c r="FC80" i="8"/>
  <c r="EU78" i="7" s="1"/>
  <c r="FE80" i="8"/>
  <c r="EX78" i="7" s="1"/>
  <c r="FF80" i="8"/>
  <c r="EY78" i="7" s="1"/>
  <c r="FG80" i="8"/>
  <c r="EZ78" i="7" s="1"/>
  <c r="FH80" i="8"/>
  <c r="FA78" i="7" s="1"/>
  <c r="FI80" i="8"/>
  <c r="FB78" i="7" s="1"/>
  <c r="FJ80" i="8"/>
  <c r="FC78" i="7" s="1"/>
  <c r="FK80" i="8"/>
  <c r="FD78" i="7" s="1"/>
  <c r="FL80" i="8"/>
  <c r="FE78" i="7" s="1"/>
  <c r="FN80" i="8"/>
  <c r="FH78" i="7" s="1"/>
  <c r="FO80" i="8"/>
  <c r="FI78" i="7" s="1"/>
  <c r="FP80" i="8"/>
  <c r="FJ78" i="7" s="1"/>
  <c r="FQ80" i="8"/>
  <c r="FK78" i="7" s="1"/>
  <c r="FR80" i="8"/>
  <c r="FL78" i="7" s="1"/>
  <c r="FS80" i="8"/>
  <c r="FM78" i="7" s="1"/>
  <c r="FT80" i="8"/>
  <c r="FN78" i="7" s="1"/>
  <c r="FU80" i="8"/>
  <c r="FO78" i="7" s="1"/>
  <c r="FW80" i="8"/>
  <c r="FR78" i="7" s="1"/>
  <c r="FX80" i="8"/>
  <c r="FS78" i="7" s="1"/>
  <c r="FY80" i="8"/>
  <c r="FT78" i="7" s="1"/>
  <c r="FZ80" i="8"/>
  <c r="FU78" i="7" s="1"/>
  <c r="GA80" i="8"/>
  <c r="FV78" i="7" s="1"/>
  <c r="GB80" i="8"/>
  <c r="FW78" i="7" s="1"/>
  <c r="GC80" i="8"/>
  <c r="FX78" i="7" s="1"/>
  <c r="GD80" i="8"/>
  <c r="FY78" i="7" s="1"/>
  <c r="GF80" i="8"/>
  <c r="GB78" i="7" s="1"/>
  <c r="GG80" i="8"/>
  <c r="GC78" i="7" s="1"/>
  <c r="GH80" i="8"/>
  <c r="GD78" i="7" s="1"/>
  <c r="GI80" i="8"/>
  <c r="GE78" i="7" s="1"/>
  <c r="GJ80" i="8"/>
  <c r="GF78" i="7" s="1"/>
  <c r="GK80" i="8"/>
  <c r="GG78" i="7" s="1"/>
  <c r="GL80" i="8"/>
  <c r="GH78" i="7" s="1"/>
  <c r="GM80" i="8"/>
  <c r="GI78" i="7" s="1"/>
  <c r="GO80" i="8"/>
  <c r="GL78" i="7" s="1"/>
  <c r="GP80" i="8"/>
  <c r="GM78" i="7" s="1"/>
  <c r="GQ80" i="8"/>
  <c r="GN78" i="7" s="1"/>
  <c r="GR80" i="8"/>
  <c r="GO78" i="7" s="1"/>
  <c r="GS80" i="8"/>
  <c r="GP78" i="7" s="1"/>
  <c r="GT80" i="8"/>
  <c r="GQ78" i="7" s="1"/>
  <c r="GU80" i="8"/>
  <c r="GR78" i="7" s="1"/>
  <c r="GV80" i="8"/>
  <c r="GS78" i="7" s="1"/>
  <c r="GV68" i="8"/>
  <c r="GS66" i="7" s="1"/>
  <c r="GU68" i="8"/>
  <c r="GR66" i="7" s="1"/>
  <c r="GT68" i="8"/>
  <c r="GQ66" i="7" s="1"/>
  <c r="GS68" i="8"/>
  <c r="GP66" i="7" s="1"/>
  <c r="GR68" i="8"/>
  <c r="GO66" i="7" s="1"/>
  <c r="GQ68" i="8"/>
  <c r="GN66" i="7" s="1"/>
  <c r="GP68" i="8"/>
  <c r="GM66" i="7" s="1"/>
  <c r="GO68" i="8"/>
  <c r="GL66" i="7" s="1"/>
  <c r="GM68" i="8"/>
  <c r="GI66" i="7" s="1"/>
  <c r="GL68" i="8"/>
  <c r="GH66" i="7" s="1"/>
  <c r="GK68" i="8"/>
  <c r="GG66" i="7" s="1"/>
  <c r="GJ68" i="8"/>
  <c r="GF66" i="7" s="1"/>
  <c r="GI68" i="8"/>
  <c r="GE66" i="7" s="1"/>
  <c r="GH68" i="8"/>
  <c r="GD66" i="7" s="1"/>
  <c r="GG68" i="8"/>
  <c r="GC66" i="7" s="1"/>
  <c r="GF68" i="8"/>
  <c r="GB66" i="7" s="1"/>
  <c r="GD68" i="8"/>
  <c r="FY66" i="7" s="1"/>
  <c r="GC68" i="8"/>
  <c r="FX66" i="7" s="1"/>
  <c r="GB68" i="8"/>
  <c r="FW66" i="7" s="1"/>
  <c r="GA68" i="8"/>
  <c r="FV66" i="7" s="1"/>
  <c r="FZ68" i="8"/>
  <c r="FU66" i="7" s="1"/>
  <c r="FY68" i="8"/>
  <c r="FT66" i="7" s="1"/>
  <c r="FX68" i="8"/>
  <c r="FS66" i="7" s="1"/>
  <c r="FW68" i="8"/>
  <c r="FR66" i="7" s="1"/>
  <c r="FU68" i="8"/>
  <c r="FO66" i="7" s="1"/>
  <c r="FT68" i="8"/>
  <c r="FN66" i="7" s="1"/>
  <c r="FS68" i="8"/>
  <c r="FM66" i="7" s="1"/>
  <c r="FR68" i="8"/>
  <c r="FL66" i="7" s="1"/>
  <c r="FQ68" i="8"/>
  <c r="FK66" i="7" s="1"/>
  <c r="FP68" i="8"/>
  <c r="FJ66" i="7" s="1"/>
  <c r="FO68" i="8"/>
  <c r="FI66" i="7" s="1"/>
  <c r="FN68" i="8"/>
  <c r="FH66" i="7" s="1"/>
  <c r="FL68" i="8"/>
  <c r="FE66" i="7" s="1"/>
  <c r="FK68" i="8"/>
  <c r="FD66" i="7" s="1"/>
  <c r="FJ68" i="8"/>
  <c r="FC66" i="7" s="1"/>
  <c r="FI68" i="8"/>
  <c r="FB66" i="7" s="1"/>
  <c r="FH68" i="8"/>
  <c r="FA66" i="7" s="1"/>
  <c r="FG68" i="8"/>
  <c r="EZ66" i="7" s="1"/>
  <c r="FF68" i="8"/>
  <c r="EY66" i="7" s="1"/>
  <c r="FE68" i="8"/>
  <c r="EX66" i="7" s="1"/>
  <c r="FC68" i="8"/>
  <c r="EU66" i="7" s="1"/>
  <c r="FB68" i="8"/>
  <c r="ET66" i="7" s="1"/>
  <c r="FA68" i="8"/>
  <c r="ES66" i="7" s="1"/>
  <c r="EZ68" i="8"/>
  <c r="ER66" i="7" s="1"/>
  <c r="EY68" i="8"/>
  <c r="EQ66" i="7" s="1"/>
  <c r="EX68" i="8"/>
  <c r="EP66" i="7" s="1"/>
  <c r="EW68" i="8"/>
  <c r="EO66" i="7" s="1"/>
  <c r="EV68" i="8"/>
  <c r="EN66" i="7" s="1"/>
  <c r="ET68" i="8"/>
  <c r="EK66" i="7" s="1"/>
  <c r="ES68" i="8"/>
  <c r="EJ66" i="7" s="1"/>
  <c r="ER68" i="8"/>
  <c r="EI66" i="7" s="1"/>
  <c r="EQ68" i="8"/>
  <c r="EH66" i="7" s="1"/>
  <c r="EP68" i="8"/>
  <c r="EG66" i="7" s="1"/>
  <c r="EO68" i="8"/>
  <c r="EF66" i="7" s="1"/>
  <c r="EN68" i="8"/>
  <c r="EE66" i="7" s="1"/>
  <c r="EM68" i="8"/>
  <c r="ED66" i="7" s="1"/>
  <c r="EK68" i="8"/>
  <c r="EA66" i="7" s="1"/>
  <c r="EJ68" i="8"/>
  <c r="DZ66" i="7" s="1"/>
  <c r="EI68" i="8"/>
  <c r="DY66" i="7" s="1"/>
  <c r="EH68" i="8"/>
  <c r="DX66" i="7" s="1"/>
  <c r="EG68" i="8"/>
  <c r="DW66" i="7" s="1"/>
  <c r="EF68" i="8"/>
  <c r="DV66" i="7" s="1"/>
  <c r="EE68" i="8"/>
  <c r="DU66" i="7" s="1"/>
  <c r="ED68" i="8"/>
  <c r="DT66" i="7" s="1"/>
  <c r="EB68" i="8"/>
  <c r="DQ66" i="7" s="1"/>
  <c r="EA68" i="8"/>
  <c r="DP66" i="7" s="1"/>
  <c r="DZ68" i="8"/>
  <c r="DO66" i="7" s="1"/>
  <c r="DY68" i="8"/>
  <c r="DN66" i="7" s="1"/>
  <c r="DX68" i="8"/>
  <c r="DM66" i="7" s="1"/>
  <c r="DW68" i="8"/>
  <c r="DL66" i="7" s="1"/>
  <c r="DV68" i="8"/>
  <c r="DK66" i="7" s="1"/>
  <c r="DU68" i="8"/>
  <c r="DJ66" i="7" s="1"/>
  <c r="DS68" i="8"/>
  <c r="DR68" i="8"/>
  <c r="DQ68" i="8"/>
  <c r="DP68" i="8"/>
  <c r="DO68" i="8"/>
  <c r="DN68" i="8"/>
  <c r="DM68" i="8"/>
  <c r="DL68" i="8"/>
  <c r="DJ68" i="8"/>
  <c r="DI68" i="8"/>
  <c r="DH68" i="8"/>
  <c r="DG68" i="8"/>
  <c r="DF68" i="8"/>
  <c r="DE68" i="8"/>
  <c r="DD68" i="8"/>
  <c r="DC68" i="8"/>
  <c r="DA68" i="8"/>
  <c r="CZ68" i="8"/>
  <c r="CY68" i="8"/>
  <c r="CX68" i="8"/>
  <c r="CW68" i="8"/>
  <c r="CV68" i="8"/>
  <c r="CU68" i="8"/>
  <c r="CT68" i="8"/>
  <c r="CR68" i="8"/>
  <c r="CQ68" i="8"/>
  <c r="CP68" i="8"/>
  <c r="CO68" i="8"/>
  <c r="CN68" i="8"/>
  <c r="CM68" i="8"/>
  <c r="CL68" i="8"/>
  <c r="CK68" i="8"/>
  <c r="CI68" i="8"/>
  <c r="CH68" i="8"/>
  <c r="CG68" i="8"/>
  <c r="CF68" i="8"/>
  <c r="CE68" i="8"/>
  <c r="CD68" i="8"/>
  <c r="CC68" i="8"/>
  <c r="CB68" i="8"/>
  <c r="BZ68" i="8"/>
  <c r="BY68" i="8"/>
  <c r="BX68" i="8"/>
  <c r="BW68" i="8"/>
  <c r="BV68" i="8"/>
  <c r="BU68" i="8"/>
  <c r="BT68" i="8"/>
  <c r="BS68" i="8"/>
  <c r="BJ69" i="8"/>
  <c r="BK69" i="8"/>
  <c r="BL69" i="8"/>
  <c r="BM69" i="8"/>
  <c r="BN69" i="8"/>
  <c r="BO69" i="8"/>
  <c r="BP69" i="8"/>
  <c r="BQ69" i="8"/>
  <c r="BJ70" i="8"/>
  <c r="BK70" i="8"/>
  <c r="BL70" i="8"/>
  <c r="BM70" i="8"/>
  <c r="BN70" i="8"/>
  <c r="BO70" i="8"/>
  <c r="BP70" i="8"/>
  <c r="BQ70" i="8"/>
  <c r="BJ71" i="8"/>
  <c r="BK71" i="8"/>
  <c r="BL71" i="8"/>
  <c r="BM71" i="8"/>
  <c r="BN71" i="8"/>
  <c r="BO71" i="8"/>
  <c r="BP71" i="8"/>
  <c r="BQ71" i="8"/>
  <c r="BJ72" i="8"/>
  <c r="BK72" i="8"/>
  <c r="BL72" i="8"/>
  <c r="BM72" i="8"/>
  <c r="BN72" i="8"/>
  <c r="BO72" i="8"/>
  <c r="BP72" i="8"/>
  <c r="BQ72" i="8"/>
  <c r="BJ73" i="8"/>
  <c r="BK73" i="8"/>
  <c r="BL73" i="8"/>
  <c r="BM73" i="8"/>
  <c r="BN73" i="8"/>
  <c r="BO73" i="8"/>
  <c r="BP73" i="8"/>
  <c r="BQ73" i="8"/>
  <c r="BJ74" i="8"/>
  <c r="BK74" i="8"/>
  <c r="BL74" i="8"/>
  <c r="BM74" i="8"/>
  <c r="BN74" i="8"/>
  <c r="BO74" i="8"/>
  <c r="BP74" i="8"/>
  <c r="BQ74" i="8"/>
  <c r="BJ75" i="8"/>
  <c r="BK75" i="8"/>
  <c r="BL75" i="8"/>
  <c r="BM75" i="8"/>
  <c r="BN75" i="8"/>
  <c r="BO75" i="8"/>
  <c r="BP75" i="8"/>
  <c r="BQ75" i="8"/>
  <c r="BJ76" i="8"/>
  <c r="BK76" i="8"/>
  <c r="BL76" i="8"/>
  <c r="BM76" i="8"/>
  <c r="BN76" i="8"/>
  <c r="BO76" i="8"/>
  <c r="BP76" i="8"/>
  <c r="BQ76" i="8"/>
  <c r="BJ77" i="8"/>
  <c r="BK77" i="8"/>
  <c r="BL77" i="8"/>
  <c r="BM77" i="8"/>
  <c r="BN77" i="8"/>
  <c r="BO77" i="8"/>
  <c r="BP77" i="8"/>
  <c r="BQ77" i="8"/>
  <c r="BJ78" i="8"/>
  <c r="BK78" i="8"/>
  <c r="BL78" i="8"/>
  <c r="BM78" i="8"/>
  <c r="BN78" i="8"/>
  <c r="BO78" i="8"/>
  <c r="BP78" i="8"/>
  <c r="BQ78" i="8"/>
  <c r="BJ79" i="8"/>
  <c r="BK79" i="8"/>
  <c r="BL79" i="8"/>
  <c r="BM79" i="8"/>
  <c r="BN79" i="8"/>
  <c r="BO79" i="8"/>
  <c r="BP79" i="8"/>
  <c r="BQ79" i="8"/>
  <c r="BJ80" i="8"/>
  <c r="BK80" i="8"/>
  <c r="BL80" i="8"/>
  <c r="BM80" i="8"/>
  <c r="BN80" i="8"/>
  <c r="BO80" i="8"/>
  <c r="BP80" i="8"/>
  <c r="BQ80" i="8"/>
  <c r="BQ68" i="8"/>
  <c r="BP68" i="8"/>
  <c r="BO68" i="8"/>
  <c r="BN68" i="8"/>
  <c r="BM68" i="8"/>
  <c r="BL68" i="8"/>
  <c r="BK68" i="8"/>
  <c r="BJ68" i="8"/>
  <c r="BA69" i="8"/>
  <c r="BB69" i="8"/>
  <c r="BC69" i="8"/>
  <c r="BD69" i="8"/>
  <c r="BE69" i="8"/>
  <c r="BF69" i="8"/>
  <c r="BG69" i="8"/>
  <c r="BH69" i="8"/>
  <c r="BA70" i="8"/>
  <c r="BB70" i="8"/>
  <c r="BC70" i="8"/>
  <c r="BD70" i="8"/>
  <c r="BE70" i="8"/>
  <c r="BF70" i="8"/>
  <c r="BG70" i="8"/>
  <c r="BH70" i="8"/>
  <c r="BA71" i="8"/>
  <c r="BB71" i="8"/>
  <c r="BC71" i="8"/>
  <c r="BD71" i="8"/>
  <c r="BE71" i="8"/>
  <c r="BF71" i="8"/>
  <c r="BG71" i="8"/>
  <c r="BH71" i="8"/>
  <c r="BA72" i="8"/>
  <c r="BB72" i="8"/>
  <c r="BC72" i="8"/>
  <c r="BD72" i="8"/>
  <c r="BE72" i="8"/>
  <c r="BF72" i="8"/>
  <c r="BG72" i="8"/>
  <c r="BH72" i="8"/>
  <c r="BA73" i="8"/>
  <c r="BB73" i="8"/>
  <c r="BC73" i="8"/>
  <c r="BD73" i="8"/>
  <c r="BE73" i="8"/>
  <c r="BF73" i="8"/>
  <c r="BG73" i="8"/>
  <c r="BH73" i="8"/>
  <c r="BA74" i="8"/>
  <c r="BB74" i="8"/>
  <c r="BC74" i="8"/>
  <c r="BD74" i="8"/>
  <c r="BE74" i="8"/>
  <c r="BF74" i="8"/>
  <c r="BG74" i="8"/>
  <c r="BH74" i="8"/>
  <c r="BA75" i="8"/>
  <c r="BB75" i="8"/>
  <c r="BC75" i="8"/>
  <c r="BD75" i="8"/>
  <c r="BE75" i="8"/>
  <c r="BF75" i="8"/>
  <c r="BG75" i="8"/>
  <c r="BH75" i="8"/>
  <c r="BA76" i="8"/>
  <c r="BB76" i="8"/>
  <c r="BC76" i="8"/>
  <c r="BD76" i="8"/>
  <c r="BE76" i="8"/>
  <c r="BF76" i="8"/>
  <c r="BG76" i="8"/>
  <c r="BH76" i="8"/>
  <c r="BA77" i="8"/>
  <c r="BB77" i="8"/>
  <c r="BC77" i="8"/>
  <c r="BD77" i="8"/>
  <c r="BE77" i="8"/>
  <c r="BF77" i="8"/>
  <c r="BG77" i="8"/>
  <c r="BH77" i="8"/>
  <c r="BA78" i="8"/>
  <c r="BB78" i="8"/>
  <c r="BC78" i="8"/>
  <c r="BD78" i="8"/>
  <c r="BE78" i="8"/>
  <c r="BF78" i="8"/>
  <c r="BG78" i="8"/>
  <c r="BH78" i="8"/>
  <c r="BA79" i="8"/>
  <c r="BB79" i="8"/>
  <c r="BC79" i="8"/>
  <c r="BD79" i="8"/>
  <c r="BE79" i="8"/>
  <c r="BF79" i="8"/>
  <c r="BG79" i="8"/>
  <c r="BH79" i="8"/>
  <c r="BA80" i="8"/>
  <c r="BB80" i="8"/>
  <c r="BC80" i="8"/>
  <c r="BD80" i="8"/>
  <c r="BE80" i="8"/>
  <c r="BF80" i="8"/>
  <c r="BG80" i="8"/>
  <c r="BH80" i="8"/>
  <c r="BH68" i="8"/>
  <c r="BG68" i="8"/>
  <c r="BF68" i="8"/>
  <c r="BE68" i="8"/>
  <c r="BD68" i="8"/>
  <c r="BC68" i="8"/>
  <c r="BB68" i="8"/>
  <c r="BA68" i="8"/>
  <c r="AR69" i="8"/>
  <c r="AS69" i="8"/>
  <c r="AT69" i="8"/>
  <c r="AU69" i="8"/>
  <c r="AV69" i="8"/>
  <c r="AW69" i="8"/>
  <c r="AX69" i="8"/>
  <c r="AY69" i="8"/>
  <c r="AR70" i="8"/>
  <c r="AS70" i="8"/>
  <c r="AT70" i="8"/>
  <c r="AU70" i="8"/>
  <c r="AV70" i="8"/>
  <c r="AW70" i="8"/>
  <c r="AX70" i="8"/>
  <c r="AY70" i="8"/>
  <c r="AR71" i="8"/>
  <c r="AS71" i="8"/>
  <c r="AT71" i="8"/>
  <c r="AU71" i="8"/>
  <c r="AV71" i="8"/>
  <c r="AW71" i="8"/>
  <c r="AX71" i="8"/>
  <c r="AY71" i="8"/>
  <c r="AR72" i="8"/>
  <c r="AS72" i="8"/>
  <c r="AT72" i="8"/>
  <c r="AU72" i="8"/>
  <c r="AV72" i="8"/>
  <c r="AW72" i="8"/>
  <c r="AX72" i="8"/>
  <c r="AY72" i="8"/>
  <c r="AR73" i="8"/>
  <c r="AS73" i="8"/>
  <c r="AT73" i="8"/>
  <c r="AU73" i="8"/>
  <c r="AV73" i="8"/>
  <c r="AW73" i="8"/>
  <c r="AX73" i="8"/>
  <c r="AY73" i="8"/>
  <c r="AR74" i="8"/>
  <c r="AS74" i="8"/>
  <c r="AT74" i="8"/>
  <c r="AU74" i="8"/>
  <c r="AV74" i="8"/>
  <c r="AW74" i="8"/>
  <c r="AX74" i="8"/>
  <c r="AY74" i="8"/>
  <c r="AR75" i="8"/>
  <c r="AS75" i="8"/>
  <c r="AT75" i="8"/>
  <c r="AU75" i="8"/>
  <c r="AV75" i="8"/>
  <c r="AW75" i="8"/>
  <c r="AX75" i="8"/>
  <c r="AY75" i="8"/>
  <c r="AR76" i="8"/>
  <c r="AS76" i="8"/>
  <c r="AT76" i="8"/>
  <c r="AU76" i="8"/>
  <c r="AV76" i="8"/>
  <c r="AW76" i="8"/>
  <c r="AX76" i="8"/>
  <c r="AY76" i="8"/>
  <c r="AR77" i="8"/>
  <c r="AS77" i="8"/>
  <c r="AT77" i="8"/>
  <c r="AU77" i="8"/>
  <c r="AV77" i="8"/>
  <c r="AW77" i="8"/>
  <c r="AX77" i="8"/>
  <c r="AY77" i="8"/>
  <c r="AR78" i="8"/>
  <c r="AS78" i="8"/>
  <c r="AT78" i="8"/>
  <c r="AU78" i="8"/>
  <c r="AV78" i="8"/>
  <c r="AW78" i="8"/>
  <c r="AX78" i="8"/>
  <c r="AY78" i="8"/>
  <c r="AR79" i="8"/>
  <c r="AS79" i="8"/>
  <c r="AT79" i="8"/>
  <c r="AU79" i="8"/>
  <c r="AV79" i="8"/>
  <c r="AW79" i="8"/>
  <c r="AX79" i="8"/>
  <c r="AY79" i="8"/>
  <c r="AR80" i="8"/>
  <c r="AS80" i="8"/>
  <c r="AT80" i="8"/>
  <c r="AU80" i="8"/>
  <c r="AV80" i="8"/>
  <c r="AW80" i="8"/>
  <c r="AX80" i="8"/>
  <c r="AY80" i="8"/>
  <c r="AY68" i="8"/>
  <c r="AX68" i="8"/>
  <c r="AW68" i="8"/>
  <c r="AV68" i="8"/>
  <c r="AU68" i="8"/>
  <c r="AT68" i="8"/>
  <c r="AS68" i="8"/>
  <c r="AR68" i="8"/>
  <c r="AI69" i="8"/>
  <c r="AJ69" i="8"/>
  <c r="AK69" i="8"/>
  <c r="AL69" i="8"/>
  <c r="AM69" i="8"/>
  <c r="AN69" i="8"/>
  <c r="AO69" i="8"/>
  <c r="AP69" i="8"/>
  <c r="AI70" i="8"/>
  <c r="AJ70" i="8"/>
  <c r="AK70" i="8"/>
  <c r="AL70" i="8"/>
  <c r="AM70" i="8"/>
  <c r="AN70" i="8"/>
  <c r="AO70" i="8"/>
  <c r="AP70" i="8"/>
  <c r="AI71" i="8"/>
  <c r="AJ71" i="8"/>
  <c r="AK71" i="8"/>
  <c r="AL71" i="8"/>
  <c r="AM71" i="8"/>
  <c r="AN71" i="8"/>
  <c r="AO71" i="8"/>
  <c r="AP71" i="8"/>
  <c r="AI72" i="8"/>
  <c r="AJ72" i="8"/>
  <c r="AK72" i="8"/>
  <c r="AL72" i="8"/>
  <c r="AM72" i="8"/>
  <c r="AN72" i="8"/>
  <c r="AO72" i="8"/>
  <c r="AP72" i="8"/>
  <c r="AI73" i="8"/>
  <c r="AJ73" i="8"/>
  <c r="AK73" i="8"/>
  <c r="AL73" i="8"/>
  <c r="AM73" i="8"/>
  <c r="AN73" i="8"/>
  <c r="AO73" i="8"/>
  <c r="AP73" i="8"/>
  <c r="AI74" i="8"/>
  <c r="AJ74" i="8"/>
  <c r="AK74" i="8"/>
  <c r="AL74" i="8"/>
  <c r="AM74" i="8"/>
  <c r="AN74" i="8"/>
  <c r="AO74" i="8"/>
  <c r="AP74" i="8"/>
  <c r="AI75" i="8"/>
  <c r="AJ75" i="8"/>
  <c r="AK75" i="8"/>
  <c r="AL75" i="8"/>
  <c r="AM75" i="8"/>
  <c r="AN75" i="8"/>
  <c r="AO75" i="8"/>
  <c r="AP75" i="8"/>
  <c r="AI76" i="8"/>
  <c r="AJ76" i="8"/>
  <c r="AK76" i="8"/>
  <c r="AL76" i="8"/>
  <c r="AM76" i="8"/>
  <c r="AN76" i="8"/>
  <c r="AO76" i="8"/>
  <c r="AP76" i="8"/>
  <c r="AI77" i="8"/>
  <c r="AJ77" i="8"/>
  <c r="AK77" i="8"/>
  <c r="AL77" i="8"/>
  <c r="AM77" i="8"/>
  <c r="AN77" i="8"/>
  <c r="AO77" i="8"/>
  <c r="AP77" i="8"/>
  <c r="AI78" i="8"/>
  <c r="AJ78" i="8"/>
  <c r="AK78" i="8"/>
  <c r="AL78" i="8"/>
  <c r="AM78" i="8"/>
  <c r="AN78" i="8"/>
  <c r="AO78" i="8"/>
  <c r="AP78" i="8"/>
  <c r="AI79" i="8"/>
  <c r="AJ79" i="8"/>
  <c r="AK79" i="8"/>
  <c r="AL79" i="8"/>
  <c r="AM79" i="8"/>
  <c r="AN79" i="8"/>
  <c r="AO79" i="8"/>
  <c r="AP79" i="8"/>
  <c r="AI80" i="8"/>
  <c r="AJ80" i="8"/>
  <c r="AK80" i="8"/>
  <c r="AL80" i="8"/>
  <c r="AM80" i="8"/>
  <c r="AN80" i="8"/>
  <c r="AO80" i="8"/>
  <c r="AP80" i="8"/>
  <c r="AP68" i="8"/>
  <c r="AO68" i="8"/>
  <c r="AN68" i="8"/>
  <c r="AM68" i="8"/>
  <c r="AL68" i="8"/>
  <c r="AK68" i="8"/>
  <c r="AJ68" i="8"/>
  <c r="AI68" i="8"/>
  <c r="Z69" i="8"/>
  <c r="AA69" i="8"/>
  <c r="AB69" i="8"/>
  <c r="AC69" i="8"/>
  <c r="AD69" i="8"/>
  <c r="AE69" i="8"/>
  <c r="AF69" i="8"/>
  <c r="AG69" i="8"/>
  <c r="Z70" i="8"/>
  <c r="AA70" i="8"/>
  <c r="AB70" i="8"/>
  <c r="AC70" i="8"/>
  <c r="AD70" i="8"/>
  <c r="AE70" i="8"/>
  <c r="AF70" i="8"/>
  <c r="AG70" i="8"/>
  <c r="Z71" i="8"/>
  <c r="AA71" i="8"/>
  <c r="AB71" i="8"/>
  <c r="AC71" i="8"/>
  <c r="AD71" i="8"/>
  <c r="AE71" i="8"/>
  <c r="AF71" i="8"/>
  <c r="AG71" i="8"/>
  <c r="Z72" i="8"/>
  <c r="AA72" i="8"/>
  <c r="AB72" i="8"/>
  <c r="AC72" i="8"/>
  <c r="AD72" i="8"/>
  <c r="AE72" i="8"/>
  <c r="AF72" i="8"/>
  <c r="AG72" i="8"/>
  <c r="Z73" i="8"/>
  <c r="AA73" i="8"/>
  <c r="AB73" i="8"/>
  <c r="AC73" i="8"/>
  <c r="AD73" i="8"/>
  <c r="AE73" i="8"/>
  <c r="AF73" i="8"/>
  <c r="AG73" i="8"/>
  <c r="Z74" i="8"/>
  <c r="AA74" i="8"/>
  <c r="AB74" i="8"/>
  <c r="AC74" i="8"/>
  <c r="AD74" i="8"/>
  <c r="AE74" i="8"/>
  <c r="AF74" i="8"/>
  <c r="AG74" i="8"/>
  <c r="Z75" i="8"/>
  <c r="AA75" i="8"/>
  <c r="AB75" i="8"/>
  <c r="AC75" i="8"/>
  <c r="AD75" i="8"/>
  <c r="AE75" i="8"/>
  <c r="AF75" i="8"/>
  <c r="AG75" i="8"/>
  <c r="Z76" i="8"/>
  <c r="AA76" i="8"/>
  <c r="AB76" i="8"/>
  <c r="AC76" i="8"/>
  <c r="AD76" i="8"/>
  <c r="AE76" i="8"/>
  <c r="AF76" i="8"/>
  <c r="AG76" i="8"/>
  <c r="Z77" i="8"/>
  <c r="AA77" i="8"/>
  <c r="AB77" i="8"/>
  <c r="AC77" i="8"/>
  <c r="AD77" i="8"/>
  <c r="AE77" i="8"/>
  <c r="AF77" i="8"/>
  <c r="AG77" i="8"/>
  <c r="Z78" i="8"/>
  <c r="AA78" i="8"/>
  <c r="AB78" i="8"/>
  <c r="AC78" i="8"/>
  <c r="AD78" i="8"/>
  <c r="AE78" i="8"/>
  <c r="AF78" i="8"/>
  <c r="AG78" i="8"/>
  <c r="Z79" i="8"/>
  <c r="AA79" i="8"/>
  <c r="AB79" i="8"/>
  <c r="AC79" i="8"/>
  <c r="AD79" i="8"/>
  <c r="AE79" i="8"/>
  <c r="AF79" i="8"/>
  <c r="AG79" i="8"/>
  <c r="Z80" i="8"/>
  <c r="AA80" i="8"/>
  <c r="AB80" i="8"/>
  <c r="AC80" i="8"/>
  <c r="AD80" i="8"/>
  <c r="AE80" i="8"/>
  <c r="AF80" i="8"/>
  <c r="AG80" i="8"/>
  <c r="AG68" i="8"/>
  <c r="AF68" i="8"/>
  <c r="AE68" i="8"/>
  <c r="AD68" i="8"/>
  <c r="AC68" i="8"/>
  <c r="AB68" i="8"/>
  <c r="AA68" i="8"/>
  <c r="Z68" i="8"/>
  <c r="A117" i="6"/>
  <c r="GO38" i="8"/>
  <c r="GP38" i="8"/>
  <c r="GQ38" i="8"/>
  <c r="GR38" i="8"/>
  <c r="GS38" i="8"/>
  <c r="GT38" i="8"/>
  <c r="GU38" i="8"/>
  <c r="GV38" i="8"/>
  <c r="GO39" i="8"/>
  <c r="GP39" i="8"/>
  <c r="GQ39" i="8"/>
  <c r="GR39" i="8"/>
  <c r="GS39" i="8"/>
  <c r="GT39" i="8"/>
  <c r="GU39" i="8"/>
  <c r="GV39" i="8"/>
  <c r="GO40" i="8"/>
  <c r="GP40" i="8"/>
  <c r="GQ40" i="8"/>
  <c r="GR40" i="8"/>
  <c r="GS40" i="8"/>
  <c r="GT40" i="8"/>
  <c r="GU40" i="8"/>
  <c r="GV40" i="8"/>
  <c r="GO41" i="8"/>
  <c r="GP41" i="8"/>
  <c r="GQ41" i="8"/>
  <c r="GR41" i="8"/>
  <c r="GS41" i="8"/>
  <c r="GT41" i="8"/>
  <c r="GU41" i="8"/>
  <c r="GV41" i="8"/>
  <c r="GO42" i="8"/>
  <c r="GP42" i="8"/>
  <c r="GQ42" i="8"/>
  <c r="GR42" i="8"/>
  <c r="GS42" i="8"/>
  <c r="GT42" i="8"/>
  <c r="GU42" i="8"/>
  <c r="GV42" i="8"/>
  <c r="GO43" i="8"/>
  <c r="GP43" i="8"/>
  <c r="GQ43" i="8"/>
  <c r="GR43" i="8"/>
  <c r="GS43" i="8"/>
  <c r="GT43" i="8"/>
  <c r="GU43" i="8"/>
  <c r="GV43" i="8"/>
  <c r="GO44" i="8"/>
  <c r="GP44" i="8"/>
  <c r="GQ44" i="8"/>
  <c r="GR44" i="8"/>
  <c r="GS44" i="8"/>
  <c r="GT44" i="8"/>
  <c r="GU44" i="8"/>
  <c r="GV44" i="8"/>
  <c r="GO45" i="8"/>
  <c r="GP45" i="8"/>
  <c r="GQ45" i="8"/>
  <c r="GR45" i="8"/>
  <c r="GS45" i="8"/>
  <c r="GT45" i="8"/>
  <c r="GU45" i="8"/>
  <c r="GV45" i="8"/>
  <c r="GO46" i="8"/>
  <c r="GP46" i="8"/>
  <c r="GQ46" i="8"/>
  <c r="GR46" i="8"/>
  <c r="GS46" i="8"/>
  <c r="GT46" i="8"/>
  <c r="GU46" i="8"/>
  <c r="GV46" i="8"/>
  <c r="GO47" i="8"/>
  <c r="GP47" i="8"/>
  <c r="GQ47" i="8"/>
  <c r="GR47" i="8"/>
  <c r="GS47" i="8"/>
  <c r="GT47" i="8"/>
  <c r="GU47" i="8"/>
  <c r="GV47" i="8"/>
  <c r="GO48" i="8"/>
  <c r="GP48" i="8"/>
  <c r="GQ48" i="8"/>
  <c r="GR48" i="8"/>
  <c r="GS48" i="8"/>
  <c r="GT48" i="8"/>
  <c r="GU48" i="8"/>
  <c r="GV48" i="8"/>
  <c r="GO49" i="8"/>
  <c r="GP49" i="8"/>
  <c r="GQ49" i="8"/>
  <c r="GR49" i="8"/>
  <c r="GS49" i="8"/>
  <c r="GT49" i="8"/>
  <c r="GU49" i="8"/>
  <c r="GV49" i="8"/>
  <c r="GO50" i="8"/>
  <c r="GP50" i="8"/>
  <c r="GQ50" i="8"/>
  <c r="GR50" i="8"/>
  <c r="GS50" i="8"/>
  <c r="GT50" i="8"/>
  <c r="GU50" i="8"/>
  <c r="GV50" i="8"/>
  <c r="GO51" i="8"/>
  <c r="GP51" i="8"/>
  <c r="GQ51" i="8"/>
  <c r="GR51" i="8"/>
  <c r="GS51" i="8"/>
  <c r="GT51" i="8"/>
  <c r="GU51" i="8"/>
  <c r="GV51" i="8"/>
  <c r="GO52" i="8"/>
  <c r="GP52" i="8"/>
  <c r="GQ52" i="8"/>
  <c r="GR52" i="8"/>
  <c r="GS52" i="8"/>
  <c r="GT52" i="8"/>
  <c r="GU52" i="8"/>
  <c r="GV52" i="8"/>
  <c r="GO53" i="8"/>
  <c r="GP53" i="8"/>
  <c r="GQ53" i="8"/>
  <c r="GR53" i="8"/>
  <c r="GS53" i="8"/>
  <c r="GT53" i="8"/>
  <c r="GU53" i="8"/>
  <c r="GV53" i="8"/>
  <c r="GO54" i="8"/>
  <c r="GP54" i="8"/>
  <c r="GQ54" i="8"/>
  <c r="GR54" i="8"/>
  <c r="GS54" i="8"/>
  <c r="GT54" i="8"/>
  <c r="GU54" i="8"/>
  <c r="GV54" i="8"/>
  <c r="GO55" i="8"/>
  <c r="GP55" i="8"/>
  <c r="GQ55" i="8"/>
  <c r="GR55" i="8"/>
  <c r="GS55" i="8"/>
  <c r="GT55" i="8"/>
  <c r="GU55" i="8"/>
  <c r="GV55" i="8"/>
  <c r="GO56" i="8"/>
  <c r="GP56" i="8"/>
  <c r="GQ56" i="8"/>
  <c r="GR56" i="8"/>
  <c r="GS56" i="8"/>
  <c r="GT56" i="8"/>
  <c r="GU56" i="8"/>
  <c r="GV56" i="8"/>
  <c r="GO57" i="8"/>
  <c r="GP57" i="8"/>
  <c r="GQ57" i="8"/>
  <c r="GR57" i="8"/>
  <c r="GS57" i="8"/>
  <c r="GT57" i="8"/>
  <c r="GU57" i="8"/>
  <c r="GV57" i="8"/>
  <c r="GO58" i="8"/>
  <c r="GP58" i="8"/>
  <c r="GQ58" i="8"/>
  <c r="GR58" i="8"/>
  <c r="GS58" i="8"/>
  <c r="GT58" i="8"/>
  <c r="GU58" i="8"/>
  <c r="GV58" i="8"/>
  <c r="GO59" i="8"/>
  <c r="GP59" i="8"/>
  <c r="GQ59" i="8"/>
  <c r="GR59" i="8"/>
  <c r="GS59" i="8"/>
  <c r="GT59" i="8"/>
  <c r="GU59" i="8"/>
  <c r="GV59" i="8"/>
  <c r="GO60" i="8"/>
  <c r="GP60" i="8"/>
  <c r="GQ60" i="8"/>
  <c r="GR60" i="8"/>
  <c r="GS60" i="8"/>
  <c r="GT60" i="8"/>
  <c r="GU60" i="8"/>
  <c r="GV60" i="8"/>
  <c r="GO61" i="8"/>
  <c r="GP61" i="8"/>
  <c r="GQ61" i="8"/>
  <c r="GR61" i="8"/>
  <c r="GS61" i="8"/>
  <c r="GT61" i="8"/>
  <c r="GU61" i="8"/>
  <c r="GV61" i="8"/>
  <c r="GO62" i="8"/>
  <c r="GP62" i="8"/>
  <c r="GQ62" i="8"/>
  <c r="GR62" i="8"/>
  <c r="GS62" i="8"/>
  <c r="GT62" i="8"/>
  <c r="GU62" i="8"/>
  <c r="GV62" i="8"/>
  <c r="GO63" i="8"/>
  <c r="GP63" i="8"/>
  <c r="GQ63" i="8"/>
  <c r="GR63" i="8"/>
  <c r="GS63" i="8"/>
  <c r="GT63" i="8"/>
  <c r="GU63" i="8"/>
  <c r="GV63" i="8"/>
  <c r="GO64" i="8"/>
  <c r="GP64" i="8"/>
  <c r="GQ64" i="8"/>
  <c r="GR64" i="8"/>
  <c r="GS64" i="8"/>
  <c r="GT64" i="8"/>
  <c r="GU64" i="8"/>
  <c r="GV64" i="8"/>
  <c r="GO65" i="8"/>
  <c r="GP65" i="8"/>
  <c r="GQ65" i="8"/>
  <c r="GR65" i="8"/>
  <c r="GS65" i="8"/>
  <c r="GT65" i="8"/>
  <c r="GU65" i="8"/>
  <c r="GV65" i="8"/>
  <c r="GO66" i="8"/>
  <c r="GP66" i="8"/>
  <c r="GQ66" i="8"/>
  <c r="GR66" i="8"/>
  <c r="GS66" i="8"/>
  <c r="GT66" i="8"/>
  <c r="GU66" i="8"/>
  <c r="GV66" i="8"/>
  <c r="GV37" i="8"/>
  <c r="GU37" i="8"/>
  <c r="GT37" i="8"/>
  <c r="GS37" i="8"/>
  <c r="GR37" i="8"/>
  <c r="GQ37" i="8"/>
  <c r="GP37" i="8"/>
  <c r="GO37" i="8"/>
  <c r="GO7" i="8"/>
  <c r="GL5" i="7" s="1"/>
  <c r="GP7" i="8"/>
  <c r="GM5" i="7" s="1"/>
  <c r="GQ7" i="8"/>
  <c r="GN5" i="7" s="1"/>
  <c r="GR7" i="8"/>
  <c r="GO5" i="7" s="1"/>
  <c r="GS7" i="8"/>
  <c r="GP5" i="7" s="1"/>
  <c r="GT7" i="8"/>
  <c r="GQ5" i="7" s="1"/>
  <c r="GU7" i="8"/>
  <c r="GR5" i="7" s="1"/>
  <c r="GV7" i="8"/>
  <c r="GS5" i="7" s="1"/>
  <c r="GO8" i="8"/>
  <c r="GL6" i="7" s="1"/>
  <c r="GP8" i="8"/>
  <c r="GM6" i="7" s="1"/>
  <c r="GQ8" i="8"/>
  <c r="GN6" i="7" s="1"/>
  <c r="GR8" i="8"/>
  <c r="GO6" i="7" s="1"/>
  <c r="GS8" i="8"/>
  <c r="GP6" i="7" s="1"/>
  <c r="GT8" i="8"/>
  <c r="GQ6" i="7" s="1"/>
  <c r="GU8" i="8"/>
  <c r="GR6" i="7" s="1"/>
  <c r="GV8" i="8"/>
  <c r="GS6" i="7" s="1"/>
  <c r="GO9" i="8"/>
  <c r="GL7" i="7" s="1"/>
  <c r="GP9" i="8"/>
  <c r="GM7" i="7" s="1"/>
  <c r="GQ9" i="8"/>
  <c r="GN7" i="7" s="1"/>
  <c r="GR9" i="8"/>
  <c r="GO7" i="7" s="1"/>
  <c r="GS9" i="8"/>
  <c r="GP7" i="7" s="1"/>
  <c r="GT9" i="8"/>
  <c r="GQ7" i="7" s="1"/>
  <c r="GU9" i="8"/>
  <c r="GR7" i="7" s="1"/>
  <c r="GV9" i="8"/>
  <c r="GS7" i="7" s="1"/>
  <c r="GO10" i="8"/>
  <c r="GL8" i="7" s="1"/>
  <c r="GP10" i="8"/>
  <c r="GM8" i="7" s="1"/>
  <c r="GQ10" i="8"/>
  <c r="GN8" i="7" s="1"/>
  <c r="GR10" i="8"/>
  <c r="GO8" i="7" s="1"/>
  <c r="GS10" i="8"/>
  <c r="GP8" i="7" s="1"/>
  <c r="GT10" i="8"/>
  <c r="GQ8" i="7" s="1"/>
  <c r="GU10" i="8"/>
  <c r="GR8" i="7" s="1"/>
  <c r="GV10" i="8"/>
  <c r="GS8" i="7" s="1"/>
  <c r="GO11" i="8"/>
  <c r="GL9" i="7" s="1"/>
  <c r="GP11" i="8"/>
  <c r="GM9" i="7" s="1"/>
  <c r="GQ11" i="8"/>
  <c r="GN9" i="7" s="1"/>
  <c r="GR11" i="8"/>
  <c r="GO9" i="7" s="1"/>
  <c r="GS11" i="8"/>
  <c r="GP9" i="7" s="1"/>
  <c r="GT11" i="8"/>
  <c r="GQ9" i="7" s="1"/>
  <c r="GU11" i="8"/>
  <c r="GR9" i="7" s="1"/>
  <c r="GV11" i="8"/>
  <c r="GS9" i="7" s="1"/>
  <c r="GO12" i="8"/>
  <c r="GL10" i="7" s="1"/>
  <c r="GP12" i="8"/>
  <c r="GM10" i="7" s="1"/>
  <c r="GQ12" i="8"/>
  <c r="GN10" i="7" s="1"/>
  <c r="GR12" i="8"/>
  <c r="GO10" i="7" s="1"/>
  <c r="GS12" i="8"/>
  <c r="GP10" i="7" s="1"/>
  <c r="GT12" i="8"/>
  <c r="GQ10" i="7" s="1"/>
  <c r="GU12" i="8"/>
  <c r="GR10" i="7" s="1"/>
  <c r="GV12" i="8"/>
  <c r="GS10" i="7" s="1"/>
  <c r="GO13" i="8"/>
  <c r="GL11" i="7" s="1"/>
  <c r="GP13" i="8"/>
  <c r="GM11" i="7" s="1"/>
  <c r="GQ13" i="8"/>
  <c r="GN11" i="7" s="1"/>
  <c r="GR13" i="8"/>
  <c r="GO11" i="7" s="1"/>
  <c r="GS13" i="8"/>
  <c r="GP11" i="7" s="1"/>
  <c r="GT13" i="8"/>
  <c r="GQ11" i="7" s="1"/>
  <c r="GU13" i="8"/>
  <c r="GR11" i="7" s="1"/>
  <c r="GV13" i="8"/>
  <c r="GS11" i="7" s="1"/>
  <c r="GO14" i="8"/>
  <c r="GL12" i="7" s="1"/>
  <c r="GP14" i="8"/>
  <c r="GM12" i="7" s="1"/>
  <c r="GQ14" i="8"/>
  <c r="GN12" i="7" s="1"/>
  <c r="GR14" i="8"/>
  <c r="GO12" i="7" s="1"/>
  <c r="GS14" i="8"/>
  <c r="GP12" i="7" s="1"/>
  <c r="GT14" i="8"/>
  <c r="GQ12" i="7" s="1"/>
  <c r="GU14" i="8"/>
  <c r="GR12" i="7" s="1"/>
  <c r="GV14" i="8"/>
  <c r="GS12" i="7" s="1"/>
  <c r="GO15" i="8"/>
  <c r="GL13" i="7" s="1"/>
  <c r="GP15" i="8"/>
  <c r="GM13" i="7" s="1"/>
  <c r="GQ15" i="8"/>
  <c r="GN13" i="7" s="1"/>
  <c r="GR15" i="8"/>
  <c r="GO13" i="7" s="1"/>
  <c r="GS15" i="8"/>
  <c r="GP13" i="7" s="1"/>
  <c r="GT15" i="8"/>
  <c r="GQ13" i="7" s="1"/>
  <c r="GU15" i="8"/>
  <c r="GR13" i="7" s="1"/>
  <c r="GV15" i="8"/>
  <c r="GS13" i="7" s="1"/>
  <c r="GO16" i="8"/>
  <c r="GL14" i="7" s="1"/>
  <c r="GP16" i="8"/>
  <c r="GM14" i="7" s="1"/>
  <c r="GQ16" i="8"/>
  <c r="GN14" i="7" s="1"/>
  <c r="GR16" i="8"/>
  <c r="GO14" i="7" s="1"/>
  <c r="GS16" i="8"/>
  <c r="GP14" i="7" s="1"/>
  <c r="GT16" i="8"/>
  <c r="GQ14" i="7" s="1"/>
  <c r="GU16" i="8"/>
  <c r="GR14" i="7" s="1"/>
  <c r="GV16" i="8"/>
  <c r="GS14" i="7" s="1"/>
  <c r="GO17" i="8"/>
  <c r="GL15" i="7" s="1"/>
  <c r="GP17" i="8"/>
  <c r="GM15" i="7" s="1"/>
  <c r="GQ17" i="8"/>
  <c r="GN15" i="7" s="1"/>
  <c r="GR17" i="8"/>
  <c r="GO15" i="7" s="1"/>
  <c r="GS17" i="8"/>
  <c r="GP15" i="7" s="1"/>
  <c r="GT17" i="8"/>
  <c r="GQ15" i="7" s="1"/>
  <c r="GU17" i="8"/>
  <c r="GR15" i="7" s="1"/>
  <c r="GV17" i="8"/>
  <c r="GS15" i="7" s="1"/>
  <c r="GO18" i="8"/>
  <c r="GL16" i="7" s="1"/>
  <c r="GP18" i="8"/>
  <c r="GM16" i="7" s="1"/>
  <c r="GQ18" i="8"/>
  <c r="GN16" i="7" s="1"/>
  <c r="GR18" i="8"/>
  <c r="GO16" i="7" s="1"/>
  <c r="GS18" i="8"/>
  <c r="GP16" i="7" s="1"/>
  <c r="GT18" i="8"/>
  <c r="GQ16" i="7" s="1"/>
  <c r="GU18" i="8"/>
  <c r="GR16" i="7" s="1"/>
  <c r="GV18" i="8"/>
  <c r="GS16" i="7" s="1"/>
  <c r="GO19" i="8"/>
  <c r="GL17" i="7" s="1"/>
  <c r="GP19" i="8"/>
  <c r="GM17" i="7" s="1"/>
  <c r="GQ19" i="8"/>
  <c r="GN17" i="7" s="1"/>
  <c r="GR19" i="8"/>
  <c r="GO17" i="7" s="1"/>
  <c r="GS19" i="8"/>
  <c r="GP17" i="7" s="1"/>
  <c r="GT19" i="8"/>
  <c r="GQ17" i="7" s="1"/>
  <c r="GU19" i="8"/>
  <c r="GR17" i="7" s="1"/>
  <c r="GV19" i="8"/>
  <c r="GS17" i="7" s="1"/>
  <c r="GO20" i="8"/>
  <c r="GL18" i="7" s="1"/>
  <c r="GP20" i="8"/>
  <c r="GM18" i="7" s="1"/>
  <c r="GQ20" i="8"/>
  <c r="GN18" i="7" s="1"/>
  <c r="GR20" i="8"/>
  <c r="GO18" i="7" s="1"/>
  <c r="GS20" i="8"/>
  <c r="GP18" i="7" s="1"/>
  <c r="GT20" i="8"/>
  <c r="GQ18" i="7" s="1"/>
  <c r="GU20" i="8"/>
  <c r="GR18" i="7" s="1"/>
  <c r="GV20" i="8"/>
  <c r="GS18" i="7" s="1"/>
  <c r="GO21" i="8"/>
  <c r="GL19" i="7" s="1"/>
  <c r="GP21" i="8"/>
  <c r="GM19" i="7" s="1"/>
  <c r="GQ21" i="8"/>
  <c r="GN19" i="7" s="1"/>
  <c r="GR21" i="8"/>
  <c r="GO19" i="7" s="1"/>
  <c r="GS21" i="8"/>
  <c r="GP19" i="7" s="1"/>
  <c r="GT21" i="8"/>
  <c r="GQ19" i="7" s="1"/>
  <c r="GU21" i="8"/>
  <c r="GR19" i="7" s="1"/>
  <c r="GV21" i="8"/>
  <c r="GS19" i="7" s="1"/>
  <c r="GO22" i="8"/>
  <c r="GP22" i="8"/>
  <c r="GQ22" i="8"/>
  <c r="GR22" i="8"/>
  <c r="GS22" i="8"/>
  <c r="GT22" i="8"/>
  <c r="GU22" i="8"/>
  <c r="GV22" i="8"/>
  <c r="GO23" i="8"/>
  <c r="GL21" i="7" s="1"/>
  <c r="GP23" i="8"/>
  <c r="GM21" i="7" s="1"/>
  <c r="GQ23" i="8"/>
  <c r="GN21" i="7" s="1"/>
  <c r="GR23" i="8"/>
  <c r="GO21" i="7" s="1"/>
  <c r="GS23" i="8"/>
  <c r="GP21" i="7" s="1"/>
  <c r="GT23" i="8"/>
  <c r="GQ21" i="7" s="1"/>
  <c r="GU23" i="8"/>
  <c r="GR21" i="7" s="1"/>
  <c r="GV23" i="8"/>
  <c r="GS21" i="7" s="1"/>
  <c r="GO24" i="8"/>
  <c r="GL22" i="7" s="1"/>
  <c r="GP24" i="8"/>
  <c r="GM22" i="7" s="1"/>
  <c r="GQ24" i="8"/>
  <c r="GN22" i="7" s="1"/>
  <c r="GR24" i="8"/>
  <c r="GO22" i="7" s="1"/>
  <c r="GS24" i="8"/>
  <c r="GP22" i="7" s="1"/>
  <c r="GT24" i="8"/>
  <c r="GQ22" i="7" s="1"/>
  <c r="GU24" i="8"/>
  <c r="GR22" i="7" s="1"/>
  <c r="GV24" i="8"/>
  <c r="GS22" i="7" s="1"/>
  <c r="GO25" i="8"/>
  <c r="GL23" i="7" s="1"/>
  <c r="GP25" i="8"/>
  <c r="GM23" i="7" s="1"/>
  <c r="GQ25" i="8"/>
  <c r="GN23" i="7" s="1"/>
  <c r="GR25" i="8"/>
  <c r="GO23" i="7" s="1"/>
  <c r="GS25" i="8"/>
  <c r="GP23" i="7" s="1"/>
  <c r="GT25" i="8"/>
  <c r="GQ23" i="7" s="1"/>
  <c r="GU25" i="8"/>
  <c r="GR23" i="7" s="1"/>
  <c r="GV25" i="8"/>
  <c r="GS23" i="7" s="1"/>
  <c r="GO26" i="8"/>
  <c r="GL24" i="7" s="1"/>
  <c r="GP26" i="8"/>
  <c r="GM24" i="7" s="1"/>
  <c r="GQ26" i="8"/>
  <c r="GN24" i="7" s="1"/>
  <c r="GR26" i="8"/>
  <c r="GO24" i="7" s="1"/>
  <c r="GS26" i="8"/>
  <c r="GP24" i="7" s="1"/>
  <c r="GT26" i="8"/>
  <c r="GQ24" i="7" s="1"/>
  <c r="GU26" i="8"/>
  <c r="GR24" i="7" s="1"/>
  <c r="GV26" i="8"/>
  <c r="GS24" i="7" s="1"/>
  <c r="GO27" i="8"/>
  <c r="GL25" i="7" s="1"/>
  <c r="GP27" i="8"/>
  <c r="GM25" i="7" s="1"/>
  <c r="GQ27" i="8"/>
  <c r="GN25" i="7" s="1"/>
  <c r="GR27" i="8"/>
  <c r="GO25" i="7" s="1"/>
  <c r="GS27" i="8"/>
  <c r="GP25" i="7" s="1"/>
  <c r="GT27" i="8"/>
  <c r="GQ25" i="7" s="1"/>
  <c r="GU27" i="8"/>
  <c r="GR25" i="7" s="1"/>
  <c r="GV27" i="8"/>
  <c r="GS25" i="7" s="1"/>
  <c r="GO28" i="8"/>
  <c r="GL26" i="7" s="1"/>
  <c r="GP28" i="8"/>
  <c r="GM26" i="7" s="1"/>
  <c r="GQ28" i="8"/>
  <c r="GN26" i="7" s="1"/>
  <c r="GR28" i="8"/>
  <c r="GO26" i="7" s="1"/>
  <c r="GS28" i="8"/>
  <c r="GP26" i="7" s="1"/>
  <c r="GT28" i="8"/>
  <c r="GQ26" i="7" s="1"/>
  <c r="GU28" i="8"/>
  <c r="GR26" i="7" s="1"/>
  <c r="GV28" i="8"/>
  <c r="GS26" i="7" s="1"/>
  <c r="GO29" i="8"/>
  <c r="GL27" i="7" s="1"/>
  <c r="GP29" i="8"/>
  <c r="GM27" i="7" s="1"/>
  <c r="GQ29" i="8"/>
  <c r="GN27" i="7" s="1"/>
  <c r="GR29" i="8"/>
  <c r="GO27" i="7" s="1"/>
  <c r="GS29" i="8"/>
  <c r="GP27" i="7" s="1"/>
  <c r="GT29" i="8"/>
  <c r="GQ27" i="7" s="1"/>
  <c r="GU29" i="8"/>
  <c r="GR27" i="7" s="1"/>
  <c r="GV29" i="8"/>
  <c r="GS27" i="7" s="1"/>
  <c r="GO30" i="8"/>
  <c r="GL28" i="7" s="1"/>
  <c r="GP30" i="8"/>
  <c r="GM28" i="7" s="1"/>
  <c r="GQ30" i="8"/>
  <c r="GN28" i="7" s="1"/>
  <c r="GR30" i="8"/>
  <c r="GO28" i="7" s="1"/>
  <c r="GS30" i="8"/>
  <c r="GP28" i="7" s="1"/>
  <c r="GT30" i="8"/>
  <c r="GQ28" i="7" s="1"/>
  <c r="GU30" i="8"/>
  <c r="GR28" i="7" s="1"/>
  <c r="GV30" i="8"/>
  <c r="GS28" i="7" s="1"/>
  <c r="GO31" i="8"/>
  <c r="GL29" i="7" s="1"/>
  <c r="GP31" i="8"/>
  <c r="GM29" i="7" s="1"/>
  <c r="GQ31" i="8"/>
  <c r="GN29" i="7" s="1"/>
  <c r="GR31" i="8"/>
  <c r="GO29" i="7" s="1"/>
  <c r="GS31" i="8"/>
  <c r="GP29" i="7" s="1"/>
  <c r="GT31" i="8"/>
  <c r="GQ29" i="7" s="1"/>
  <c r="GU31" i="8"/>
  <c r="GR29" i="7" s="1"/>
  <c r="GV31" i="8"/>
  <c r="GS29" i="7" s="1"/>
  <c r="GO32" i="8"/>
  <c r="GL30" i="7" s="1"/>
  <c r="GP32" i="8"/>
  <c r="GM30" i="7" s="1"/>
  <c r="GQ32" i="8"/>
  <c r="GN30" i="7" s="1"/>
  <c r="GR32" i="8"/>
  <c r="GO30" i="7" s="1"/>
  <c r="GS32" i="8"/>
  <c r="GP30" i="7" s="1"/>
  <c r="GT32" i="8"/>
  <c r="GQ30" i="7" s="1"/>
  <c r="GU32" i="8"/>
  <c r="GR30" i="7" s="1"/>
  <c r="GV32" i="8"/>
  <c r="GS30" i="7" s="1"/>
  <c r="GO33" i="8"/>
  <c r="GL31" i="7" s="1"/>
  <c r="GP33" i="8"/>
  <c r="GM31" i="7" s="1"/>
  <c r="GQ33" i="8"/>
  <c r="GN31" i="7" s="1"/>
  <c r="GR33" i="8"/>
  <c r="GO31" i="7" s="1"/>
  <c r="GS33" i="8"/>
  <c r="GP31" i="7" s="1"/>
  <c r="GT33" i="8"/>
  <c r="GQ31" i="7" s="1"/>
  <c r="GU33" i="8"/>
  <c r="GR31" i="7" s="1"/>
  <c r="GV33" i="8"/>
  <c r="GS31" i="7" s="1"/>
  <c r="GO34" i="8"/>
  <c r="GL32" i="7" s="1"/>
  <c r="GP34" i="8"/>
  <c r="GM32" i="7" s="1"/>
  <c r="GQ34" i="8"/>
  <c r="GN32" i="7" s="1"/>
  <c r="GR34" i="8"/>
  <c r="GO32" i="7" s="1"/>
  <c r="GS34" i="8"/>
  <c r="GP32" i="7" s="1"/>
  <c r="GT34" i="8"/>
  <c r="GQ32" i="7" s="1"/>
  <c r="GU34" i="8"/>
  <c r="GR32" i="7" s="1"/>
  <c r="GV34" i="8"/>
  <c r="GS32" i="7" s="1"/>
  <c r="GO35" i="8"/>
  <c r="GL33" i="7" s="1"/>
  <c r="GP35" i="8"/>
  <c r="GM33" i="7" s="1"/>
  <c r="GQ35" i="8"/>
  <c r="GN33" i="7" s="1"/>
  <c r="GR35" i="8"/>
  <c r="GO33" i="7" s="1"/>
  <c r="GS35" i="8"/>
  <c r="GP33" i="7" s="1"/>
  <c r="GT35" i="8"/>
  <c r="GQ33" i="7" s="1"/>
  <c r="GU35" i="8"/>
  <c r="GR33" i="7" s="1"/>
  <c r="GV35" i="8"/>
  <c r="GS33" i="7" s="1"/>
  <c r="GV6" i="8"/>
  <c r="GS4" i="7" s="1"/>
  <c r="GU6" i="8"/>
  <c r="GR4" i="7" s="1"/>
  <c r="GT6" i="8"/>
  <c r="GQ4" i="7" s="1"/>
  <c r="GS6" i="8"/>
  <c r="GP4" i="7" s="1"/>
  <c r="GR6" i="8"/>
  <c r="GO4" i="7" s="1"/>
  <c r="GQ6" i="8"/>
  <c r="GN4" i="7" s="1"/>
  <c r="GP6" i="8"/>
  <c r="GM4" i="7" s="1"/>
  <c r="GO6" i="8"/>
  <c r="GL4" i="7" s="1"/>
  <c r="GF38" i="8"/>
  <c r="GG38" i="8"/>
  <c r="GH38" i="8"/>
  <c r="GI38" i="8"/>
  <c r="GJ38" i="8"/>
  <c r="GK38" i="8"/>
  <c r="GL38" i="8"/>
  <c r="GM38" i="8"/>
  <c r="GF39" i="8"/>
  <c r="GG39" i="8"/>
  <c r="GH39" i="8"/>
  <c r="GI39" i="8"/>
  <c r="GJ39" i="8"/>
  <c r="GK39" i="8"/>
  <c r="GL39" i="8"/>
  <c r="GM39" i="8"/>
  <c r="GF40" i="8"/>
  <c r="GG40" i="8"/>
  <c r="GH40" i="8"/>
  <c r="GI40" i="8"/>
  <c r="GJ40" i="8"/>
  <c r="GK40" i="8"/>
  <c r="GL40" i="8"/>
  <c r="GM40" i="8"/>
  <c r="GF41" i="8"/>
  <c r="GG41" i="8"/>
  <c r="GH41" i="8"/>
  <c r="GI41" i="8"/>
  <c r="GJ41" i="8"/>
  <c r="GK41" i="8"/>
  <c r="GL41" i="8"/>
  <c r="GM41" i="8"/>
  <c r="GF42" i="8"/>
  <c r="GG42" i="8"/>
  <c r="GH42" i="8"/>
  <c r="GI42" i="8"/>
  <c r="GJ42" i="8"/>
  <c r="GK42" i="8"/>
  <c r="GL42" i="8"/>
  <c r="GM42" i="8"/>
  <c r="GF43" i="8"/>
  <c r="GG43" i="8"/>
  <c r="GH43" i="8"/>
  <c r="GI43" i="8"/>
  <c r="GJ43" i="8"/>
  <c r="GK43" i="8"/>
  <c r="GL43" i="8"/>
  <c r="GM43" i="8"/>
  <c r="GF44" i="8"/>
  <c r="GG44" i="8"/>
  <c r="GH44" i="8"/>
  <c r="GI44" i="8"/>
  <c r="GJ44" i="8"/>
  <c r="GK44" i="8"/>
  <c r="GL44" i="8"/>
  <c r="GM44" i="8"/>
  <c r="GF45" i="8"/>
  <c r="GG45" i="8"/>
  <c r="GH45" i="8"/>
  <c r="GI45" i="8"/>
  <c r="GJ45" i="8"/>
  <c r="GK45" i="8"/>
  <c r="GL45" i="8"/>
  <c r="GM45" i="8"/>
  <c r="GF46" i="8"/>
  <c r="GG46" i="8"/>
  <c r="GH46" i="8"/>
  <c r="GI46" i="8"/>
  <c r="GJ46" i="8"/>
  <c r="GK46" i="8"/>
  <c r="GL46" i="8"/>
  <c r="GM46" i="8"/>
  <c r="GF47" i="8"/>
  <c r="GG47" i="8"/>
  <c r="GH47" i="8"/>
  <c r="GI47" i="8"/>
  <c r="GJ47" i="8"/>
  <c r="GK47" i="8"/>
  <c r="GL47" i="8"/>
  <c r="GM47" i="8"/>
  <c r="GF48" i="8"/>
  <c r="GG48" i="8"/>
  <c r="GH48" i="8"/>
  <c r="GI48" i="8"/>
  <c r="GJ48" i="8"/>
  <c r="GK48" i="8"/>
  <c r="GL48" i="8"/>
  <c r="GM48" i="8"/>
  <c r="GF49" i="8"/>
  <c r="GG49" i="8"/>
  <c r="GH49" i="8"/>
  <c r="GI49" i="8"/>
  <c r="GJ49" i="8"/>
  <c r="GK49" i="8"/>
  <c r="GL49" i="8"/>
  <c r="GM49" i="8"/>
  <c r="GF50" i="8"/>
  <c r="GG50" i="8"/>
  <c r="GH50" i="8"/>
  <c r="GI50" i="8"/>
  <c r="GJ50" i="8"/>
  <c r="GK50" i="8"/>
  <c r="GL50" i="8"/>
  <c r="GM50" i="8"/>
  <c r="GF51" i="8"/>
  <c r="GG51" i="8"/>
  <c r="GH51" i="8"/>
  <c r="GI51" i="8"/>
  <c r="GJ51" i="8"/>
  <c r="GK51" i="8"/>
  <c r="GL51" i="8"/>
  <c r="GM51" i="8"/>
  <c r="GF52" i="8"/>
  <c r="GG52" i="8"/>
  <c r="GH52" i="8"/>
  <c r="GI52" i="8"/>
  <c r="GJ52" i="8"/>
  <c r="GK52" i="8"/>
  <c r="GL52" i="8"/>
  <c r="GM52" i="8"/>
  <c r="GF53" i="8"/>
  <c r="GG53" i="8"/>
  <c r="GH53" i="8"/>
  <c r="GI53" i="8"/>
  <c r="GJ53" i="8"/>
  <c r="GK53" i="8"/>
  <c r="GL53" i="8"/>
  <c r="GM53" i="8"/>
  <c r="GF54" i="8"/>
  <c r="GG54" i="8"/>
  <c r="GH54" i="8"/>
  <c r="GI54" i="8"/>
  <c r="GJ54" i="8"/>
  <c r="GK54" i="8"/>
  <c r="GL54" i="8"/>
  <c r="GM54" i="8"/>
  <c r="GF55" i="8"/>
  <c r="GG55" i="8"/>
  <c r="GH55" i="8"/>
  <c r="GI55" i="8"/>
  <c r="GJ55" i="8"/>
  <c r="GK55" i="8"/>
  <c r="GL55" i="8"/>
  <c r="GM55" i="8"/>
  <c r="GF56" i="8"/>
  <c r="GG56" i="8"/>
  <c r="GH56" i="8"/>
  <c r="GI56" i="8"/>
  <c r="GJ56" i="8"/>
  <c r="GK56" i="8"/>
  <c r="GL56" i="8"/>
  <c r="GM56" i="8"/>
  <c r="GF57" i="8"/>
  <c r="GG57" i="8"/>
  <c r="GH57" i="8"/>
  <c r="GI57" i="8"/>
  <c r="GJ57" i="8"/>
  <c r="GK57" i="8"/>
  <c r="GL57" i="8"/>
  <c r="GM57" i="8"/>
  <c r="GF58" i="8"/>
  <c r="GG58" i="8"/>
  <c r="GH58" i="8"/>
  <c r="GI58" i="8"/>
  <c r="GJ58" i="8"/>
  <c r="GK58" i="8"/>
  <c r="GL58" i="8"/>
  <c r="GM58" i="8"/>
  <c r="GF59" i="8"/>
  <c r="GG59" i="8"/>
  <c r="GH59" i="8"/>
  <c r="GI59" i="8"/>
  <c r="GJ59" i="8"/>
  <c r="GK59" i="8"/>
  <c r="GL59" i="8"/>
  <c r="GM59" i="8"/>
  <c r="GF60" i="8"/>
  <c r="GG60" i="8"/>
  <c r="GH60" i="8"/>
  <c r="GI60" i="8"/>
  <c r="GJ60" i="8"/>
  <c r="GK60" i="8"/>
  <c r="GL60" i="8"/>
  <c r="GM60" i="8"/>
  <c r="GF61" i="8"/>
  <c r="GG61" i="8"/>
  <c r="GH61" i="8"/>
  <c r="GI61" i="8"/>
  <c r="GJ61" i="8"/>
  <c r="GK61" i="8"/>
  <c r="GL61" i="8"/>
  <c r="GM61" i="8"/>
  <c r="GF62" i="8"/>
  <c r="GG62" i="8"/>
  <c r="GH62" i="8"/>
  <c r="GI62" i="8"/>
  <c r="GJ62" i="8"/>
  <c r="GK62" i="8"/>
  <c r="GL62" i="8"/>
  <c r="GM62" i="8"/>
  <c r="GF63" i="8"/>
  <c r="GG63" i="8"/>
  <c r="GH63" i="8"/>
  <c r="GI63" i="8"/>
  <c r="GJ63" i="8"/>
  <c r="GK63" i="8"/>
  <c r="GL63" i="8"/>
  <c r="GM63" i="8"/>
  <c r="GF64" i="8"/>
  <c r="GG64" i="8"/>
  <c r="GH64" i="8"/>
  <c r="GI64" i="8"/>
  <c r="GJ64" i="8"/>
  <c r="GK64" i="8"/>
  <c r="GL64" i="8"/>
  <c r="GM64" i="8"/>
  <c r="GF65" i="8"/>
  <c r="GG65" i="8"/>
  <c r="GH65" i="8"/>
  <c r="GI65" i="8"/>
  <c r="GJ65" i="8"/>
  <c r="GK65" i="8"/>
  <c r="GL65" i="8"/>
  <c r="GM65" i="8"/>
  <c r="GF66" i="8"/>
  <c r="GG66" i="8"/>
  <c r="GH66" i="8"/>
  <c r="GI66" i="8"/>
  <c r="GJ66" i="8"/>
  <c r="GK66" i="8"/>
  <c r="GL66" i="8"/>
  <c r="GM66" i="8"/>
  <c r="GM37" i="8"/>
  <c r="GL37" i="8"/>
  <c r="GK37" i="8"/>
  <c r="GJ37" i="8"/>
  <c r="GI37" i="8"/>
  <c r="GH37" i="8"/>
  <c r="GG37" i="8"/>
  <c r="GF37" i="8"/>
  <c r="GF7" i="8"/>
  <c r="GB5" i="7" s="1"/>
  <c r="GG7" i="8"/>
  <c r="GC5" i="7" s="1"/>
  <c r="GH7" i="8"/>
  <c r="GD5" i="7" s="1"/>
  <c r="GI7" i="8"/>
  <c r="GE5" i="7" s="1"/>
  <c r="GJ7" i="8"/>
  <c r="GF5" i="7" s="1"/>
  <c r="GK7" i="8"/>
  <c r="GG5" i="7" s="1"/>
  <c r="GL7" i="8"/>
  <c r="GH5" i="7" s="1"/>
  <c r="GM7" i="8"/>
  <c r="GI5" i="7" s="1"/>
  <c r="GF8" i="8"/>
  <c r="GB6" i="7" s="1"/>
  <c r="GG8" i="8"/>
  <c r="GC6" i="7" s="1"/>
  <c r="GH8" i="8"/>
  <c r="GD6" i="7" s="1"/>
  <c r="GI8" i="8"/>
  <c r="GE6" i="7" s="1"/>
  <c r="GJ8" i="8"/>
  <c r="GF6" i="7" s="1"/>
  <c r="GK8" i="8"/>
  <c r="GG6" i="7" s="1"/>
  <c r="GL8" i="8"/>
  <c r="GH6" i="7" s="1"/>
  <c r="GM8" i="8"/>
  <c r="GI6" i="7" s="1"/>
  <c r="GF9" i="8"/>
  <c r="GB7" i="7" s="1"/>
  <c r="GG9" i="8"/>
  <c r="GC7" i="7" s="1"/>
  <c r="GH9" i="8"/>
  <c r="GD7" i="7" s="1"/>
  <c r="GI9" i="8"/>
  <c r="GE7" i="7" s="1"/>
  <c r="GJ9" i="8"/>
  <c r="GF7" i="7" s="1"/>
  <c r="GK9" i="8"/>
  <c r="GG7" i="7" s="1"/>
  <c r="GL9" i="8"/>
  <c r="GH7" i="7" s="1"/>
  <c r="GM9" i="8"/>
  <c r="GI7" i="7" s="1"/>
  <c r="GF10" i="8"/>
  <c r="GB8" i="7" s="1"/>
  <c r="GG10" i="8"/>
  <c r="GC8" i="7" s="1"/>
  <c r="GH10" i="8"/>
  <c r="GD8" i="7" s="1"/>
  <c r="GI10" i="8"/>
  <c r="GE8" i="7" s="1"/>
  <c r="GJ10" i="8"/>
  <c r="GF8" i="7" s="1"/>
  <c r="GK10" i="8"/>
  <c r="GG8" i="7" s="1"/>
  <c r="GL10" i="8"/>
  <c r="GH8" i="7" s="1"/>
  <c r="GM10" i="8"/>
  <c r="GI8" i="7" s="1"/>
  <c r="GF11" i="8"/>
  <c r="GB9" i="7" s="1"/>
  <c r="GG11" i="8"/>
  <c r="GC9" i="7" s="1"/>
  <c r="GH11" i="8"/>
  <c r="GD9" i="7" s="1"/>
  <c r="GI11" i="8"/>
  <c r="GE9" i="7" s="1"/>
  <c r="GJ11" i="8"/>
  <c r="GF9" i="7" s="1"/>
  <c r="GK11" i="8"/>
  <c r="GG9" i="7" s="1"/>
  <c r="GL11" i="8"/>
  <c r="GH9" i="7" s="1"/>
  <c r="GM11" i="8"/>
  <c r="GI9" i="7" s="1"/>
  <c r="GF12" i="8"/>
  <c r="GB10" i="7" s="1"/>
  <c r="GG12" i="8"/>
  <c r="GC10" i="7" s="1"/>
  <c r="GH12" i="8"/>
  <c r="GD10" i="7" s="1"/>
  <c r="GI12" i="8"/>
  <c r="GE10" i="7" s="1"/>
  <c r="GJ12" i="8"/>
  <c r="GF10" i="7" s="1"/>
  <c r="GK12" i="8"/>
  <c r="GG10" i="7" s="1"/>
  <c r="GL12" i="8"/>
  <c r="GH10" i="7" s="1"/>
  <c r="GM12" i="8"/>
  <c r="GI10" i="7" s="1"/>
  <c r="GF13" i="8"/>
  <c r="GB11" i="7" s="1"/>
  <c r="GG13" i="8"/>
  <c r="GC11" i="7" s="1"/>
  <c r="GH13" i="8"/>
  <c r="GD11" i="7" s="1"/>
  <c r="GI13" i="8"/>
  <c r="GE11" i="7" s="1"/>
  <c r="GJ13" i="8"/>
  <c r="GF11" i="7" s="1"/>
  <c r="GK13" i="8"/>
  <c r="GG11" i="7" s="1"/>
  <c r="GL13" i="8"/>
  <c r="GH11" i="7" s="1"/>
  <c r="GM13" i="8"/>
  <c r="GI11" i="7" s="1"/>
  <c r="GF14" i="8"/>
  <c r="GB12" i="7" s="1"/>
  <c r="GG14" i="8"/>
  <c r="GC12" i="7" s="1"/>
  <c r="GH14" i="8"/>
  <c r="GD12" i="7" s="1"/>
  <c r="GI14" i="8"/>
  <c r="GE12" i="7" s="1"/>
  <c r="GJ14" i="8"/>
  <c r="GF12" i="7" s="1"/>
  <c r="GK14" i="8"/>
  <c r="GG12" i="7" s="1"/>
  <c r="GL14" i="8"/>
  <c r="GH12" i="7" s="1"/>
  <c r="GM14" i="8"/>
  <c r="GI12" i="7" s="1"/>
  <c r="GF15" i="8"/>
  <c r="GB13" i="7" s="1"/>
  <c r="GG15" i="8"/>
  <c r="GC13" i="7" s="1"/>
  <c r="GH15" i="8"/>
  <c r="GD13" i="7" s="1"/>
  <c r="GI15" i="8"/>
  <c r="GE13" i="7" s="1"/>
  <c r="GJ15" i="8"/>
  <c r="GF13" i="7" s="1"/>
  <c r="GK15" i="8"/>
  <c r="GG13" i="7" s="1"/>
  <c r="GL15" i="8"/>
  <c r="GH13" i="7" s="1"/>
  <c r="GM15" i="8"/>
  <c r="GI13" i="7" s="1"/>
  <c r="GF16" i="8"/>
  <c r="GB14" i="7" s="1"/>
  <c r="GG16" i="8"/>
  <c r="GC14" i="7" s="1"/>
  <c r="GH16" i="8"/>
  <c r="GD14" i="7" s="1"/>
  <c r="GI16" i="8"/>
  <c r="GE14" i="7" s="1"/>
  <c r="GJ16" i="8"/>
  <c r="GF14" i="7" s="1"/>
  <c r="GK16" i="8"/>
  <c r="GG14" i="7" s="1"/>
  <c r="GL16" i="8"/>
  <c r="GH14" i="7" s="1"/>
  <c r="GM16" i="8"/>
  <c r="GI14" i="7" s="1"/>
  <c r="GF17" i="8"/>
  <c r="GB15" i="7" s="1"/>
  <c r="GG17" i="8"/>
  <c r="GC15" i="7" s="1"/>
  <c r="GH17" i="8"/>
  <c r="GD15" i="7" s="1"/>
  <c r="GI17" i="8"/>
  <c r="GE15" i="7" s="1"/>
  <c r="GJ17" i="8"/>
  <c r="GF15" i="7" s="1"/>
  <c r="GK17" i="8"/>
  <c r="GG15" i="7" s="1"/>
  <c r="GL17" i="8"/>
  <c r="GH15" i="7" s="1"/>
  <c r="GM17" i="8"/>
  <c r="GI15" i="7" s="1"/>
  <c r="GF18" i="8"/>
  <c r="GB16" i="7" s="1"/>
  <c r="GG18" i="8"/>
  <c r="GC16" i="7" s="1"/>
  <c r="GH18" i="8"/>
  <c r="GD16" i="7" s="1"/>
  <c r="GI18" i="8"/>
  <c r="GE16" i="7" s="1"/>
  <c r="GJ18" i="8"/>
  <c r="GF16" i="7" s="1"/>
  <c r="GK18" i="8"/>
  <c r="GG16" i="7" s="1"/>
  <c r="GL18" i="8"/>
  <c r="GH16" i="7" s="1"/>
  <c r="GM18" i="8"/>
  <c r="GI16" i="7" s="1"/>
  <c r="GF19" i="8"/>
  <c r="GB17" i="7" s="1"/>
  <c r="GG19" i="8"/>
  <c r="GC17" i="7" s="1"/>
  <c r="GH19" i="8"/>
  <c r="GD17" i="7" s="1"/>
  <c r="GI19" i="8"/>
  <c r="GE17" i="7" s="1"/>
  <c r="GJ19" i="8"/>
  <c r="GF17" i="7" s="1"/>
  <c r="GK19" i="8"/>
  <c r="GG17" i="7" s="1"/>
  <c r="GL19" i="8"/>
  <c r="GH17" i="7" s="1"/>
  <c r="GM19" i="8"/>
  <c r="GI17" i="7" s="1"/>
  <c r="GF20" i="8"/>
  <c r="GB18" i="7" s="1"/>
  <c r="GG20" i="8"/>
  <c r="GC18" i="7" s="1"/>
  <c r="GH20" i="8"/>
  <c r="GD18" i="7" s="1"/>
  <c r="GI20" i="8"/>
  <c r="GE18" i="7" s="1"/>
  <c r="GJ20" i="8"/>
  <c r="GF18" i="7" s="1"/>
  <c r="GK20" i="8"/>
  <c r="GG18" i="7" s="1"/>
  <c r="GL20" i="8"/>
  <c r="GH18" i="7" s="1"/>
  <c r="GM20" i="8"/>
  <c r="GI18" i="7" s="1"/>
  <c r="GF21" i="8"/>
  <c r="GB19" i="7" s="1"/>
  <c r="GG21" i="8"/>
  <c r="GC19" i="7" s="1"/>
  <c r="GH21" i="8"/>
  <c r="GD19" i="7" s="1"/>
  <c r="GI21" i="8"/>
  <c r="GE19" i="7" s="1"/>
  <c r="GJ21" i="8"/>
  <c r="GF19" i="7" s="1"/>
  <c r="GK21" i="8"/>
  <c r="GG19" i="7" s="1"/>
  <c r="GL21" i="8"/>
  <c r="GH19" i="7" s="1"/>
  <c r="GM21" i="8"/>
  <c r="GI19" i="7" s="1"/>
  <c r="GF22" i="8"/>
  <c r="GG22" i="8"/>
  <c r="GH22" i="8"/>
  <c r="GI22" i="8"/>
  <c r="GJ22" i="8"/>
  <c r="GK22" i="8"/>
  <c r="GL22" i="8"/>
  <c r="GM22" i="8"/>
  <c r="GF23" i="8"/>
  <c r="GB21" i="7" s="1"/>
  <c r="GG23" i="8"/>
  <c r="GC21" i="7" s="1"/>
  <c r="GH23" i="8"/>
  <c r="GD21" i="7" s="1"/>
  <c r="GI23" i="8"/>
  <c r="GE21" i="7" s="1"/>
  <c r="GJ23" i="8"/>
  <c r="GF21" i="7" s="1"/>
  <c r="GK23" i="8"/>
  <c r="GG21" i="7" s="1"/>
  <c r="GL23" i="8"/>
  <c r="GH21" i="7" s="1"/>
  <c r="GM23" i="8"/>
  <c r="GI21" i="7" s="1"/>
  <c r="GF24" i="8"/>
  <c r="GB22" i="7" s="1"/>
  <c r="GG24" i="8"/>
  <c r="GC22" i="7" s="1"/>
  <c r="GH24" i="8"/>
  <c r="GD22" i="7" s="1"/>
  <c r="GI24" i="8"/>
  <c r="GE22" i="7" s="1"/>
  <c r="GJ24" i="8"/>
  <c r="GF22" i="7" s="1"/>
  <c r="GK24" i="8"/>
  <c r="GG22" i="7" s="1"/>
  <c r="GL24" i="8"/>
  <c r="GH22" i="7" s="1"/>
  <c r="GM24" i="8"/>
  <c r="GI22" i="7" s="1"/>
  <c r="GF25" i="8"/>
  <c r="GB23" i="7" s="1"/>
  <c r="GG25" i="8"/>
  <c r="GC23" i="7" s="1"/>
  <c r="GH25" i="8"/>
  <c r="GD23" i="7" s="1"/>
  <c r="GI25" i="8"/>
  <c r="GE23" i="7" s="1"/>
  <c r="GJ25" i="8"/>
  <c r="GF23" i="7" s="1"/>
  <c r="GK25" i="8"/>
  <c r="GG23" i="7" s="1"/>
  <c r="GL25" i="8"/>
  <c r="GH23" i="7" s="1"/>
  <c r="GM25" i="8"/>
  <c r="GI23" i="7" s="1"/>
  <c r="GF26" i="8"/>
  <c r="GB24" i="7" s="1"/>
  <c r="GG26" i="8"/>
  <c r="GC24" i="7" s="1"/>
  <c r="GH26" i="8"/>
  <c r="GD24" i="7" s="1"/>
  <c r="GI26" i="8"/>
  <c r="GE24" i="7" s="1"/>
  <c r="GJ26" i="8"/>
  <c r="GF24" i="7" s="1"/>
  <c r="GK26" i="8"/>
  <c r="GG24" i="7" s="1"/>
  <c r="GL26" i="8"/>
  <c r="GH24" i="7" s="1"/>
  <c r="GM26" i="8"/>
  <c r="GI24" i="7" s="1"/>
  <c r="GF27" i="8"/>
  <c r="GB25" i="7" s="1"/>
  <c r="GG27" i="8"/>
  <c r="GC25" i="7" s="1"/>
  <c r="GH27" i="8"/>
  <c r="GD25" i="7" s="1"/>
  <c r="GI27" i="8"/>
  <c r="GE25" i="7" s="1"/>
  <c r="GJ27" i="8"/>
  <c r="GF25" i="7" s="1"/>
  <c r="GK27" i="8"/>
  <c r="GG25" i="7" s="1"/>
  <c r="GL27" i="8"/>
  <c r="GH25" i="7" s="1"/>
  <c r="GM27" i="8"/>
  <c r="GI25" i="7" s="1"/>
  <c r="GF28" i="8"/>
  <c r="GB26" i="7" s="1"/>
  <c r="GG28" i="8"/>
  <c r="GC26" i="7" s="1"/>
  <c r="GH28" i="8"/>
  <c r="GD26" i="7" s="1"/>
  <c r="GI28" i="8"/>
  <c r="GE26" i="7" s="1"/>
  <c r="GJ28" i="8"/>
  <c r="GF26" i="7" s="1"/>
  <c r="GK28" i="8"/>
  <c r="GG26" i="7" s="1"/>
  <c r="GL28" i="8"/>
  <c r="GH26" i="7" s="1"/>
  <c r="GM28" i="8"/>
  <c r="GI26" i="7" s="1"/>
  <c r="GF29" i="8"/>
  <c r="GB27" i="7" s="1"/>
  <c r="GG29" i="8"/>
  <c r="GC27" i="7" s="1"/>
  <c r="GH29" i="8"/>
  <c r="GD27" i="7" s="1"/>
  <c r="GI29" i="8"/>
  <c r="GE27" i="7" s="1"/>
  <c r="GJ29" i="8"/>
  <c r="GF27" i="7" s="1"/>
  <c r="GK29" i="8"/>
  <c r="GG27" i="7" s="1"/>
  <c r="GL29" i="8"/>
  <c r="GH27" i="7" s="1"/>
  <c r="GM29" i="8"/>
  <c r="GI27" i="7" s="1"/>
  <c r="GF30" i="8"/>
  <c r="GB28" i="7" s="1"/>
  <c r="GG30" i="8"/>
  <c r="GC28" i="7" s="1"/>
  <c r="GH30" i="8"/>
  <c r="GD28" i="7" s="1"/>
  <c r="GI30" i="8"/>
  <c r="GE28" i="7" s="1"/>
  <c r="GJ30" i="8"/>
  <c r="GF28" i="7" s="1"/>
  <c r="GK30" i="8"/>
  <c r="GG28" i="7" s="1"/>
  <c r="GL30" i="8"/>
  <c r="GH28" i="7" s="1"/>
  <c r="GM30" i="8"/>
  <c r="GI28" i="7" s="1"/>
  <c r="GF31" i="8"/>
  <c r="GB29" i="7" s="1"/>
  <c r="GG31" i="8"/>
  <c r="GC29" i="7" s="1"/>
  <c r="GH31" i="8"/>
  <c r="GD29" i="7" s="1"/>
  <c r="GI31" i="8"/>
  <c r="GE29" i="7" s="1"/>
  <c r="GJ31" i="8"/>
  <c r="GF29" i="7" s="1"/>
  <c r="GK31" i="8"/>
  <c r="GG29" i="7" s="1"/>
  <c r="GL31" i="8"/>
  <c r="GH29" i="7" s="1"/>
  <c r="GM31" i="8"/>
  <c r="GI29" i="7" s="1"/>
  <c r="GF32" i="8"/>
  <c r="GB30" i="7" s="1"/>
  <c r="GG32" i="8"/>
  <c r="GC30" i="7" s="1"/>
  <c r="GH32" i="8"/>
  <c r="GD30" i="7" s="1"/>
  <c r="GI32" i="8"/>
  <c r="GE30" i="7" s="1"/>
  <c r="GJ32" i="8"/>
  <c r="GF30" i="7" s="1"/>
  <c r="GK32" i="8"/>
  <c r="GG30" i="7" s="1"/>
  <c r="GL32" i="8"/>
  <c r="GH30" i="7" s="1"/>
  <c r="GM32" i="8"/>
  <c r="GI30" i="7" s="1"/>
  <c r="GF33" i="8"/>
  <c r="GB31" i="7" s="1"/>
  <c r="GG33" i="8"/>
  <c r="GC31" i="7" s="1"/>
  <c r="GH33" i="8"/>
  <c r="GD31" i="7" s="1"/>
  <c r="GI33" i="8"/>
  <c r="GE31" i="7" s="1"/>
  <c r="GJ33" i="8"/>
  <c r="GF31" i="7" s="1"/>
  <c r="GK33" i="8"/>
  <c r="GG31" i="7" s="1"/>
  <c r="GL33" i="8"/>
  <c r="GH31" i="7" s="1"/>
  <c r="GM33" i="8"/>
  <c r="GI31" i="7" s="1"/>
  <c r="GF34" i="8"/>
  <c r="GB32" i="7" s="1"/>
  <c r="GG34" i="8"/>
  <c r="GC32" i="7" s="1"/>
  <c r="GH34" i="8"/>
  <c r="GD32" i="7" s="1"/>
  <c r="GI34" i="8"/>
  <c r="GE32" i="7" s="1"/>
  <c r="GJ34" i="8"/>
  <c r="GF32" i="7" s="1"/>
  <c r="GK34" i="8"/>
  <c r="GG32" i="7" s="1"/>
  <c r="GL34" i="8"/>
  <c r="GH32" i="7" s="1"/>
  <c r="GM34" i="8"/>
  <c r="GI32" i="7" s="1"/>
  <c r="GF35" i="8"/>
  <c r="GB33" i="7" s="1"/>
  <c r="GG35" i="8"/>
  <c r="GC33" i="7" s="1"/>
  <c r="GH35" i="8"/>
  <c r="GD33" i="7" s="1"/>
  <c r="GI35" i="8"/>
  <c r="GE33" i="7" s="1"/>
  <c r="GJ35" i="8"/>
  <c r="GF33" i="7" s="1"/>
  <c r="GK35" i="8"/>
  <c r="GG33" i="7" s="1"/>
  <c r="GL35" i="8"/>
  <c r="GH33" i="7" s="1"/>
  <c r="GM35" i="8"/>
  <c r="GI33" i="7" s="1"/>
  <c r="GM6" i="8"/>
  <c r="GI4" i="7" s="1"/>
  <c r="GL6" i="8"/>
  <c r="GH4" i="7" s="1"/>
  <c r="GK6" i="8"/>
  <c r="GG4" i="7" s="1"/>
  <c r="GJ6" i="8"/>
  <c r="GF4" i="7" s="1"/>
  <c r="GI6" i="8"/>
  <c r="GE4" i="7" s="1"/>
  <c r="GH6" i="8"/>
  <c r="GD4" i="7" s="1"/>
  <c r="GG6" i="8"/>
  <c r="GC4" i="7" s="1"/>
  <c r="GF6" i="8"/>
  <c r="GB4" i="7" s="1"/>
  <c r="FW38" i="8"/>
  <c r="FX38" i="8"/>
  <c r="FY38" i="8"/>
  <c r="FZ38" i="8"/>
  <c r="GA38" i="8"/>
  <c r="GB38" i="8"/>
  <c r="GC38" i="8"/>
  <c r="GD38" i="8"/>
  <c r="FW39" i="8"/>
  <c r="FX39" i="8"/>
  <c r="FY39" i="8"/>
  <c r="FZ39" i="8"/>
  <c r="GA39" i="8"/>
  <c r="GB39" i="8"/>
  <c r="GC39" i="8"/>
  <c r="GD39" i="8"/>
  <c r="FW40" i="8"/>
  <c r="FX40" i="8"/>
  <c r="FY40" i="8"/>
  <c r="FZ40" i="8"/>
  <c r="GA40" i="8"/>
  <c r="GB40" i="8"/>
  <c r="GC40" i="8"/>
  <c r="GD40" i="8"/>
  <c r="FW41" i="8"/>
  <c r="FX41" i="8"/>
  <c r="FY41" i="8"/>
  <c r="FZ41" i="8"/>
  <c r="GA41" i="8"/>
  <c r="GB41" i="8"/>
  <c r="GC41" i="8"/>
  <c r="GD41" i="8"/>
  <c r="FW42" i="8"/>
  <c r="FX42" i="8"/>
  <c r="FY42" i="8"/>
  <c r="FZ42" i="8"/>
  <c r="GA42" i="8"/>
  <c r="GB42" i="8"/>
  <c r="GC42" i="8"/>
  <c r="GD42" i="8"/>
  <c r="FW43" i="8"/>
  <c r="FX43" i="8"/>
  <c r="FY43" i="8"/>
  <c r="FZ43" i="8"/>
  <c r="GA43" i="8"/>
  <c r="GB43" i="8"/>
  <c r="GC43" i="8"/>
  <c r="GD43" i="8"/>
  <c r="FW44" i="8"/>
  <c r="FX44" i="8"/>
  <c r="FY44" i="8"/>
  <c r="FZ44" i="8"/>
  <c r="GA44" i="8"/>
  <c r="GB44" i="8"/>
  <c r="GC44" i="8"/>
  <c r="GD44" i="8"/>
  <c r="FW45" i="8"/>
  <c r="FX45" i="8"/>
  <c r="FY45" i="8"/>
  <c r="FZ45" i="8"/>
  <c r="GA45" i="8"/>
  <c r="GB45" i="8"/>
  <c r="GC45" i="8"/>
  <c r="GD45" i="8"/>
  <c r="FW46" i="8"/>
  <c r="FX46" i="8"/>
  <c r="FY46" i="8"/>
  <c r="FZ46" i="8"/>
  <c r="GA46" i="8"/>
  <c r="GB46" i="8"/>
  <c r="GC46" i="8"/>
  <c r="GD46" i="8"/>
  <c r="FW47" i="8"/>
  <c r="FX47" i="8"/>
  <c r="FY47" i="8"/>
  <c r="FZ47" i="8"/>
  <c r="GA47" i="8"/>
  <c r="GB47" i="8"/>
  <c r="GC47" i="8"/>
  <c r="GD47" i="8"/>
  <c r="FW48" i="8"/>
  <c r="FX48" i="8"/>
  <c r="FY48" i="8"/>
  <c r="FZ48" i="8"/>
  <c r="GA48" i="8"/>
  <c r="GB48" i="8"/>
  <c r="GC48" i="8"/>
  <c r="GD48" i="8"/>
  <c r="FW49" i="8"/>
  <c r="FX49" i="8"/>
  <c r="FY49" i="8"/>
  <c r="FZ49" i="8"/>
  <c r="GA49" i="8"/>
  <c r="GB49" i="8"/>
  <c r="GC49" i="8"/>
  <c r="GD49" i="8"/>
  <c r="FW50" i="8"/>
  <c r="FX50" i="8"/>
  <c r="FY50" i="8"/>
  <c r="FZ50" i="8"/>
  <c r="GA50" i="8"/>
  <c r="GB50" i="8"/>
  <c r="GC50" i="8"/>
  <c r="GD50" i="8"/>
  <c r="FW51" i="8"/>
  <c r="FX51" i="8"/>
  <c r="FY51" i="8"/>
  <c r="FZ51" i="8"/>
  <c r="GA51" i="8"/>
  <c r="GB51" i="8"/>
  <c r="GC51" i="8"/>
  <c r="GD51" i="8"/>
  <c r="FW52" i="8"/>
  <c r="FX52" i="8"/>
  <c r="FY52" i="8"/>
  <c r="FZ52" i="8"/>
  <c r="GA52" i="8"/>
  <c r="GB52" i="8"/>
  <c r="GC52" i="8"/>
  <c r="GD52" i="8"/>
  <c r="FW53" i="8"/>
  <c r="FX53" i="8"/>
  <c r="FY53" i="8"/>
  <c r="FZ53" i="8"/>
  <c r="GA53" i="8"/>
  <c r="GB53" i="8"/>
  <c r="GC53" i="8"/>
  <c r="GD53" i="8"/>
  <c r="FW54" i="8"/>
  <c r="FX54" i="8"/>
  <c r="FY54" i="8"/>
  <c r="FZ54" i="8"/>
  <c r="GA54" i="8"/>
  <c r="GB54" i="8"/>
  <c r="GC54" i="8"/>
  <c r="GD54" i="8"/>
  <c r="FW55" i="8"/>
  <c r="FX55" i="8"/>
  <c r="FY55" i="8"/>
  <c r="FZ55" i="8"/>
  <c r="GA55" i="8"/>
  <c r="GB55" i="8"/>
  <c r="GC55" i="8"/>
  <c r="GD55" i="8"/>
  <c r="FW56" i="8"/>
  <c r="FX56" i="8"/>
  <c r="FY56" i="8"/>
  <c r="FZ56" i="8"/>
  <c r="GA56" i="8"/>
  <c r="GB56" i="8"/>
  <c r="GC56" i="8"/>
  <c r="GD56" i="8"/>
  <c r="FW57" i="8"/>
  <c r="FX57" i="8"/>
  <c r="FY57" i="8"/>
  <c r="FZ57" i="8"/>
  <c r="GA57" i="8"/>
  <c r="GB57" i="8"/>
  <c r="GC57" i="8"/>
  <c r="GD57" i="8"/>
  <c r="FW58" i="8"/>
  <c r="FX58" i="8"/>
  <c r="FY58" i="8"/>
  <c r="FZ58" i="8"/>
  <c r="GA58" i="8"/>
  <c r="GB58" i="8"/>
  <c r="GC58" i="8"/>
  <c r="GD58" i="8"/>
  <c r="FW59" i="8"/>
  <c r="FX59" i="8"/>
  <c r="FY59" i="8"/>
  <c r="FZ59" i="8"/>
  <c r="GA59" i="8"/>
  <c r="GB59" i="8"/>
  <c r="GC59" i="8"/>
  <c r="GD59" i="8"/>
  <c r="FW60" i="8"/>
  <c r="FX60" i="8"/>
  <c r="FY60" i="8"/>
  <c r="FZ60" i="8"/>
  <c r="GA60" i="8"/>
  <c r="GB60" i="8"/>
  <c r="GC60" i="8"/>
  <c r="GD60" i="8"/>
  <c r="FW61" i="8"/>
  <c r="FX61" i="8"/>
  <c r="FY61" i="8"/>
  <c r="FZ61" i="8"/>
  <c r="GA61" i="8"/>
  <c r="GB61" i="8"/>
  <c r="GC61" i="8"/>
  <c r="GD61" i="8"/>
  <c r="FW62" i="8"/>
  <c r="FX62" i="8"/>
  <c r="FY62" i="8"/>
  <c r="FZ62" i="8"/>
  <c r="GA62" i="8"/>
  <c r="GB62" i="8"/>
  <c r="GC62" i="8"/>
  <c r="GD62" i="8"/>
  <c r="FW63" i="8"/>
  <c r="FX63" i="8"/>
  <c r="FY63" i="8"/>
  <c r="FZ63" i="8"/>
  <c r="GA63" i="8"/>
  <c r="GB63" i="8"/>
  <c r="GC63" i="8"/>
  <c r="GD63" i="8"/>
  <c r="FW64" i="8"/>
  <c r="FX64" i="8"/>
  <c r="FY64" i="8"/>
  <c r="FZ64" i="8"/>
  <c r="GA64" i="8"/>
  <c r="GB64" i="8"/>
  <c r="GC64" i="8"/>
  <c r="GD64" i="8"/>
  <c r="FW65" i="8"/>
  <c r="FX65" i="8"/>
  <c r="FY65" i="8"/>
  <c r="FZ65" i="8"/>
  <c r="GA65" i="8"/>
  <c r="GB65" i="8"/>
  <c r="GC65" i="8"/>
  <c r="GD65" i="8"/>
  <c r="FW66" i="8"/>
  <c r="FX66" i="8"/>
  <c r="FY66" i="8"/>
  <c r="FZ66" i="8"/>
  <c r="GA66" i="8"/>
  <c r="GB66" i="8"/>
  <c r="GC66" i="8"/>
  <c r="GD66" i="8"/>
  <c r="GD37" i="8"/>
  <c r="GC37" i="8"/>
  <c r="GB37" i="8"/>
  <c r="GA37" i="8"/>
  <c r="FZ37" i="8"/>
  <c r="FY37" i="8"/>
  <c r="FX37" i="8"/>
  <c r="FW37" i="8"/>
  <c r="FW7" i="8"/>
  <c r="FR5" i="7" s="1"/>
  <c r="FS5" i="7"/>
  <c r="FT5" i="7"/>
  <c r="FU5" i="7"/>
  <c r="FV5" i="7"/>
  <c r="FW5" i="7"/>
  <c r="FX5" i="7"/>
  <c r="FY5" i="7"/>
  <c r="FW8" i="8"/>
  <c r="FR6" i="7" s="1"/>
  <c r="FS6" i="7"/>
  <c r="FT6" i="7"/>
  <c r="FU6" i="7"/>
  <c r="FV6" i="7"/>
  <c r="FW6" i="7"/>
  <c r="FX6" i="7"/>
  <c r="FY6" i="7"/>
  <c r="FW9" i="8"/>
  <c r="FR7" i="7" s="1"/>
  <c r="FS7" i="7"/>
  <c r="FT7" i="7"/>
  <c r="FU7" i="7"/>
  <c r="FV7" i="7"/>
  <c r="FW7" i="7"/>
  <c r="FX7" i="7"/>
  <c r="FY7" i="7"/>
  <c r="FW10" i="8"/>
  <c r="FR8" i="7" s="1"/>
  <c r="FS8" i="7"/>
  <c r="FT8" i="7"/>
  <c r="FU8" i="7"/>
  <c r="FV8" i="7"/>
  <c r="FW8" i="7"/>
  <c r="FX8" i="7"/>
  <c r="FY8" i="7"/>
  <c r="FW11" i="8"/>
  <c r="FR9" i="7" s="1"/>
  <c r="FS9" i="7"/>
  <c r="FT9" i="7"/>
  <c r="FU9" i="7"/>
  <c r="FV9" i="7"/>
  <c r="FW9" i="7"/>
  <c r="FX9" i="7"/>
  <c r="FY9" i="7"/>
  <c r="FW12" i="8"/>
  <c r="FR10" i="7" s="1"/>
  <c r="FS10" i="7"/>
  <c r="FT10" i="7"/>
  <c r="FU10" i="7"/>
  <c r="FV10" i="7"/>
  <c r="FW10" i="7"/>
  <c r="FX10" i="7"/>
  <c r="FY10" i="7"/>
  <c r="FW13" i="8"/>
  <c r="FR11" i="7" s="1"/>
  <c r="FS11" i="7"/>
  <c r="FT11" i="7"/>
  <c r="FU11" i="7"/>
  <c r="FV11" i="7"/>
  <c r="FW11" i="7"/>
  <c r="FX11" i="7"/>
  <c r="FY11" i="7"/>
  <c r="FW14" i="8"/>
  <c r="FR12" i="7" s="1"/>
  <c r="FS12" i="7"/>
  <c r="FT12" i="7"/>
  <c r="FU12" i="7"/>
  <c r="FV12" i="7"/>
  <c r="FW12" i="7"/>
  <c r="FX12" i="7"/>
  <c r="FY12" i="7"/>
  <c r="FW15" i="8"/>
  <c r="FR13" i="7" s="1"/>
  <c r="FS13" i="7"/>
  <c r="FT13" i="7"/>
  <c r="FU13" i="7"/>
  <c r="FV13" i="7"/>
  <c r="FW13" i="7"/>
  <c r="FX13" i="7"/>
  <c r="FY13" i="7"/>
  <c r="FW16" i="8"/>
  <c r="FR14" i="7" s="1"/>
  <c r="FS14" i="7"/>
  <c r="FT14" i="7"/>
  <c r="FU14" i="7"/>
  <c r="FV14" i="7"/>
  <c r="FW14" i="7"/>
  <c r="FX14" i="7"/>
  <c r="FY14" i="7"/>
  <c r="FW17" i="8"/>
  <c r="FR15" i="7" s="1"/>
  <c r="FS15" i="7"/>
  <c r="FT15" i="7"/>
  <c r="FU15" i="7"/>
  <c r="FV15" i="7"/>
  <c r="FW15" i="7"/>
  <c r="FX15" i="7"/>
  <c r="FY15" i="7"/>
  <c r="FW18" i="8"/>
  <c r="FR16" i="7" s="1"/>
  <c r="FS16" i="7"/>
  <c r="FT16" i="7"/>
  <c r="FU16" i="7"/>
  <c r="FV16" i="7"/>
  <c r="FW16" i="7"/>
  <c r="FX16" i="7"/>
  <c r="FY16" i="7"/>
  <c r="FW19" i="8"/>
  <c r="FR17" i="7" s="1"/>
  <c r="FS17" i="7"/>
  <c r="FT17" i="7"/>
  <c r="FU17" i="7"/>
  <c r="FV17" i="7"/>
  <c r="FW17" i="7"/>
  <c r="FX17" i="7"/>
  <c r="FY17" i="7"/>
  <c r="FW20" i="8"/>
  <c r="FR18" i="7" s="1"/>
  <c r="FS18" i="7"/>
  <c r="FT18" i="7"/>
  <c r="FU18" i="7"/>
  <c r="FV18" i="7"/>
  <c r="FW18" i="7"/>
  <c r="FX18" i="7"/>
  <c r="FY18" i="7"/>
  <c r="FW21" i="8"/>
  <c r="FR19" i="7" s="1"/>
  <c r="FS19" i="7"/>
  <c r="FT19" i="7"/>
  <c r="FU19" i="7"/>
  <c r="FV19" i="7"/>
  <c r="FW19" i="7"/>
  <c r="FX19" i="7"/>
  <c r="FY19" i="7"/>
  <c r="FW22" i="8"/>
  <c r="FW23" i="8"/>
  <c r="FR21" i="7" s="1"/>
  <c r="FS21" i="7"/>
  <c r="FT21" i="7"/>
  <c r="FU21" i="7"/>
  <c r="FV21" i="7"/>
  <c r="FW21" i="7"/>
  <c r="FX21" i="7"/>
  <c r="FY21" i="7"/>
  <c r="FW24" i="8"/>
  <c r="FR22" i="7" s="1"/>
  <c r="FS22" i="7"/>
  <c r="FT22" i="7"/>
  <c r="FU22" i="7"/>
  <c r="FV22" i="7"/>
  <c r="FW22" i="7"/>
  <c r="FX22" i="7"/>
  <c r="FY22" i="7"/>
  <c r="FW25" i="8"/>
  <c r="FR23" i="7" s="1"/>
  <c r="FS23" i="7"/>
  <c r="FT23" i="7"/>
  <c r="FU23" i="7"/>
  <c r="FV23" i="7"/>
  <c r="FW23" i="7"/>
  <c r="FX23" i="7"/>
  <c r="FY23" i="7"/>
  <c r="FW26" i="8"/>
  <c r="FR24" i="7" s="1"/>
  <c r="FS24" i="7"/>
  <c r="FT24" i="7"/>
  <c r="FU24" i="7"/>
  <c r="FV24" i="7"/>
  <c r="FW24" i="7"/>
  <c r="FX24" i="7"/>
  <c r="FY24" i="7"/>
  <c r="FW27" i="8"/>
  <c r="FR25" i="7" s="1"/>
  <c r="FS25" i="7"/>
  <c r="FT25" i="7"/>
  <c r="FU25" i="7"/>
  <c r="FV25" i="7"/>
  <c r="FW25" i="7"/>
  <c r="FX25" i="7"/>
  <c r="FY25" i="7"/>
  <c r="FW28" i="8"/>
  <c r="FR26" i="7" s="1"/>
  <c r="FS26" i="7"/>
  <c r="FT26" i="7"/>
  <c r="FU26" i="7"/>
  <c r="FV26" i="7"/>
  <c r="FW26" i="7"/>
  <c r="FX26" i="7"/>
  <c r="FY26" i="7"/>
  <c r="FW29" i="8"/>
  <c r="FR27" i="7" s="1"/>
  <c r="FS27" i="7"/>
  <c r="FT27" i="7"/>
  <c r="FU27" i="7"/>
  <c r="FV27" i="7"/>
  <c r="FW27" i="7"/>
  <c r="FX27" i="7"/>
  <c r="FY27" i="7"/>
  <c r="FW30" i="8"/>
  <c r="FR28" i="7" s="1"/>
  <c r="FS28" i="7"/>
  <c r="FT28" i="7"/>
  <c r="FU28" i="7"/>
  <c r="FV28" i="7"/>
  <c r="FW28" i="7"/>
  <c r="FX28" i="7"/>
  <c r="FY28" i="7"/>
  <c r="FW31" i="8"/>
  <c r="FR29" i="7" s="1"/>
  <c r="FS29" i="7"/>
  <c r="FT29" i="7"/>
  <c r="FU29" i="7"/>
  <c r="FV29" i="7"/>
  <c r="FW29" i="7"/>
  <c r="FX29" i="7"/>
  <c r="FY29" i="7"/>
  <c r="FW32" i="8"/>
  <c r="FR30" i="7" s="1"/>
  <c r="FS30" i="7"/>
  <c r="FT30" i="7"/>
  <c r="FU30" i="7"/>
  <c r="FV30" i="7"/>
  <c r="FW30" i="7"/>
  <c r="FX30" i="7"/>
  <c r="FY30" i="7"/>
  <c r="FW33" i="8"/>
  <c r="FR31" i="7" s="1"/>
  <c r="FS31" i="7"/>
  <c r="FT31" i="7"/>
  <c r="FU31" i="7"/>
  <c r="FV31" i="7"/>
  <c r="FW31" i="7"/>
  <c r="FX31" i="7"/>
  <c r="FY31" i="7"/>
  <c r="FW34" i="8"/>
  <c r="FR32" i="7" s="1"/>
  <c r="FS32" i="7"/>
  <c r="FT32" i="7"/>
  <c r="FU32" i="7"/>
  <c r="FV32" i="7"/>
  <c r="FW32" i="7"/>
  <c r="FX32" i="7"/>
  <c r="FY32" i="7"/>
  <c r="FW35" i="8"/>
  <c r="FR33" i="7" s="1"/>
  <c r="FS33" i="7"/>
  <c r="FT33" i="7"/>
  <c r="FU33" i="7"/>
  <c r="FV33" i="7"/>
  <c r="FW33" i="7"/>
  <c r="FX33" i="7"/>
  <c r="FY33" i="7"/>
  <c r="FY4" i="7"/>
  <c r="FX4" i="7"/>
  <c r="FW4" i="7"/>
  <c r="FV4" i="7"/>
  <c r="FU4" i="7"/>
  <c r="FT4" i="7"/>
  <c r="FS4" i="7"/>
  <c r="FW6" i="8"/>
  <c r="FR4" i="7" s="1"/>
  <c r="FN38" i="8"/>
  <c r="FO38" i="8"/>
  <c r="FP38" i="8"/>
  <c r="FQ38" i="8"/>
  <c r="FR38" i="8"/>
  <c r="FS38" i="8"/>
  <c r="FT38" i="8"/>
  <c r="FU38" i="8"/>
  <c r="FN39" i="8"/>
  <c r="FO39" i="8"/>
  <c r="FP39" i="8"/>
  <c r="FQ39" i="8"/>
  <c r="FR39" i="8"/>
  <c r="FS39" i="8"/>
  <c r="FT39" i="8"/>
  <c r="FU39" i="8"/>
  <c r="FN40" i="8"/>
  <c r="FO40" i="8"/>
  <c r="FP40" i="8"/>
  <c r="FQ40" i="8"/>
  <c r="FR40" i="8"/>
  <c r="FS40" i="8"/>
  <c r="FT40" i="8"/>
  <c r="FU40" i="8"/>
  <c r="FN41" i="8"/>
  <c r="FO41" i="8"/>
  <c r="FP41" i="8"/>
  <c r="FQ41" i="8"/>
  <c r="FR41" i="8"/>
  <c r="FS41" i="8"/>
  <c r="FT41" i="8"/>
  <c r="FU41" i="8"/>
  <c r="FN42" i="8"/>
  <c r="FO42" i="8"/>
  <c r="FP42" i="8"/>
  <c r="FQ42" i="8"/>
  <c r="FR42" i="8"/>
  <c r="FS42" i="8"/>
  <c r="FT42" i="8"/>
  <c r="FU42" i="8"/>
  <c r="FN43" i="8"/>
  <c r="FO43" i="8"/>
  <c r="FP43" i="8"/>
  <c r="FQ43" i="8"/>
  <c r="FR43" i="8"/>
  <c r="FS43" i="8"/>
  <c r="FT43" i="8"/>
  <c r="FU43" i="8"/>
  <c r="FN44" i="8"/>
  <c r="FO44" i="8"/>
  <c r="FP44" i="8"/>
  <c r="FQ44" i="8"/>
  <c r="FR44" i="8"/>
  <c r="FS44" i="8"/>
  <c r="FT44" i="8"/>
  <c r="FU44" i="8"/>
  <c r="FN45" i="8"/>
  <c r="FO45" i="8"/>
  <c r="FP45" i="8"/>
  <c r="FQ45" i="8"/>
  <c r="FR45" i="8"/>
  <c r="FS45" i="8"/>
  <c r="FT45" i="8"/>
  <c r="FU45" i="8"/>
  <c r="FN46" i="8"/>
  <c r="FO46" i="8"/>
  <c r="FP46" i="8"/>
  <c r="FQ46" i="8"/>
  <c r="FR46" i="8"/>
  <c r="FS46" i="8"/>
  <c r="FT46" i="8"/>
  <c r="FU46" i="8"/>
  <c r="FN47" i="8"/>
  <c r="FO47" i="8"/>
  <c r="FP47" i="8"/>
  <c r="FQ47" i="8"/>
  <c r="FR47" i="8"/>
  <c r="FS47" i="8"/>
  <c r="FT47" i="8"/>
  <c r="FU47" i="8"/>
  <c r="FN48" i="8"/>
  <c r="FO48" i="8"/>
  <c r="FP48" i="8"/>
  <c r="FQ48" i="8"/>
  <c r="FR48" i="8"/>
  <c r="FS48" i="8"/>
  <c r="FT48" i="8"/>
  <c r="FU48" i="8"/>
  <c r="FN49" i="8"/>
  <c r="FO49" i="8"/>
  <c r="FP49" i="8"/>
  <c r="FQ49" i="8"/>
  <c r="FR49" i="8"/>
  <c r="FS49" i="8"/>
  <c r="FT49" i="8"/>
  <c r="FU49" i="8"/>
  <c r="FN50" i="8"/>
  <c r="FO50" i="8"/>
  <c r="FP50" i="8"/>
  <c r="FQ50" i="8"/>
  <c r="FR50" i="8"/>
  <c r="FS50" i="8"/>
  <c r="FT50" i="8"/>
  <c r="FU50" i="8"/>
  <c r="FN51" i="8"/>
  <c r="FO51" i="8"/>
  <c r="FP51" i="8"/>
  <c r="FQ51" i="8"/>
  <c r="FR51" i="8"/>
  <c r="FS51" i="8"/>
  <c r="FT51" i="8"/>
  <c r="FU51" i="8"/>
  <c r="FN52" i="8"/>
  <c r="FO52" i="8"/>
  <c r="FP52" i="8"/>
  <c r="FQ52" i="8"/>
  <c r="FR52" i="8"/>
  <c r="FS52" i="8"/>
  <c r="FT52" i="8"/>
  <c r="FU52" i="8"/>
  <c r="FN53" i="8"/>
  <c r="FO53" i="8"/>
  <c r="FP53" i="8"/>
  <c r="FQ53" i="8"/>
  <c r="FR53" i="8"/>
  <c r="FS53" i="8"/>
  <c r="FT53" i="8"/>
  <c r="FU53" i="8"/>
  <c r="FN54" i="8"/>
  <c r="FO54" i="8"/>
  <c r="FP54" i="8"/>
  <c r="FQ54" i="8"/>
  <c r="FR54" i="8"/>
  <c r="FS54" i="8"/>
  <c r="FT54" i="8"/>
  <c r="FU54" i="8"/>
  <c r="FN55" i="8"/>
  <c r="FO55" i="8"/>
  <c r="FP55" i="8"/>
  <c r="FQ55" i="8"/>
  <c r="FR55" i="8"/>
  <c r="FS55" i="8"/>
  <c r="FT55" i="8"/>
  <c r="FU55" i="8"/>
  <c r="FN56" i="8"/>
  <c r="FO56" i="8"/>
  <c r="FP56" i="8"/>
  <c r="FQ56" i="8"/>
  <c r="FR56" i="8"/>
  <c r="FS56" i="8"/>
  <c r="FT56" i="8"/>
  <c r="FU56" i="8"/>
  <c r="FN57" i="8"/>
  <c r="FO57" i="8"/>
  <c r="FP57" i="8"/>
  <c r="FQ57" i="8"/>
  <c r="FR57" i="8"/>
  <c r="FS57" i="8"/>
  <c r="FT57" i="8"/>
  <c r="FU57" i="8"/>
  <c r="FN58" i="8"/>
  <c r="FO58" i="8"/>
  <c r="FP58" i="8"/>
  <c r="FQ58" i="8"/>
  <c r="FR58" i="8"/>
  <c r="FS58" i="8"/>
  <c r="FT58" i="8"/>
  <c r="FU58" i="8"/>
  <c r="FN59" i="8"/>
  <c r="FO59" i="8"/>
  <c r="FP59" i="8"/>
  <c r="FQ59" i="8"/>
  <c r="FR59" i="8"/>
  <c r="FS59" i="8"/>
  <c r="FT59" i="8"/>
  <c r="FU59" i="8"/>
  <c r="FN60" i="8"/>
  <c r="FO60" i="8"/>
  <c r="FP60" i="8"/>
  <c r="FQ60" i="8"/>
  <c r="FR60" i="8"/>
  <c r="FS60" i="8"/>
  <c r="FT60" i="8"/>
  <c r="FU60" i="8"/>
  <c r="FN61" i="8"/>
  <c r="FO61" i="8"/>
  <c r="FP61" i="8"/>
  <c r="FQ61" i="8"/>
  <c r="FR61" i="8"/>
  <c r="FS61" i="8"/>
  <c r="FT61" i="8"/>
  <c r="FU61" i="8"/>
  <c r="FN62" i="8"/>
  <c r="FO62" i="8"/>
  <c r="FP62" i="8"/>
  <c r="FQ62" i="8"/>
  <c r="FR62" i="8"/>
  <c r="FS62" i="8"/>
  <c r="FT62" i="8"/>
  <c r="FU62" i="8"/>
  <c r="FN63" i="8"/>
  <c r="FO63" i="8"/>
  <c r="FP63" i="8"/>
  <c r="FQ63" i="8"/>
  <c r="FR63" i="8"/>
  <c r="FS63" i="8"/>
  <c r="FT63" i="8"/>
  <c r="FU63" i="8"/>
  <c r="FN64" i="8"/>
  <c r="FO64" i="8"/>
  <c r="FP64" i="8"/>
  <c r="FQ64" i="8"/>
  <c r="FR64" i="8"/>
  <c r="FS64" i="8"/>
  <c r="FT64" i="8"/>
  <c r="FU64" i="8"/>
  <c r="FN65" i="8"/>
  <c r="FO65" i="8"/>
  <c r="FP65" i="8"/>
  <c r="FQ65" i="8"/>
  <c r="FR65" i="8"/>
  <c r="FS65" i="8"/>
  <c r="FT65" i="8"/>
  <c r="FU65" i="8"/>
  <c r="FN66" i="8"/>
  <c r="FO66" i="8"/>
  <c r="FP66" i="8"/>
  <c r="FQ66" i="8"/>
  <c r="FR66" i="8"/>
  <c r="FS66" i="8"/>
  <c r="FT66" i="8"/>
  <c r="FU66" i="8"/>
  <c r="FU37" i="8"/>
  <c r="FT37" i="8"/>
  <c r="FS37" i="8"/>
  <c r="FR37" i="8"/>
  <c r="FQ37" i="8"/>
  <c r="FP37" i="8"/>
  <c r="FO37" i="8"/>
  <c r="FN37" i="8"/>
  <c r="FN7" i="8"/>
  <c r="FH5" i="7" s="1"/>
  <c r="FO7" i="8"/>
  <c r="FI5" i="7" s="1"/>
  <c r="FP7" i="8"/>
  <c r="FJ5" i="7" s="1"/>
  <c r="FQ7" i="8"/>
  <c r="FK5" i="7" s="1"/>
  <c r="FR7" i="8"/>
  <c r="FL5" i="7" s="1"/>
  <c r="FS7" i="8"/>
  <c r="FM5" i="7" s="1"/>
  <c r="FT7" i="8"/>
  <c r="FN5" i="7" s="1"/>
  <c r="FU7" i="8"/>
  <c r="FO5" i="7" s="1"/>
  <c r="FN8" i="8"/>
  <c r="FH6" i="7" s="1"/>
  <c r="FO8" i="8"/>
  <c r="FI6" i="7" s="1"/>
  <c r="FP8" i="8"/>
  <c r="FJ6" i="7" s="1"/>
  <c r="FQ8" i="8"/>
  <c r="FK6" i="7" s="1"/>
  <c r="FR8" i="8"/>
  <c r="FL6" i="7" s="1"/>
  <c r="FS8" i="8"/>
  <c r="FM6" i="7" s="1"/>
  <c r="FT8" i="8"/>
  <c r="FN6" i="7" s="1"/>
  <c r="FU8" i="8"/>
  <c r="FO6" i="7" s="1"/>
  <c r="FN9" i="8"/>
  <c r="FH7" i="7" s="1"/>
  <c r="FO9" i="8"/>
  <c r="FI7" i="7" s="1"/>
  <c r="FP9" i="8"/>
  <c r="FJ7" i="7" s="1"/>
  <c r="FQ9" i="8"/>
  <c r="FK7" i="7" s="1"/>
  <c r="FR9" i="8"/>
  <c r="FL7" i="7" s="1"/>
  <c r="FS9" i="8"/>
  <c r="FM7" i="7" s="1"/>
  <c r="FT9" i="8"/>
  <c r="FN7" i="7" s="1"/>
  <c r="FU9" i="8"/>
  <c r="FO7" i="7" s="1"/>
  <c r="FN10" i="8"/>
  <c r="FH8" i="7" s="1"/>
  <c r="FO10" i="8"/>
  <c r="FI8" i="7" s="1"/>
  <c r="FP10" i="8"/>
  <c r="FJ8" i="7" s="1"/>
  <c r="FQ10" i="8"/>
  <c r="FK8" i="7" s="1"/>
  <c r="FR10" i="8"/>
  <c r="FL8" i="7" s="1"/>
  <c r="FS10" i="8"/>
  <c r="FM8" i="7" s="1"/>
  <c r="FT10" i="8"/>
  <c r="FN8" i="7" s="1"/>
  <c r="FU10" i="8"/>
  <c r="FO8" i="7" s="1"/>
  <c r="FN11" i="8"/>
  <c r="FH9" i="7" s="1"/>
  <c r="FO11" i="8"/>
  <c r="FI9" i="7" s="1"/>
  <c r="FP11" i="8"/>
  <c r="FJ9" i="7" s="1"/>
  <c r="FQ11" i="8"/>
  <c r="FK9" i="7" s="1"/>
  <c r="FR11" i="8"/>
  <c r="FL9" i="7" s="1"/>
  <c r="FS11" i="8"/>
  <c r="FM9" i="7" s="1"/>
  <c r="FT11" i="8"/>
  <c r="FN9" i="7" s="1"/>
  <c r="FU11" i="8"/>
  <c r="FO9" i="7" s="1"/>
  <c r="FN12" i="8"/>
  <c r="FH10" i="7" s="1"/>
  <c r="FO12" i="8"/>
  <c r="FI10" i="7" s="1"/>
  <c r="FP12" i="8"/>
  <c r="FJ10" i="7" s="1"/>
  <c r="FQ12" i="8"/>
  <c r="FK10" i="7" s="1"/>
  <c r="FR12" i="8"/>
  <c r="FL10" i="7" s="1"/>
  <c r="FS12" i="8"/>
  <c r="FM10" i="7" s="1"/>
  <c r="FT12" i="8"/>
  <c r="FN10" i="7" s="1"/>
  <c r="FU12" i="8"/>
  <c r="FO10" i="7" s="1"/>
  <c r="FN13" i="8"/>
  <c r="FH11" i="7" s="1"/>
  <c r="FO13" i="8"/>
  <c r="FI11" i="7" s="1"/>
  <c r="FP13" i="8"/>
  <c r="FJ11" i="7" s="1"/>
  <c r="FQ13" i="8"/>
  <c r="FK11" i="7" s="1"/>
  <c r="FR13" i="8"/>
  <c r="FL11" i="7" s="1"/>
  <c r="FS13" i="8"/>
  <c r="FM11" i="7" s="1"/>
  <c r="FT13" i="8"/>
  <c r="FN11" i="7" s="1"/>
  <c r="FU13" i="8"/>
  <c r="FO11" i="7" s="1"/>
  <c r="FN14" i="8"/>
  <c r="FH12" i="7" s="1"/>
  <c r="FO14" i="8"/>
  <c r="FI12" i="7" s="1"/>
  <c r="FP14" i="8"/>
  <c r="FJ12" i="7" s="1"/>
  <c r="FQ14" i="8"/>
  <c r="FK12" i="7" s="1"/>
  <c r="FR14" i="8"/>
  <c r="FL12" i="7" s="1"/>
  <c r="FS14" i="8"/>
  <c r="FM12" i="7" s="1"/>
  <c r="FT14" i="8"/>
  <c r="FN12" i="7" s="1"/>
  <c r="FU14" i="8"/>
  <c r="FO12" i="7" s="1"/>
  <c r="FN15" i="8"/>
  <c r="FH13" i="7" s="1"/>
  <c r="FO15" i="8"/>
  <c r="FI13" i="7" s="1"/>
  <c r="FP15" i="8"/>
  <c r="FJ13" i="7" s="1"/>
  <c r="FQ15" i="8"/>
  <c r="FK13" i="7" s="1"/>
  <c r="FR15" i="8"/>
  <c r="FL13" i="7" s="1"/>
  <c r="FS15" i="8"/>
  <c r="FM13" i="7" s="1"/>
  <c r="FT15" i="8"/>
  <c r="FN13" i="7" s="1"/>
  <c r="FU15" i="8"/>
  <c r="FO13" i="7" s="1"/>
  <c r="FN16" i="8"/>
  <c r="FH14" i="7" s="1"/>
  <c r="FO16" i="8"/>
  <c r="FI14" i="7" s="1"/>
  <c r="FP16" i="8"/>
  <c r="FJ14" i="7" s="1"/>
  <c r="FQ16" i="8"/>
  <c r="FK14" i="7" s="1"/>
  <c r="FR16" i="8"/>
  <c r="FL14" i="7" s="1"/>
  <c r="FS16" i="8"/>
  <c r="FM14" i="7" s="1"/>
  <c r="FT16" i="8"/>
  <c r="FN14" i="7" s="1"/>
  <c r="FU16" i="8"/>
  <c r="FO14" i="7" s="1"/>
  <c r="FN17" i="8"/>
  <c r="FH15" i="7" s="1"/>
  <c r="FO17" i="8"/>
  <c r="FI15" i="7" s="1"/>
  <c r="FP17" i="8"/>
  <c r="FJ15" i="7" s="1"/>
  <c r="FQ17" i="8"/>
  <c r="FK15" i="7" s="1"/>
  <c r="FR17" i="8"/>
  <c r="FL15" i="7" s="1"/>
  <c r="FS17" i="8"/>
  <c r="FM15" i="7" s="1"/>
  <c r="FT17" i="8"/>
  <c r="FN15" i="7" s="1"/>
  <c r="FU17" i="8"/>
  <c r="FO15" i="7" s="1"/>
  <c r="FN18" i="8"/>
  <c r="FH16" i="7" s="1"/>
  <c r="FO18" i="8"/>
  <c r="FI16" i="7" s="1"/>
  <c r="FP18" i="8"/>
  <c r="FJ16" i="7" s="1"/>
  <c r="FQ18" i="8"/>
  <c r="FK16" i="7" s="1"/>
  <c r="FR18" i="8"/>
  <c r="FL16" i="7" s="1"/>
  <c r="FS18" i="8"/>
  <c r="FM16" i="7" s="1"/>
  <c r="FT18" i="8"/>
  <c r="FN16" i="7" s="1"/>
  <c r="FU18" i="8"/>
  <c r="FO16" i="7" s="1"/>
  <c r="FN19" i="8"/>
  <c r="FH17" i="7" s="1"/>
  <c r="FO19" i="8"/>
  <c r="FI17" i="7" s="1"/>
  <c r="FP19" i="8"/>
  <c r="FJ17" i="7" s="1"/>
  <c r="FQ19" i="8"/>
  <c r="FK17" i="7" s="1"/>
  <c r="FR19" i="8"/>
  <c r="FL17" i="7" s="1"/>
  <c r="FS19" i="8"/>
  <c r="FM17" i="7" s="1"/>
  <c r="FT19" i="8"/>
  <c r="FN17" i="7" s="1"/>
  <c r="FU19" i="8"/>
  <c r="FO17" i="7" s="1"/>
  <c r="FN20" i="8"/>
  <c r="FH18" i="7" s="1"/>
  <c r="FO20" i="8"/>
  <c r="FI18" i="7" s="1"/>
  <c r="FP20" i="8"/>
  <c r="FJ18" i="7" s="1"/>
  <c r="FQ20" i="8"/>
  <c r="FK18" i="7" s="1"/>
  <c r="FR20" i="8"/>
  <c r="FL18" i="7" s="1"/>
  <c r="FS20" i="8"/>
  <c r="FM18" i="7" s="1"/>
  <c r="FT20" i="8"/>
  <c r="FN18" i="7" s="1"/>
  <c r="FU20" i="8"/>
  <c r="FO18" i="7" s="1"/>
  <c r="FN21" i="8"/>
  <c r="FH19" i="7" s="1"/>
  <c r="FO21" i="8"/>
  <c r="FI19" i="7" s="1"/>
  <c r="FP21" i="8"/>
  <c r="FJ19" i="7" s="1"/>
  <c r="FQ21" i="8"/>
  <c r="FK19" i="7" s="1"/>
  <c r="FR21" i="8"/>
  <c r="FL19" i="7" s="1"/>
  <c r="FS21" i="8"/>
  <c r="FM19" i="7" s="1"/>
  <c r="FT21" i="8"/>
  <c r="FN19" i="7" s="1"/>
  <c r="FU21" i="8"/>
  <c r="FO19" i="7" s="1"/>
  <c r="FN22" i="8"/>
  <c r="FO22" i="8"/>
  <c r="FP22" i="8"/>
  <c r="FQ22" i="8"/>
  <c r="FR22" i="8"/>
  <c r="FS22" i="8"/>
  <c r="FT22" i="8"/>
  <c r="FU22" i="8"/>
  <c r="FN23" i="8"/>
  <c r="FH21" i="7" s="1"/>
  <c r="FO23" i="8"/>
  <c r="FI21" i="7" s="1"/>
  <c r="FP23" i="8"/>
  <c r="FJ21" i="7" s="1"/>
  <c r="FQ23" i="8"/>
  <c r="FK21" i="7" s="1"/>
  <c r="FR23" i="8"/>
  <c r="FL21" i="7" s="1"/>
  <c r="FS23" i="8"/>
  <c r="FM21" i="7" s="1"/>
  <c r="FT23" i="8"/>
  <c r="FN21" i="7" s="1"/>
  <c r="FU23" i="8"/>
  <c r="FO21" i="7" s="1"/>
  <c r="FN24" i="8"/>
  <c r="FH22" i="7" s="1"/>
  <c r="FO24" i="8"/>
  <c r="FI22" i="7" s="1"/>
  <c r="FP24" i="8"/>
  <c r="FJ22" i="7" s="1"/>
  <c r="FQ24" i="8"/>
  <c r="FK22" i="7" s="1"/>
  <c r="FR24" i="8"/>
  <c r="FL22" i="7" s="1"/>
  <c r="FS24" i="8"/>
  <c r="FM22" i="7" s="1"/>
  <c r="FT24" i="8"/>
  <c r="FN22" i="7" s="1"/>
  <c r="FU24" i="8"/>
  <c r="FO22" i="7" s="1"/>
  <c r="FN25" i="8"/>
  <c r="FH23" i="7" s="1"/>
  <c r="FO25" i="8"/>
  <c r="FI23" i="7" s="1"/>
  <c r="FP25" i="8"/>
  <c r="FJ23" i="7" s="1"/>
  <c r="FQ25" i="8"/>
  <c r="FK23" i="7" s="1"/>
  <c r="FR25" i="8"/>
  <c r="FL23" i="7" s="1"/>
  <c r="FS25" i="8"/>
  <c r="FM23" i="7" s="1"/>
  <c r="FT25" i="8"/>
  <c r="FN23" i="7" s="1"/>
  <c r="FU25" i="8"/>
  <c r="FO23" i="7" s="1"/>
  <c r="FN26" i="8"/>
  <c r="FH24" i="7" s="1"/>
  <c r="FO26" i="8"/>
  <c r="FI24" i="7" s="1"/>
  <c r="FP26" i="8"/>
  <c r="FJ24" i="7" s="1"/>
  <c r="FQ26" i="8"/>
  <c r="FK24" i="7" s="1"/>
  <c r="FR26" i="8"/>
  <c r="FL24" i="7" s="1"/>
  <c r="FS26" i="8"/>
  <c r="FM24" i="7" s="1"/>
  <c r="FT26" i="8"/>
  <c r="FN24" i="7" s="1"/>
  <c r="FU26" i="8"/>
  <c r="FO24" i="7" s="1"/>
  <c r="FN27" i="8"/>
  <c r="FH25" i="7" s="1"/>
  <c r="FO27" i="8"/>
  <c r="FI25" i="7" s="1"/>
  <c r="FP27" i="8"/>
  <c r="FJ25" i="7" s="1"/>
  <c r="FQ27" i="8"/>
  <c r="FK25" i="7" s="1"/>
  <c r="FR27" i="8"/>
  <c r="FL25" i="7" s="1"/>
  <c r="FS27" i="8"/>
  <c r="FM25" i="7" s="1"/>
  <c r="FT27" i="8"/>
  <c r="FN25" i="7" s="1"/>
  <c r="FU27" i="8"/>
  <c r="FO25" i="7" s="1"/>
  <c r="FN28" i="8"/>
  <c r="FH26" i="7" s="1"/>
  <c r="FO28" i="8"/>
  <c r="FI26" i="7" s="1"/>
  <c r="FP28" i="8"/>
  <c r="FJ26" i="7" s="1"/>
  <c r="FQ28" i="8"/>
  <c r="FK26" i="7" s="1"/>
  <c r="FR28" i="8"/>
  <c r="FL26" i="7" s="1"/>
  <c r="FS28" i="8"/>
  <c r="FM26" i="7" s="1"/>
  <c r="FT28" i="8"/>
  <c r="FN26" i="7" s="1"/>
  <c r="FU28" i="8"/>
  <c r="FO26" i="7" s="1"/>
  <c r="FN29" i="8"/>
  <c r="FH27" i="7" s="1"/>
  <c r="FO29" i="8"/>
  <c r="FI27" i="7" s="1"/>
  <c r="FP29" i="8"/>
  <c r="FJ27" i="7" s="1"/>
  <c r="FQ29" i="8"/>
  <c r="FK27" i="7" s="1"/>
  <c r="FR29" i="8"/>
  <c r="FL27" i="7" s="1"/>
  <c r="FS29" i="8"/>
  <c r="FM27" i="7" s="1"/>
  <c r="FT29" i="8"/>
  <c r="FN27" i="7" s="1"/>
  <c r="FU29" i="8"/>
  <c r="FO27" i="7" s="1"/>
  <c r="FN30" i="8"/>
  <c r="FH28" i="7" s="1"/>
  <c r="FO30" i="8"/>
  <c r="FI28" i="7" s="1"/>
  <c r="FP30" i="8"/>
  <c r="FJ28" i="7" s="1"/>
  <c r="FQ30" i="8"/>
  <c r="FK28" i="7" s="1"/>
  <c r="FR30" i="8"/>
  <c r="FL28" i="7" s="1"/>
  <c r="FS30" i="8"/>
  <c r="FM28" i="7" s="1"/>
  <c r="FT30" i="8"/>
  <c r="FN28" i="7" s="1"/>
  <c r="FU30" i="8"/>
  <c r="FO28" i="7" s="1"/>
  <c r="FN31" i="8"/>
  <c r="FH29" i="7" s="1"/>
  <c r="FO31" i="8"/>
  <c r="FI29" i="7" s="1"/>
  <c r="FP31" i="8"/>
  <c r="FJ29" i="7" s="1"/>
  <c r="FQ31" i="8"/>
  <c r="FK29" i="7" s="1"/>
  <c r="FR31" i="8"/>
  <c r="FL29" i="7" s="1"/>
  <c r="FS31" i="8"/>
  <c r="FM29" i="7" s="1"/>
  <c r="FT31" i="8"/>
  <c r="FN29" i="7" s="1"/>
  <c r="FU31" i="8"/>
  <c r="FO29" i="7" s="1"/>
  <c r="FN32" i="8"/>
  <c r="FH30" i="7" s="1"/>
  <c r="FO32" i="8"/>
  <c r="FI30" i="7" s="1"/>
  <c r="FP32" i="8"/>
  <c r="FJ30" i="7" s="1"/>
  <c r="FQ32" i="8"/>
  <c r="FK30" i="7" s="1"/>
  <c r="FR32" i="8"/>
  <c r="FL30" i="7" s="1"/>
  <c r="FS32" i="8"/>
  <c r="FM30" i="7" s="1"/>
  <c r="FT32" i="8"/>
  <c r="FN30" i="7" s="1"/>
  <c r="FU32" i="8"/>
  <c r="FO30" i="7" s="1"/>
  <c r="FN33" i="8"/>
  <c r="FH31" i="7" s="1"/>
  <c r="FO33" i="8"/>
  <c r="FI31" i="7" s="1"/>
  <c r="FP33" i="8"/>
  <c r="FJ31" i="7" s="1"/>
  <c r="FQ33" i="8"/>
  <c r="FK31" i="7" s="1"/>
  <c r="FR33" i="8"/>
  <c r="FL31" i="7" s="1"/>
  <c r="FS33" i="8"/>
  <c r="FM31" i="7" s="1"/>
  <c r="FT33" i="8"/>
  <c r="FN31" i="7" s="1"/>
  <c r="FU33" i="8"/>
  <c r="FO31" i="7" s="1"/>
  <c r="FN34" i="8"/>
  <c r="FH32" i="7" s="1"/>
  <c r="FO34" i="8"/>
  <c r="FI32" i="7" s="1"/>
  <c r="FP34" i="8"/>
  <c r="FJ32" i="7" s="1"/>
  <c r="FQ34" i="8"/>
  <c r="FK32" i="7" s="1"/>
  <c r="FR34" i="8"/>
  <c r="FL32" i="7" s="1"/>
  <c r="FS34" i="8"/>
  <c r="FM32" i="7" s="1"/>
  <c r="FT34" i="8"/>
  <c r="FN32" i="7" s="1"/>
  <c r="FU34" i="8"/>
  <c r="FO32" i="7" s="1"/>
  <c r="FN35" i="8"/>
  <c r="FH33" i="7" s="1"/>
  <c r="FO35" i="8"/>
  <c r="FI33" i="7" s="1"/>
  <c r="FP35" i="8"/>
  <c r="FJ33" i="7" s="1"/>
  <c r="FQ35" i="8"/>
  <c r="FK33" i="7" s="1"/>
  <c r="FR35" i="8"/>
  <c r="FL33" i="7" s="1"/>
  <c r="FS35" i="8"/>
  <c r="FM33" i="7" s="1"/>
  <c r="FT35" i="8"/>
  <c r="FN33" i="7" s="1"/>
  <c r="FU35" i="8"/>
  <c r="FO33" i="7" s="1"/>
  <c r="FU6" i="8"/>
  <c r="FO4" i="7" s="1"/>
  <c r="FT6" i="8"/>
  <c r="FN4" i="7" s="1"/>
  <c r="FS6" i="8"/>
  <c r="FM4" i="7" s="1"/>
  <c r="FR6" i="8"/>
  <c r="FL4" i="7" s="1"/>
  <c r="FQ6" i="8"/>
  <c r="FK4" i="7" s="1"/>
  <c r="FP6" i="8"/>
  <c r="FJ4" i="7" s="1"/>
  <c r="FO6" i="8"/>
  <c r="FI4" i="7" s="1"/>
  <c r="FN6" i="8"/>
  <c r="FH4" i="7" s="1"/>
  <c r="FE38" i="8"/>
  <c r="FF38" i="8"/>
  <c r="FG38" i="8"/>
  <c r="FH38" i="8"/>
  <c r="FI38" i="8"/>
  <c r="FJ38" i="8"/>
  <c r="FK38" i="8"/>
  <c r="FL38" i="8"/>
  <c r="FE39" i="8"/>
  <c r="FF39" i="8"/>
  <c r="FG39" i="8"/>
  <c r="FH39" i="8"/>
  <c r="FI39" i="8"/>
  <c r="FJ39" i="8"/>
  <c r="FK39" i="8"/>
  <c r="FL39" i="8"/>
  <c r="FE40" i="8"/>
  <c r="FF40" i="8"/>
  <c r="FG40" i="8"/>
  <c r="FH40" i="8"/>
  <c r="FI40" i="8"/>
  <c r="FJ40" i="8"/>
  <c r="FK40" i="8"/>
  <c r="FL40" i="8"/>
  <c r="FE41" i="8"/>
  <c r="FF41" i="8"/>
  <c r="FG41" i="8"/>
  <c r="FH41" i="8"/>
  <c r="FI41" i="8"/>
  <c r="FJ41" i="8"/>
  <c r="FK41" i="8"/>
  <c r="FL41" i="8"/>
  <c r="FE42" i="8"/>
  <c r="FF42" i="8"/>
  <c r="FG42" i="8"/>
  <c r="FH42" i="8"/>
  <c r="FI42" i="8"/>
  <c r="FJ42" i="8"/>
  <c r="FK42" i="8"/>
  <c r="FL42" i="8"/>
  <c r="FE43" i="8"/>
  <c r="FF43" i="8"/>
  <c r="FG43" i="8"/>
  <c r="FH43" i="8"/>
  <c r="FI43" i="8"/>
  <c r="FJ43" i="8"/>
  <c r="FK43" i="8"/>
  <c r="FL43" i="8"/>
  <c r="FE44" i="8"/>
  <c r="FF44" i="8"/>
  <c r="FG44" i="8"/>
  <c r="FH44" i="8"/>
  <c r="FI44" i="8"/>
  <c r="FJ44" i="8"/>
  <c r="FK44" i="8"/>
  <c r="FL44" i="8"/>
  <c r="FE45" i="8"/>
  <c r="FF45" i="8"/>
  <c r="FG45" i="8"/>
  <c r="FH45" i="8"/>
  <c r="FI45" i="8"/>
  <c r="FJ45" i="8"/>
  <c r="FK45" i="8"/>
  <c r="FL45" i="8"/>
  <c r="FE46" i="8"/>
  <c r="FF46" i="8"/>
  <c r="FG46" i="8"/>
  <c r="FH46" i="8"/>
  <c r="FI46" i="8"/>
  <c r="FJ46" i="8"/>
  <c r="FK46" i="8"/>
  <c r="FL46" i="8"/>
  <c r="FE47" i="8"/>
  <c r="FF47" i="8"/>
  <c r="FG47" i="8"/>
  <c r="FH47" i="8"/>
  <c r="FI47" i="8"/>
  <c r="FJ47" i="8"/>
  <c r="FK47" i="8"/>
  <c r="FL47" i="8"/>
  <c r="FE48" i="8"/>
  <c r="FF48" i="8"/>
  <c r="FG48" i="8"/>
  <c r="FH48" i="8"/>
  <c r="FI48" i="8"/>
  <c r="FJ48" i="8"/>
  <c r="FK48" i="8"/>
  <c r="FL48" i="8"/>
  <c r="FE49" i="8"/>
  <c r="FF49" i="8"/>
  <c r="FG49" i="8"/>
  <c r="FH49" i="8"/>
  <c r="FI49" i="8"/>
  <c r="FJ49" i="8"/>
  <c r="FK49" i="8"/>
  <c r="FL49" i="8"/>
  <c r="FE50" i="8"/>
  <c r="FF50" i="8"/>
  <c r="FG50" i="8"/>
  <c r="FH50" i="8"/>
  <c r="FI50" i="8"/>
  <c r="FJ50" i="8"/>
  <c r="FK50" i="8"/>
  <c r="FL50" i="8"/>
  <c r="FE51" i="8"/>
  <c r="FF51" i="8"/>
  <c r="FG51" i="8"/>
  <c r="FH51" i="8"/>
  <c r="FI51" i="8"/>
  <c r="FJ51" i="8"/>
  <c r="FK51" i="8"/>
  <c r="FL51" i="8"/>
  <c r="FE52" i="8"/>
  <c r="FF52" i="8"/>
  <c r="FG52" i="8"/>
  <c r="FH52" i="8"/>
  <c r="FI52" i="8"/>
  <c r="FJ52" i="8"/>
  <c r="FK52" i="8"/>
  <c r="FL52" i="8"/>
  <c r="FE53" i="8"/>
  <c r="FF53" i="8"/>
  <c r="FG53" i="8"/>
  <c r="FH53" i="8"/>
  <c r="FI53" i="8"/>
  <c r="FJ53" i="8"/>
  <c r="FK53" i="8"/>
  <c r="FL53" i="8"/>
  <c r="FE54" i="8"/>
  <c r="FF54" i="8"/>
  <c r="FG54" i="8"/>
  <c r="FH54" i="8"/>
  <c r="FI54" i="8"/>
  <c r="FJ54" i="8"/>
  <c r="FK54" i="8"/>
  <c r="FL54" i="8"/>
  <c r="FE55" i="8"/>
  <c r="FF55" i="8"/>
  <c r="FG55" i="8"/>
  <c r="FH55" i="8"/>
  <c r="FI55" i="8"/>
  <c r="FJ55" i="8"/>
  <c r="FK55" i="8"/>
  <c r="FL55" i="8"/>
  <c r="FE56" i="8"/>
  <c r="FF56" i="8"/>
  <c r="FG56" i="8"/>
  <c r="FH56" i="8"/>
  <c r="FI56" i="8"/>
  <c r="FJ56" i="8"/>
  <c r="FK56" i="8"/>
  <c r="FL56" i="8"/>
  <c r="FE57" i="8"/>
  <c r="FF57" i="8"/>
  <c r="FG57" i="8"/>
  <c r="FH57" i="8"/>
  <c r="FI57" i="8"/>
  <c r="FJ57" i="8"/>
  <c r="FK57" i="8"/>
  <c r="FL57" i="8"/>
  <c r="FE58" i="8"/>
  <c r="FF58" i="8"/>
  <c r="FG58" i="8"/>
  <c r="FH58" i="8"/>
  <c r="FI58" i="8"/>
  <c r="FJ58" i="8"/>
  <c r="FK58" i="8"/>
  <c r="FL58" i="8"/>
  <c r="FE59" i="8"/>
  <c r="FF59" i="8"/>
  <c r="FG59" i="8"/>
  <c r="FH59" i="8"/>
  <c r="FI59" i="8"/>
  <c r="FJ59" i="8"/>
  <c r="FK59" i="8"/>
  <c r="FL59" i="8"/>
  <c r="FE60" i="8"/>
  <c r="FF60" i="8"/>
  <c r="FG60" i="8"/>
  <c r="FH60" i="8"/>
  <c r="FI60" i="8"/>
  <c r="FJ60" i="8"/>
  <c r="FK60" i="8"/>
  <c r="FL60" i="8"/>
  <c r="FE61" i="8"/>
  <c r="FF61" i="8"/>
  <c r="FG61" i="8"/>
  <c r="FH61" i="8"/>
  <c r="FI61" i="8"/>
  <c r="FJ61" i="8"/>
  <c r="FK61" i="8"/>
  <c r="FL61" i="8"/>
  <c r="FE62" i="8"/>
  <c r="FF62" i="8"/>
  <c r="FG62" i="8"/>
  <c r="FH62" i="8"/>
  <c r="FI62" i="8"/>
  <c r="FJ62" i="8"/>
  <c r="FK62" i="8"/>
  <c r="FL62" i="8"/>
  <c r="FE63" i="8"/>
  <c r="FF63" i="8"/>
  <c r="FG63" i="8"/>
  <c r="FH63" i="8"/>
  <c r="FI63" i="8"/>
  <c r="FJ63" i="8"/>
  <c r="FK63" i="8"/>
  <c r="FL63" i="8"/>
  <c r="FE64" i="8"/>
  <c r="FF64" i="8"/>
  <c r="FG64" i="8"/>
  <c r="FH64" i="8"/>
  <c r="FI64" i="8"/>
  <c r="FJ64" i="8"/>
  <c r="FK64" i="8"/>
  <c r="FL64" i="8"/>
  <c r="FE65" i="8"/>
  <c r="FF65" i="8"/>
  <c r="FG65" i="8"/>
  <c r="FH65" i="8"/>
  <c r="FI65" i="8"/>
  <c r="FJ65" i="8"/>
  <c r="FK65" i="8"/>
  <c r="FL65" i="8"/>
  <c r="FE66" i="8"/>
  <c r="FF66" i="8"/>
  <c r="FG66" i="8"/>
  <c r="FH66" i="8"/>
  <c r="FI66" i="8"/>
  <c r="FJ66" i="8"/>
  <c r="FK66" i="8"/>
  <c r="FL66" i="8"/>
  <c r="FL37" i="8"/>
  <c r="FK37" i="8"/>
  <c r="FJ37" i="8"/>
  <c r="FI37" i="8"/>
  <c r="FH37" i="8"/>
  <c r="FG37" i="8"/>
  <c r="FF37" i="8"/>
  <c r="FE37" i="8"/>
  <c r="FE7" i="8"/>
  <c r="EX5" i="7" s="1"/>
  <c r="FF7" i="8"/>
  <c r="EY5" i="7" s="1"/>
  <c r="FG7" i="8"/>
  <c r="EZ5" i="7" s="1"/>
  <c r="FH7" i="8"/>
  <c r="FA5" i="7" s="1"/>
  <c r="FI7" i="8"/>
  <c r="FB5" i="7" s="1"/>
  <c r="FJ7" i="8"/>
  <c r="FC5" i="7" s="1"/>
  <c r="FK7" i="8"/>
  <c r="FD5" i="7" s="1"/>
  <c r="FL7" i="8"/>
  <c r="FE5" i="7" s="1"/>
  <c r="FE8" i="8"/>
  <c r="EX6" i="7" s="1"/>
  <c r="FF8" i="8"/>
  <c r="EY6" i="7" s="1"/>
  <c r="FG8" i="8"/>
  <c r="EZ6" i="7" s="1"/>
  <c r="FH8" i="8"/>
  <c r="FA6" i="7" s="1"/>
  <c r="FI8" i="8"/>
  <c r="FB6" i="7" s="1"/>
  <c r="FJ8" i="8"/>
  <c r="FC6" i="7" s="1"/>
  <c r="FK8" i="8"/>
  <c r="FD6" i="7" s="1"/>
  <c r="FL8" i="8"/>
  <c r="FE6" i="7" s="1"/>
  <c r="FE9" i="8"/>
  <c r="EX7" i="7" s="1"/>
  <c r="FF9" i="8"/>
  <c r="EY7" i="7" s="1"/>
  <c r="FG9" i="8"/>
  <c r="EZ7" i="7" s="1"/>
  <c r="FH9" i="8"/>
  <c r="FA7" i="7" s="1"/>
  <c r="FI9" i="8"/>
  <c r="FB7" i="7" s="1"/>
  <c r="FJ9" i="8"/>
  <c r="FC7" i="7" s="1"/>
  <c r="FK9" i="8"/>
  <c r="FD7" i="7" s="1"/>
  <c r="FL9" i="8"/>
  <c r="FE7" i="7" s="1"/>
  <c r="FE10" i="8"/>
  <c r="EX8" i="7" s="1"/>
  <c r="FF10" i="8"/>
  <c r="EY8" i="7" s="1"/>
  <c r="FG10" i="8"/>
  <c r="EZ8" i="7" s="1"/>
  <c r="FH10" i="8"/>
  <c r="FA8" i="7" s="1"/>
  <c r="FI10" i="8"/>
  <c r="FB8" i="7" s="1"/>
  <c r="FJ10" i="8"/>
  <c r="FC8" i="7" s="1"/>
  <c r="FK10" i="8"/>
  <c r="FD8" i="7" s="1"/>
  <c r="FL10" i="8"/>
  <c r="FE8" i="7" s="1"/>
  <c r="FE11" i="8"/>
  <c r="EX9" i="7" s="1"/>
  <c r="FF11" i="8"/>
  <c r="EY9" i="7" s="1"/>
  <c r="FG11" i="8"/>
  <c r="EZ9" i="7" s="1"/>
  <c r="FH11" i="8"/>
  <c r="FA9" i="7" s="1"/>
  <c r="FI11" i="8"/>
  <c r="FB9" i="7" s="1"/>
  <c r="FJ11" i="8"/>
  <c r="FC9" i="7" s="1"/>
  <c r="FK11" i="8"/>
  <c r="FD9" i="7" s="1"/>
  <c r="FL11" i="8"/>
  <c r="FE9" i="7" s="1"/>
  <c r="FE12" i="8"/>
  <c r="EX10" i="7" s="1"/>
  <c r="FF12" i="8"/>
  <c r="EY10" i="7" s="1"/>
  <c r="FG12" i="8"/>
  <c r="EZ10" i="7" s="1"/>
  <c r="FH12" i="8"/>
  <c r="FA10" i="7" s="1"/>
  <c r="FI12" i="8"/>
  <c r="FB10" i="7" s="1"/>
  <c r="FJ12" i="8"/>
  <c r="FC10" i="7" s="1"/>
  <c r="FK12" i="8"/>
  <c r="FD10" i="7" s="1"/>
  <c r="FL12" i="8"/>
  <c r="FE10" i="7" s="1"/>
  <c r="FE13" i="8"/>
  <c r="EX11" i="7" s="1"/>
  <c r="FF13" i="8"/>
  <c r="EY11" i="7" s="1"/>
  <c r="FG13" i="8"/>
  <c r="EZ11" i="7" s="1"/>
  <c r="FH13" i="8"/>
  <c r="FA11" i="7" s="1"/>
  <c r="FI13" i="8"/>
  <c r="FB11" i="7" s="1"/>
  <c r="FJ13" i="8"/>
  <c r="FC11" i="7" s="1"/>
  <c r="FK13" i="8"/>
  <c r="FD11" i="7" s="1"/>
  <c r="FL13" i="8"/>
  <c r="FE11" i="7" s="1"/>
  <c r="FE14" i="8"/>
  <c r="EX12" i="7" s="1"/>
  <c r="FF14" i="8"/>
  <c r="EY12" i="7" s="1"/>
  <c r="FG14" i="8"/>
  <c r="EZ12" i="7" s="1"/>
  <c r="FH14" i="8"/>
  <c r="FA12" i="7" s="1"/>
  <c r="FI14" i="8"/>
  <c r="FB12" i="7" s="1"/>
  <c r="FJ14" i="8"/>
  <c r="FC12" i="7" s="1"/>
  <c r="FK14" i="8"/>
  <c r="FD12" i="7" s="1"/>
  <c r="FL14" i="8"/>
  <c r="FE12" i="7" s="1"/>
  <c r="FE15" i="8"/>
  <c r="EX13" i="7" s="1"/>
  <c r="FF15" i="8"/>
  <c r="EY13" i="7" s="1"/>
  <c r="FG15" i="8"/>
  <c r="EZ13" i="7" s="1"/>
  <c r="FH15" i="8"/>
  <c r="FA13" i="7" s="1"/>
  <c r="FI15" i="8"/>
  <c r="FB13" i="7" s="1"/>
  <c r="FJ15" i="8"/>
  <c r="FC13" i="7" s="1"/>
  <c r="FK15" i="8"/>
  <c r="FD13" i="7" s="1"/>
  <c r="FL15" i="8"/>
  <c r="FE13" i="7" s="1"/>
  <c r="FE16" i="8"/>
  <c r="EX14" i="7" s="1"/>
  <c r="FF16" i="8"/>
  <c r="EY14" i="7" s="1"/>
  <c r="FG16" i="8"/>
  <c r="EZ14" i="7" s="1"/>
  <c r="FH16" i="8"/>
  <c r="FA14" i="7" s="1"/>
  <c r="FI16" i="8"/>
  <c r="FB14" i="7" s="1"/>
  <c r="FJ16" i="8"/>
  <c r="FC14" i="7" s="1"/>
  <c r="FK16" i="8"/>
  <c r="FD14" i="7" s="1"/>
  <c r="FL16" i="8"/>
  <c r="FE14" i="7" s="1"/>
  <c r="FE17" i="8"/>
  <c r="EX15" i="7" s="1"/>
  <c r="FF17" i="8"/>
  <c r="EY15" i="7" s="1"/>
  <c r="FG17" i="8"/>
  <c r="EZ15" i="7" s="1"/>
  <c r="FH17" i="8"/>
  <c r="FA15" i="7" s="1"/>
  <c r="FI17" i="8"/>
  <c r="FB15" i="7" s="1"/>
  <c r="FJ17" i="8"/>
  <c r="FC15" i="7" s="1"/>
  <c r="FK17" i="8"/>
  <c r="FD15" i="7" s="1"/>
  <c r="FL17" i="8"/>
  <c r="FE15" i="7" s="1"/>
  <c r="FE18" i="8"/>
  <c r="EX16" i="7" s="1"/>
  <c r="FF18" i="8"/>
  <c r="EY16" i="7" s="1"/>
  <c r="FG18" i="8"/>
  <c r="EZ16" i="7" s="1"/>
  <c r="FH18" i="8"/>
  <c r="FA16" i="7" s="1"/>
  <c r="FI18" i="8"/>
  <c r="FB16" i="7" s="1"/>
  <c r="FJ18" i="8"/>
  <c r="FC16" i="7" s="1"/>
  <c r="FK18" i="8"/>
  <c r="FD16" i="7" s="1"/>
  <c r="FL18" i="8"/>
  <c r="FE16" i="7" s="1"/>
  <c r="FE19" i="8"/>
  <c r="EX17" i="7" s="1"/>
  <c r="FF19" i="8"/>
  <c r="EY17" i="7" s="1"/>
  <c r="FG19" i="8"/>
  <c r="EZ17" i="7" s="1"/>
  <c r="FH19" i="8"/>
  <c r="FA17" i="7" s="1"/>
  <c r="FI19" i="8"/>
  <c r="FB17" i="7" s="1"/>
  <c r="FJ19" i="8"/>
  <c r="FC17" i="7" s="1"/>
  <c r="FK19" i="8"/>
  <c r="FD17" i="7" s="1"/>
  <c r="FL19" i="8"/>
  <c r="FE17" i="7" s="1"/>
  <c r="FE20" i="8"/>
  <c r="EX18" i="7" s="1"/>
  <c r="FF20" i="8"/>
  <c r="EY18" i="7" s="1"/>
  <c r="FG20" i="8"/>
  <c r="EZ18" i="7" s="1"/>
  <c r="FH20" i="8"/>
  <c r="FA18" i="7" s="1"/>
  <c r="FI20" i="8"/>
  <c r="FB18" i="7" s="1"/>
  <c r="FJ20" i="8"/>
  <c r="FC18" i="7" s="1"/>
  <c r="FK20" i="8"/>
  <c r="FD18" i="7" s="1"/>
  <c r="FL20" i="8"/>
  <c r="FE18" i="7" s="1"/>
  <c r="FE21" i="8"/>
  <c r="EX19" i="7" s="1"/>
  <c r="FF21" i="8"/>
  <c r="EY19" i="7" s="1"/>
  <c r="FG21" i="8"/>
  <c r="EZ19" i="7" s="1"/>
  <c r="FH21" i="8"/>
  <c r="FA19" i="7" s="1"/>
  <c r="FI21" i="8"/>
  <c r="FB19" i="7" s="1"/>
  <c r="FJ21" i="8"/>
  <c r="FC19" i="7" s="1"/>
  <c r="FK21" i="8"/>
  <c r="FD19" i="7" s="1"/>
  <c r="FL21" i="8"/>
  <c r="FE19" i="7" s="1"/>
  <c r="FE22" i="8"/>
  <c r="FF22" i="8"/>
  <c r="FG22" i="8"/>
  <c r="FH22" i="8"/>
  <c r="FI22" i="8"/>
  <c r="FJ22" i="8"/>
  <c r="FK22" i="8"/>
  <c r="FL22" i="8"/>
  <c r="FE23" i="8"/>
  <c r="EX21" i="7" s="1"/>
  <c r="FF23" i="8"/>
  <c r="EY21" i="7" s="1"/>
  <c r="FG23" i="8"/>
  <c r="EZ21" i="7" s="1"/>
  <c r="FH23" i="8"/>
  <c r="FA21" i="7" s="1"/>
  <c r="FI23" i="8"/>
  <c r="FB21" i="7" s="1"/>
  <c r="FJ23" i="8"/>
  <c r="FC21" i="7" s="1"/>
  <c r="FK23" i="8"/>
  <c r="FD21" i="7" s="1"/>
  <c r="FL23" i="8"/>
  <c r="FE21" i="7" s="1"/>
  <c r="FE24" i="8"/>
  <c r="EX22" i="7" s="1"/>
  <c r="FF24" i="8"/>
  <c r="EY22" i="7" s="1"/>
  <c r="FG24" i="8"/>
  <c r="EZ22" i="7" s="1"/>
  <c r="FH24" i="8"/>
  <c r="FA22" i="7" s="1"/>
  <c r="FI24" i="8"/>
  <c r="FB22" i="7" s="1"/>
  <c r="FJ24" i="8"/>
  <c r="FC22" i="7" s="1"/>
  <c r="FK24" i="8"/>
  <c r="FD22" i="7" s="1"/>
  <c r="FL24" i="8"/>
  <c r="FE22" i="7" s="1"/>
  <c r="FE25" i="8"/>
  <c r="EX23" i="7" s="1"/>
  <c r="FF25" i="8"/>
  <c r="EY23" i="7" s="1"/>
  <c r="FG25" i="8"/>
  <c r="EZ23" i="7" s="1"/>
  <c r="FH25" i="8"/>
  <c r="FA23" i="7" s="1"/>
  <c r="FI25" i="8"/>
  <c r="FB23" i="7" s="1"/>
  <c r="FJ25" i="8"/>
  <c r="FC23" i="7" s="1"/>
  <c r="FK25" i="8"/>
  <c r="FD23" i="7" s="1"/>
  <c r="FL25" i="8"/>
  <c r="FE23" i="7" s="1"/>
  <c r="FE26" i="8"/>
  <c r="EX24" i="7" s="1"/>
  <c r="FF26" i="8"/>
  <c r="EY24" i="7" s="1"/>
  <c r="FG26" i="8"/>
  <c r="EZ24" i="7" s="1"/>
  <c r="FH26" i="8"/>
  <c r="FA24" i="7" s="1"/>
  <c r="FI26" i="8"/>
  <c r="FB24" i="7" s="1"/>
  <c r="FJ26" i="8"/>
  <c r="FC24" i="7" s="1"/>
  <c r="FK26" i="8"/>
  <c r="FD24" i="7" s="1"/>
  <c r="FL26" i="8"/>
  <c r="FE24" i="7" s="1"/>
  <c r="FE27" i="8"/>
  <c r="EX25" i="7" s="1"/>
  <c r="FF27" i="8"/>
  <c r="EY25" i="7" s="1"/>
  <c r="FG27" i="8"/>
  <c r="EZ25" i="7" s="1"/>
  <c r="FH27" i="8"/>
  <c r="FA25" i="7" s="1"/>
  <c r="FI27" i="8"/>
  <c r="FB25" i="7" s="1"/>
  <c r="FJ27" i="8"/>
  <c r="FC25" i="7" s="1"/>
  <c r="FK27" i="8"/>
  <c r="FD25" i="7" s="1"/>
  <c r="FL27" i="8"/>
  <c r="FE25" i="7" s="1"/>
  <c r="FE28" i="8"/>
  <c r="EX26" i="7" s="1"/>
  <c r="FF28" i="8"/>
  <c r="EY26" i="7" s="1"/>
  <c r="FG28" i="8"/>
  <c r="EZ26" i="7" s="1"/>
  <c r="FH28" i="8"/>
  <c r="FA26" i="7" s="1"/>
  <c r="FI28" i="8"/>
  <c r="FB26" i="7" s="1"/>
  <c r="FJ28" i="8"/>
  <c r="FC26" i="7" s="1"/>
  <c r="FK28" i="8"/>
  <c r="FD26" i="7" s="1"/>
  <c r="FL28" i="8"/>
  <c r="FE26" i="7" s="1"/>
  <c r="FE29" i="8"/>
  <c r="EX27" i="7" s="1"/>
  <c r="FF29" i="8"/>
  <c r="EY27" i="7" s="1"/>
  <c r="FG29" i="8"/>
  <c r="EZ27" i="7" s="1"/>
  <c r="FH29" i="8"/>
  <c r="FA27" i="7" s="1"/>
  <c r="FI29" i="8"/>
  <c r="FB27" i="7" s="1"/>
  <c r="FJ29" i="8"/>
  <c r="FC27" i="7" s="1"/>
  <c r="FK29" i="8"/>
  <c r="FD27" i="7" s="1"/>
  <c r="FL29" i="8"/>
  <c r="FE27" i="7" s="1"/>
  <c r="FE30" i="8"/>
  <c r="EX28" i="7" s="1"/>
  <c r="FF30" i="8"/>
  <c r="EY28" i="7" s="1"/>
  <c r="FG30" i="8"/>
  <c r="EZ28" i="7" s="1"/>
  <c r="FH30" i="8"/>
  <c r="FA28" i="7" s="1"/>
  <c r="FI30" i="8"/>
  <c r="FB28" i="7" s="1"/>
  <c r="FJ30" i="8"/>
  <c r="FC28" i="7" s="1"/>
  <c r="FK30" i="8"/>
  <c r="FD28" i="7" s="1"/>
  <c r="FL30" i="8"/>
  <c r="FE28" i="7" s="1"/>
  <c r="FE31" i="8"/>
  <c r="EX29" i="7" s="1"/>
  <c r="FF31" i="8"/>
  <c r="EY29" i="7" s="1"/>
  <c r="FG31" i="8"/>
  <c r="EZ29" i="7" s="1"/>
  <c r="FH31" i="8"/>
  <c r="FA29" i="7" s="1"/>
  <c r="FI31" i="8"/>
  <c r="FB29" i="7" s="1"/>
  <c r="FJ31" i="8"/>
  <c r="FC29" i="7" s="1"/>
  <c r="FK31" i="8"/>
  <c r="FD29" i="7" s="1"/>
  <c r="FL31" i="8"/>
  <c r="FE29" i="7" s="1"/>
  <c r="FE32" i="8"/>
  <c r="EX30" i="7" s="1"/>
  <c r="FF32" i="8"/>
  <c r="EY30" i="7" s="1"/>
  <c r="FG32" i="8"/>
  <c r="EZ30" i="7" s="1"/>
  <c r="FH32" i="8"/>
  <c r="FA30" i="7" s="1"/>
  <c r="FI32" i="8"/>
  <c r="FB30" i="7" s="1"/>
  <c r="FJ32" i="8"/>
  <c r="FC30" i="7" s="1"/>
  <c r="FK32" i="8"/>
  <c r="FD30" i="7" s="1"/>
  <c r="FL32" i="8"/>
  <c r="FE30" i="7" s="1"/>
  <c r="FE33" i="8"/>
  <c r="EX31" i="7" s="1"/>
  <c r="FF33" i="8"/>
  <c r="EY31" i="7" s="1"/>
  <c r="FG33" i="8"/>
  <c r="EZ31" i="7" s="1"/>
  <c r="FH33" i="8"/>
  <c r="FA31" i="7" s="1"/>
  <c r="FI33" i="8"/>
  <c r="FB31" i="7" s="1"/>
  <c r="FJ33" i="8"/>
  <c r="FC31" i="7" s="1"/>
  <c r="FK33" i="8"/>
  <c r="FD31" i="7" s="1"/>
  <c r="FL33" i="8"/>
  <c r="FE31" i="7" s="1"/>
  <c r="FE34" i="8"/>
  <c r="EX32" i="7" s="1"/>
  <c r="FF34" i="8"/>
  <c r="EY32" i="7" s="1"/>
  <c r="FG34" i="8"/>
  <c r="EZ32" i="7" s="1"/>
  <c r="FH34" i="8"/>
  <c r="FA32" i="7" s="1"/>
  <c r="FI34" i="8"/>
  <c r="FB32" i="7" s="1"/>
  <c r="FJ34" i="8"/>
  <c r="FC32" i="7" s="1"/>
  <c r="FK34" i="8"/>
  <c r="FD32" i="7" s="1"/>
  <c r="FL34" i="8"/>
  <c r="FE32" i="7" s="1"/>
  <c r="FE35" i="8"/>
  <c r="EX33" i="7" s="1"/>
  <c r="FF35" i="8"/>
  <c r="EY33" i="7" s="1"/>
  <c r="FG35" i="8"/>
  <c r="EZ33" i="7" s="1"/>
  <c r="FH35" i="8"/>
  <c r="FA33" i="7" s="1"/>
  <c r="FI35" i="8"/>
  <c r="FB33" i="7" s="1"/>
  <c r="FJ35" i="8"/>
  <c r="FC33" i="7" s="1"/>
  <c r="FK35" i="8"/>
  <c r="FD33" i="7" s="1"/>
  <c r="FL35" i="8"/>
  <c r="FE33" i="7" s="1"/>
  <c r="FL6" i="8"/>
  <c r="FE4" i="7" s="1"/>
  <c r="FK6" i="8"/>
  <c r="FD4" i="7" s="1"/>
  <c r="FJ6" i="8"/>
  <c r="FC4" i="7" s="1"/>
  <c r="FI6" i="8"/>
  <c r="FB4" i="7" s="1"/>
  <c r="FH6" i="8"/>
  <c r="FA4" i="7" s="1"/>
  <c r="FG6" i="8"/>
  <c r="EZ4" i="7" s="1"/>
  <c r="FF6" i="8"/>
  <c r="EY4" i="7" s="1"/>
  <c r="FE6" i="8"/>
  <c r="EX4" i="7" s="1"/>
  <c r="EV38" i="8"/>
  <c r="EW38" i="8"/>
  <c r="EX38" i="8"/>
  <c r="EY38" i="8"/>
  <c r="EZ38" i="8"/>
  <c r="FA38" i="8"/>
  <c r="FB38" i="8"/>
  <c r="FC38" i="8"/>
  <c r="EV39" i="8"/>
  <c r="EW39" i="8"/>
  <c r="EX39" i="8"/>
  <c r="EY39" i="8"/>
  <c r="EZ39" i="8"/>
  <c r="FA39" i="8"/>
  <c r="FB39" i="8"/>
  <c r="FC39" i="8"/>
  <c r="EV40" i="8"/>
  <c r="EW40" i="8"/>
  <c r="EX40" i="8"/>
  <c r="EY40" i="8"/>
  <c r="EZ40" i="8"/>
  <c r="FA40" i="8"/>
  <c r="FB40" i="8"/>
  <c r="FC40" i="8"/>
  <c r="EV41" i="8"/>
  <c r="EW41" i="8"/>
  <c r="EX41" i="8"/>
  <c r="EY41" i="8"/>
  <c r="EZ41" i="8"/>
  <c r="FA41" i="8"/>
  <c r="FB41" i="8"/>
  <c r="FC41" i="8"/>
  <c r="EV42" i="8"/>
  <c r="EW42" i="8"/>
  <c r="EX42" i="8"/>
  <c r="EY42" i="8"/>
  <c r="EZ42" i="8"/>
  <c r="FA42" i="8"/>
  <c r="FB42" i="8"/>
  <c r="FC42" i="8"/>
  <c r="EV43" i="8"/>
  <c r="EW43" i="8"/>
  <c r="EX43" i="8"/>
  <c r="EY43" i="8"/>
  <c r="EZ43" i="8"/>
  <c r="FA43" i="8"/>
  <c r="FB43" i="8"/>
  <c r="FC43" i="8"/>
  <c r="EV44" i="8"/>
  <c r="EW44" i="8"/>
  <c r="EX44" i="8"/>
  <c r="EY44" i="8"/>
  <c r="EZ44" i="8"/>
  <c r="FA44" i="8"/>
  <c r="FB44" i="8"/>
  <c r="FC44" i="8"/>
  <c r="EV45" i="8"/>
  <c r="EW45" i="8"/>
  <c r="EX45" i="8"/>
  <c r="EY45" i="8"/>
  <c r="EZ45" i="8"/>
  <c r="FA45" i="8"/>
  <c r="FB45" i="8"/>
  <c r="FC45" i="8"/>
  <c r="EV46" i="8"/>
  <c r="EW46" i="8"/>
  <c r="EX46" i="8"/>
  <c r="EY46" i="8"/>
  <c r="EZ46" i="8"/>
  <c r="FA46" i="8"/>
  <c r="FB46" i="8"/>
  <c r="FC46" i="8"/>
  <c r="EV47" i="8"/>
  <c r="EW47" i="8"/>
  <c r="EX47" i="8"/>
  <c r="EY47" i="8"/>
  <c r="EZ47" i="8"/>
  <c r="FA47" i="8"/>
  <c r="FB47" i="8"/>
  <c r="FC47" i="8"/>
  <c r="EV48" i="8"/>
  <c r="EW48" i="8"/>
  <c r="EX48" i="8"/>
  <c r="EY48" i="8"/>
  <c r="EZ48" i="8"/>
  <c r="FA48" i="8"/>
  <c r="FB48" i="8"/>
  <c r="FC48" i="8"/>
  <c r="EV49" i="8"/>
  <c r="EW49" i="8"/>
  <c r="EX49" i="8"/>
  <c r="EY49" i="8"/>
  <c r="EZ49" i="8"/>
  <c r="FA49" i="8"/>
  <c r="FB49" i="8"/>
  <c r="FC49" i="8"/>
  <c r="EV50" i="8"/>
  <c r="EW50" i="8"/>
  <c r="EX50" i="8"/>
  <c r="EY50" i="8"/>
  <c r="EZ50" i="8"/>
  <c r="FA50" i="8"/>
  <c r="FB50" i="8"/>
  <c r="FC50" i="8"/>
  <c r="EV51" i="8"/>
  <c r="EW51" i="8"/>
  <c r="EX51" i="8"/>
  <c r="EY51" i="8"/>
  <c r="EZ51" i="8"/>
  <c r="FA51" i="8"/>
  <c r="FB51" i="8"/>
  <c r="FC51" i="8"/>
  <c r="EV52" i="8"/>
  <c r="EW52" i="8"/>
  <c r="EX52" i="8"/>
  <c r="EY52" i="8"/>
  <c r="EZ52" i="8"/>
  <c r="FA52" i="8"/>
  <c r="FB52" i="8"/>
  <c r="FC52" i="8"/>
  <c r="EV53" i="8"/>
  <c r="EW53" i="8"/>
  <c r="EX53" i="8"/>
  <c r="EY53" i="8"/>
  <c r="EZ53" i="8"/>
  <c r="FA53" i="8"/>
  <c r="FB53" i="8"/>
  <c r="FC53" i="8"/>
  <c r="EV54" i="8"/>
  <c r="EW54" i="8"/>
  <c r="EX54" i="8"/>
  <c r="EY54" i="8"/>
  <c r="EZ54" i="8"/>
  <c r="FA54" i="8"/>
  <c r="FB54" i="8"/>
  <c r="FC54" i="8"/>
  <c r="EV55" i="8"/>
  <c r="EW55" i="8"/>
  <c r="EX55" i="8"/>
  <c r="EY55" i="8"/>
  <c r="EZ55" i="8"/>
  <c r="FA55" i="8"/>
  <c r="FB55" i="8"/>
  <c r="FC55" i="8"/>
  <c r="EV56" i="8"/>
  <c r="EW56" i="8"/>
  <c r="EX56" i="8"/>
  <c r="EY56" i="8"/>
  <c r="EZ56" i="8"/>
  <c r="FA56" i="8"/>
  <c r="FB56" i="8"/>
  <c r="FC56" i="8"/>
  <c r="EV57" i="8"/>
  <c r="EW57" i="8"/>
  <c r="EX57" i="8"/>
  <c r="EY57" i="8"/>
  <c r="EZ57" i="8"/>
  <c r="FA57" i="8"/>
  <c r="FB57" i="8"/>
  <c r="FC57" i="8"/>
  <c r="EV58" i="8"/>
  <c r="EW58" i="8"/>
  <c r="EX58" i="8"/>
  <c r="EY58" i="8"/>
  <c r="EZ58" i="8"/>
  <c r="FA58" i="8"/>
  <c r="FB58" i="8"/>
  <c r="FC58" i="8"/>
  <c r="EV59" i="8"/>
  <c r="EW59" i="8"/>
  <c r="EX59" i="8"/>
  <c r="EY59" i="8"/>
  <c r="EZ59" i="8"/>
  <c r="FA59" i="8"/>
  <c r="FB59" i="8"/>
  <c r="FC59" i="8"/>
  <c r="EV60" i="8"/>
  <c r="EW60" i="8"/>
  <c r="EX60" i="8"/>
  <c r="EY60" i="8"/>
  <c r="EZ60" i="8"/>
  <c r="FA60" i="8"/>
  <c r="FB60" i="8"/>
  <c r="FC60" i="8"/>
  <c r="EV61" i="8"/>
  <c r="EW61" i="8"/>
  <c r="EX61" i="8"/>
  <c r="EY61" i="8"/>
  <c r="EZ61" i="8"/>
  <c r="FA61" i="8"/>
  <c r="FB61" i="8"/>
  <c r="FC61" i="8"/>
  <c r="EV62" i="8"/>
  <c r="EW62" i="8"/>
  <c r="EX62" i="8"/>
  <c r="EY62" i="8"/>
  <c r="EZ62" i="8"/>
  <c r="FA62" i="8"/>
  <c r="FB62" i="8"/>
  <c r="FC62" i="8"/>
  <c r="EV63" i="8"/>
  <c r="EW63" i="8"/>
  <c r="EX63" i="8"/>
  <c r="EY63" i="8"/>
  <c r="EZ63" i="8"/>
  <c r="FA63" i="8"/>
  <c r="FB63" i="8"/>
  <c r="FC63" i="8"/>
  <c r="EV64" i="8"/>
  <c r="EW64" i="8"/>
  <c r="EX64" i="8"/>
  <c r="EY64" i="8"/>
  <c r="EZ64" i="8"/>
  <c r="FA64" i="8"/>
  <c r="FB64" i="8"/>
  <c r="FC64" i="8"/>
  <c r="EV65" i="8"/>
  <c r="EW65" i="8"/>
  <c r="EX65" i="8"/>
  <c r="EY65" i="8"/>
  <c r="EZ65" i="8"/>
  <c r="FA65" i="8"/>
  <c r="FB65" i="8"/>
  <c r="FC65" i="8"/>
  <c r="EV66" i="8"/>
  <c r="EW66" i="8"/>
  <c r="EX66" i="8"/>
  <c r="EY66" i="8"/>
  <c r="EZ66" i="8"/>
  <c r="FA66" i="8"/>
  <c r="FB66" i="8"/>
  <c r="FC66" i="8"/>
  <c r="FC37" i="8"/>
  <c r="FB37" i="8"/>
  <c r="FA37" i="8"/>
  <c r="EZ37" i="8"/>
  <c r="EY37" i="8"/>
  <c r="EX37" i="8"/>
  <c r="EW37" i="8"/>
  <c r="EV37" i="8"/>
  <c r="EV7" i="8"/>
  <c r="EN5" i="7" s="1"/>
  <c r="EW7" i="8"/>
  <c r="EO5" i="7" s="1"/>
  <c r="EX7" i="8"/>
  <c r="EP5" i="7" s="1"/>
  <c r="EY7" i="8"/>
  <c r="EQ5" i="7" s="1"/>
  <c r="EZ7" i="8"/>
  <c r="ER5" i="7" s="1"/>
  <c r="FA7" i="8"/>
  <c r="ES5" i="7" s="1"/>
  <c r="FB7" i="8"/>
  <c r="ET5" i="7" s="1"/>
  <c r="FC7" i="8"/>
  <c r="EU5" i="7" s="1"/>
  <c r="EV8" i="8"/>
  <c r="EN6" i="7" s="1"/>
  <c r="EW8" i="8"/>
  <c r="EO6" i="7" s="1"/>
  <c r="EX8" i="8"/>
  <c r="EP6" i="7" s="1"/>
  <c r="EY8" i="8"/>
  <c r="EQ6" i="7" s="1"/>
  <c r="EZ8" i="8"/>
  <c r="ER6" i="7" s="1"/>
  <c r="FA8" i="8"/>
  <c r="ES6" i="7" s="1"/>
  <c r="FB8" i="8"/>
  <c r="ET6" i="7" s="1"/>
  <c r="FC8" i="8"/>
  <c r="EU6" i="7" s="1"/>
  <c r="EV9" i="8"/>
  <c r="EN7" i="7" s="1"/>
  <c r="EW9" i="8"/>
  <c r="EO7" i="7" s="1"/>
  <c r="EX9" i="8"/>
  <c r="EP7" i="7" s="1"/>
  <c r="EY9" i="8"/>
  <c r="EQ7" i="7" s="1"/>
  <c r="EZ9" i="8"/>
  <c r="ER7" i="7" s="1"/>
  <c r="FA9" i="8"/>
  <c r="ES7" i="7" s="1"/>
  <c r="FB9" i="8"/>
  <c r="ET7" i="7" s="1"/>
  <c r="FC9" i="8"/>
  <c r="EU7" i="7" s="1"/>
  <c r="EV10" i="8"/>
  <c r="EN8" i="7" s="1"/>
  <c r="EW10" i="8"/>
  <c r="EO8" i="7" s="1"/>
  <c r="EX10" i="8"/>
  <c r="EP8" i="7" s="1"/>
  <c r="EY10" i="8"/>
  <c r="EQ8" i="7" s="1"/>
  <c r="EZ10" i="8"/>
  <c r="ER8" i="7" s="1"/>
  <c r="FA10" i="8"/>
  <c r="ES8" i="7" s="1"/>
  <c r="FB10" i="8"/>
  <c r="ET8" i="7" s="1"/>
  <c r="FC10" i="8"/>
  <c r="EU8" i="7" s="1"/>
  <c r="EV11" i="8"/>
  <c r="EN9" i="7" s="1"/>
  <c r="EW11" i="8"/>
  <c r="EO9" i="7" s="1"/>
  <c r="EX11" i="8"/>
  <c r="EP9" i="7" s="1"/>
  <c r="EY11" i="8"/>
  <c r="EQ9" i="7" s="1"/>
  <c r="EZ11" i="8"/>
  <c r="ER9" i="7" s="1"/>
  <c r="FA11" i="8"/>
  <c r="ES9" i="7" s="1"/>
  <c r="FB11" i="8"/>
  <c r="ET9" i="7" s="1"/>
  <c r="FC11" i="8"/>
  <c r="EU9" i="7" s="1"/>
  <c r="EV12" i="8"/>
  <c r="EN10" i="7" s="1"/>
  <c r="EW12" i="8"/>
  <c r="EO10" i="7" s="1"/>
  <c r="EX12" i="8"/>
  <c r="EP10" i="7" s="1"/>
  <c r="EY12" i="8"/>
  <c r="EQ10" i="7" s="1"/>
  <c r="EZ12" i="8"/>
  <c r="ER10" i="7" s="1"/>
  <c r="FA12" i="8"/>
  <c r="ES10" i="7" s="1"/>
  <c r="FB12" i="8"/>
  <c r="ET10" i="7" s="1"/>
  <c r="FC12" i="8"/>
  <c r="EU10" i="7" s="1"/>
  <c r="EV13" i="8"/>
  <c r="EN11" i="7" s="1"/>
  <c r="EW13" i="8"/>
  <c r="EO11" i="7" s="1"/>
  <c r="EX13" i="8"/>
  <c r="EP11" i="7" s="1"/>
  <c r="EY13" i="8"/>
  <c r="EQ11" i="7" s="1"/>
  <c r="EZ13" i="8"/>
  <c r="ER11" i="7" s="1"/>
  <c r="FA13" i="8"/>
  <c r="ES11" i="7" s="1"/>
  <c r="FB13" i="8"/>
  <c r="ET11" i="7" s="1"/>
  <c r="FC13" i="8"/>
  <c r="EU11" i="7" s="1"/>
  <c r="EV14" i="8"/>
  <c r="EN12" i="7" s="1"/>
  <c r="EW14" i="8"/>
  <c r="EO12" i="7" s="1"/>
  <c r="EX14" i="8"/>
  <c r="EP12" i="7" s="1"/>
  <c r="EY14" i="8"/>
  <c r="EQ12" i="7" s="1"/>
  <c r="EZ14" i="8"/>
  <c r="ER12" i="7" s="1"/>
  <c r="FA14" i="8"/>
  <c r="ES12" i="7" s="1"/>
  <c r="FB14" i="8"/>
  <c r="ET12" i="7" s="1"/>
  <c r="FC14" i="8"/>
  <c r="EU12" i="7" s="1"/>
  <c r="EV15" i="8"/>
  <c r="EN13" i="7" s="1"/>
  <c r="EW15" i="8"/>
  <c r="EO13" i="7" s="1"/>
  <c r="EX15" i="8"/>
  <c r="EP13" i="7" s="1"/>
  <c r="EY15" i="8"/>
  <c r="EQ13" i="7" s="1"/>
  <c r="EZ15" i="8"/>
  <c r="ER13" i="7" s="1"/>
  <c r="FA15" i="8"/>
  <c r="ES13" i="7" s="1"/>
  <c r="FB15" i="8"/>
  <c r="ET13" i="7" s="1"/>
  <c r="FC15" i="8"/>
  <c r="EU13" i="7" s="1"/>
  <c r="EV16" i="8"/>
  <c r="EN14" i="7" s="1"/>
  <c r="EW16" i="8"/>
  <c r="EO14" i="7" s="1"/>
  <c r="EX16" i="8"/>
  <c r="EP14" i="7" s="1"/>
  <c r="EY16" i="8"/>
  <c r="EQ14" i="7" s="1"/>
  <c r="EZ16" i="8"/>
  <c r="ER14" i="7" s="1"/>
  <c r="FA16" i="8"/>
  <c r="ES14" i="7" s="1"/>
  <c r="FB16" i="8"/>
  <c r="ET14" i="7" s="1"/>
  <c r="FC16" i="8"/>
  <c r="EU14" i="7" s="1"/>
  <c r="EV17" i="8"/>
  <c r="EN15" i="7" s="1"/>
  <c r="EW17" i="8"/>
  <c r="EO15" i="7" s="1"/>
  <c r="EX17" i="8"/>
  <c r="EP15" i="7" s="1"/>
  <c r="EY17" i="8"/>
  <c r="EQ15" i="7" s="1"/>
  <c r="EZ17" i="8"/>
  <c r="ER15" i="7" s="1"/>
  <c r="FA17" i="8"/>
  <c r="ES15" i="7" s="1"/>
  <c r="FB17" i="8"/>
  <c r="ET15" i="7" s="1"/>
  <c r="FC17" i="8"/>
  <c r="EU15" i="7" s="1"/>
  <c r="EV18" i="8"/>
  <c r="EN16" i="7" s="1"/>
  <c r="EW18" i="8"/>
  <c r="EO16" i="7" s="1"/>
  <c r="EX18" i="8"/>
  <c r="EP16" i="7" s="1"/>
  <c r="EY18" i="8"/>
  <c r="EQ16" i="7" s="1"/>
  <c r="EZ18" i="8"/>
  <c r="ER16" i="7" s="1"/>
  <c r="FA18" i="8"/>
  <c r="ES16" i="7" s="1"/>
  <c r="FB18" i="8"/>
  <c r="ET16" i="7" s="1"/>
  <c r="FC18" i="8"/>
  <c r="EU16" i="7" s="1"/>
  <c r="EV19" i="8"/>
  <c r="EN17" i="7" s="1"/>
  <c r="EW19" i="8"/>
  <c r="EO17" i="7" s="1"/>
  <c r="EX19" i="8"/>
  <c r="EP17" i="7" s="1"/>
  <c r="EY19" i="8"/>
  <c r="EQ17" i="7" s="1"/>
  <c r="EZ19" i="8"/>
  <c r="ER17" i="7" s="1"/>
  <c r="FA19" i="8"/>
  <c r="ES17" i="7" s="1"/>
  <c r="FB19" i="8"/>
  <c r="ET17" i="7" s="1"/>
  <c r="FC19" i="8"/>
  <c r="EU17" i="7" s="1"/>
  <c r="EV20" i="8"/>
  <c r="EN18" i="7" s="1"/>
  <c r="EW20" i="8"/>
  <c r="EO18" i="7" s="1"/>
  <c r="EX20" i="8"/>
  <c r="EP18" i="7" s="1"/>
  <c r="EY20" i="8"/>
  <c r="EQ18" i="7" s="1"/>
  <c r="EZ20" i="8"/>
  <c r="ER18" i="7" s="1"/>
  <c r="FA20" i="8"/>
  <c r="ES18" i="7" s="1"/>
  <c r="FB20" i="8"/>
  <c r="ET18" i="7" s="1"/>
  <c r="FC20" i="8"/>
  <c r="EU18" i="7" s="1"/>
  <c r="EV21" i="8"/>
  <c r="EN19" i="7" s="1"/>
  <c r="EW21" i="8"/>
  <c r="EO19" i="7" s="1"/>
  <c r="EX21" i="8"/>
  <c r="EP19" i="7" s="1"/>
  <c r="EY21" i="8"/>
  <c r="EQ19" i="7" s="1"/>
  <c r="EZ21" i="8"/>
  <c r="ER19" i="7" s="1"/>
  <c r="FA21" i="8"/>
  <c r="ES19" i="7" s="1"/>
  <c r="FB21" i="8"/>
  <c r="ET19" i="7" s="1"/>
  <c r="FC21" i="8"/>
  <c r="EU19" i="7" s="1"/>
  <c r="EV22" i="8"/>
  <c r="EN20" i="7" s="1"/>
  <c r="EW22" i="8"/>
  <c r="EO20" i="7" s="1"/>
  <c r="EX22" i="8"/>
  <c r="EP20" i="7" s="1"/>
  <c r="EY22" i="8"/>
  <c r="EQ20" i="7" s="1"/>
  <c r="EZ22" i="8"/>
  <c r="ER20" i="7" s="1"/>
  <c r="FA22" i="8"/>
  <c r="ES20" i="7" s="1"/>
  <c r="FB22" i="8"/>
  <c r="ET20" i="7" s="1"/>
  <c r="FC22" i="8"/>
  <c r="EU20" i="7" s="1"/>
  <c r="EV23" i="8"/>
  <c r="EN21" i="7" s="1"/>
  <c r="EW23" i="8"/>
  <c r="EO21" i="7" s="1"/>
  <c r="EX23" i="8"/>
  <c r="EP21" i="7" s="1"/>
  <c r="EY23" i="8"/>
  <c r="EQ21" i="7" s="1"/>
  <c r="EZ23" i="8"/>
  <c r="ER21" i="7" s="1"/>
  <c r="FA23" i="8"/>
  <c r="ES21" i="7" s="1"/>
  <c r="FB23" i="8"/>
  <c r="ET21" i="7" s="1"/>
  <c r="FC23" i="8"/>
  <c r="EU21" i="7" s="1"/>
  <c r="EV24" i="8"/>
  <c r="EN22" i="7" s="1"/>
  <c r="EW24" i="8"/>
  <c r="EO22" i="7" s="1"/>
  <c r="EX24" i="8"/>
  <c r="EP22" i="7" s="1"/>
  <c r="EY24" i="8"/>
  <c r="EQ22" i="7" s="1"/>
  <c r="EZ24" i="8"/>
  <c r="ER22" i="7" s="1"/>
  <c r="FA24" i="8"/>
  <c r="ES22" i="7" s="1"/>
  <c r="FB24" i="8"/>
  <c r="ET22" i="7" s="1"/>
  <c r="FC24" i="8"/>
  <c r="EU22" i="7" s="1"/>
  <c r="EV25" i="8"/>
  <c r="EN23" i="7" s="1"/>
  <c r="EW25" i="8"/>
  <c r="EO23" i="7" s="1"/>
  <c r="EX25" i="8"/>
  <c r="EP23" i="7" s="1"/>
  <c r="EY25" i="8"/>
  <c r="EQ23" i="7" s="1"/>
  <c r="EZ25" i="8"/>
  <c r="ER23" i="7" s="1"/>
  <c r="FA25" i="8"/>
  <c r="ES23" i="7" s="1"/>
  <c r="FB25" i="8"/>
  <c r="ET23" i="7" s="1"/>
  <c r="FC25" i="8"/>
  <c r="EU23" i="7" s="1"/>
  <c r="EV26" i="8"/>
  <c r="EN24" i="7" s="1"/>
  <c r="EW26" i="8"/>
  <c r="EO24" i="7" s="1"/>
  <c r="EX26" i="8"/>
  <c r="EP24" i="7" s="1"/>
  <c r="EY26" i="8"/>
  <c r="EQ24" i="7" s="1"/>
  <c r="EZ26" i="8"/>
  <c r="ER24" i="7" s="1"/>
  <c r="FA26" i="8"/>
  <c r="ES24" i="7" s="1"/>
  <c r="FB26" i="8"/>
  <c r="ET24" i="7" s="1"/>
  <c r="FC26" i="8"/>
  <c r="EU24" i="7" s="1"/>
  <c r="EV27" i="8"/>
  <c r="EN25" i="7" s="1"/>
  <c r="EW27" i="8"/>
  <c r="EO25" i="7" s="1"/>
  <c r="EX27" i="8"/>
  <c r="EP25" i="7" s="1"/>
  <c r="EY27" i="8"/>
  <c r="EQ25" i="7" s="1"/>
  <c r="EZ27" i="8"/>
  <c r="ER25" i="7" s="1"/>
  <c r="FA27" i="8"/>
  <c r="ES25" i="7" s="1"/>
  <c r="FB27" i="8"/>
  <c r="ET25" i="7" s="1"/>
  <c r="FC27" i="8"/>
  <c r="EU25" i="7" s="1"/>
  <c r="EV28" i="8"/>
  <c r="EN26" i="7" s="1"/>
  <c r="EW28" i="8"/>
  <c r="EO26" i="7" s="1"/>
  <c r="EX28" i="8"/>
  <c r="EP26" i="7" s="1"/>
  <c r="EY28" i="8"/>
  <c r="EQ26" i="7" s="1"/>
  <c r="EZ28" i="8"/>
  <c r="ER26" i="7" s="1"/>
  <c r="FA28" i="8"/>
  <c r="ES26" i="7" s="1"/>
  <c r="FB28" i="8"/>
  <c r="ET26" i="7" s="1"/>
  <c r="FC28" i="8"/>
  <c r="EU26" i="7" s="1"/>
  <c r="EV29" i="8"/>
  <c r="EN27" i="7" s="1"/>
  <c r="EW29" i="8"/>
  <c r="EO27" i="7" s="1"/>
  <c r="EX29" i="8"/>
  <c r="EP27" i="7" s="1"/>
  <c r="EY29" i="8"/>
  <c r="EQ27" i="7" s="1"/>
  <c r="EZ29" i="8"/>
  <c r="ER27" i="7" s="1"/>
  <c r="FA29" i="8"/>
  <c r="ES27" i="7" s="1"/>
  <c r="FB29" i="8"/>
  <c r="ET27" i="7" s="1"/>
  <c r="FC29" i="8"/>
  <c r="EU27" i="7" s="1"/>
  <c r="EV30" i="8"/>
  <c r="EN28" i="7" s="1"/>
  <c r="EW30" i="8"/>
  <c r="EO28" i="7" s="1"/>
  <c r="EX30" i="8"/>
  <c r="EP28" i="7" s="1"/>
  <c r="EY30" i="8"/>
  <c r="EQ28" i="7" s="1"/>
  <c r="EZ30" i="8"/>
  <c r="ER28" i="7" s="1"/>
  <c r="FA30" i="8"/>
  <c r="ES28" i="7" s="1"/>
  <c r="FB30" i="8"/>
  <c r="ET28" i="7" s="1"/>
  <c r="FC30" i="8"/>
  <c r="EU28" i="7" s="1"/>
  <c r="EV31" i="8"/>
  <c r="EN29" i="7" s="1"/>
  <c r="EW31" i="8"/>
  <c r="EO29" i="7" s="1"/>
  <c r="EX31" i="8"/>
  <c r="EP29" i="7" s="1"/>
  <c r="EY31" i="8"/>
  <c r="EQ29" i="7" s="1"/>
  <c r="EZ31" i="8"/>
  <c r="ER29" i="7" s="1"/>
  <c r="FA31" i="8"/>
  <c r="ES29" i="7" s="1"/>
  <c r="FB31" i="8"/>
  <c r="ET29" i="7" s="1"/>
  <c r="FC31" i="8"/>
  <c r="EU29" i="7" s="1"/>
  <c r="EV32" i="8"/>
  <c r="EN30" i="7" s="1"/>
  <c r="EW32" i="8"/>
  <c r="EO30" i="7" s="1"/>
  <c r="EX32" i="8"/>
  <c r="EP30" i="7" s="1"/>
  <c r="EY32" i="8"/>
  <c r="EQ30" i="7" s="1"/>
  <c r="EZ32" i="8"/>
  <c r="ER30" i="7" s="1"/>
  <c r="FA32" i="8"/>
  <c r="ES30" i="7" s="1"/>
  <c r="FB32" i="8"/>
  <c r="ET30" i="7" s="1"/>
  <c r="FC32" i="8"/>
  <c r="EU30" i="7" s="1"/>
  <c r="EV33" i="8"/>
  <c r="EN31" i="7" s="1"/>
  <c r="EW33" i="8"/>
  <c r="EO31" i="7" s="1"/>
  <c r="EX33" i="8"/>
  <c r="EP31" i="7" s="1"/>
  <c r="EY33" i="8"/>
  <c r="EQ31" i="7" s="1"/>
  <c r="EZ33" i="8"/>
  <c r="ER31" i="7" s="1"/>
  <c r="FA33" i="8"/>
  <c r="ES31" i="7" s="1"/>
  <c r="FB33" i="8"/>
  <c r="ET31" i="7" s="1"/>
  <c r="FC33" i="8"/>
  <c r="EU31" i="7" s="1"/>
  <c r="EV34" i="8"/>
  <c r="EN32" i="7" s="1"/>
  <c r="EW34" i="8"/>
  <c r="EO32" i="7" s="1"/>
  <c r="EX34" i="8"/>
  <c r="EP32" i="7" s="1"/>
  <c r="EY34" i="8"/>
  <c r="EQ32" i="7" s="1"/>
  <c r="EZ34" i="8"/>
  <c r="ER32" i="7" s="1"/>
  <c r="FA34" i="8"/>
  <c r="ES32" i="7" s="1"/>
  <c r="FB34" i="8"/>
  <c r="ET32" i="7" s="1"/>
  <c r="FC34" i="8"/>
  <c r="EU32" i="7" s="1"/>
  <c r="EV35" i="8"/>
  <c r="EN33" i="7" s="1"/>
  <c r="EW35" i="8"/>
  <c r="EO33" i="7" s="1"/>
  <c r="EX35" i="8"/>
  <c r="EP33" i="7" s="1"/>
  <c r="EY35" i="8"/>
  <c r="EQ33" i="7" s="1"/>
  <c r="EZ35" i="8"/>
  <c r="ER33" i="7" s="1"/>
  <c r="FA35" i="8"/>
  <c r="ES33" i="7" s="1"/>
  <c r="FB35" i="8"/>
  <c r="ET33" i="7" s="1"/>
  <c r="FC35" i="8"/>
  <c r="EU33" i="7" s="1"/>
  <c r="FC6" i="8"/>
  <c r="EU4" i="7" s="1"/>
  <c r="FB6" i="8"/>
  <c r="ET4" i="7" s="1"/>
  <c r="FA6" i="8"/>
  <c r="ES4" i="7" s="1"/>
  <c r="EZ6" i="8"/>
  <c r="ER4" i="7" s="1"/>
  <c r="EY6" i="8"/>
  <c r="EQ4" i="7" s="1"/>
  <c r="EX6" i="8"/>
  <c r="EP4" i="7" s="1"/>
  <c r="EW6" i="8"/>
  <c r="EO4" i="7" s="1"/>
  <c r="EV6" i="8"/>
  <c r="EN4" i="7" s="1"/>
  <c r="EM38" i="8"/>
  <c r="EN38" i="8"/>
  <c r="EO38" i="8"/>
  <c r="EP38" i="8"/>
  <c r="EQ38" i="8"/>
  <c r="ER38" i="8"/>
  <c r="ES38" i="8"/>
  <c r="ET38" i="8"/>
  <c r="EM39" i="8"/>
  <c r="EN39" i="8"/>
  <c r="EO39" i="8"/>
  <c r="EP39" i="8"/>
  <c r="EQ39" i="8"/>
  <c r="ER39" i="8"/>
  <c r="ES39" i="8"/>
  <c r="ET39" i="8"/>
  <c r="EM40" i="8"/>
  <c r="EN40" i="8"/>
  <c r="EO40" i="8"/>
  <c r="EP40" i="8"/>
  <c r="EQ40" i="8"/>
  <c r="ER40" i="8"/>
  <c r="ES40" i="8"/>
  <c r="ET40" i="8"/>
  <c r="EM41" i="8"/>
  <c r="EN41" i="8"/>
  <c r="EO41" i="8"/>
  <c r="EP41" i="8"/>
  <c r="EQ41" i="8"/>
  <c r="ER41" i="8"/>
  <c r="ES41" i="8"/>
  <c r="ET41" i="8"/>
  <c r="EM42" i="8"/>
  <c r="EN42" i="8"/>
  <c r="EO42" i="8"/>
  <c r="EP42" i="8"/>
  <c r="EQ42" i="8"/>
  <c r="ER42" i="8"/>
  <c r="ES42" i="8"/>
  <c r="ET42" i="8"/>
  <c r="EM43" i="8"/>
  <c r="EN43" i="8"/>
  <c r="EO43" i="8"/>
  <c r="EP43" i="8"/>
  <c r="EQ43" i="8"/>
  <c r="ER43" i="8"/>
  <c r="ES43" i="8"/>
  <c r="ET43" i="8"/>
  <c r="EM44" i="8"/>
  <c r="EN44" i="8"/>
  <c r="EO44" i="8"/>
  <c r="EP44" i="8"/>
  <c r="EQ44" i="8"/>
  <c r="ER44" i="8"/>
  <c r="ES44" i="8"/>
  <c r="ET44" i="8"/>
  <c r="EM45" i="8"/>
  <c r="EN45" i="8"/>
  <c r="EO45" i="8"/>
  <c r="EP45" i="8"/>
  <c r="EQ45" i="8"/>
  <c r="ER45" i="8"/>
  <c r="ES45" i="8"/>
  <c r="ET45" i="8"/>
  <c r="EM46" i="8"/>
  <c r="EN46" i="8"/>
  <c r="EO46" i="8"/>
  <c r="EP46" i="8"/>
  <c r="EQ46" i="8"/>
  <c r="ER46" i="8"/>
  <c r="ES46" i="8"/>
  <c r="ET46" i="8"/>
  <c r="EM47" i="8"/>
  <c r="EN47" i="8"/>
  <c r="EO47" i="8"/>
  <c r="EP47" i="8"/>
  <c r="EQ47" i="8"/>
  <c r="ER47" i="8"/>
  <c r="ES47" i="8"/>
  <c r="ET47" i="8"/>
  <c r="EM48" i="8"/>
  <c r="EN48" i="8"/>
  <c r="EO48" i="8"/>
  <c r="EP48" i="8"/>
  <c r="EQ48" i="8"/>
  <c r="ER48" i="8"/>
  <c r="ES48" i="8"/>
  <c r="ET48" i="8"/>
  <c r="EM49" i="8"/>
  <c r="EN49" i="8"/>
  <c r="EO49" i="8"/>
  <c r="EP49" i="8"/>
  <c r="EQ49" i="8"/>
  <c r="ER49" i="8"/>
  <c r="ES49" i="8"/>
  <c r="ET49" i="8"/>
  <c r="EM50" i="8"/>
  <c r="EN50" i="8"/>
  <c r="EO50" i="8"/>
  <c r="EP50" i="8"/>
  <c r="EQ50" i="8"/>
  <c r="ER50" i="8"/>
  <c r="ES50" i="8"/>
  <c r="ET50" i="8"/>
  <c r="EM51" i="8"/>
  <c r="EN51" i="8"/>
  <c r="EO51" i="8"/>
  <c r="EP51" i="8"/>
  <c r="EQ51" i="8"/>
  <c r="ER51" i="8"/>
  <c r="ES51" i="8"/>
  <c r="ET51" i="8"/>
  <c r="EM52" i="8"/>
  <c r="EN52" i="8"/>
  <c r="EO52" i="8"/>
  <c r="EP52" i="8"/>
  <c r="EQ52" i="8"/>
  <c r="ER52" i="8"/>
  <c r="ES52" i="8"/>
  <c r="ET52" i="8"/>
  <c r="EM53" i="8"/>
  <c r="EN53" i="8"/>
  <c r="EO53" i="8"/>
  <c r="EP53" i="8"/>
  <c r="EQ53" i="8"/>
  <c r="ER53" i="8"/>
  <c r="ES53" i="8"/>
  <c r="ET53" i="8"/>
  <c r="EM54" i="8"/>
  <c r="EN54" i="8"/>
  <c r="EO54" i="8"/>
  <c r="EP54" i="8"/>
  <c r="EQ54" i="8"/>
  <c r="ER54" i="8"/>
  <c r="ES54" i="8"/>
  <c r="ET54" i="8"/>
  <c r="EM55" i="8"/>
  <c r="EN55" i="8"/>
  <c r="EO55" i="8"/>
  <c r="EP55" i="8"/>
  <c r="EQ55" i="8"/>
  <c r="ER55" i="8"/>
  <c r="ES55" i="8"/>
  <c r="ET55" i="8"/>
  <c r="EM56" i="8"/>
  <c r="EN56" i="8"/>
  <c r="EO56" i="8"/>
  <c r="EP56" i="8"/>
  <c r="EQ56" i="8"/>
  <c r="ER56" i="8"/>
  <c r="ES56" i="8"/>
  <c r="ET56" i="8"/>
  <c r="EM57" i="8"/>
  <c r="EN57" i="8"/>
  <c r="EO57" i="8"/>
  <c r="EP57" i="8"/>
  <c r="EQ57" i="8"/>
  <c r="ER57" i="8"/>
  <c r="ES57" i="8"/>
  <c r="ET57" i="8"/>
  <c r="EM58" i="8"/>
  <c r="EN58" i="8"/>
  <c r="EO58" i="8"/>
  <c r="EP58" i="8"/>
  <c r="EQ58" i="8"/>
  <c r="ER58" i="8"/>
  <c r="ES58" i="8"/>
  <c r="ET58" i="8"/>
  <c r="EM59" i="8"/>
  <c r="EN59" i="8"/>
  <c r="EO59" i="8"/>
  <c r="EP59" i="8"/>
  <c r="EQ59" i="8"/>
  <c r="ER59" i="8"/>
  <c r="ES59" i="8"/>
  <c r="ET59" i="8"/>
  <c r="EM60" i="8"/>
  <c r="EN60" i="8"/>
  <c r="EO60" i="8"/>
  <c r="EP60" i="8"/>
  <c r="EQ60" i="8"/>
  <c r="ER60" i="8"/>
  <c r="ES60" i="8"/>
  <c r="ET60" i="8"/>
  <c r="EM61" i="8"/>
  <c r="EN61" i="8"/>
  <c r="EO61" i="8"/>
  <c r="EP61" i="8"/>
  <c r="EQ61" i="8"/>
  <c r="ER61" i="8"/>
  <c r="ES61" i="8"/>
  <c r="ET61" i="8"/>
  <c r="EM62" i="8"/>
  <c r="EN62" i="8"/>
  <c r="EO62" i="8"/>
  <c r="EP62" i="8"/>
  <c r="EQ62" i="8"/>
  <c r="ER62" i="8"/>
  <c r="ES62" i="8"/>
  <c r="ET62" i="8"/>
  <c r="EM63" i="8"/>
  <c r="EN63" i="8"/>
  <c r="EO63" i="8"/>
  <c r="EP63" i="8"/>
  <c r="EQ63" i="8"/>
  <c r="ER63" i="8"/>
  <c r="ES63" i="8"/>
  <c r="ET63" i="8"/>
  <c r="EM64" i="8"/>
  <c r="EN64" i="8"/>
  <c r="EO64" i="8"/>
  <c r="EP64" i="8"/>
  <c r="EQ64" i="8"/>
  <c r="ER64" i="8"/>
  <c r="ES64" i="8"/>
  <c r="ET64" i="8"/>
  <c r="EM65" i="8"/>
  <c r="EN65" i="8"/>
  <c r="EO65" i="8"/>
  <c r="EP65" i="8"/>
  <c r="EQ65" i="8"/>
  <c r="ER65" i="8"/>
  <c r="ES65" i="8"/>
  <c r="ET65" i="8"/>
  <c r="EM66" i="8"/>
  <c r="EN66" i="8"/>
  <c r="EO66" i="8"/>
  <c r="EP66" i="8"/>
  <c r="EQ66" i="8"/>
  <c r="ER66" i="8"/>
  <c r="ES66" i="8"/>
  <c r="ET66" i="8"/>
  <c r="ET37" i="8"/>
  <c r="ES37" i="8"/>
  <c r="ER37" i="8"/>
  <c r="EQ37" i="8"/>
  <c r="EP37" i="8"/>
  <c r="EO37" i="8"/>
  <c r="EN37" i="8"/>
  <c r="EM37" i="8"/>
  <c r="EM7" i="8"/>
  <c r="ED5" i="7" s="1"/>
  <c r="EN7" i="8"/>
  <c r="EE5" i="7" s="1"/>
  <c r="EO7" i="8"/>
  <c r="EF5" i="7" s="1"/>
  <c r="EP7" i="8"/>
  <c r="EG5" i="7" s="1"/>
  <c r="EQ7" i="8"/>
  <c r="EH5" i="7" s="1"/>
  <c r="ER7" i="8"/>
  <c r="EI5" i="7" s="1"/>
  <c r="ES7" i="8"/>
  <c r="EJ5" i="7" s="1"/>
  <c r="ET7" i="8"/>
  <c r="EK5" i="7" s="1"/>
  <c r="EM8" i="8"/>
  <c r="ED6" i="7" s="1"/>
  <c r="EN8" i="8"/>
  <c r="EE6" i="7" s="1"/>
  <c r="EO8" i="8"/>
  <c r="EF6" i="7" s="1"/>
  <c r="EP8" i="8"/>
  <c r="EG6" i="7" s="1"/>
  <c r="EQ8" i="8"/>
  <c r="EH6" i="7" s="1"/>
  <c r="ER8" i="8"/>
  <c r="EI6" i="7" s="1"/>
  <c r="ES8" i="8"/>
  <c r="EJ6" i="7" s="1"/>
  <c r="ET8" i="8"/>
  <c r="EK6" i="7" s="1"/>
  <c r="EM9" i="8"/>
  <c r="ED7" i="7" s="1"/>
  <c r="EN9" i="8"/>
  <c r="EE7" i="7" s="1"/>
  <c r="EO9" i="8"/>
  <c r="EF7" i="7" s="1"/>
  <c r="EP9" i="8"/>
  <c r="EG7" i="7" s="1"/>
  <c r="EQ9" i="8"/>
  <c r="EH7" i="7" s="1"/>
  <c r="ER9" i="8"/>
  <c r="EI7" i="7" s="1"/>
  <c r="ES9" i="8"/>
  <c r="EJ7" i="7" s="1"/>
  <c r="ET9" i="8"/>
  <c r="EK7" i="7" s="1"/>
  <c r="EM10" i="8"/>
  <c r="ED8" i="7" s="1"/>
  <c r="EN10" i="8"/>
  <c r="EE8" i="7" s="1"/>
  <c r="EO10" i="8"/>
  <c r="EF8" i="7" s="1"/>
  <c r="EP10" i="8"/>
  <c r="EG8" i="7" s="1"/>
  <c r="EQ10" i="8"/>
  <c r="EH8" i="7" s="1"/>
  <c r="ER10" i="8"/>
  <c r="EI8" i="7" s="1"/>
  <c r="ES10" i="8"/>
  <c r="EJ8" i="7" s="1"/>
  <c r="ET10" i="8"/>
  <c r="EK8" i="7" s="1"/>
  <c r="EM11" i="8"/>
  <c r="ED9" i="7" s="1"/>
  <c r="EN11" i="8"/>
  <c r="EE9" i="7" s="1"/>
  <c r="EO11" i="8"/>
  <c r="EF9" i="7" s="1"/>
  <c r="EP11" i="8"/>
  <c r="EG9" i="7" s="1"/>
  <c r="EQ11" i="8"/>
  <c r="EH9" i="7" s="1"/>
  <c r="ER11" i="8"/>
  <c r="EI9" i="7" s="1"/>
  <c r="ES11" i="8"/>
  <c r="EJ9" i="7" s="1"/>
  <c r="ET11" i="8"/>
  <c r="EK9" i="7" s="1"/>
  <c r="EM12" i="8"/>
  <c r="ED10" i="7" s="1"/>
  <c r="EN12" i="8"/>
  <c r="EE10" i="7" s="1"/>
  <c r="EO12" i="8"/>
  <c r="EF10" i="7" s="1"/>
  <c r="EP12" i="8"/>
  <c r="EG10" i="7" s="1"/>
  <c r="EQ12" i="8"/>
  <c r="EH10" i="7" s="1"/>
  <c r="ER12" i="8"/>
  <c r="EI10" i="7" s="1"/>
  <c r="ES12" i="8"/>
  <c r="EJ10" i="7" s="1"/>
  <c r="ET12" i="8"/>
  <c r="EK10" i="7" s="1"/>
  <c r="EM13" i="8"/>
  <c r="ED11" i="7" s="1"/>
  <c r="EN13" i="8"/>
  <c r="EE11" i="7" s="1"/>
  <c r="EO13" i="8"/>
  <c r="EF11" i="7" s="1"/>
  <c r="EP13" i="8"/>
  <c r="EG11" i="7" s="1"/>
  <c r="EQ13" i="8"/>
  <c r="EH11" i="7" s="1"/>
  <c r="ER13" i="8"/>
  <c r="EI11" i="7" s="1"/>
  <c r="ES13" i="8"/>
  <c r="EJ11" i="7" s="1"/>
  <c r="ET13" i="8"/>
  <c r="EK11" i="7" s="1"/>
  <c r="EM14" i="8"/>
  <c r="ED12" i="7" s="1"/>
  <c r="EN14" i="8"/>
  <c r="EE12" i="7" s="1"/>
  <c r="EO14" i="8"/>
  <c r="EF12" i="7" s="1"/>
  <c r="EP14" i="8"/>
  <c r="EG12" i="7" s="1"/>
  <c r="EQ14" i="8"/>
  <c r="EH12" i="7" s="1"/>
  <c r="ER14" i="8"/>
  <c r="EI12" i="7" s="1"/>
  <c r="ES14" i="8"/>
  <c r="EJ12" i="7" s="1"/>
  <c r="ET14" i="8"/>
  <c r="EK12" i="7" s="1"/>
  <c r="EM15" i="8"/>
  <c r="ED13" i="7" s="1"/>
  <c r="EN15" i="8"/>
  <c r="EE13" i="7" s="1"/>
  <c r="EO15" i="8"/>
  <c r="EF13" i="7" s="1"/>
  <c r="EP15" i="8"/>
  <c r="EG13" i="7" s="1"/>
  <c r="EQ15" i="8"/>
  <c r="EH13" i="7" s="1"/>
  <c r="ER15" i="8"/>
  <c r="EI13" i="7" s="1"/>
  <c r="ES15" i="8"/>
  <c r="EJ13" i="7" s="1"/>
  <c r="ET15" i="8"/>
  <c r="EK13" i="7" s="1"/>
  <c r="EM16" i="8"/>
  <c r="ED14" i="7" s="1"/>
  <c r="EN16" i="8"/>
  <c r="EE14" i="7" s="1"/>
  <c r="EO16" i="8"/>
  <c r="EF14" i="7" s="1"/>
  <c r="EP16" i="8"/>
  <c r="EG14" i="7" s="1"/>
  <c r="EQ16" i="8"/>
  <c r="EH14" i="7" s="1"/>
  <c r="ER16" i="8"/>
  <c r="EI14" i="7" s="1"/>
  <c r="ES16" i="8"/>
  <c r="EJ14" i="7" s="1"/>
  <c r="ET16" i="8"/>
  <c r="EK14" i="7" s="1"/>
  <c r="EM17" i="8"/>
  <c r="ED15" i="7" s="1"/>
  <c r="EN17" i="8"/>
  <c r="EE15" i="7" s="1"/>
  <c r="EO17" i="8"/>
  <c r="EF15" i="7" s="1"/>
  <c r="EP17" i="8"/>
  <c r="EG15" i="7" s="1"/>
  <c r="EQ17" i="8"/>
  <c r="EH15" i="7" s="1"/>
  <c r="ER17" i="8"/>
  <c r="EI15" i="7" s="1"/>
  <c r="ES17" i="8"/>
  <c r="EJ15" i="7" s="1"/>
  <c r="ET17" i="8"/>
  <c r="EK15" i="7" s="1"/>
  <c r="EM18" i="8"/>
  <c r="ED16" i="7" s="1"/>
  <c r="EN18" i="8"/>
  <c r="EE16" i="7" s="1"/>
  <c r="EO18" i="8"/>
  <c r="EF16" i="7" s="1"/>
  <c r="EP18" i="8"/>
  <c r="EG16" i="7" s="1"/>
  <c r="EQ18" i="8"/>
  <c r="EH16" i="7" s="1"/>
  <c r="ER18" i="8"/>
  <c r="EI16" i="7" s="1"/>
  <c r="ES18" i="8"/>
  <c r="EJ16" i="7" s="1"/>
  <c r="ET18" i="8"/>
  <c r="EK16" i="7" s="1"/>
  <c r="EM19" i="8"/>
  <c r="ED17" i="7" s="1"/>
  <c r="EN19" i="8"/>
  <c r="EE17" i="7" s="1"/>
  <c r="EO19" i="8"/>
  <c r="EF17" i="7" s="1"/>
  <c r="EP19" i="8"/>
  <c r="EG17" i="7" s="1"/>
  <c r="EQ19" i="8"/>
  <c r="EH17" i="7" s="1"/>
  <c r="ER19" i="8"/>
  <c r="EI17" i="7" s="1"/>
  <c r="ES19" i="8"/>
  <c r="EJ17" i="7" s="1"/>
  <c r="ET19" i="8"/>
  <c r="EK17" i="7" s="1"/>
  <c r="EM20" i="8"/>
  <c r="ED18" i="7" s="1"/>
  <c r="EN20" i="8"/>
  <c r="EE18" i="7" s="1"/>
  <c r="EO20" i="8"/>
  <c r="EF18" i="7" s="1"/>
  <c r="EP20" i="8"/>
  <c r="EG18" i="7" s="1"/>
  <c r="EQ20" i="8"/>
  <c r="EH18" i="7" s="1"/>
  <c r="ER20" i="8"/>
  <c r="EI18" i="7" s="1"/>
  <c r="ES20" i="8"/>
  <c r="EJ18" i="7" s="1"/>
  <c r="ET20" i="8"/>
  <c r="EK18" i="7" s="1"/>
  <c r="EM21" i="8"/>
  <c r="ED19" i="7" s="1"/>
  <c r="EN21" i="8"/>
  <c r="EE19" i="7" s="1"/>
  <c r="EO21" i="8"/>
  <c r="EF19" i="7" s="1"/>
  <c r="EP21" i="8"/>
  <c r="EG19" i="7" s="1"/>
  <c r="EQ21" i="8"/>
  <c r="EH19" i="7" s="1"/>
  <c r="ER21" i="8"/>
  <c r="EI19" i="7" s="1"/>
  <c r="ES21" i="8"/>
  <c r="EJ19" i="7" s="1"/>
  <c r="ET21" i="8"/>
  <c r="EK19" i="7" s="1"/>
  <c r="EM22" i="8"/>
  <c r="ED20" i="7" s="1"/>
  <c r="EN22" i="8"/>
  <c r="EE20" i="7" s="1"/>
  <c r="EO22" i="8"/>
  <c r="EF20" i="7" s="1"/>
  <c r="EP22" i="8"/>
  <c r="EG20" i="7" s="1"/>
  <c r="EQ22" i="8"/>
  <c r="EH20" i="7" s="1"/>
  <c r="ER22" i="8"/>
  <c r="EI20" i="7" s="1"/>
  <c r="ES22" i="8"/>
  <c r="EJ20" i="7" s="1"/>
  <c r="ET22" i="8"/>
  <c r="EK20" i="7" s="1"/>
  <c r="EM23" i="8"/>
  <c r="ED21" i="7" s="1"/>
  <c r="EN23" i="8"/>
  <c r="EE21" i="7" s="1"/>
  <c r="EO23" i="8"/>
  <c r="EF21" i="7" s="1"/>
  <c r="EP23" i="8"/>
  <c r="EG21" i="7" s="1"/>
  <c r="EQ23" i="8"/>
  <c r="EH21" i="7" s="1"/>
  <c r="ER23" i="8"/>
  <c r="EI21" i="7" s="1"/>
  <c r="ES23" i="8"/>
  <c r="EJ21" i="7" s="1"/>
  <c r="ET23" i="8"/>
  <c r="EK21" i="7" s="1"/>
  <c r="EM24" i="8"/>
  <c r="ED22" i="7" s="1"/>
  <c r="EN24" i="8"/>
  <c r="EE22" i="7" s="1"/>
  <c r="EO24" i="8"/>
  <c r="EF22" i="7" s="1"/>
  <c r="EP24" i="8"/>
  <c r="EG22" i="7" s="1"/>
  <c r="EQ24" i="8"/>
  <c r="EH22" i="7" s="1"/>
  <c r="ER24" i="8"/>
  <c r="EI22" i="7" s="1"/>
  <c r="ES24" i="8"/>
  <c r="EJ22" i="7" s="1"/>
  <c r="ET24" i="8"/>
  <c r="EK22" i="7" s="1"/>
  <c r="EM25" i="8"/>
  <c r="ED23" i="7" s="1"/>
  <c r="EN25" i="8"/>
  <c r="EE23" i="7" s="1"/>
  <c r="EO25" i="8"/>
  <c r="EF23" i="7" s="1"/>
  <c r="EP25" i="8"/>
  <c r="EG23" i="7" s="1"/>
  <c r="EQ25" i="8"/>
  <c r="EH23" i="7" s="1"/>
  <c r="ER25" i="8"/>
  <c r="EI23" i="7" s="1"/>
  <c r="ES25" i="8"/>
  <c r="EJ23" i="7" s="1"/>
  <c r="ET25" i="8"/>
  <c r="EK23" i="7" s="1"/>
  <c r="EM26" i="8"/>
  <c r="ED24" i="7" s="1"/>
  <c r="EN26" i="8"/>
  <c r="EE24" i="7" s="1"/>
  <c r="EO26" i="8"/>
  <c r="EF24" i="7" s="1"/>
  <c r="EP26" i="8"/>
  <c r="EG24" i="7" s="1"/>
  <c r="EQ26" i="8"/>
  <c r="EH24" i="7" s="1"/>
  <c r="ER26" i="8"/>
  <c r="EI24" i="7" s="1"/>
  <c r="ES26" i="8"/>
  <c r="EJ24" i="7" s="1"/>
  <c r="ET26" i="8"/>
  <c r="EK24" i="7" s="1"/>
  <c r="EM27" i="8"/>
  <c r="ED25" i="7" s="1"/>
  <c r="EN27" i="8"/>
  <c r="EE25" i="7" s="1"/>
  <c r="EO27" i="8"/>
  <c r="EF25" i="7" s="1"/>
  <c r="EP27" i="8"/>
  <c r="EG25" i="7" s="1"/>
  <c r="EQ27" i="8"/>
  <c r="EH25" i="7" s="1"/>
  <c r="ER27" i="8"/>
  <c r="EI25" i="7" s="1"/>
  <c r="ES27" i="8"/>
  <c r="EJ25" i="7" s="1"/>
  <c r="ET27" i="8"/>
  <c r="EK25" i="7" s="1"/>
  <c r="EM28" i="8"/>
  <c r="ED26" i="7" s="1"/>
  <c r="EN28" i="8"/>
  <c r="EE26" i="7" s="1"/>
  <c r="EO28" i="8"/>
  <c r="EF26" i="7" s="1"/>
  <c r="EP28" i="8"/>
  <c r="EG26" i="7" s="1"/>
  <c r="EQ28" i="8"/>
  <c r="EH26" i="7" s="1"/>
  <c r="ER28" i="8"/>
  <c r="EI26" i="7" s="1"/>
  <c r="ES28" i="8"/>
  <c r="EJ26" i="7" s="1"/>
  <c r="ET28" i="8"/>
  <c r="EK26" i="7" s="1"/>
  <c r="EM29" i="8"/>
  <c r="ED27" i="7" s="1"/>
  <c r="EN29" i="8"/>
  <c r="EE27" i="7" s="1"/>
  <c r="EO29" i="8"/>
  <c r="EF27" i="7" s="1"/>
  <c r="EP29" i="8"/>
  <c r="EG27" i="7" s="1"/>
  <c r="EQ29" i="8"/>
  <c r="EH27" i="7" s="1"/>
  <c r="ER29" i="8"/>
  <c r="EI27" i="7" s="1"/>
  <c r="ES29" i="8"/>
  <c r="EJ27" i="7" s="1"/>
  <c r="ET29" i="8"/>
  <c r="EK27" i="7" s="1"/>
  <c r="EM30" i="8"/>
  <c r="ED28" i="7" s="1"/>
  <c r="EN30" i="8"/>
  <c r="EE28" i="7" s="1"/>
  <c r="EO30" i="8"/>
  <c r="EF28" i="7" s="1"/>
  <c r="EP30" i="8"/>
  <c r="EG28" i="7" s="1"/>
  <c r="EQ30" i="8"/>
  <c r="EH28" i="7" s="1"/>
  <c r="ER30" i="8"/>
  <c r="EI28" i="7" s="1"/>
  <c r="ES30" i="8"/>
  <c r="EJ28" i="7" s="1"/>
  <c r="ET30" i="8"/>
  <c r="EK28" i="7" s="1"/>
  <c r="EM31" i="8"/>
  <c r="ED29" i="7" s="1"/>
  <c r="EN31" i="8"/>
  <c r="EE29" i="7" s="1"/>
  <c r="EO31" i="8"/>
  <c r="EF29" i="7" s="1"/>
  <c r="EP31" i="8"/>
  <c r="EG29" i="7" s="1"/>
  <c r="EQ31" i="8"/>
  <c r="EH29" i="7" s="1"/>
  <c r="ER31" i="8"/>
  <c r="EI29" i="7" s="1"/>
  <c r="ES31" i="8"/>
  <c r="EJ29" i="7" s="1"/>
  <c r="ET31" i="8"/>
  <c r="EK29" i="7" s="1"/>
  <c r="EM32" i="8"/>
  <c r="ED30" i="7" s="1"/>
  <c r="EN32" i="8"/>
  <c r="EE30" i="7" s="1"/>
  <c r="EO32" i="8"/>
  <c r="EF30" i="7" s="1"/>
  <c r="EP32" i="8"/>
  <c r="EG30" i="7" s="1"/>
  <c r="EQ32" i="8"/>
  <c r="EH30" i="7" s="1"/>
  <c r="ER32" i="8"/>
  <c r="EI30" i="7" s="1"/>
  <c r="ES32" i="8"/>
  <c r="EJ30" i="7" s="1"/>
  <c r="ET32" i="8"/>
  <c r="EK30" i="7" s="1"/>
  <c r="EM33" i="8"/>
  <c r="ED31" i="7" s="1"/>
  <c r="EN33" i="8"/>
  <c r="EE31" i="7" s="1"/>
  <c r="EO33" i="8"/>
  <c r="EF31" i="7" s="1"/>
  <c r="EP33" i="8"/>
  <c r="EG31" i="7" s="1"/>
  <c r="EQ33" i="8"/>
  <c r="EH31" i="7" s="1"/>
  <c r="ER33" i="8"/>
  <c r="EI31" i="7" s="1"/>
  <c r="ES33" i="8"/>
  <c r="EJ31" i="7" s="1"/>
  <c r="ET33" i="8"/>
  <c r="EK31" i="7" s="1"/>
  <c r="EM34" i="8"/>
  <c r="ED32" i="7" s="1"/>
  <c r="EN34" i="8"/>
  <c r="EE32" i="7" s="1"/>
  <c r="EO34" i="8"/>
  <c r="EF32" i="7" s="1"/>
  <c r="EP34" i="8"/>
  <c r="EG32" i="7" s="1"/>
  <c r="EQ34" i="8"/>
  <c r="EH32" i="7" s="1"/>
  <c r="ER34" i="8"/>
  <c r="EI32" i="7" s="1"/>
  <c r="ES34" i="8"/>
  <c r="EJ32" i="7" s="1"/>
  <c r="ET34" i="8"/>
  <c r="EK32" i="7" s="1"/>
  <c r="EM35" i="8"/>
  <c r="ED33" i="7" s="1"/>
  <c r="EN35" i="8"/>
  <c r="EE33" i="7" s="1"/>
  <c r="EO35" i="8"/>
  <c r="EF33" i="7" s="1"/>
  <c r="EP35" i="8"/>
  <c r="EG33" i="7" s="1"/>
  <c r="EQ35" i="8"/>
  <c r="EH33" i="7" s="1"/>
  <c r="ER35" i="8"/>
  <c r="EI33" i="7" s="1"/>
  <c r="ES35" i="8"/>
  <c r="EJ33" i="7" s="1"/>
  <c r="ET35" i="8"/>
  <c r="EK33" i="7" s="1"/>
  <c r="ET6" i="8"/>
  <c r="EK4" i="7" s="1"/>
  <c r="ES6" i="8"/>
  <c r="EJ4" i="7" s="1"/>
  <c r="ER6" i="8"/>
  <c r="EI4" i="7" s="1"/>
  <c r="EQ6" i="8"/>
  <c r="EH4" i="7" s="1"/>
  <c r="EP6" i="8"/>
  <c r="EG4" i="7" s="1"/>
  <c r="EO6" i="8"/>
  <c r="EF4" i="7" s="1"/>
  <c r="EN6" i="8"/>
  <c r="EE4" i="7" s="1"/>
  <c r="EM6" i="8"/>
  <c r="ED4" i="7" s="1"/>
  <c r="ED38" i="8"/>
  <c r="EE38" i="8"/>
  <c r="EF38" i="8"/>
  <c r="EG38" i="8"/>
  <c r="EH38" i="8"/>
  <c r="EI38" i="8"/>
  <c r="EJ38" i="8"/>
  <c r="EK38" i="8"/>
  <c r="ED39" i="8"/>
  <c r="EE39" i="8"/>
  <c r="EF39" i="8"/>
  <c r="EG39" i="8"/>
  <c r="EH39" i="8"/>
  <c r="EI39" i="8"/>
  <c r="EJ39" i="8"/>
  <c r="EK39" i="8"/>
  <c r="ED40" i="8"/>
  <c r="EE40" i="8"/>
  <c r="EF40" i="8"/>
  <c r="EG40" i="8"/>
  <c r="EH40" i="8"/>
  <c r="EI40" i="8"/>
  <c r="EJ40" i="8"/>
  <c r="EK40" i="8"/>
  <c r="ED41" i="8"/>
  <c r="EE41" i="8"/>
  <c r="EF41" i="8"/>
  <c r="EG41" i="8"/>
  <c r="EH41" i="8"/>
  <c r="EI41" i="8"/>
  <c r="EJ41" i="8"/>
  <c r="EK41" i="8"/>
  <c r="ED42" i="8"/>
  <c r="EE42" i="8"/>
  <c r="EF42" i="8"/>
  <c r="EG42" i="8"/>
  <c r="EH42" i="8"/>
  <c r="EI42" i="8"/>
  <c r="EJ42" i="8"/>
  <c r="EK42" i="8"/>
  <c r="ED43" i="8"/>
  <c r="EE43" i="8"/>
  <c r="EF43" i="8"/>
  <c r="EG43" i="8"/>
  <c r="EH43" i="8"/>
  <c r="EI43" i="8"/>
  <c r="EJ43" i="8"/>
  <c r="EK43" i="8"/>
  <c r="ED44" i="8"/>
  <c r="EE44" i="8"/>
  <c r="EF44" i="8"/>
  <c r="EG44" i="8"/>
  <c r="EH44" i="8"/>
  <c r="EI44" i="8"/>
  <c r="EJ44" i="8"/>
  <c r="EK44" i="8"/>
  <c r="ED45" i="8"/>
  <c r="EE45" i="8"/>
  <c r="EF45" i="8"/>
  <c r="EG45" i="8"/>
  <c r="EH45" i="8"/>
  <c r="EI45" i="8"/>
  <c r="EJ45" i="8"/>
  <c r="EK45" i="8"/>
  <c r="ED46" i="8"/>
  <c r="EE46" i="8"/>
  <c r="EF46" i="8"/>
  <c r="EG46" i="8"/>
  <c r="EH46" i="8"/>
  <c r="EI46" i="8"/>
  <c r="EJ46" i="8"/>
  <c r="EK46" i="8"/>
  <c r="ED47" i="8"/>
  <c r="EE47" i="8"/>
  <c r="EF47" i="8"/>
  <c r="EG47" i="8"/>
  <c r="EH47" i="8"/>
  <c r="EI47" i="8"/>
  <c r="EJ47" i="8"/>
  <c r="EK47" i="8"/>
  <c r="ED48" i="8"/>
  <c r="EE48" i="8"/>
  <c r="EF48" i="8"/>
  <c r="EG48" i="8"/>
  <c r="EH48" i="8"/>
  <c r="EI48" i="8"/>
  <c r="EJ48" i="8"/>
  <c r="EK48" i="8"/>
  <c r="ED49" i="8"/>
  <c r="EE49" i="8"/>
  <c r="EF49" i="8"/>
  <c r="EG49" i="8"/>
  <c r="EH49" i="8"/>
  <c r="EI49" i="8"/>
  <c r="EJ49" i="8"/>
  <c r="EK49" i="8"/>
  <c r="ED50" i="8"/>
  <c r="EE50" i="8"/>
  <c r="EF50" i="8"/>
  <c r="EG50" i="8"/>
  <c r="EH50" i="8"/>
  <c r="EI50" i="8"/>
  <c r="EJ50" i="8"/>
  <c r="EK50" i="8"/>
  <c r="ED51" i="8"/>
  <c r="EE51" i="8"/>
  <c r="EF51" i="8"/>
  <c r="EG51" i="8"/>
  <c r="EH51" i="8"/>
  <c r="EI51" i="8"/>
  <c r="EJ51" i="8"/>
  <c r="EK51" i="8"/>
  <c r="ED52" i="8"/>
  <c r="EE52" i="8"/>
  <c r="EF52" i="8"/>
  <c r="EG52" i="8"/>
  <c r="EH52" i="8"/>
  <c r="EI52" i="8"/>
  <c r="EJ52" i="8"/>
  <c r="EK52" i="8"/>
  <c r="ED53" i="8"/>
  <c r="EE53" i="8"/>
  <c r="EF53" i="8"/>
  <c r="EG53" i="8"/>
  <c r="EH53" i="8"/>
  <c r="EI53" i="8"/>
  <c r="EJ53" i="8"/>
  <c r="EK53" i="8"/>
  <c r="ED54" i="8"/>
  <c r="EE54" i="8"/>
  <c r="EF54" i="8"/>
  <c r="EG54" i="8"/>
  <c r="EH54" i="8"/>
  <c r="EI54" i="8"/>
  <c r="EJ54" i="8"/>
  <c r="EK54" i="8"/>
  <c r="ED55" i="8"/>
  <c r="EE55" i="8"/>
  <c r="EF55" i="8"/>
  <c r="EG55" i="8"/>
  <c r="EH55" i="8"/>
  <c r="EI55" i="8"/>
  <c r="EJ55" i="8"/>
  <c r="EK55" i="8"/>
  <c r="ED56" i="8"/>
  <c r="EE56" i="8"/>
  <c r="EF56" i="8"/>
  <c r="EG56" i="8"/>
  <c r="EH56" i="8"/>
  <c r="EI56" i="8"/>
  <c r="EJ56" i="8"/>
  <c r="EK56" i="8"/>
  <c r="ED57" i="8"/>
  <c r="EE57" i="8"/>
  <c r="EF57" i="8"/>
  <c r="EG57" i="8"/>
  <c r="EH57" i="8"/>
  <c r="EI57" i="8"/>
  <c r="EJ57" i="8"/>
  <c r="EK57" i="8"/>
  <c r="ED58" i="8"/>
  <c r="EE58" i="8"/>
  <c r="EF58" i="8"/>
  <c r="EG58" i="8"/>
  <c r="EH58" i="8"/>
  <c r="EI58" i="8"/>
  <c r="EJ58" i="8"/>
  <c r="EK58" i="8"/>
  <c r="ED59" i="8"/>
  <c r="EE59" i="8"/>
  <c r="EF59" i="8"/>
  <c r="EG59" i="8"/>
  <c r="EH59" i="8"/>
  <c r="EI59" i="8"/>
  <c r="EJ59" i="8"/>
  <c r="EK59" i="8"/>
  <c r="ED60" i="8"/>
  <c r="EE60" i="8"/>
  <c r="EF60" i="8"/>
  <c r="EG60" i="8"/>
  <c r="EH60" i="8"/>
  <c r="EI60" i="8"/>
  <c r="EJ60" i="8"/>
  <c r="EK60" i="8"/>
  <c r="ED61" i="8"/>
  <c r="EE61" i="8"/>
  <c r="EF61" i="8"/>
  <c r="EG61" i="8"/>
  <c r="EH61" i="8"/>
  <c r="EI61" i="8"/>
  <c r="EJ61" i="8"/>
  <c r="EK61" i="8"/>
  <c r="ED62" i="8"/>
  <c r="EE62" i="8"/>
  <c r="EF62" i="8"/>
  <c r="EG62" i="8"/>
  <c r="EH62" i="8"/>
  <c r="EI62" i="8"/>
  <c r="EJ62" i="8"/>
  <c r="EK62" i="8"/>
  <c r="ED63" i="8"/>
  <c r="EE63" i="8"/>
  <c r="EF63" i="8"/>
  <c r="EG63" i="8"/>
  <c r="EH63" i="8"/>
  <c r="EI63" i="8"/>
  <c r="EJ63" i="8"/>
  <c r="EK63" i="8"/>
  <c r="ED64" i="8"/>
  <c r="EE64" i="8"/>
  <c r="EF64" i="8"/>
  <c r="EG64" i="8"/>
  <c r="EH64" i="8"/>
  <c r="EI64" i="8"/>
  <c r="EJ64" i="8"/>
  <c r="EK64" i="8"/>
  <c r="ED65" i="8"/>
  <c r="EE65" i="8"/>
  <c r="EF65" i="8"/>
  <c r="EG65" i="8"/>
  <c r="EH65" i="8"/>
  <c r="EI65" i="8"/>
  <c r="EJ65" i="8"/>
  <c r="EK65" i="8"/>
  <c r="ED66" i="8"/>
  <c r="EE66" i="8"/>
  <c r="EF66" i="8"/>
  <c r="EG66" i="8"/>
  <c r="EH66" i="8"/>
  <c r="EI66" i="8"/>
  <c r="EJ66" i="8"/>
  <c r="EK66" i="8"/>
  <c r="EK37" i="8"/>
  <c r="EJ37" i="8"/>
  <c r="EI37" i="8"/>
  <c r="EH37" i="8"/>
  <c r="EG37" i="8"/>
  <c r="EF37" i="8"/>
  <c r="EE37" i="8"/>
  <c r="ED37" i="8"/>
  <c r="ED7" i="8"/>
  <c r="DT5" i="7" s="1"/>
  <c r="EE7" i="8"/>
  <c r="DU5" i="7" s="1"/>
  <c r="EF7" i="8"/>
  <c r="DV5" i="7" s="1"/>
  <c r="EG7" i="8"/>
  <c r="DW5" i="7" s="1"/>
  <c r="EH7" i="8"/>
  <c r="DX5" i="7" s="1"/>
  <c r="EI7" i="8"/>
  <c r="DY5" i="7" s="1"/>
  <c r="EJ7" i="8"/>
  <c r="DZ5" i="7" s="1"/>
  <c r="EK7" i="8"/>
  <c r="EA5" i="7" s="1"/>
  <c r="ED8" i="8"/>
  <c r="DT6" i="7" s="1"/>
  <c r="EE8" i="8"/>
  <c r="DU6" i="7" s="1"/>
  <c r="EF8" i="8"/>
  <c r="DV6" i="7" s="1"/>
  <c r="EG8" i="8"/>
  <c r="DW6" i="7" s="1"/>
  <c r="EH8" i="8"/>
  <c r="DX6" i="7" s="1"/>
  <c r="EI8" i="8"/>
  <c r="DY6" i="7" s="1"/>
  <c r="EJ8" i="8"/>
  <c r="DZ6" i="7" s="1"/>
  <c r="EK8" i="8"/>
  <c r="EA6" i="7" s="1"/>
  <c r="ED9" i="8"/>
  <c r="DT7" i="7" s="1"/>
  <c r="EE9" i="8"/>
  <c r="DU7" i="7" s="1"/>
  <c r="EF9" i="8"/>
  <c r="DV7" i="7" s="1"/>
  <c r="EG9" i="8"/>
  <c r="DW7" i="7" s="1"/>
  <c r="EH9" i="8"/>
  <c r="DX7" i="7" s="1"/>
  <c r="EI9" i="8"/>
  <c r="DY7" i="7" s="1"/>
  <c r="EJ9" i="8"/>
  <c r="DZ7" i="7" s="1"/>
  <c r="EK9" i="8"/>
  <c r="EA7" i="7" s="1"/>
  <c r="ED10" i="8"/>
  <c r="DT8" i="7" s="1"/>
  <c r="EE10" i="8"/>
  <c r="DU8" i="7" s="1"/>
  <c r="EF10" i="8"/>
  <c r="DV8" i="7" s="1"/>
  <c r="EG10" i="8"/>
  <c r="DW8" i="7" s="1"/>
  <c r="EH10" i="8"/>
  <c r="DX8" i="7" s="1"/>
  <c r="EI10" i="8"/>
  <c r="DY8" i="7" s="1"/>
  <c r="EJ10" i="8"/>
  <c r="DZ8" i="7" s="1"/>
  <c r="EK10" i="8"/>
  <c r="EA8" i="7" s="1"/>
  <c r="ED11" i="8"/>
  <c r="DT9" i="7" s="1"/>
  <c r="EE11" i="8"/>
  <c r="DU9" i="7" s="1"/>
  <c r="EF11" i="8"/>
  <c r="DV9" i="7" s="1"/>
  <c r="EG11" i="8"/>
  <c r="DW9" i="7" s="1"/>
  <c r="EH11" i="8"/>
  <c r="DX9" i="7" s="1"/>
  <c r="EI11" i="8"/>
  <c r="DY9" i="7" s="1"/>
  <c r="EJ11" i="8"/>
  <c r="DZ9" i="7" s="1"/>
  <c r="EK11" i="8"/>
  <c r="EA9" i="7" s="1"/>
  <c r="ED12" i="8"/>
  <c r="DT10" i="7" s="1"/>
  <c r="EE12" i="8"/>
  <c r="DU10" i="7" s="1"/>
  <c r="EF12" i="8"/>
  <c r="DV10" i="7" s="1"/>
  <c r="EG12" i="8"/>
  <c r="DW10" i="7" s="1"/>
  <c r="EH12" i="8"/>
  <c r="DX10" i="7" s="1"/>
  <c r="EI12" i="8"/>
  <c r="DY10" i="7" s="1"/>
  <c r="EJ12" i="8"/>
  <c r="DZ10" i="7" s="1"/>
  <c r="EK12" i="8"/>
  <c r="EA10" i="7" s="1"/>
  <c r="ED13" i="8"/>
  <c r="DT11" i="7" s="1"/>
  <c r="EE13" i="8"/>
  <c r="DU11" i="7" s="1"/>
  <c r="EF13" i="8"/>
  <c r="DV11" i="7" s="1"/>
  <c r="EG13" i="8"/>
  <c r="DW11" i="7" s="1"/>
  <c r="EH13" i="8"/>
  <c r="DX11" i="7" s="1"/>
  <c r="EI13" i="8"/>
  <c r="DY11" i="7" s="1"/>
  <c r="EJ13" i="8"/>
  <c r="DZ11" i="7" s="1"/>
  <c r="EK13" i="8"/>
  <c r="EA11" i="7" s="1"/>
  <c r="ED14" i="8"/>
  <c r="DT12" i="7" s="1"/>
  <c r="EE14" i="8"/>
  <c r="DU12" i="7" s="1"/>
  <c r="EF14" i="8"/>
  <c r="DV12" i="7" s="1"/>
  <c r="EG14" i="8"/>
  <c r="DW12" i="7" s="1"/>
  <c r="EH14" i="8"/>
  <c r="DX12" i="7" s="1"/>
  <c r="EI14" i="8"/>
  <c r="DY12" i="7" s="1"/>
  <c r="EJ14" i="8"/>
  <c r="DZ12" i="7" s="1"/>
  <c r="EK14" i="8"/>
  <c r="EA12" i="7" s="1"/>
  <c r="ED15" i="8"/>
  <c r="DT13" i="7" s="1"/>
  <c r="EE15" i="8"/>
  <c r="DU13" i="7" s="1"/>
  <c r="EF15" i="8"/>
  <c r="DV13" i="7" s="1"/>
  <c r="EG15" i="8"/>
  <c r="DW13" i="7" s="1"/>
  <c r="EH15" i="8"/>
  <c r="DX13" i="7" s="1"/>
  <c r="EI15" i="8"/>
  <c r="DY13" i="7" s="1"/>
  <c r="EJ15" i="8"/>
  <c r="DZ13" i="7" s="1"/>
  <c r="EK15" i="8"/>
  <c r="EA13" i="7" s="1"/>
  <c r="ED16" i="8"/>
  <c r="DT14" i="7" s="1"/>
  <c r="EE16" i="8"/>
  <c r="DU14" i="7" s="1"/>
  <c r="EF16" i="8"/>
  <c r="DV14" i="7" s="1"/>
  <c r="EG16" i="8"/>
  <c r="DW14" i="7" s="1"/>
  <c r="EH16" i="8"/>
  <c r="DX14" i="7" s="1"/>
  <c r="EI16" i="8"/>
  <c r="DY14" i="7" s="1"/>
  <c r="EJ16" i="8"/>
  <c r="DZ14" i="7" s="1"/>
  <c r="EK16" i="8"/>
  <c r="EA14" i="7" s="1"/>
  <c r="ED17" i="8"/>
  <c r="DT15" i="7" s="1"/>
  <c r="EE17" i="8"/>
  <c r="DU15" i="7" s="1"/>
  <c r="EF17" i="8"/>
  <c r="DV15" i="7" s="1"/>
  <c r="EG17" i="8"/>
  <c r="DW15" i="7" s="1"/>
  <c r="EH17" i="8"/>
  <c r="DX15" i="7" s="1"/>
  <c r="EI17" i="8"/>
  <c r="DY15" i="7" s="1"/>
  <c r="EJ17" i="8"/>
  <c r="DZ15" i="7" s="1"/>
  <c r="EK17" i="8"/>
  <c r="EA15" i="7" s="1"/>
  <c r="ED18" i="8"/>
  <c r="DT16" i="7" s="1"/>
  <c r="EE18" i="8"/>
  <c r="DU16" i="7" s="1"/>
  <c r="EF18" i="8"/>
  <c r="DV16" i="7" s="1"/>
  <c r="EG18" i="8"/>
  <c r="DW16" i="7" s="1"/>
  <c r="EH18" i="8"/>
  <c r="DX16" i="7" s="1"/>
  <c r="EI18" i="8"/>
  <c r="DY16" i="7" s="1"/>
  <c r="EJ18" i="8"/>
  <c r="DZ16" i="7" s="1"/>
  <c r="EK18" i="8"/>
  <c r="EA16" i="7" s="1"/>
  <c r="ED19" i="8"/>
  <c r="DT17" i="7" s="1"/>
  <c r="EE19" i="8"/>
  <c r="DU17" i="7" s="1"/>
  <c r="EF19" i="8"/>
  <c r="DV17" i="7" s="1"/>
  <c r="EG19" i="8"/>
  <c r="DW17" i="7" s="1"/>
  <c r="EH19" i="8"/>
  <c r="DX17" i="7" s="1"/>
  <c r="EI19" i="8"/>
  <c r="DY17" i="7" s="1"/>
  <c r="EJ19" i="8"/>
  <c r="DZ17" i="7" s="1"/>
  <c r="EK19" i="8"/>
  <c r="EA17" i="7" s="1"/>
  <c r="ED20" i="8"/>
  <c r="DT18" i="7" s="1"/>
  <c r="EE20" i="8"/>
  <c r="DU18" i="7" s="1"/>
  <c r="EF20" i="8"/>
  <c r="DV18" i="7" s="1"/>
  <c r="EG20" i="8"/>
  <c r="DW18" i="7" s="1"/>
  <c r="EH20" i="8"/>
  <c r="DX18" i="7" s="1"/>
  <c r="EI20" i="8"/>
  <c r="DY18" i="7" s="1"/>
  <c r="EJ20" i="8"/>
  <c r="DZ18" i="7" s="1"/>
  <c r="EK20" i="8"/>
  <c r="EA18" i="7" s="1"/>
  <c r="ED21" i="8"/>
  <c r="DT19" i="7" s="1"/>
  <c r="EE21" i="8"/>
  <c r="DU19" i="7" s="1"/>
  <c r="EF21" i="8"/>
  <c r="DV19" i="7" s="1"/>
  <c r="EG21" i="8"/>
  <c r="DW19" i="7" s="1"/>
  <c r="EH21" i="8"/>
  <c r="DX19" i="7" s="1"/>
  <c r="EI21" i="8"/>
  <c r="DY19" i="7" s="1"/>
  <c r="EJ21" i="8"/>
  <c r="DZ19" i="7" s="1"/>
  <c r="EK21" i="8"/>
  <c r="EA19" i="7" s="1"/>
  <c r="ED22" i="8"/>
  <c r="DT20" i="7" s="1"/>
  <c r="EE22" i="8"/>
  <c r="DU20" i="7" s="1"/>
  <c r="EF22" i="8"/>
  <c r="DV20" i="7" s="1"/>
  <c r="EG22" i="8"/>
  <c r="DW20" i="7" s="1"/>
  <c r="EH22" i="8"/>
  <c r="DX20" i="7" s="1"/>
  <c r="EI22" i="8"/>
  <c r="DY20" i="7" s="1"/>
  <c r="EJ22" i="8"/>
  <c r="DZ20" i="7" s="1"/>
  <c r="EK22" i="8"/>
  <c r="EA20" i="7" s="1"/>
  <c r="ED23" i="8"/>
  <c r="DT21" i="7" s="1"/>
  <c r="EE23" i="8"/>
  <c r="DU21" i="7" s="1"/>
  <c r="EF23" i="8"/>
  <c r="DV21" i="7" s="1"/>
  <c r="EG23" i="8"/>
  <c r="DW21" i="7" s="1"/>
  <c r="EH23" i="8"/>
  <c r="DX21" i="7" s="1"/>
  <c r="EI23" i="8"/>
  <c r="DY21" i="7" s="1"/>
  <c r="EJ23" i="8"/>
  <c r="DZ21" i="7" s="1"/>
  <c r="EK23" i="8"/>
  <c r="EA21" i="7" s="1"/>
  <c r="ED24" i="8"/>
  <c r="DT22" i="7" s="1"/>
  <c r="EE24" i="8"/>
  <c r="DU22" i="7" s="1"/>
  <c r="EF24" i="8"/>
  <c r="DV22" i="7" s="1"/>
  <c r="EG24" i="8"/>
  <c r="DW22" i="7" s="1"/>
  <c r="EH24" i="8"/>
  <c r="DX22" i="7" s="1"/>
  <c r="EI24" i="8"/>
  <c r="DY22" i="7" s="1"/>
  <c r="EJ24" i="8"/>
  <c r="DZ22" i="7" s="1"/>
  <c r="EK24" i="8"/>
  <c r="EA22" i="7" s="1"/>
  <c r="ED25" i="8"/>
  <c r="DT23" i="7" s="1"/>
  <c r="EE25" i="8"/>
  <c r="DU23" i="7" s="1"/>
  <c r="EF25" i="8"/>
  <c r="DV23" i="7" s="1"/>
  <c r="EG25" i="8"/>
  <c r="DW23" i="7" s="1"/>
  <c r="EH25" i="8"/>
  <c r="DX23" i="7" s="1"/>
  <c r="EI25" i="8"/>
  <c r="DY23" i="7" s="1"/>
  <c r="EJ25" i="8"/>
  <c r="DZ23" i="7" s="1"/>
  <c r="EK25" i="8"/>
  <c r="EA23" i="7" s="1"/>
  <c r="ED26" i="8"/>
  <c r="DT24" i="7" s="1"/>
  <c r="EE26" i="8"/>
  <c r="DU24" i="7" s="1"/>
  <c r="EF26" i="8"/>
  <c r="DV24" i="7" s="1"/>
  <c r="EG26" i="8"/>
  <c r="DW24" i="7" s="1"/>
  <c r="EH26" i="8"/>
  <c r="DX24" i="7" s="1"/>
  <c r="EI26" i="8"/>
  <c r="DY24" i="7" s="1"/>
  <c r="EJ26" i="8"/>
  <c r="DZ24" i="7" s="1"/>
  <c r="EK26" i="8"/>
  <c r="EA24" i="7" s="1"/>
  <c r="ED27" i="8"/>
  <c r="DT25" i="7" s="1"/>
  <c r="EE27" i="8"/>
  <c r="DU25" i="7" s="1"/>
  <c r="EF27" i="8"/>
  <c r="DV25" i="7" s="1"/>
  <c r="EG27" i="8"/>
  <c r="DW25" i="7" s="1"/>
  <c r="EH27" i="8"/>
  <c r="DX25" i="7" s="1"/>
  <c r="EI27" i="8"/>
  <c r="DY25" i="7" s="1"/>
  <c r="EJ27" i="8"/>
  <c r="DZ25" i="7" s="1"/>
  <c r="EK27" i="8"/>
  <c r="EA25" i="7" s="1"/>
  <c r="ED28" i="8"/>
  <c r="DT26" i="7" s="1"/>
  <c r="EE28" i="8"/>
  <c r="DU26" i="7" s="1"/>
  <c r="EF28" i="8"/>
  <c r="DV26" i="7" s="1"/>
  <c r="EG28" i="8"/>
  <c r="DW26" i="7" s="1"/>
  <c r="EH28" i="8"/>
  <c r="DX26" i="7" s="1"/>
  <c r="EI28" i="8"/>
  <c r="DY26" i="7" s="1"/>
  <c r="EJ28" i="8"/>
  <c r="DZ26" i="7" s="1"/>
  <c r="EK28" i="8"/>
  <c r="EA26" i="7" s="1"/>
  <c r="ED29" i="8"/>
  <c r="DT27" i="7" s="1"/>
  <c r="EE29" i="8"/>
  <c r="DU27" i="7" s="1"/>
  <c r="EF29" i="8"/>
  <c r="DV27" i="7" s="1"/>
  <c r="EG29" i="8"/>
  <c r="DW27" i="7" s="1"/>
  <c r="EH29" i="8"/>
  <c r="DX27" i="7" s="1"/>
  <c r="EI29" i="8"/>
  <c r="DY27" i="7" s="1"/>
  <c r="EJ29" i="8"/>
  <c r="DZ27" i="7" s="1"/>
  <c r="EK29" i="8"/>
  <c r="EA27" i="7" s="1"/>
  <c r="ED30" i="8"/>
  <c r="DT28" i="7" s="1"/>
  <c r="EE30" i="8"/>
  <c r="DU28" i="7" s="1"/>
  <c r="EF30" i="8"/>
  <c r="DV28" i="7" s="1"/>
  <c r="EG30" i="8"/>
  <c r="DW28" i="7" s="1"/>
  <c r="EH30" i="8"/>
  <c r="DX28" i="7" s="1"/>
  <c r="EI30" i="8"/>
  <c r="DY28" i="7" s="1"/>
  <c r="EJ30" i="8"/>
  <c r="DZ28" i="7" s="1"/>
  <c r="EK30" i="8"/>
  <c r="EA28" i="7" s="1"/>
  <c r="ED31" i="8"/>
  <c r="DT29" i="7" s="1"/>
  <c r="EE31" i="8"/>
  <c r="DU29" i="7" s="1"/>
  <c r="EF31" i="8"/>
  <c r="DV29" i="7" s="1"/>
  <c r="EG31" i="8"/>
  <c r="DW29" i="7" s="1"/>
  <c r="EH31" i="8"/>
  <c r="DX29" i="7" s="1"/>
  <c r="EI31" i="8"/>
  <c r="DY29" i="7" s="1"/>
  <c r="EJ31" i="8"/>
  <c r="DZ29" i="7" s="1"/>
  <c r="EK31" i="8"/>
  <c r="EA29" i="7" s="1"/>
  <c r="ED32" i="8"/>
  <c r="DT30" i="7" s="1"/>
  <c r="EE32" i="8"/>
  <c r="DU30" i="7" s="1"/>
  <c r="EF32" i="8"/>
  <c r="DV30" i="7" s="1"/>
  <c r="EG32" i="8"/>
  <c r="DW30" i="7" s="1"/>
  <c r="EH32" i="8"/>
  <c r="DX30" i="7" s="1"/>
  <c r="EI32" i="8"/>
  <c r="DY30" i="7" s="1"/>
  <c r="EJ32" i="8"/>
  <c r="DZ30" i="7" s="1"/>
  <c r="EK32" i="8"/>
  <c r="EA30" i="7" s="1"/>
  <c r="ED33" i="8"/>
  <c r="DT31" i="7" s="1"/>
  <c r="EE33" i="8"/>
  <c r="DU31" i="7" s="1"/>
  <c r="EF33" i="8"/>
  <c r="DV31" i="7" s="1"/>
  <c r="EG33" i="8"/>
  <c r="DW31" i="7" s="1"/>
  <c r="EH33" i="8"/>
  <c r="DX31" i="7" s="1"/>
  <c r="EI33" i="8"/>
  <c r="DY31" i="7" s="1"/>
  <c r="EJ33" i="8"/>
  <c r="DZ31" i="7" s="1"/>
  <c r="EK33" i="8"/>
  <c r="EA31" i="7" s="1"/>
  <c r="ED34" i="8"/>
  <c r="DT32" i="7" s="1"/>
  <c r="EE34" i="8"/>
  <c r="DU32" i="7" s="1"/>
  <c r="EF34" i="8"/>
  <c r="DV32" i="7" s="1"/>
  <c r="EG34" i="8"/>
  <c r="DW32" i="7" s="1"/>
  <c r="EH34" i="8"/>
  <c r="DX32" i="7" s="1"/>
  <c r="EI34" i="8"/>
  <c r="DY32" i="7" s="1"/>
  <c r="EJ34" i="8"/>
  <c r="DZ32" i="7" s="1"/>
  <c r="EK34" i="8"/>
  <c r="EA32" i="7" s="1"/>
  <c r="ED35" i="8"/>
  <c r="DT33" i="7" s="1"/>
  <c r="EE35" i="8"/>
  <c r="DU33" i="7" s="1"/>
  <c r="EF35" i="8"/>
  <c r="DV33" i="7" s="1"/>
  <c r="EG35" i="8"/>
  <c r="DW33" i="7" s="1"/>
  <c r="EH35" i="8"/>
  <c r="DX33" i="7" s="1"/>
  <c r="EI35" i="8"/>
  <c r="DY33" i="7" s="1"/>
  <c r="EJ35" i="8"/>
  <c r="DZ33" i="7" s="1"/>
  <c r="EK35" i="8"/>
  <c r="EA33" i="7" s="1"/>
  <c r="EK6" i="8"/>
  <c r="EA4" i="7" s="1"/>
  <c r="EJ6" i="8"/>
  <c r="DZ4" i="7" s="1"/>
  <c r="EI6" i="8"/>
  <c r="DY4" i="7" s="1"/>
  <c r="EH6" i="8"/>
  <c r="DX4" i="7" s="1"/>
  <c r="EG6" i="8"/>
  <c r="DW4" i="7" s="1"/>
  <c r="EF6" i="8"/>
  <c r="DV4" i="7" s="1"/>
  <c r="EE6" i="8"/>
  <c r="DU4" i="7" s="1"/>
  <c r="ED6" i="8"/>
  <c r="DT4" i="7" s="1"/>
  <c r="DU38" i="8"/>
  <c r="DJ36" i="7" s="1"/>
  <c r="DV38" i="8"/>
  <c r="DK36" i="7" s="1"/>
  <c r="DW38" i="8"/>
  <c r="DL36" i="7" s="1"/>
  <c r="DX38" i="8"/>
  <c r="DM36" i="7" s="1"/>
  <c r="DY38" i="8"/>
  <c r="DN36" i="7" s="1"/>
  <c r="DZ38" i="8"/>
  <c r="DO36" i="7" s="1"/>
  <c r="EA38" i="8"/>
  <c r="DP36" i="7" s="1"/>
  <c r="EB38" i="8"/>
  <c r="DQ36" i="7" s="1"/>
  <c r="DU39" i="8"/>
  <c r="DJ37" i="7" s="1"/>
  <c r="DV39" i="8"/>
  <c r="DK37" i="7" s="1"/>
  <c r="DW39" i="8"/>
  <c r="DL37" i="7" s="1"/>
  <c r="DX39" i="8"/>
  <c r="DM37" i="7" s="1"/>
  <c r="DY39" i="8"/>
  <c r="DN37" i="7" s="1"/>
  <c r="DZ39" i="8"/>
  <c r="DO37" i="7" s="1"/>
  <c r="EA39" i="8"/>
  <c r="DP37" i="7" s="1"/>
  <c r="EB39" i="8"/>
  <c r="DQ37" i="7" s="1"/>
  <c r="DU40" i="8"/>
  <c r="DJ38" i="7" s="1"/>
  <c r="DV40" i="8"/>
  <c r="DK38" i="7" s="1"/>
  <c r="DW40" i="8"/>
  <c r="DL38" i="7" s="1"/>
  <c r="DX40" i="8"/>
  <c r="DM38" i="7" s="1"/>
  <c r="DY40" i="8"/>
  <c r="DN38" i="7" s="1"/>
  <c r="DZ40" i="8"/>
  <c r="DO38" i="7" s="1"/>
  <c r="EA40" i="8"/>
  <c r="DP38" i="7" s="1"/>
  <c r="EB40" i="8"/>
  <c r="DQ38" i="7" s="1"/>
  <c r="DU41" i="8"/>
  <c r="DJ39" i="7" s="1"/>
  <c r="DV41" i="8"/>
  <c r="DK39" i="7" s="1"/>
  <c r="DW41" i="8"/>
  <c r="DL39" i="7" s="1"/>
  <c r="DX41" i="8"/>
  <c r="DM39" i="7" s="1"/>
  <c r="DY41" i="8"/>
  <c r="DN39" i="7" s="1"/>
  <c r="DZ41" i="8"/>
  <c r="DO39" i="7" s="1"/>
  <c r="EA41" i="8"/>
  <c r="DP39" i="7" s="1"/>
  <c r="EB41" i="8"/>
  <c r="DQ39" i="7" s="1"/>
  <c r="DU42" i="8"/>
  <c r="DJ40" i="7" s="1"/>
  <c r="DV42" i="8"/>
  <c r="DK40" i="7" s="1"/>
  <c r="DW42" i="8"/>
  <c r="DL40" i="7" s="1"/>
  <c r="DX42" i="8"/>
  <c r="DM40" i="7" s="1"/>
  <c r="DY42" i="8"/>
  <c r="DN40" i="7" s="1"/>
  <c r="DZ42" i="8"/>
  <c r="DO40" i="7" s="1"/>
  <c r="EA42" i="8"/>
  <c r="DP40" i="7" s="1"/>
  <c r="EB42" i="8"/>
  <c r="DQ40" i="7" s="1"/>
  <c r="DU43" i="8"/>
  <c r="DJ41" i="7" s="1"/>
  <c r="DV43" i="8"/>
  <c r="DK41" i="7" s="1"/>
  <c r="DW43" i="8"/>
  <c r="DL41" i="7" s="1"/>
  <c r="DX43" i="8"/>
  <c r="DM41" i="7" s="1"/>
  <c r="DY43" i="8"/>
  <c r="DN41" i="7" s="1"/>
  <c r="DZ43" i="8"/>
  <c r="DO41" i="7" s="1"/>
  <c r="EA43" i="8"/>
  <c r="DP41" i="7" s="1"/>
  <c r="EB43" i="8"/>
  <c r="DQ41" i="7" s="1"/>
  <c r="DU44" i="8"/>
  <c r="DJ42" i="7" s="1"/>
  <c r="DV44" i="8"/>
  <c r="DK42" i="7" s="1"/>
  <c r="DW44" i="8"/>
  <c r="DL42" i="7" s="1"/>
  <c r="DX44" i="8"/>
  <c r="DM42" i="7" s="1"/>
  <c r="DY44" i="8"/>
  <c r="DN42" i="7" s="1"/>
  <c r="DZ44" i="8"/>
  <c r="DO42" i="7" s="1"/>
  <c r="EA44" i="8"/>
  <c r="DP42" i="7" s="1"/>
  <c r="EB44" i="8"/>
  <c r="DQ42" i="7" s="1"/>
  <c r="DU45" i="8"/>
  <c r="DJ43" i="7" s="1"/>
  <c r="DV45" i="8"/>
  <c r="DK43" i="7" s="1"/>
  <c r="DW45" i="8"/>
  <c r="DL43" i="7" s="1"/>
  <c r="DX45" i="8"/>
  <c r="DM43" i="7" s="1"/>
  <c r="DY45" i="8"/>
  <c r="DN43" i="7" s="1"/>
  <c r="DZ45" i="8"/>
  <c r="DO43" i="7" s="1"/>
  <c r="EA45" i="8"/>
  <c r="DP43" i="7" s="1"/>
  <c r="EB45" i="8"/>
  <c r="DQ43" i="7" s="1"/>
  <c r="DU46" i="8"/>
  <c r="DJ44" i="7" s="1"/>
  <c r="DV46" i="8"/>
  <c r="DK44" i="7" s="1"/>
  <c r="DW46" i="8"/>
  <c r="DL44" i="7" s="1"/>
  <c r="DX46" i="8"/>
  <c r="DM44" i="7" s="1"/>
  <c r="DY46" i="8"/>
  <c r="DN44" i="7" s="1"/>
  <c r="DZ46" i="8"/>
  <c r="DO44" i="7" s="1"/>
  <c r="EA46" i="8"/>
  <c r="DP44" i="7" s="1"/>
  <c r="EB46" i="8"/>
  <c r="DQ44" i="7" s="1"/>
  <c r="DU47" i="8"/>
  <c r="DJ45" i="7" s="1"/>
  <c r="DV47" i="8"/>
  <c r="DK45" i="7" s="1"/>
  <c r="DW47" i="8"/>
  <c r="DL45" i="7" s="1"/>
  <c r="DX47" i="8"/>
  <c r="DM45" i="7" s="1"/>
  <c r="DY47" i="8"/>
  <c r="DN45" i="7" s="1"/>
  <c r="DZ47" i="8"/>
  <c r="DO45" i="7" s="1"/>
  <c r="EA47" i="8"/>
  <c r="DP45" i="7" s="1"/>
  <c r="EB47" i="8"/>
  <c r="DQ45" i="7" s="1"/>
  <c r="DU48" i="8"/>
  <c r="DJ46" i="7" s="1"/>
  <c r="DV48" i="8"/>
  <c r="DK46" i="7" s="1"/>
  <c r="DW48" i="8"/>
  <c r="DL46" i="7" s="1"/>
  <c r="DX48" i="8"/>
  <c r="DM46" i="7" s="1"/>
  <c r="DY48" i="8"/>
  <c r="DN46" i="7" s="1"/>
  <c r="DZ48" i="8"/>
  <c r="DO46" i="7" s="1"/>
  <c r="EA48" i="8"/>
  <c r="DP46" i="7" s="1"/>
  <c r="EB48" i="8"/>
  <c r="DQ46" i="7" s="1"/>
  <c r="DU49" i="8"/>
  <c r="DJ47" i="7" s="1"/>
  <c r="DV49" i="8"/>
  <c r="DK47" i="7" s="1"/>
  <c r="DW49" i="8"/>
  <c r="DL47" i="7" s="1"/>
  <c r="DX49" i="8"/>
  <c r="DM47" i="7" s="1"/>
  <c r="DY49" i="8"/>
  <c r="DN47" i="7" s="1"/>
  <c r="DZ49" i="8"/>
  <c r="DO47" i="7" s="1"/>
  <c r="EA49" i="8"/>
  <c r="DP47" i="7" s="1"/>
  <c r="EB49" i="8"/>
  <c r="DQ47" i="7" s="1"/>
  <c r="DU50" i="8"/>
  <c r="DJ48" i="7" s="1"/>
  <c r="DV50" i="8"/>
  <c r="DK48" i="7" s="1"/>
  <c r="DW50" i="8"/>
  <c r="DL48" i="7" s="1"/>
  <c r="DX50" i="8"/>
  <c r="DM48" i="7" s="1"/>
  <c r="DY50" i="8"/>
  <c r="DN48" i="7" s="1"/>
  <c r="DZ50" i="8"/>
  <c r="DO48" i="7" s="1"/>
  <c r="EA50" i="8"/>
  <c r="DP48" i="7" s="1"/>
  <c r="EB50" i="8"/>
  <c r="DQ48" i="7" s="1"/>
  <c r="DU51" i="8"/>
  <c r="DJ49" i="7" s="1"/>
  <c r="DV51" i="8"/>
  <c r="DK49" i="7" s="1"/>
  <c r="DW51" i="8"/>
  <c r="DL49" i="7" s="1"/>
  <c r="DX51" i="8"/>
  <c r="DM49" i="7" s="1"/>
  <c r="DY51" i="8"/>
  <c r="DN49" i="7" s="1"/>
  <c r="DZ51" i="8"/>
  <c r="DO49" i="7" s="1"/>
  <c r="EA51" i="8"/>
  <c r="DP49" i="7" s="1"/>
  <c r="EB51" i="8"/>
  <c r="DQ49" i="7" s="1"/>
  <c r="DU52" i="8"/>
  <c r="DJ50" i="7" s="1"/>
  <c r="DV52" i="8"/>
  <c r="DK50" i="7" s="1"/>
  <c r="DW52" i="8"/>
  <c r="DL50" i="7" s="1"/>
  <c r="DX52" i="8"/>
  <c r="DM50" i="7" s="1"/>
  <c r="DY52" i="8"/>
  <c r="DN50" i="7" s="1"/>
  <c r="DZ52" i="8"/>
  <c r="DO50" i="7" s="1"/>
  <c r="EA52" i="8"/>
  <c r="DP50" i="7" s="1"/>
  <c r="EB52" i="8"/>
  <c r="DQ50" i="7" s="1"/>
  <c r="DU53" i="8"/>
  <c r="DJ51" i="7" s="1"/>
  <c r="DV53" i="8"/>
  <c r="DK51" i="7" s="1"/>
  <c r="DW53" i="8"/>
  <c r="DL51" i="7" s="1"/>
  <c r="DX53" i="8"/>
  <c r="DM51" i="7" s="1"/>
  <c r="DY53" i="8"/>
  <c r="DN51" i="7" s="1"/>
  <c r="DZ53" i="8"/>
  <c r="DO51" i="7" s="1"/>
  <c r="EA53" i="8"/>
  <c r="DP51" i="7" s="1"/>
  <c r="EB53" i="8"/>
  <c r="DQ51" i="7" s="1"/>
  <c r="DU54" i="8"/>
  <c r="DJ52" i="7" s="1"/>
  <c r="DV54" i="8"/>
  <c r="DK52" i="7" s="1"/>
  <c r="DW54" i="8"/>
  <c r="DL52" i="7" s="1"/>
  <c r="DX54" i="8"/>
  <c r="DM52" i="7" s="1"/>
  <c r="DY54" i="8"/>
  <c r="DN52" i="7" s="1"/>
  <c r="DZ54" i="8"/>
  <c r="DO52" i="7" s="1"/>
  <c r="EA54" i="8"/>
  <c r="DP52" i="7" s="1"/>
  <c r="EB54" i="8"/>
  <c r="DQ52" i="7" s="1"/>
  <c r="DU55" i="8"/>
  <c r="DJ53" i="7" s="1"/>
  <c r="DV55" i="8"/>
  <c r="DK53" i="7" s="1"/>
  <c r="DW55" i="8"/>
  <c r="DL53" i="7" s="1"/>
  <c r="DX55" i="8"/>
  <c r="DM53" i="7" s="1"/>
  <c r="DY55" i="8"/>
  <c r="DN53" i="7" s="1"/>
  <c r="DZ55" i="8"/>
  <c r="DO53" i="7" s="1"/>
  <c r="EA55" i="8"/>
  <c r="DP53" i="7" s="1"/>
  <c r="EB55" i="8"/>
  <c r="DQ53" i="7" s="1"/>
  <c r="DU56" i="8"/>
  <c r="DJ54" i="7" s="1"/>
  <c r="DV56" i="8"/>
  <c r="DK54" i="7" s="1"/>
  <c r="DW56" i="8"/>
  <c r="DL54" i="7" s="1"/>
  <c r="DX56" i="8"/>
  <c r="DM54" i="7" s="1"/>
  <c r="DY56" i="8"/>
  <c r="DN54" i="7" s="1"/>
  <c r="DZ56" i="8"/>
  <c r="DO54" i="7" s="1"/>
  <c r="EA56" i="8"/>
  <c r="DP54" i="7" s="1"/>
  <c r="EB56" i="8"/>
  <c r="DQ54" i="7" s="1"/>
  <c r="DU57" i="8"/>
  <c r="DJ55" i="7" s="1"/>
  <c r="DV57" i="8"/>
  <c r="DK55" i="7" s="1"/>
  <c r="DW57" i="8"/>
  <c r="DL55" i="7" s="1"/>
  <c r="DX57" i="8"/>
  <c r="DM55" i="7" s="1"/>
  <c r="DY57" i="8"/>
  <c r="DN55" i="7" s="1"/>
  <c r="DZ57" i="8"/>
  <c r="DO55" i="7" s="1"/>
  <c r="EA57" i="8"/>
  <c r="DP55" i="7" s="1"/>
  <c r="EB57" i="8"/>
  <c r="DQ55" i="7" s="1"/>
  <c r="DU58" i="8"/>
  <c r="DJ56" i="7" s="1"/>
  <c r="DV58" i="8"/>
  <c r="DK56" i="7" s="1"/>
  <c r="DW58" i="8"/>
  <c r="DL56" i="7" s="1"/>
  <c r="DX58" i="8"/>
  <c r="DM56" i="7" s="1"/>
  <c r="DY58" i="8"/>
  <c r="DN56" i="7" s="1"/>
  <c r="DZ58" i="8"/>
  <c r="DO56" i="7" s="1"/>
  <c r="EA58" i="8"/>
  <c r="DP56" i="7" s="1"/>
  <c r="EB58" i="8"/>
  <c r="DQ56" i="7" s="1"/>
  <c r="DU59" i="8"/>
  <c r="DJ57" i="7" s="1"/>
  <c r="DV59" i="8"/>
  <c r="DK57" i="7" s="1"/>
  <c r="DW59" i="8"/>
  <c r="DL57" i="7" s="1"/>
  <c r="DX59" i="8"/>
  <c r="DM57" i="7" s="1"/>
  <c r="DY59" i="8"/>
  <c r="DN57" i="7" s="1"/>
  <c r="DZ59" i="8"/>
  <c r="DO57" i="7" s="1"/>
  <c r="EA59" i="8"/>
  <c r="DP57" i="7" s="1"/>
  <c r="EB59" i="8"/>
  <c r="DQ57" i="7" s="1"/>
  <c r="DU60" i="8"/>
  <c r="DJ58" i="7" s="1"/>
  <c r="DV60" i="8"/>
  <c r="DK58" i="7" s="1"/>
  <c r="DW60" i="8"/>
  <c r="DL58" i="7" s="1"/>
  <c r="DX60" i="8"/>
  <c r="DM58" i="7" s="1"/>
  <c r="DY60" i="8"/>
  <c r="DN58" i="7" s="1"/>
  <c r="DZ60" i="8"/>
  <c r="DO58" i="7" s="1"/>
  <c r="EA60" i="8"/>
  <c r="DP58" i="7" s="1"/>
  <c r="EB60" i="8"/>
  <c r="DQ58" i="7" s="1"/>
  <c r="DU61" i="8"/>
  <c r="DJ59" i="7" s="1"/>
  <c r="DV61" i="8"/>
  <c r="DK59" i="7" s="1"/>
  <c r="DW61" i="8"/>
  <c r="DL59" i="7" s="1"/>
  <c r="DX61" i="8"/>
  <c r="DM59" i="7" s="1"/>
  <c r="DY61" i="8"/>
  <c r="DN59" i="7" s="1"/>
  <c r="DZ61" i="8"/>
  <c r="DO59" i="7" s="1"/>
  <c r="EA61" i="8"/>
  <c r="DP59" i="7" s="1"/>
  <c r="EB61" i="8"/>
  <c r="DQ59" i="7" s="1"/>
  <c r="DU62" i="8"/>
  <c r="DJ60" i="7" s="1"/>
  <c r="DV62" i="8"/>
  <c r="DK60" i="7" s="1"/>
  <c r="DW62" i="8"/>
  <c r="DL60" i="7" s="1"/>
  <c r="DX62" i="8"/>
  <c r="DM60" i="7" s="1"/>
  <c r="DY62" i="8"/>
  <c r="DN60" i="7" s="1"/>
  <c r="DZ62" i="8"/>
  <c r="DO60" i="7" s="1"/>
  <c r="EA62" i="8"/>
  <c r="DP60" i="7" s="1"/>
  <c r="EB62" i="8"/>
  <c r="DQ60" i="7" s="1"/>
  <c r="DU63" i="8"/>
  <c r="DJ61" i="7" s="1"/>
  <c r="DV63" i="8"/>
  <c r="DK61" i="7" s="1"/>
  <c r="DW63" i="8"/>
  <c r="DL61" i="7" s="1"/>
  <c r="DX63" i="8"/>
  <c r="DM61" i="7" s="1"/>
  <c r="DY63" i="8"/>
  <c r="DN61" i="7" s="1"/>
  <c r="DZ63" i="8"/>
  <c r="DO61" i="7" s="1"/>
  <c r="EA63" i="8"/>
  <c r="DP61" i="7" s="1"/>
  <c r="EB63" i="8"/>
  <c r="DQ61" i="7" s="1"/>
  <c r="DU64" i="8"/>
  <c r="DJ62" i="7" s="1"/>
  <c r="DV64" i="8"/>
  <c r="DK62" i="7" s="1"/>
  <c r="DW64" i="8"/>
  <c r="DL62" i="7" s="1"/>
  <c r="DX64" i="8"/>
  <c r="DM62" i="7" s="1"/>
  <c r="DY64" i="8"/>
  <c r="DN62" i="7" s="1"/>
  <c r="DZ64" i="8"/>
  <c r="DO62" i="7" s="1"/>
  <c r="EA64" i="8"/>
  <c r="DP62" i="7" s="1"/>
  <c r="EB64" i="8"/>
  <c r="DQ62" i="7" s="1"/>
  <c r="DU65" i="8"/>
  <c r="DJ63" i="7" s="1"/>
  <c r="DV65" i="8"/>
  <c r="DK63" i="7" s="1"/>
  <c r="DW65" i="8"/>
  <c r="DL63" i="7" s="1"/>
  <c r="DX65" i="8"/>
  <c r="DM63" i="7" s="1"/>
  <c r="DY65" i="8"/>
  <c r="DN63" i="7" s="1"/>
  <c r="DZ65" i="8"/>
  <c r="DO63" i="7" s="1"/>
  <c r="EA65" i="8"/>
  <c r="DP63" i="7" s="1"/>
  <c r="EB65" i="8"/>
  <c r="DQ63" i="7" s="1"/>
  <c r="DU66" i="8"/>
  <c r="DJ64" i="7" s="1"/>
  <c r="DV66" i="8"/>
  <c r="DK64" i="7" s="1"/>
  <c r="DW66" i="8"/>
  <c r="DL64" i="7" s="1"/>
  <c r="DX66" i="8"/>
  <c r="DM64" i="7" s="1"/>
  <c r="DY66" i="8"/>
  <c r="DN64" i="7" s="1"/>
  <c r="DZ66" i="8"/>
  <c r="DO64" i="7" s="1"/>
  <c r="EA66" i="8"/>
  <c r="DP64" i="7" s="1"/>
  <c r="EB66" i="8"/>
  <c r="DQ64" i="7" s="1"/>
  <c r="EB37" i="8"/>
  <c r="DQ35" i="7" s="1"/>
  <c r="EA37" i="8"/>
  <c r="DP35" i="7" s="1"/>
  <c r="DZ37" i="8"/>
  <c r="DO35" i="7" s="1"/>
  <c r="DY37" i="8"/>
  <c r="DN35" i="7" s="1"/>
  <c r="DX37" i="8"/>
  <c r="DM35" i="7" s="1"/>
  <c r="DW37" i="8"/>
  <c r="DL35" i="7" s="1"/>
  <c r="DV37" i="8"/>
  <c r="DK35" i="7" s="1"/>
  <c r="DU37" i="8"/>
  <c r="DJ35" i="7" s="1"/>
  <c r="DU7" i="8"/>
  <c r="DJ5" i="7" s="1"/>
  <c r="DV7" i="8"/>
  <c r="DK5" i="7" s="1"/>
  <c r="DW7" i="8"/>
  <c r="DL5" i="7" s="1"/>
  <c r="DX7" i="8"/>
  <c r="DM5" i="7" s="1"/>
  <c r="DY7" i="8"/>
  <c r="DN5" i="7" s="1"/>
  <c r="DZ7" i="8"/>
  <c r="DO5" i="7" s="1"/>
  <c r="EA7" i="8"/>
  <c r="DP5" i="7" s="1"/>
  <c r="EB7" i="8"/>
  <c r="DQ5" i="7" s="1"/>
  <c r="DU8" i="8"/>
  <c r="DJ6" i="7" s="1"/>
  <c r="DV8" i="8"/>
  <c r="DK6" i="7" s="1"/>
  <c r="DW8" i="8"/>
  <c r="DL6" i="7" s="1"/>
  <c r="DX8" i="8"/>
  <c r="DM6" i="7" s="1"/>
  <c r="DY8" i="8"/>
  <c r="DN6" i="7" s="1"/>
  <c r="DZ8" i="8"/>
  <c r="DO6" i="7" s="1"/>
  <c r="EA8" i="8"/>
  <c r="DP6" i="7" s="1"/>
  <c r="EB8" i="8"/>
  <c r="DQ6" i="7" s="1"/>
  <c r="DU9" i="8"/>
  <c r="DJ7" i="7" s="1"/>
  <c r="DV9" i="8"/>
  <c r="DK7" i="7" s="1"/>
  <c r="DW9" i="8"/>
  <c r="DL7" i="7" s="1"/>
  <c r="DX9" i="8"/>
  <c r="DM7" i="7" s="1"/>
  <c r="DY9" i="8"/>
  <c r="DN7" i="7" s="1"/>
  <c r="DZ9" i="8"/>
  <c r="DO7" i="7" s="1"/>
  <c r="EA9" i="8"/>
  <c r="DP7" i="7" s="1"/>
  <c r="EB9" i="8"/>
  <c r="DQ7" i="7" s="1"/>
  <c r="DU10" i="8"/>
  <c r="DJ8" i="7" s="1"/>
  <c r="DV10" i="8"/>
  <c r="DK8" i="7" s="1"/>
  <c r="DW10" i="8"/>
  <c r="DL8" i="7" s="1"/>
  <c r="DX10" i="8"/>
  <c r="DM8" i="7" s="1"/>
  <c r="DY10" i="8"/>
  <c r="DN8" i="7" s="1"/>
  <c r="DZ10" i="8"/>
  <c r="DO8" i="7" s="1"/>
  <c r="EA10" i="8"/>
  <c r="DP8" i="7" s="1"/>
  <c r="EB10" i="8"/>
  <c r="DQ8" i="7" s="1"/>
  <c r="DU11" i="8"/>
  <c r="DJ9" i="7" s="1"/>
  <c r="DV11" i="8"/>
  <c r="DK9" i="7" s="1"/>
  <c r="DW11" i="8"/>
  <c r="DL9" i="7" s="1"/>
  <c r="DX11" i="8"/>
  <c r="DM9" i="7" s="1"/>
  <c r="DY11" i="8"/>
  <c r="DN9" i="7" s="1"/>
  <c r="DZ11" i="8"/>
  <c r="DO9" i="7" s="1"/>
  <c r="EA11" i="8"/>
  <c r="DP9" i="7" s="1"/>
  <c r="EB11" i="8"/>
  <c r="DQ9" i="7" s="1"/>
  <c r="DU12" i="8"/>
  <c r="DJ10" i="7" s="1"/>
  <c r="DV12" i="8"/>
  <c r="DK10" i="7" s="1"/>
  <c r="DW12" i="8"/>
  <c r="DL10" i="7" s="1"/>
  <c r="DX12" i="8"/>
  <c r="DM10" i="7" s="1"/>
  <c r="DY12" i="8"/>
  <c r="DN10" i="7" s="1"/>
  <c r="DZ12" i="8"/>
  <c r="DO10" i="7" s="1"/>
  <c r="EA12" i="8"/>
  <c r="DP10" i="7" s="1"/>
  <c r="EB12" i="8"/>
  <c r="DQ10" i="7" s="1"/>
  <c r="DU13" i="8"/>
  <c r="DJ11" i="7" s="1"/>
  <c r="DV13" i="8"/>
  <c r="DK11" i="7" s="1"/>
  <c r="DW13" i="8"/>
  <c r="DL11" i="7" s="1"/>
  <c r="DX13" i="8"/>
  <c r="DM11" i="7" s="1"/>
  <c r="DY13" i="8"/>
  <c r="DN11" i="7" s="1"/>
  <c r="DZ13" i="8"/>
  <c r="DO11" i="7" s="1"/>
  <c r="EA13" i="8"/>
  <c r="DP11" i="7" s="1"/>
  <c r="EB13" i="8"/>
  <c r="DQ11" i="7" s="1"/>
  <c r="DU14" i="8"/>
  <c r="DJ12" i="7" s="1"/>
  <c r="DV14" i="8"/>
  <c r="DK12" i="7" s="1"/>
  <c r="DW14" i="8"/>
  <c r="DL12" i="7" s="1"/>
  <c r="DX14" i="8"/>
  <c r="DM12" i="7" s="1"/>
  <c r="DY14" i="8"/>
  <c r="DN12" i="7" s="1"/>
  <c r="DZ14" i="8"/>
  <c r="DO12" i="7" s="1"/>
  <c r="EA14" i="8"/>
  <c r="DP12" i="7" s="1"/>
  <c r="EB14" i="8"/>
  <c r="DQ12" i="7" s="1"/>
  <c r="DU15" i="8"/>
  <c r="DJ13" i="7" s="1"/>
  <c r="DV15" i="8"/>
  <c r="DK13" i="7" s="1"/>
  <c r="DW15" i="8"/>
  <c r="DL13" i="7" s="1"/>
  <c r="DX15" i="8"/>
  <c r="DM13" i="7" s="1"/>
  <c r="DY15" i="8"/>
  <c r="DN13" i="7" s="1"/>
  <c r="DZ15" i="8"/>
  <c r="DO13" i="7" s="1"/>
  <c r="EA15" i="8"/>
  <c r="DP13" i="7" s="1"/>
  <c r="EB15" i="8"/>
  <c r="DQ13" i="7" s="1"/>
  <c r="DU16" i="8"/>
  <c r="DJ14" i="7" s="1"/>
  <c r="DV16" i="8"/>
  <c r="DK14" i="7" s="1"/>
  <c r="DW16" i="8"/>
  <c r="DL14" i="7" s="1"/>
  <c r="DX16" i="8"/>
  <c r="DM14" i="7" s="1"/>
  <c r="DY16" i="8"/>
  <c r="DN14" i="7" s="1"/>
  <c r="DZ16" i="8"/>
  <c r="DO14" i="7" s="1"/>
  <c r="EA16" i="8"/>
  <c r="DP14" i="7" s="1"/>
  <c r="EB16" i="8"/>
  <c r="DQ14" i="7" s="1"/>
  <c r="DU17" i="8"/>
  <c r="DJ15" i="7" s="1"/>
  <c r="DV17" i="8"/>
  <c r="DK15" i="7" s="1"/>
  <c r="DW17" i="8"/>
  <c r="DL15" i="7" s="1"/>
  <c r="DX17" i="8"/>
  <c r="DM15" i="7" s="1"/>
  <c r="DY17" i="8"/>
  <c r="DN15" i="7" s="1"/>
  <c r="DZ17" i="8"/>
  <c r="DO15" i="7" s="1"/>
  <c r="EA17" i="8"/>
  <c r="DP15" i="7" s="1"/>
  <c r="EB17" i="8"/>
  <c r="DQ15" i="7" s="1"/>
  <c r="DU18" i="8"/>
  <c r="DJ16" i="7" s="1"/>
  <c r="DV18" i="8"/>
  <c r="DK16" i="7" s="1"/>
  <c r="DW18" i="8"/>
  <c r="DL16" i="7" s="1"/>
  <c r="DX18" i="8"/>
  <c r="DM16" i="7" s="1"/>
  <c r="DY18" i="8"/>
  <c r="DN16" i="7" s="1"/>
  <c r="DZ18" i="8"/>
  <c r="DO16" i="7" s="1"/>
  <c r="EA18" i="8"/>
  <c r="DP16" i="7" s="1"/>
  <c r="EB18" i="8"/>
  <c r="DQ16" i="7" s="1"/>
  <c r="DU19" i="8"/>
  <c r="DJ17" i="7" s="1"/>
  <c r="DV19" i="8"/>
  <c r="DK17" i="7" s="1"/>
  <c r="DW19" i="8"/>
  <c r="DL17" i="7" s="1"/>
  <c r="DX19" i="8"/>
  <c r="DM17" i="7" s="1"/>
  <c r="DY19" i="8"/>
  <c r="DN17" i="7" s="1"/>
  <c r="DZ19" i="8"/>
  <c r="DO17" i="7" s="1"/>
  <c r="EA19" i="8"/>
  <c r="DP17" i="7" s="1"/>
  <c r="EB19" i="8"/>
  <c r="DQ17" i="7" s="1"/>
  <c r="DU20" i="8"/>
  <c r="DJ18" i="7" s="1"/>
  <c r="DV20" i="8"/>
  <c r="DK18" i="7" s="1"/>
  <c r="DW20" i="8"/>
  <c r="DL18" i="7" s="1"/>
  <c r="DX20" i="8"/>
  <c r="DM18" i="7" s="1"/>
  <c r="DY20" i="8"/>
  <c r="DN18" i="7" s="1"/>
  <c r="DZ20" i="8"/>
  <c r="DO18" i="7" s="1"/>
  <c r="EA20" i="8"/>
  <c r="DP18" i="7" s="1"/>
  <c r="EB20" i="8"/>
  <c r="DQ18" i="7" s="1"/>
  <c r="DU21" i="8"/>
  <c r="DJ19" i="7" s="1"/>
  <c r="DV21" i="8"/>
  <c r="DK19" i="7" s="1"/>
  <c r="DW21" i="8"/>
  <c r="DL19" i="7" s="1"/>
  <c r="DX21" i="8"/>
  <c r="DM19" i="7" s="1"/>
  <c r="DY21" i="8"/>
  <c r="DN19" i="7" s="1"/>
  <c r="DZ21" i="8"/>
  <c r="DO19" i="7" s="1"/>
  <c r="EA21" i="8"/>
  <c r="DP19" i="7" s="1"/>
  <c r="EB21" i="8"/>
  <c r="DQ19" i="7" s="1"/>
  <c r="DU22" i="8"/>
  <c r="DJ20" i="7" s="1"/>
  <c r="DV22" i="8"/>
  <c r="DK20" i="7" s="1"/>
  <c r="DW22" i="8"/>
  <c r="DL20" i="7" s="1"/>
  <c r="DX22" i="8"/>
  <c r="DM20" i="7" s="1"/>
  <c r="DY22" i="8"/>
  <c r="DN20" i="7" s="1"/>
  <c r="DZ22" i="8"/>
  <c r="DO20" i="7" s="1"/>
  <c r="EA22" i="8"/>
  <c r="DP20" i="7" s="1"/>
  <c r="EB22" i="8"/>
  <c r="DQ20" i="7" s="1"/>
  <c r="DU23" i="8"/>
  <c r="DJ21" i="7" s="1"/>
  <c r="DV23" i="8"/>
  <c r="DK21" i="7" s="1"/>
  <c r="DW23" i="8"/>
  <c r="DL21" i="7" s="1"/>
  <c r="DX23" i="8"/>
  <c r="DM21" i="7" s="1"/>
  <c r="DY23" i="8"/>
  <c r="DN21" i="7" s="1"/>
  <c r="DZ23" i="8"/>
  <c r="DO21" i="7" s="1"/>
  <c r="EA23" i="8"/>
  <c r="DP21" i="7" s="1"/>
  <c r="EB23" i="8"/>
  <c r="DQ21" i="7" s="1"/>
  <c r="DU24" i="8"/>
  <c r="DJ22" i="7" s="1"/>
  <c r="DV24" i="8"/>
  <c r="DK22" i="7" s="1"/>
  <c r="DW24" i="8"/>
  <c r="DL22" i="7" s="1"/>
  <c r="DX24" i="8"/>
  <c r="DM22" i="7" s="1"/>
  <c r="DY24" i="8"/>
  <c r="DN22" i="7" s="1"/>
  <c r="DZ24" i="8"/>
  <c r="DO22" i="7" s="1"/>
  <c r="EA24" i="8"/>
  <c r="DP22" i="7" s="1"/>
  <c r="EB24" i="8"/>
  <c r="DQ22" i="7" s="1"/>
  <c r="DU25" i="8"/>
  <c r="DJ23" i="7" s="1"/>
  <c r="DV25" i="8"/>
  <c r="DK23" i="7" s="1"/>
  <c r="DW25" i="8"/>
  <c r="DL23" i="7" s="1"/>
  <c r="DX25" i="8"/>
  <c r="DM23" i="7" s="1"/>
  <c r="DY25" i="8"/>
  <c r="DN23" i="7" s="1"/>
  <c r="DZ25" i="8"/>
  <c r="DO23" i="7" s="1"/>
  <c r="EA25" i="8"/>
  <c r="DP23" i="7" s="1"/>
  <c r="EB25" i="8"/>
  <c r="DQ23" i="7" s="1"/>
  <c r="DU26" i="8"/>
  <c r="DJ24" i="7" s="1"/>
  <c r="DV26" i="8"/>
  <c r="DK24" i="7" s="1"/>
  <c r="DW26" i="8"/>
  <c r="DL24" i="7" s="1"/>
  <c r="DX26" i="8"/>
  <c r="DM24" i="7" s="1"/>
  <c r="DY26" i="8"/>
  <c r="DN24" i="7" s="1"/>
  <c r="DZ26" i="8"/>
  <c r="DO24" i="7" s="1"/>
  <c r="EA26" i="8"/>
  <c r="DP24" i="7" s="1"/>
  <c r="EB26" i="8"/>
  <c r="DQ24" i="7" s="1"/>
  <c r="DU27" i="8"/>
  <c r="DJ25" i="7" s="1"/>
  <c r="DV27" i="8"/>
  <c r="DK25" i="7" s="1"/>
  <c r="DW27" i="8"/>
  <c r="DL25" i="7" s="1"/>
  <c r="DX27" i="8"/>
  <c r="DM25" i="7" s="1"/>
  <c r="DY27" i="8"/>
  <c r="DN25" i="7" s="1"/>
  <c r="DZ27" i="8"/>
  <c r="DO25" i="7" s="1"/>
  <c r="EA27" i="8"/>
  <c r="DP25" i="7" s="1"/>
  <c r="EB27" i="8"/>
  <c r="DQ25" i="7" s="1"/>
  <c r="DU28" i="8"/>
  <c r="DJ26" i="7" s="1"/>
  <c r="DV28" i="8"/>
  <c r="DK26" i="7" s="1"/>
  <c r="DW28" i="8"/>
  <c r="DL26" i="7" s="1"/>
  <c r="DX28" i="8"/>
  <c r="DM26" i="7" s="1"/>
  <c r="DY28" i="8"/>
  <c r="DN26" i="7" s="1"/>
  <c r="DZ28" i="8"/>
  <c r="DO26" i="7" s="1"/>
  <c r="EA28" i="8"/>
  <c r="DP26" i="7" s="1"/>
  <c r="EB28" i="8"/>
  <c r="DQ26" i="7" s="1"/>
  <c r="DU29" i="8"/>
  <c r="DJ27" i="7" s="1"/>
  <c r="DV29" i="8"/>
  <c r="DK27" i="7" s="1"/>
  <c r="DW29" i="8"/>
  <c r="DL27" i="7" s="1"/>
  <c r="DX29" i="8"/>
  <c r="DM27" i="7" s="1"/>
  <c r="DY29" i="8"/>
  <c r="DN27" i="7" s="1"/>
  <c r="DZ29" i="8"/>
  <c r="DO27" i="7" s="1"/>
  <c r="EA29" i="8"/>
  <c r="DP27" i="7" s="1"/>
  <c r="EB29" i="8"/>
  <c r="DQ27" i="7" s="1"/>
  <c r="DU30" i="8"/>
  <c r="DJ28" i="7" s="1"/>
  <c r="DV30" i="8"/>
  <c r="DK28" i="7" s="1"/>
  <c r="DW30" i="8"/>
  <c r="DL28" i="7" s="1"/>
  <c r="DX30" i="8"/>
  <c r="DM28" i="7" s="1"/>
  <c r="DY30" i="8"/>
  <c r="DN28" i="7" s="1"/>
  <c r="DZ30" i="8"/>
  <c r="DO28" i="7" s="1"/>
  <c r="EA30" i="8"/>
  <c r="DP28" i="7" s="1"/>
  <c r="EB30" i="8"/>
  <c r="DQ28" i="7" s="1"/>
  <c r="DU31" i="8"/>
  <c r="DJ29" i="7" s="1"/>
  <c r="DV31" i="8"/>
  <c r="DK29" i="7" s="1"/>
  <c r="DW31" i="8"/>
  <c r="DL29" i="7" s="1"/>
  <c r="DX31" i="8"/>
  <c r="DM29" i="7" s="1"/>
  <c r="DY31" i="8"/>
  <c r="DN29" i="7" s="1"/>
  <c r="DZ31" i="8"/>
  <c r="DO29" i="7" s="1"/>
  <c r="EA31" i="8"/>
  <c r="DP29" i="7" s="1"/>
  <c r="EB31" i="8"/>
  <c r="DQ29" i="7" s="1"/>
  <c r="DU32" i="8"/>
  <c r="DJ30" i="7" s="1"/>
  <c r="DV32" i="8"/>
  <c r="DK30" i="7" s="1"/>
  <c r="DW32" i="8"/>
  <c r="DL30" i="7" s="1"/>
  <c r="DX32" i="8"/>
  <c r="DM30" i="7" s="1"/>
  <c r="DY32" i="8"/>
  <c r="DN30" i="7" s="1"/>
  <c r="DZ32" i="8"/>
  <c r="DO30" i="7" s="1"/>
  <c r="EA32" i="8"/>
  <c r="DP30" i="7" s="1"/>
  <c r="EB32" i="8"/>
  <c r="DQ30" i="7" s="1"/>
  <c r="DU33" i="8"/>
  <c r="DJ31" i="7" s="1"/>
  <c r="DV33" i="8"/>
  <c r="DK31" i="7" s="1"/>
  <c r="DW33" i="8"/>
  <c r="DL31" i="7" s="1"/>
  <c r="DX33" i="8"/>
  <c r="DM31" i="7" s="1"/>
  <c r="DY33" i="8"/>
  <c r="DN31" i="7" s="1"/>
  <c r="DZ33" i="8"/>
  <c r="DO31" i="7" s="1"/>
  <c r="EA33" i="8"/>
  <c r="DP31" i="7" s="1"/>
  <c r="EB33" i="8"/>
  <c r="DQ31" i="7" s="1"/>
  <c r="DU34" i="8"/>
  <c r="DJ32" i="7" s="1"/>
  <c r="DV34" i="8"/>
  <c r="DK32" i="7" s="1"/>
  <c r="DW34" i="8"/>
  <c r="DL32" i="7" s="1"/>
  <c r="DX34" i="8"/>
  <c r="DM32" i="7" s="1"/>
  <c r="DY34" i="8"/>
  <c r="DN32" i="7" s="1"/>
  <c r="DZ34" i="8"/>
  <c r="DO32" i="7" s="1"/>
  <c r="EA34" i="8"/>
  <c r="DP32" i="7" s="1"/>
  <c r="EB34" i="8"/>
  <c r="DQ32" i="7" s="1"/>
  <c r="DU35" i="8"/>
  <c r="DJ33" i="7" s="1"/>
  <c r="DV35" i="8"/>
  <c r="DK33" i="7" s="1"/>
  <c r="DW35" i="8"/>
  <c r="DL33" i="7" s="1"/>
  <c r="DX35" i="8"/>
  <c r="DM33" i="7" s="1"/>
  <c r="DY35" i="8"/>
  <c r="DN33" i="7" s="1"/>
  <c r="DZ35" i="8"/>
  <c r="DO33" i="7" s="1"/>
  <c r="EA35" i="8"/>
  <c r="DP33" i="7" s="1"/>
  <c r="EB35" i="8"/>
  <c r="DQ33" i="7" s="1"/>
  <c r="EB6" i="8"/>
  <c r="DQ4" i="7" s="1"/>
  <c r="EA6" i="8"/>
  <c r="DP4" i="7" s="1"/>
  <c r="DZ6" i="8"/>
  <c r="DO4" i="7" s="1"/>
  <c r="DY6" i="8"/>
  <c r="DN4" i="7" s="1"/>
  <c r="DX6" i="8"/>
  <c r="DM4" i="7" s="1"/>
  <c r="DW6" i="8"/>
  <c r="DL4" i="7" s="1"/>
  <c r="DV6" i="8"/>
  <c r="DK4" i="7" s="1"/>
  <c r="DR63" i="8"/>
  <c r="DL38" i="8"/>
  <c r="DM38" i="8"/>
  <c r="DN38" i="8"/>
  <c r="DO38" i="8"/>
  <c r="DP38" i="8"/>
  <c r="DQ38" i="8"/>
  <c r="DR38" i="8"/>
  <c r="DS38" i="8"/>
  <c r="DL39" i="8"/>
  <c r="DM39" i="8"/>
  <c r="DN39" i="8"/>
  <c r="DO39" i="8"/>
  <c r="DP39" i="8"/>
  <c r="DQ39" i="8"/>
  <c r="DR39" i="8"/>
  <c r="DS39" i="8"/>
  <c r="DL40" i="8"/>
  <c r="DM40" i="8"/>
  <c r="DN40" i="8"/>
  <c r="DO40" i="8"/>
  <c r="DP40" i="8"/>
  <c r="DQ40" i="8"/>
  <c r="DR40" i="8"/>
  <c r="DS40" i="8"/>
  <c r="DL41" i="8"/>
  <c r="DM41" i="8"/>
  <c r="DN41" i="8"/>
  <c r="DO41" i="8"/>
  <c r="DP41" i="8"/>
  <c r="DQ41" i="8"/>
  <c r="DR41" i="8"/>
  <c r="DS41" i="8"/>
  <c r="DL42" i="8"/>
  <c r="DM42" i="8"/>
  <c r="DN42" i="8"/>
  <c r="DO42" i="8"/>
  <c r="DP42" i="8"/>
  <c r="DQ42" i="8"/>
  <c r="DR42" i="8"/>
  <c r="DS42" i="8"/>
  <c r="DL43" i="8"/>
  <c r="DM43" i="8"/>
  <c r="DN43" i="8"/>
  <c r="DO43" i="8"/>
  <c r="DP43" i="8"/>
  <c r="DQ43" i="8"/>
  <c r="DR43" i="8"/>
  <c r="DS43" i="8"/>
  <c r="DL44" i="8"/>
  <c r="DM44" i="8"/>
  <c r="DN44" i="8"/>
  <c r="DO44" i="8"/>
  <c r="DP44" i="8"/>
  <c r="DQ44" i="8"/>
  <c r="DR44" i="8"/>
  <c r="DS44" i="8"/>
  <c r="DL45" i="8"/>
  <c r="DM45" i="8"/>
  <c r="DN45" i="8"/>
  <c r="DO45" i="8"/>
  <c r="DP45" i="8"/>
  <c r="DQ45" i="8"/>
  <c r="DR45" i="8"/>
  <c r="DS45" i="8"/>
  <c r="DL46" i="8"/>
  <c r="DM46" i="8"/>
  <c r="DN46" i="8"/>
  <c r="DO46" i="8"/>
  <c r="DP46" i="8"/>
  <c r="DQ46" i="8"/>
  <c r="DR46" i="8"/>
  <c r="DS46" i="8"/>
  <c r="DL47" i="8"/>
  <c r="DM47" i="8"/>
  <c r="DN47" i="8"/>
  <c r="DO47" i="8"/>
  <c r="DP47" i="8"/>
  <c r="DQ47" i="8"/>
  <c r="DR47" i="8"/>
  <c r="DS47" i="8"/>
  <c r="DL48" i="8"/>
  <c r="DM48" i="8"/>
  <c r="DN48" i="8"/>
  <c r="DO48" i="8"/>
  <c r="DP48" i="8"/>
  <c r="DQ48" i="8"/>
  <c r="DR48" i="8"/>
  <c r="DS48" i="8"/>
  <c r="DL49" i="8"/>
  <c r="DM49" i="8"/>
  <c r="DN49" i="8"/>
  <c r="DO49" i="8"/>
  <c r="DP49" i="8"/>
  <c r="DQ49" i="8"/>
  <c r="DR49" i="8"/>
  <c r="DS49" i="8"/>
  <c r="DL50" i="8"/>
  <c r="DM50" i="8"/>
  <c r="DN50" i="8"/>
  <c r="DO50" i="8"/>
  <c r="DP50" i="8"/>
  <c r="DQ50" i="8"/>
  <c r="DR50" i="8"/>
  <c r="DS50" i="8"/>
  <c r="DL51" i="8"/>
  <c r="DM51" i="8"/>
  <c r="DN51" i="8"/>
  <c r="DO51" i="8"/>
  <c r="DP51" i="8"/>
  <c r="DQ51" i="8"/>
  <c r="DR51" i="8"/>
  <c r="DS51" i="8"/>
  <c r="DL52" i="8"/>
  <c r="DM52" i="8"/>
  <c r="DN52" i="8"/>
  <c r="DO52" i="8"/>
  <c r="DP52" i="8"/>
  <c r="DQ52" i="8"/>
  <c r="DR52" i="8"/>
  <c r="DS52" i="8"/>
  <c r="DL53" i="8"/>
  <c r="DM53" i="8"/>
  <c r="DN53" i="8"/>
  <c r="DO53" i="8"/>
  <c r="DP53" i="8"/>
  <c r="DQ53" i="8"/>
  <c r="DR53" i="8"/>
  <c r="DS53" i="8"/>
  <c r="DL54" i="8"/>
  <c r="DM54" i="8"/>
  <c r="DN54" i="8"/>
  <c r="DO54" i="8"/>
  <c r="DP54" i="8"/>
  <c r="DQ54" i="8"/>
  <c r="DR54" i="8"/>
  <c r="DS54" i="8"/>
  <c r="DL55" i="8"/>
  <c r="DM55" i="8"/>
  <c r="DN55" i="8"/>
  <c r="DO55" i="8"/>
  <c r="DP55" i="8"/>
  <c r="DQ55" i="8"/>
  <c r="DR55" i="8"/>
  <c r="DS55" i="8"/>
  <c r="DL56" i="8"/>
  <c r="DM56" i="8"/>
  <c r="DN56" i="8"/>
  <c r="DO56" i="8"/>
  <c r="DP56" i="8"/>
  <c r="DQ56" i="8"/>
  <c r="DR56" i="8"/>
  <c r="DS56" i="8"/>
  <c r="DL57" i="8"/>
  <c r="DM57" i="8"/>
  <c r="DN57" i="8"/>
  <c r="DO57" i="8"/>
  <c r="DP57" i="8"/>
  <c r="DQ57" i="8"/>
  <c r="DR57" i="8"/>
  <c r="DS57" i="8"/>
  <c r="DL58" i="8"/>
  <c r="DM58" i="8"/>
  <c r="DN58" i="8"/>
  <c r="DO58" i="8"/>
  <c r="DP58" i="8"/>
  <c r="DQ58" i="8"/>
  <c r="DR58" i="8"/>
  <c r="DS58" i="8"/>
  <c r="DL59" i="8"/>
  <c r="DM59" i="8"/>
  <c r="DN59" i="8"/>
  <c r="DO59" i="8"/>
  <c r="DP59" i="8"/>
  <c r="DQ59" i="8"/>
  <c r="DR59" i="8"/>
  <c r="DS59" i="8"/>
  <c r="DL60" i="8"/>
  <c r="DM60" i="8"/>
  <c r="DN60" i="8"/>
  <c r="DO60" i="8"/>
  <c r="DP60" i="8"/>
  <c r="DQ60" i="8"/>
  <c r="DR60" i="8"/>
  <c r="DS60" i="8"/>
  <c r="DL61" i="8"/>
  <c r="DM61" i="8"/>
  <c r="DN61" i="8"/>
  <c r="DO61" i="8"/>
  <c r="DP61" i="8"/>
  <c r="DQ61" i="8"/>
  <c r="DR61" i="8"/>
  <c r="DS61" i="8"/>
  <c r="DL62" i="8"/>
  <c r="DM62" i="8"/>
  <c r="DN62" i="8"/>
  <c r="DO62" i="8"/>
  <c r="DP62" i="8"/>
  <c r="DQ62" i="8"/>
  <c r="DR62" i="8"/>
  <c r="DS62" i="8"/>
  <c r="DL63" i="8"/>
  <c r="DM63" i="8"/>
  <c r="DN63" i="8"/>
  <c r="DO63" i="8"/>
  <c r="DP63" i="8"/>
  <c r="DQ63" i="8"/>
  <c r="DS63" i="8"/>
  <c r="DL64" i="8"/>
  <c r="DM64" i="8"/>
  <c r="DN64" i="8"/>
  <c r="DO64" i="8"/>
  <c r="DP64" i="8"/>
  <c r="DQ64" i="8"/>
  <c r="DR64" i="8"/>
  <c r="DS64" i="8"/>
  <c r="DL65" i="8"/>
  <c r="DM65" i="8"/>
  <c r="DN65" i="8"/>
  <c r="DO65" i="8"/>
  <c r="DP65" i="8"/>
  <c r="DQ65" i="8"/>
  <c r="DR65" i="8"/>
  <c r="DS65" i="8"/>
  <c r="DL66" i="8"/>
  <c r="DM66" i="8"/>
  <c r="DN66" i="8"/>
  <c r="DO66" i="8"/>
  <c r="DP66" i="8"/>
  <c r="DQ66" i="8"/>
  <c r="DR66" i="8"/>
  <c r="DS66" i="8"/>
  <c r="DS37" i="8"/>
  <c r="DR37" i="8"/>
  <c r="DQ37" i="8"/>
  <c r="DP37" i="8"/>
  <c r="DO37" i="8"/>
  <c r="DN37" i="8"/>
  <c r="DM37" i="8"/>
  <c r="DL37" i="8"/>
  <c r="DU6" i="8"/>
  <c r="DJ4" i="7" s="1"/>
  <c r="L23" i="3" l="1"/>
  <c r="L18" i="3"/>
  <c r="L24" i="3" s="1"/>
  <c r="L21" i="3"/>
  <c r="ES89" i="7"/>
  <c r="ES90" i="7" s="1"/>
  <c r="EI89" i="7"/>
  <c r="EI90" i="7" s="1"/>
  <c r="DM86" i="7"/>
  <c r="DM87" i="7" s="1"/>
  <c r="DL86" i="7"/>
  <c r="DL87" i="7" s="1"/>
  <c r="DL83" i="7"/>
  <c r="DL84" i="7" s="1"/>
  <c r="DM83" i="7"/>
  <c r="DM84" i="7" s="1"/>
  <c r="EK83" i="7"/>
  <c r="EK84" i="7" s="1"/>
  <c r="DJ83" i="7"/>
  <c r="EE83" i="7"/>
  <c r="EE84" i="7" s="1"/>
  <c r="EQ83" i="7"/>
  <c r="EQ84" i="7" s="1"/>
  <c r="DK83" i="7"/>
  <c r="DK84" i="7" s="1"/>
  <c r="DK86" i="7"/>
  <c r="DK87" i="7" s="1"/>
  <c r="DY83" i="7"/>
  <c r="DY84" i="7" s="1"/>
  <c r="EO83" i="7"/>
  <c r="EO84" i="7" s="1"/>
  <c r="DZ83" i="7"/>
  <c r="DZ84" i="7" s="1"/>
  <c r="EP83" i="7"/>
  <c r="EP84" i="7" s="1"/>
  <c r="EF83" i="7"/>
  <c r="EF84" i="7" s="1"/>
  <c r="EN83" i="7"/>
  <c r="EG83" i="7"/>
  <c r="EG84" i="7" s="1"/>
  <c r="DT83" i="7"/>
  <c r="DJ86" i="7"/>
  <c r="DU89" i="7"/>
  <c r="DU90" i="7" s="1"/>
  <c r="EH89" i="7"/>
  <c r="EH90" i="7" s="1"/>
  <c r="EA83" i="7"/>
  <c r="EA84" i="7" s="1"/>
  <c r="DP89" i="7"/>
  <c r="DP90" i="7" s="1"/>
  <c r="ER83" i="7"/>
  <c r="ER84" i="7" s="1"/>
  <c r="DX83" i="7"/>
  <c r="DX84" i="7" s="1"/>
  <c r="DQ89" i="7"/>
  <c r="DQ90" i="7" s="1"/>
  <c r="EK89" i="7"/>
  <c r="EK90" i="7" s="1"/>
  <c r="EU89" i="7"/>
  <c r="EU90" i="7" s="1"/>
  <c r="DN83" i="7"/>
  <c r="DN84" i="7" s="1"/>
  <c r="DN86" i="7"/>
  <c r="DN87" i="7" s="1"/>
  <c r="EF89" i="7"/>
  <c r="EF90" i="7" s="1"/>
  <c r="EG89" i="7"/>
  <c r="EG90" i="7" s="1"/>
  <c r="DU83" i="7"/>
  <c r="DU84" i="7" s="1"/>
  <c r="ES83" i="7"/>
  <c r="ES84" i="7" s="1"/>
  <c r="EA89" i="7"/>
  <c r="EA90" i="7" s="1"/>
  <c r="ED89" i="7"/>
  <c r="EH83" i="7"/>
  <c r="EH84" i="7" s="1"/>
  <c r="DK89" i="7"/>
  <c r="DK90" i="7" s="1"/>
  <c r="EE89" i="7"/>
  <c r="EE90" i="7" s="1"/>
  <c r="EO89" i="7"/>
  <c r="EO90" i="7" s="1"/>
  <c r="EN89" i="7"/>
  <c r="D166" i="7" s="1" a="1"/>
  <c r="D166" i="7" s="1"/>
  <c r="EI83" i="7"/>
  <c r="EI84" i="7" s="1"/>
  <c r="DL89" i="7"/>
  <c r="DL90" i="7" s="1"/>
  <c r="DV89" i="7"/>
  <c r="DV90" i="7" s="1"/>
  <c r="EP89" i="7"/>
  <c r="EP90" i="7" s="1"/>
  <c r="DJ89" i="7"/>
  <c r="DO83" i="7"/>
  <c r="DO84" i="7" s="1"/>
  <c r="DO86" i="7"/>
  <c r="DO87" i="7" s="1"/>
  <c r="EJ83" i="7"/>
  <c r="EJ84" i="7" s="1"/>
  <c r="DM89" i="7"/>
  <c r="DM90" i="7" s="1"/>
  <c r="DW89" i="7"/>
  <c r="DW90" i="7" s="1"/>
  <c r="EQ89" i="7"/>
  <c r="EQ90" i="7" s="1"/>
  <c r="DP83" i="7"/>
  <c r="DP84" i="7" s="1"/>
  <c r="DP86" i="7"/>
  <c r="DP87" i="7" s="1"/>
  <c r="DN89" i="7"/>
  <c r="DN90" i="7" s="1"/>
  <c r="DX89" i="7"/>
  <c r="DX90" i="7" s="1"/>
  <c r="ER89" i="7"/>
  <c r="ER90" i="7" s="1"/>
  <c r="DT89" i="7"/>
  <c r="DQ83" i="7"/>
  <c r="DQ84" i="7" s="1"/>
  <c r="DQ86" i="7"/>
  <c r="DQ87" i="7" s="1"/>
  <c r="DV83" i="7"/>
  <c r="DV84" i="7" s="1"/>
  <c r="ED83" i="7"/>
  <c r="ET83" i="7"/>
  <c r="ET84" i="7" s="1"/>
  <c r="DO89" i="7"/>
  <c r="DO90" i="7" s="1"/>
  <c r="DY89" i="7"/>
  <c r="DY90" i="7" s="1"/>
  <c r="DW83" i="7"/>
  <c r="DW84" i="7" s="1"/>
  <c r="EU83" i="7"/>
  <c r="EU84" i="7" s="1"/>
  <c r="DZ89" i="7"/>
  <c r="DZ90" i="7" s="1"/>
  <c r="EJ89" i="7"/>
  <c r="EJ90" i="7" s="1"/>
  <c r="ET89" i="7"/>
  <c r="ET90" i="7" s="1"/>
  <c r="DL67" i="8"/>
  <c r="CZ67" i="7"/>
  <c r="DA67" i="7"/>
  <c r="DB67" i="7"/>
  <c r="DC67" i="7"/>
  <c r="DD67" i="7"/>
  <c r="DE67" i="7"/>
  <c r="DF67" i="7"/>
  <c r="DG67" i="7"/>
  <c r="CZ68" i="7"/>
  <c r="DA68" i="7"/>
  <c r="DB68" i="7"/>
  <c r="DC68" i="7"/>
  <c r="DD68" i="7"/>
  <c r="DE68" i="7"/>
  <c r="DF68" i="7"/>
  <c r="DG68" i="7"/>
  <c r="CZ69" i="7"/>
  <c r="DA69" i="7"/>
  <c r="DB69" i="7"/>
  <c r="DC69" i="7"/>
  <c r="DD69" i="7"/>
  <c r="DE69" i="7"/>
  <c r="DF69" i="7"/>
  <c r="DG69" i="7"/>
  <c r="CZ70" i="7"/>
  <c r="DA70" i="7"/>
  <c r="DB70" i="7"/>
  <c r="DC70" i="7"/>
  <c r="DD70" i="7"/>
  <c r="DE70" i="7"/>
  <c r="DF70" i="7"/>
  <c r="DG70" i="7"/>
  <c r="CZ71" i="7"/>
  <c r="DA71" i="7"/>
  <c r="DB71" i="7"/>
  <c r="DC71" i="7"/>
  <c r="DD71" i="7"/>
  <c r="DE71" i="7"/>
  <c r="DF71" i="7"/>
  <c r="DG71" i="7"/>
  <c r="CZ72" i="7"/>
  <c r="DA72" i="7"/>
  <c r="DB72" i="7"/>
  <c r="DC72" i="7"/>
  <c r="DD72" i="7"/>
  <c r="DE72" i="7"/>
  <c r="DF72" i="7"/>
  <c r="DG72" i="7"/>
  <c r="CZ73" i="7"/>
  <c r="DA73" i="7"/>
  <c r="DB73" i="7"/>
  <c r="DC73" i="7"/>
  <c r="DD73" i="7"/>
  <c r="DE73" i="7"/>
  <c r="DF73" i="7"/>
  <c r="DG73" i="7"/>
  <c r="CZ74" i="7"/>
  <c r="DA74" i="7"/>
  <c r="DB74" i="7"/>
  <c r="DC74" i="7"/>
  <c r="DD74" i="7"/>
  <c r="DE74" i="7"/>
  <c r="DF74" i="7"/>
  <c r="DG74" i="7"/>
  <c r="CZ75" i="7"/>
  <c r="DA75" i="7"/>
  <c r="DB75" i="7"/>
  <c r="DC75" i="7"/>
  <c r="DD75" i="7"/>
  <c r="DE75" i="7"/>
  <c r="DF75" i="7"/>
  <c r="DG75" i="7"/>
  <c r="CZ76" i="7"/>
  <c r="DA76" i="7"/>
  <c r="DB76" i="7"/>
  <c r="DC76" i="7"/>
  <c r="DD76" i="7"/>
  <c r="DE76" i="7"/>
  <c r="DF76" i="7"/>
  <c r="DG76" i="7"/>
  <c r="CZ77" i="7"/>
  <c r="DA77" i="7"/>
  <c r="DB77" i="7"/>
  <c r="DC77" i="7"/>
  <c r="DD77" i="7"/>
  <c r="DE77" i="7"/>
  <c r="DF77" i="7"/>
  <c r="DG77" i="7"/>
  <c r="CZ78" i="7"/>
  <c r="DA78" i="7"/>
  <c r="DB78" i="7"/>
  <c r="DC78" i="7"/>
  <c r="DD78" i="7"/>
  <c r="DE78" i="7"/>
  <c r="DF78" i="7"/>
  <c r="DG78" i="7"/>
  <c r="DA66" i="7"/>
  <c r="DB66" i="7"/>
  <c r="DC66" i="7"/>
  <c r="DD66" i="7"/>
  <c r="DE66" i="7"/>
  <c r="DF66" i="7"/>
  <c r="DG66" i="7"/>
  <c r="CZ66" i="7"/>
  <c r="CZ36" i="7"/>
  <c r="DA36" i="7"/>
  <c r="DB36" i="7"/>
  <c r="DC36" i="7"/>
  <c r="DD36" i="7"/>
  <c r="DE36" i="7"/>
  <c r="DF36" i="7"/>
  <c r="DG36" i="7"/>
  <c r="CZ37" i="7"/>
  <c r="DA37" i="7"/>
  <c r="DB37" i="7"/>
  <c r="DC37" i="7"/>
  <c r="DD37" i="7"/>
  <c r="DE37" i="7"/>
  <c r="DF37" i="7"/>
  <c r="DG37" i="7"/>
  <c r="CZ38" i="7"/>
  <c r="DA38" i="7"/>
  <c r="DB38" i="7"/>
  <c r="DC38" i="7"/>
  <c r="DD38" i="7"/>
  <c r="DE38" i="7"/>
  <c r="DF38" i="7"/>
  <c r="DG38" i="7"/>
  <c r="CZ39" i="7"/>
  <c r="DA39" i="7"/>
  <c r="DB39" i="7"/>
  <c r="DC39" i="7"/>
  <c r="DD39" i="7"/>
  <c r="DE39" i="7"/>
  <c r="DF39" i="7"/>
  <c r="DG39" i="7"/>
  <c r="CZ40" i="7"/>
  <c r="DA40" i="7"/>
  <c r="DB40" i="7"/>
  <c r="DC40" i="7"/>
  <c r="DD40" i="7"/>
  <c r="DE40" i="7"/>
  <c r="DF40" i="7"/>
  <c r="DG40" i="7"/>
  <c r="CZ41" i="7"/>
  <c r="DA41" i="7"/>
  <c r="DB41" i="7"/>
  <c r="DC41" i="7"/>
  <c r="DD41" i="7"/>
  <c r="DE41" i="7"/>
  <c r="DF41" i="7"/>
  <c r="DG41" i="7"/>
  <c r="CZ42" i="7"/>
  <c r="DA42" i="7"/>
  <c r="DB42" i="7"/>
  <c r="DC42" i="7"/>
  <c r="DD42" i="7"/>
  <c r="DE42" i="7"/>
  <c r="DF42" i="7"/>
  <c r="DG42" i="7"/>
  <c r="CZ43" i="7"/>
  <c r="DA43" i="7"/>
  <c r="DB43" i="7"/>
  <c r="DC43" i="7"/>
  <c r="DD43" i="7"/>
  <c r="DE43" i="7"/>
  <c r="DF43" i="7"/>
  <c r="DG43" i="7"/>
  <c r="CZ44" i="7"/>
  <c r="DA44" i="7"/>
  <c r="DB44" i="7"/>
  <c r="DC44" i="7"/>
  <c r="DD44" i="7"/>
  <c r="DE44" i="7"/>
  <c r="DF44" i="7"/>
  <c r="DG44" i="7"/>
  <c r="CZ45" i="7"/>
  <c r="DA45" i="7"/>
  <c r="DB45" i="7"/>
  <c r="DC45" i="7"/>
  <c r="DD45" i="7"/>
  <c r="DE45" i="7"/>
  <c r="DF45" i="7"/>
  <c r="DG45" i="7"/>
  <c r="CZ46" i="7"/>
  <c r="DA46" i="7"/>
  <c r="DB46" i="7"/>
  <c r="DC46" i="7"/>
  <c r="DD46" i="7"/>
  <c r="DE46" i="7"/>
  <c r="DF46" i="7"/>
  <c r="DG46" i="7"/>
  <c r="CZ47" i="7"/>
  <c r="DA47" i="7"/>
  <c r="DB47" i="7"/>
  <c r="DC47" i="7"/>
  <c r="DD47" i="7"/>
  <c r="DE47" i="7"/>
  <c r="DF47" i="7"/>
  <c r="DG47" i="7"/>
  <c r="CZ48" i="7"/>
  <c r="DA48" i="7"/>
  <c r="DB48" i="7"/>
  <c r="DC48" i="7"/>
  <c r="DD48" i="7"/>
  <c r="DE48" i="7"/>
  <c r="DF48" i="7"/>
  <c r="DG48" i="7"/>
  <c r="CZ49" i="7"/>
  <c r="DA49" i="7"/>
  <c r="DB49" i="7"/>
  <c r="DC49" i="7"/>
  <c r="DD49" i="7"/>
  <c r="DE49" i="7"/>
  <c r="DF49" i="7"/>
  <c r="DG49" i="7"/>
  <c r="CZ50" i="7"/>
  <c r="DA50" i="7"/>
  <c r="DB50" i="7"/>
  <c r="DC50" i="7"/>
  <c r="DD50" i="7"/>
  <c r="DE50" i="7"/>
  <c r="DF50" i="7"/>
  <c r="DG50" i="7"/>
  <c r="CZ51" i="7"/>
  <c r="DA51" i="7"/>
  <c r="DB51" i="7"/>
  <c r="DC51" i="7"/>
  <c r="DD51" i="7"/>
  <c r="DE51" i="7"/>
  <c r="DF51" i="7"/>
  <c r="DG51" i="7"/>
  <c r="CZ52" i="7"/>
  <c r="DA52" i="7"/>
  <c r="DB52" i="7"/>
  <c r="DC52" i="7"/>
  <c r="DD52" i="7"/>
  <c r="DE52" i="7"/>
  <c r="DF52" i="7"/>
  <c r="DG52" i="7"/>
  <c r="CZ53" i="7"/>
  <c r="DA53" i="7"/>
  <c r="DB53" i="7"/>
  <c r="DC53" i="7"/>
  <c r="DD53" i="7"/>
  <c r="DE53" i="7"/>
  <c r="DF53" i="7"/>
  <c r="DG53" i="7"/>
  <c r="CZ54" i="7"/>
  <c r="DA54" i="7"/>
  <c r="DB54" i="7"/>
  <c r="DC54" i="7"/>
  <c r="DD54" i="7"/>
  <c r="DE54" i="7"/>
  <c r="DF54" i="7"/>
  <c r="DG54" i="7"/>
  <c r="CZ55" i="7"/>
  <c r="DA55" i="7"/>
  <c r="DB55" i="7"/>
  <c r="DC55" i="7"/>
  <c r="DD55" i="7"/>
  <c r="DE55" i="7"/>
  <c r="DF55" i="7"/>
  <c r="DG55" i="7"/>
  <c r="CZ56" i="7"/>
  <c r="DA56" i="7"/>
  <c r="DB56" i="7"/>
  <c r="DC56" i="7"/>
  <c r="DD56" i="7"/>
  <c r="DE56" i="7"/>
  <c r="DF56" i="7"/>
  <c r="DG56" i="7"/>
  <c r="CZ57" i="7"/>
  <c r="DA57" i="7"/>
  <c r="DB57" i="7"/>
  <c r="DC57" i="7"/>
  <c r="DD57" i="7"/>
  <c r="DE57" i="7"/>
  <c r="DF57" i="7"/>
  <c r="DG57" i="7"/>
  <c r="CZ58" i="7"/>
  <c r="DA58" i="7"/>
  <c r="DB58" i="7"/>
  <c r="DC58" i="7"/>
  <c r="DD58" i="7"/>
  <c r="DE58" i="7"/>
  <c r="DF58" i="7"/>
  <c r="DG58" i="7"/>
  <c r="CZ59" i="7"/>
  <c r="DA59" i="7"/>
  <c r="DB59" i="7"/>
  <c r="DC59" i="7"/>
  <c r="DD59" i="7"/>
  <c r="DE59" i="7"/>
  <c r="DF59" i="7"/>
  <c r="DG59" i="7"/>
  <c r="CZ60" i="7"/>
  <c r="DA60" i="7"/>
  <c r="DB60" i="7"/>
  <c r="DC60" i="7"/>
  <c r="DD60" i="7"/>
  <c r="DE60" i="7"/>
  <c r="DF60" i="7"/>
  <c r="DG60" i="7"/>
  <c r="CZ61" i="7"/>
  <c r="DA61" i="7"/>
  <c r="DB61" i="7"/>
  <c r="DC61" i="7"/>
  <c r="DD61" i="7"/>
  <c r="DE61" i="7"/>
  <c r="DF61" i="7"/>
  <c r="DG61" i="7"/>
  <c r="CZ62" i="7"/>
  <c r="DA62" i="7"/>
  <c r="DB62" i="7"/>
  <c r="DC62" i="7"/>
  <c r="DD62" i="7"/>
  <c r="DE62" i="7"/>
  <c r="DF62" i="7"/>
  <c r="DG62" i="7"/>
  <c r="CZ63" i="7"/>
  <c r="DA63" i="7"/>
  <c r="DB63" i="7"/>
  <c r="DC63" i="7"/>
  <c r="DD63" i="7"/>
  <c r="DE63" i="7"/>
  <c r="DF63" i="7"/>
  <c r="DG63" i="7"/>
  <c r="CZ64" i="7"/>
  <c r="DA64" i="7"/>
  <c r="DB64" i="7"/>
  <c r="DC64" i="7"/>
  <c r="DD64" i="7"/>
  <c r="DE64" i="7"/>
  <c r="DF64" i="7"/>
  <c r="DG64" i="7"/>
  <c r="DA35" i="7"/>
  <c r="DB35" i="7"/>
  <c r="DC35" i="7"/>
  <c r="DD35" i="7"/>
  <c r="DE35" i="7"/>
  <c r="DF35" i="7"/>
  <c r="DG35" i="7"/>
  <c r="CZ35" i="7"/>
  <c r="D150" i="7" l="1" a="1"/>
  <c r="D150" i="7" s="1"/>
  <c r="ED90" i="7"/>
  <c r="D161" i="7" a="1"/>
  <c r="D161" i="7" s="1"/>
  <c r="DT90" i="7"/>
  <c r="D156" i="7" a="1"/>
  <c r="D156" i="7" s="1"/>
  <c r="DJ90" i="7"/>
  <c r="D151" i="7" a="1"/>
  <c r="D151" i="7" s="1"/>
  <c r="DT84" i="7"/>
  <c r="D154" i="7" a="1"/>
  <c r="D154" i="7" s="1"/>
  <c r="EN84" i="7"/>
  <c r="D164" i="7" a="1"/>
  <c r="D164" i="7" s="1"/>
  <c r="ED84" i="7"/>
  <c r="D159" i="7" a="1"/>
  <c r="D159" i="7" s="1"/>
  <c r="DJ84" i="7"/>
  <c r="D149" i="7" a="1"/>
  <c r="D149" i="7" s="1"/>
  <c r="EN90" i="7"/>
  <c r="DJ87" i="7"/>
  <c r="DE89" i="7"/>
  <c r="DE90" i="7" s="1"/>
  <c r="DF89" i="7"/>
  <c r="DF90" i="7" s="1"/>
  <c r="DC89" i="7"/>
  <c r="DC90" i="7" s="1"/>
  <c r="DF86" i="7"/>
  <c r="DF87" i="7" s="1"/>
  <c r="DC86" i="7"/>
  <c r="DC87" i="7" s="1"/>
  <c r="DA86" i="7"/>
  <c r="DA87" i="7" s="1"/>
  <c r="DA89" i="7"/>
  <c r="DA90" i="7" s="1"/>
  <c r="DG89" i="7"/>
  <c r="DG90" i="7" s="1"/>
  <c r="CZ86" i="7"/>
  <c r="DE86" i="7"/>
  <c r="DE87" i="7" s="1"/>
  <c r="DD86" i="7"/>
  <c r="DD87" i="7" s="1"/>
  <c r="DD89" i="7"/>
  <c r="DD90" i="7" s="1"/>
  <c r="DB86" i="7"/>
  <c r="DB87" i="7" s="1"/>
  <c r="DB89" i="7"/>
  <c r="DB90" i="7" s="1"/>
  <c r="CZ89" i="7"/>
  <c r="DG86" i="7"/>
  <c r="DG87" i="7" s="1"/>
  <c r="DL7" i="8"/>
  <c r="CZ5" i="7" s="1"/>
  <c r="DM7" i="8"/>
  <c r="DA5" i="7" s="1"/>
  <c r="DN7" i="8"/>
  <c r="DB5" i="7" s="1"/>
  <c r="DO7" i="8"/>
  <c r="DC5" i="7" s="1"/>
  <c r="DP7" i="8"/>
  <c r="DD5" i="7" s="1"/>
  <c r="DQ7" i="8"/>
  <c r="DE5" i="7" s="1"/>
  <c r="DR7" i="8"/>
  <c r="DF5" i="7" s="1"/>
  <c r="DS7" i="8"/>
  <c r="DG5" i="7" s="1"/>
  <c r="DL8" i="8"/>
  <c r="CZ6" i="7" s="1"/>
  <c r="DM8" i="8"/>
  <c r="DA6" i="7" s="1"/>
  <c r="DN8" i="8"/>
  <c r="DB6" i="7" s="1"/>
  <c r="DO8" i="8"/>
  <c r="DC6" i="7" s="1"/>
  <c r="DP8" i="8"/>
  <c r="DD6" i="7" s="1"/>
  <c r="DQ8" i="8"/>
  <c r="DE6" i="7" s="1"/>
  <c r="DR8" i="8"/>
  <c r="DF6" i="7" s="1"/>
  <c r="DS8" i="8"/>
  <c r="DG6" i="7" s="1"/>
  <c r="DL9" i="8"/>
  <c r="CZ7" i="7" s="1"/>
  <c r="DM9" i="8"/>
  <c r="DA7" i="7" s="1"/>
  <c r="DN9" i="8"/>
  <c r="DB7" i="7" s="1"/>
  <c r="DO9" i="8"/>
  <c r="DC7" i="7" s="1"/>
  <c r="DP9" i="8"/>
  <c r="DD7" i="7" s="1"/>
  <c r="DQ9" i="8"/>
  <c r="DE7" i="7" s="1"/>
  <c r="DR9" i="8"/>
  <c r="DF7" i="7" s="1"/>
  <c r="DS9" i="8"/>
  <c r="DG7" i="7" s="1"/>
  <c r="DL10" i="8"/>
  <c r="CZ8" i="7" s="1"/>
  <c r="DM10" i="8"/>
  <c r="DA8" i="7" s="1"/>
  <c r="DN10" i="8"/>
  <c r="DB8" i="7" s="1"/>
  <c r="DO10" i="8"/>
  <c r="DC8" i="7" s="1"/>
  <c r="DP10" i="8"/>
  <c r="DD8" i="7" s="1"/>
  <c r="DQ10" i="8"/>
  <c r="DE8" i="7" s="1"/>
  <c r="DR10" i="8"/>
  <c r="DF8" i="7" s="1"/>
  <c r="DS10" i="8"/>
  <c r="DG8" i="7" s="1"/>
  <c r="DL11" i="8"/>
  <c r="CZ9" i="7" s="1"/>
  <c r="DM11" i="8"/>
  <c r="DA9" i="7" s="1"/>
  <c r="DN11" i="8"/>
  <c r="DB9" i="7" s="1"/>
  <c r="DO11" i="8"/>
  <c r="DC9" i="7" s="1"/>
  <c r="DP11" i="8"/>
  <c r="DD9" i="7" s="1"/>
  <c r="DQ11" i="8"/>
  <c r="DE9" i="7" s="1"/>
  <c r="DR11" i="8"/>
  <c r="DF9" i="7" s="1"/>
  <c r="DS11" i="8"/>
  <c r="DG9" i="7" s="1"/>
  <c r="DL12" i="8"/>
  <c r="CZ10" i="7" s="1"/>
  <c r="DM12" i="8"/>
  <c r="DA10" i="7" s="1"/>
  <c r="DN12" i="8"/>
  <c r="DB10" i="7" s="1"/>
  <c r="DO12" i="8"/>
  <c r="DC10" i="7" s="1"/>
  <c r="DP12" i="8"/>
  <c r="DD10" i="7" s="1"/>
  <c r="DQ12" i="8"/>
  <c r="DE10" i="7" s="1"/>
  <c r="DR12" i="8"/>
  <c r="DF10" i="7" s="1"/>
  <c r="DS12" i="8"/>
  <c r="DG10" i="7" s="1"/>
  <c r="DL13" i="8"/>
  <c r="CZ11" i="7" s="1"/>
  <c r="DM13" i="8"/>
  <c r="DA11" i="7" s="1"/>
  <c r="DN13" i="8"/>
  <c r="DB11" i="7" s="1"/>
  <c r="DO13" i="8"/>
  <c r="DC11" i="7" s="1"/>
  <c r="DP13" i="8"/>
  <c r="DD11" i="7" s="1"/>
  <c r="DQ13" i="8"/>
  <c r="DE11" i="7" s="1"/>
  <c r="DR13" i="8"/>
  <c r="DF11" i="7" s="1"/>
  <c r="DS13" i="8"/>
  <c r="DG11" i="7" s="1"/>
  <c r="DL14" i="8"/>
  <c r="CZ12" i="7" s="1"/>
  <c r="DM14" i="8"/>
  <c r="DA12" i="7" s="1"/>
  <c r="DN14" i="8"/>
  <c r="DB12" i="7" s="1"/>
  <c r="DO14" i="8"/>
  <c r="DC12" i="7" s="1"/>
  <c r="DP14" i="8"/>
  <c r="DD12" i="7" s="1"/>
  <c r="DQ14" i="8"/>
  <c r="DE12" i="7" s="1"/>
  <c r="DR14" i="8"/>
  <c r="DF12" i="7" s="1"/>
  <c r="DS14" i="8"/>
  <c r="DG12" i="7" s="1"/>
  <c r="DL15" i="8"/>
  <c r="CZ13" i="7" s="1"/>
  <c r="DM15" i="8"/>
  <c r="DA13" i="7" s="1"/>
  <c r="DN15" i="8"/>
  <c r="DB13" i="7" s="1"/>
  <c r="DO15" i="8"/>
  <c r="DC13" i="7" s="1"/>
  <c r="DP15" i="8"/>
  <c r="DD13" i="7" s="1"/>
  <c r="DQ15" i="8"/>
  <c r="DE13" i="7" s="1"/>
  <c r="DR15" i="8"/>
  <c r="DF13" i="7" s="1"/>
  <c r="DS15" i="8"/>
  <c r="DG13" i="7" s="1"/>
  <c r="DL16" i="8"/>
  <c r="CZ14" i="7" s="1"/>
  <c r="DM16" i="8"/>
  <c r="DA14" i="7" s="1"/>
  <c r="DN16" i="8"/>
  <c r="DB14" i="7" s="1"/>
  <c r="DO16" i="8"/>
  <c r="DC14" i="7" s="1"/>
  <c r="DP16" i="8"/>
  <c r="DD14" i="7" s="1"/>
  <c r="DQ16" i="8"/>
  <c r="DE14" i="7" s="1"/>
  <c r="DR16" i="8"/>
  <c r="DF14" i="7" s="1"/>
  <c r="DS16" i="8"/>
  <c r="DG14" i="7" s="1"/>
  <c r="DL17" i="8"/>
  <c r="CZ15" i="7" s="1"/>
  <c r="DM17" i="8"/>
  <c r="DA15" i="7" s="1"/>
  <c r="DN17" i="8"/>
  <c r="DB15" i="7" s="1"/>
  <c r="DO17" i="8"/>
  <c r="DC15" i="7" s="1"/>
  <c r="DP17" i="8"/>
  <c r="DD15" i="7" s="1"/>
  <c r="DQ17" i="8"/>
  <c r="DE15" i="7" s="1"/>
  <c r="DR17" i="8"/>
  <c r="DF15" i="7" s="1"/>
  <c r="DS17" i="8"/>
  <c r="DG15" i="7" s="1"/>
  <c r="DL18" i="8"/>
  <c r="CZ16" i="7" s="1"/>
  <c r="DM18" i="8"/>
  <c r="DA16" i="7" s="1"/>
  <c r="DN18" i="8"/>
  <c r="DB16" i="7" s="1"/>
  <c r="DO18" i="8"/>
  <c r="DC16" i="7" s="1"/>
  <c r="DP18" i="8"/>
  <c r="DD16" i="7" s="1"/>
  <c r="DQ18" i="8"/>
  <c r="DE16" i="7" s="1"/>
  <c r="DR18" i="8"/>
  <c r="DF16" i="7" s="1"/>
  <c r="DS18" i="8"/>
  <c r="DG16" i="7" s="1"/>
  <c r="DL19" i="8"/>
  <c r="CZ17" i="7" s="1"/>
  <c r="DM19" i="8"/>
  <c r="DA17" i="7" s="1"/>
  <c r="DN19" i="8"/>
  <c r="DB17" i="7" s="1"/>
  <c r="DO19" i="8"/>
  <c r="DC17" i="7" s="1"/>
  <c r="DP19" i="8"/>
  <c r="DD17" i="7" s="1"/>
  <c r="DQ19" i="8"/>
  <c r="DE17" i="7" s="1"/>
  <c r="DR19" i="8"/>
  <c r="DF17" i="7" s="1"/>
  <c r="DS19" i="8"/>
  <c r="DG17" i="7" s="1"/>
  <c r="DL20" i="8"/>
  <c r="CZ18" i="7" s="1"/>
  <c r="DM20" i="8"/>
  <c r="DA18" i="7" s="1"/>
  <c r="DN20" i="8"/>
  <c r="DB18" i="7" s="1"/>
  <c r="DO20" i="8"/>
  <c r="DC18" i="7" s="1"/>
  <c r="DP20" i="8"/>
  <c r="DD18" i="7" s="1"/>
  <c r="DQ20" i="8"/>
  <c r="DE18" i="7" s="1"/>
  <c r="DR20" i="8"/>
  <c r="DF18" i="7" s="1"/>
  <c r="DS20" i="8"/>
  <c r="DG18" i="7" s="1"/>
  <c r="DL21" i="8"/>
  <c r="CZ19" i="7" s="1"/>
  <c r="DM21" i="8"/>
  <c r="DA19" i="7" s="1"/>
  <c r="DN21" i="8"/>
  <c r="DB19" i="7" s="1"/>
  <c r="DO21" i="8"/>
  <c r="DC19" i="7" s="1"/>
  <c r="DP21" i="8"/>
  <c r="DD19" i="7" s="1"/>
  <c r="DQ21" i="8"/>
  <c r="DE19" i="7" s="1"/>
  <c r="DR21" i="8"/>
  <c r="DF19" i="7" s="1"/>
  <c r="DS21" i="8"/>
  <c r="DG19" i="7" s="1"/>
  <c r="DL22" i="8"/>
  <c r="CZ20" i="7" s="1"/>
  <c r="DM22" i="8"/>
  <c r="DA20" i="7" s="1"/>
  <c r="DN22" i="8"/>
  <c r="DB20" i="7" s="1"/>
  <c r="DO22" i="8"/>
  <c r="DC20" i="7" s="1"/>
  <c r="DP22" i="8"/>
  <c r="DD20" i="7" s="1"/>
  <c r="DQ22" i="8"/>
  <c r="DE20" i="7" s="1"/>
  <c r="DR22" i="8"/>
  <c r="DF20" i="7" s="1"/>
  <c r="DS22" i="8"/>
  <c r="DG20" i="7" s="1"/>
  <c r="DL23" i="8"/>
  <c r="CZ21" i="7" s="1"/>
  <c r="DM23" i="8"/>
  <c r="DA21" i="7" s="1"/>
  <c r="DN23" i="8"/>
  <c r="DB21" i="7" s="1"/>
  <c r="DO23" i="8"/>
  <c r="DC21" i="7" s="1"/>
  <c r="DP23" i="8"/>
  <c r="DD21" i="7" s="1"/>
  <c r="DQ23" i="8"/>
  <c r="DE21" i="7" s="1"/>
  <c r="DR23" i="8"/>
  <c r="DF21" i="7" s="1"/>
  <c r="DS23" i="8"/>
  <c r="DG21" i="7" s="1"/>
  <c r="DL24" i="8"/>
  <c r="CZ22" i="7" s="1"/>
  <c r="DM24" i="8"/>
  <c r="DA22" i="7" s="1"/>
  <c r="DN24" i="8"/>
  <c r="DB22" i="7" s="1"/>
  <c r="DO24" i="8"/>
  <c r="DC22" i="7" s="1"/>
  <c r="DP24" i="8"/>
  <c r="DD22" i="7" s="1"/>
  <c r="DQ24" i="8"/>
  <c r="DE22" i="7" s="1"/>
  <c r="DR24" i="8"/>
  <c r="DF22" i="7" s="1"/>
  <c r="DS24" i="8"/>
  <c r="DG22" i="7" s="1"/>
  <c r="DL25" i="8"/>
  <c r="CZ23" i="7" s="1"/>
  <c r="DM25" i="8"/>
  <c r="DA23" i="7" s="1"/>
  <c r="DN25" i="8"/>
  <c r="DB23" i="7" s="1"/>
  <c r="DO25" i="8"/>
  <c r="DC23" i="7" s="1"/>
  <c r="DP25" i="8"/>
  <c r="DD23" i="7" s="1"/>
  <c r="DQ25" i="8"/>
  <c r="DE23" i="7" s="1"/>
  <c r="DR25" i="8"/>
  <c r="DF23" i="7" s="1"/>
  <c r="DS25" i="8"/>
  <c r="DG23" i="7" s="1"/>
  <c r="DL26" i="8"/>
  <c r="CZ24" i="7" s="1"/>
  <c r="DM26" i="8"/>
  <c r="DA24" i="7" s="1"/>
  <c r="DN26" i="8"/>
  <c r="DB24" i="7" s="1"/>
  <c r="DO26" i="8"/>
  <c r="DC24" i="7" s="1"/>
  <c r="DP26" i="8"/>
  <c r="DD24" i="7" s="1"/>
  <c r="DQ26" i="8"/>
  <c r="DE24" i="7" s="1"/>
  <c r="DR26" i="8"/>
  <c r="DF24" i="7" s="1"/>
  <c r="DS26" i="8"/>
  <c r="DG24" i="7" s="1"/>
  <c r="DL27" i="8"/>
  <c r="CZ25" i="7" s="1"/>
  <c r="DM27" i="8"/>
  <c r="DA25" i="7" s="1"/>
  <c r="DN27" i="8"/>
  <c r="DB25" i="7" s="1"/>
  <c r="DO27" i="8"/>
  <c r="DC25" i="7" s="1"/>
  <c r="DP27" i="8"/>
  <c r="DD25" i="7" s="1"/>
  <c r="DQ27" i="8"/>
  <c r="DE25" i="7" s="1"/>
  <c r="DR27" i="8"/>
  <c r="DF25" i="7" s="1"/>
  <c r="DS27" i="8"/>
  <c r="DG25" i="7" s="1"/>
  <c r="DL28" i="8"/>
  <c r="CZ26" i="7" s="1"/>
  <c r="DM28" i="8"/>
  <c r="DA26" i="7" s="1"/>
  <c r="DN28" i="8"/>
  <c r="DB26" i="7" s="1"/>
  <c r="DO28" i="8"/>
  <c r="DC26" i="7" s="1"/>
  <c r="DP28" i="8"/>
  <c r="DD26" i="7" s="1"/>
  <c r="DQ28" i="8"/>
  <c r="DE26" i="7" s="1"/>
  <c r="DR28" i="8"/>
  <c r="DF26" i="7" s="1"/>
  <c r="DS28" i="8"/>
  <c r="DG26" i="7" s="1"/>
  <c r="DL29" i="8"/>
  <c r="CZ27" i="7" s="1"/>
  <c r="DM29" i="8"/>
  <c r="DA27" i="7" s="1"/>
  <c r="DN29" i="8"/>
  <c r="DB27" i="7" s="1"/>
  <c r="DO29" i="8"/>
  <c r="DC27" i="7" s="1"/>
  <c r="DP29" i="8"/>
  <c r="DD27" i="7" s="1"/>
  <c r="DQ29" i="8"/>
  <c r="DE27" i="7" s="1"/>
  <c r="DR29" i="8"/>
  <c r="DF27" i="7" s="1"/>
  <c r="DS29" i="8"/>
  <c r="DG27" i="7" s="1"/>
  <c r="DL30" i="8"/>
  <c r="CZ28" i="7" s="1"/>
  <c r="DM30" i="8"/>
  <c r="DA28" i="7" s="1"/>
  <c r="DN30" i="8"/>
  <c r="DB28" i="7" s="1"/>
  <c r="DO30" i="8"/>
  <c r="DC28" i="7" s="1"/>
  <c r="DP30" i="8"/>
  <c r="DD28" i="7" s="1"/>
  <c r="DQ30" i="8"/>
  <c r="DE28" i="7" s="1"/>
  <c r="DR30" i="8"/>
  <c r="DF28" i="7" s="1"/>
  <c r="DS30" i="8"/>
  <c r="DG28" i="7" s="1"/>
  <c r="DL31" i="8"/>
  <c r="CZ29" i="7" s="1"/>
  <c r="DM31" i="8"/>
  <c r="DA29" i="7" s="1"/>
  <c r="DN31" i="8"/>
  <c r="DB29" i="7" s="1"/>
  <c r="DO31" i="8"/>
  <c r="DC29" i="7" s="1"/>
  <c r="DP31" i="8"/>
  <c r="DD29" i="7" s="1"/>
  <c r="DQ31" i="8"/>
  <c r="DE29" i="7" s="1"/>
  <c r="DR31" i="8"/>
  <c r="DF29" i="7" s="1"/>
  <c r="DS31" i="8"/>
  <c r="DG29" i="7" s="1"/>
  <c r="DL32" i="8"/>
  <c r="CZ30" i="7" s="1"/>
  <c r="DM32" i="8"/>
  <c r="DA30" i="7" s="1"/>
  <c r="DN32" i="8"/>
  <c r="DB30" i="7" s="1"/>
  <c r="DO32" i="8"/>
  <c r="DC30" i="7" s="1"/>
  <c r="DP32" i="8"/>
  <c r="DD30" i="7" s="1"/>
  <c r="DQ32" i="8"/>
  <c r="DE30" i="7" s="1"/>
  <c r="DR32" i="8"/>
  <c r="DF30" i="7" s="1"/>
  <c r="DS32" i="8"/>
  <c r="DG30" i="7" s="1"/>
  <c r="DL33" i="8"/>
  <c r="CZ31" i="7" s="1"/>
  <c r="DM33" i="8"/>
  <c r="DA31" i="7" s="1"/>
  <c r="DN33" i="8"/>
  <c r="DB31" i="7" s="1"/>
  <c r="DO33" i="8"/>
  <c r="DC31" i="7" s="1"/>
  <c r="DP33" i="8"/>
  <c r="DD31" i="7" s="1"/>
  <c r="DQ33" i="8"/>
  <c r="DE31" i="7" s="1"/>
  <c r="DR33" i="8"/>
  <c r="DF31" i="7" s="1"/>
  <c r="DS33" i="8"/>
  <c r="DG31" i="7" s="1"/>
  <c r="DL34" i="8"/>
  <c r="CZ32" i="7" s="1"/>
  <c r="DM34" i="8"/>
  <c r="DA32" i="7" s="1"/>
  <c r="DN34" i="8"/>
  <c r="DB32" i="7" s="1"/>
  <c r="DO34" i="8"/>
  <c r="DC32" i="7" s="1"/>
  <c r="DP34" i="8"/>
  <c r="DD32" i="7" s="1"/>
  <c r="DQ34" i="8"/>
  <c r="DE32" i="7" s="1"/>
  <c r="DR34" i="8"/>
  <c r="DF32" i="7" s="1"/>
  <c r="DS34" i="8"/>
  <c r="DG32" i="7" s="1"/>
  <c r="DL35" i="8"/>
  <c r="CZ33" i="7" s="1"/>
  <c r="DM35" i="8"/>
  <c r="DA33" i="7" s="1"/>
  <c r="DN35" i="8"/>
  <c r="DB33" i="7" s="1"/>
  <c r="DO35" i="8"/>
  <c r="DC33" i="7" s="1"/>
  <c r="DP35" i="8"/>
  <c r="DD33" i="7" s="1"/>
  <c r="DQ35" i="8"/>
  <c r="DE33" i="7" s="1"/>
  <c r="DR35" i="8"/>
  <c r="DF33" i="7" s="1"/>
  <c r="DS35" i="8"/>
  <c r="DG33" i="7" s="1"/>
  <c r="DL6" i="8"/>
  <c r="CZ4" i="7" s="1"/>
  <c r="DS6" i="8"/>
  <c r="DG4" i="7" s="1"/>
  <c r="DR6" i="8"/>
  <c r="DF4" i="7" s="1"/>
  <c r="DQ6" i="8"/>
  <c r="DE4" i="7" s="1"/>
  <c r="DP6" i="8"/>
  <c r="DD4" i="7" s="1"/>
  <c r="DO6" i="8"/>
  <c r="DC4" i="7" s="1"/>
  <c r="DN6" i="8"/>
  <c r="DB4" i="7" s="1"/>
  <c r="DM6" i="8"/>
  <c r="DA4" i="7" s="1"/>
  <c r="AA6" i="8"/>
  <c r="GS71" i="7"/>
  <c r="GS89" i="7" s="1"/>
  <c r="GS90" i="7" s="1"/>
  <c r="GR71" i="7"/>
  <c r="GR89" i="7" s="1"/>
  <c r="GR90" i="7" s="1"/>
  <c r="GQ71" i="7"/>
  <c r="GQ89" i="7" s="1"/>
  <c r="GQ90" i="7" s="1"/>
  <c r="GP71" i="7"/>
  <c r="GP89" i="7" s="1"/>
  <c r="GP90" i="7" s="1"/>
  <c r="GO71" i="7"/>
  <c r="GO89" i="7" s="1"/>
  <c r="GO90" i="7" s="1"/>
  <c r="GN71" i="7"/>
  <c r="GN89" i="7" s="1"/>
  <c r="GN90" i="7" s="1"/>
  <c r="GM71" i="7"/>
  <c r="GM89" i="7" s="1"/>
  <c r="GM90" i="7" s="1"/>
  <c r="GL71" i="7"/>
  <c r="GL89" i="7" s="1"/>
  <c r="GV81" i="8"/>
  <c r="GS64" i="7"/>
  <c r="GR64" i="7"/>
  <c r="GQ64" i="7"/>
  <c r="GP64" i="7"/>
  <c r="GO64" i="7"/>
  <c r="GN64" i="7"/>
  <c r="GM64" i="7"/>
  <c r="GL64" i="7"/>
  <c r="GS63" i="7"/>
  <c r="GR63" i="7"/>
  <c r="GQ63" i="7"/>
  <c r="GP63" i="7"/>
  <c r="GO63" i="7"/>
  <c r="GN63" i="7"/>
  <c r="GM63" i="7"/>
  <c r="GL63" i="7"/>
  <c r="GS62" i="7"/>
  <c r="GR62" i="7"/>
  <c r="GQ62" i="7"/>
  <c r="GP62" i="7"/>
  <c r="GO62" i="7"/>
  <c r="GN62" i="7"/>
  <c r="GM62" i="7"/>
  <c r="GL62" i="7"/>
  <c r="GS61" i="7"/>
  <c r="GR61" i="7"/>
  <c r="GQ61" i="7"/>
  <c r="GP61" i="7"/>
  <c r="GO61" i="7"/>
  <c r="GN61" i="7"/>
  <c r="GM61" i="7"/>
  <c r="GL61" i="7"/>
  <c r="GS60" i="7"/>
  <c r="GR60" i="7"/>
  <c r="GQ60" i="7"/>
  <c r="GP60" i="7"/>
  <c r="GO60" i="7"/>
  <c r="GN60" i="7"/>
  <c r="GM60" i="7"/>
  <c r="GL60" i="7"/>
  <c r="GS59" i="7"/>
  <c r="GR59" i="7"/>
  <c r="GQ59" i="7"/>
  <c r="GP59" i="7"/>
  <c r="GO59" i="7"/>
  <c r="GN59" i="7"/>
  <c r="GM59" i="7"/>
  <c r="GL59" i="7"/>
  <c r="GS58" i="7"/>
  <c r="GR58" i="7"/>
  <c r="GQ58" i="7"/>
  <c r="GP58" i="7"/>
  <c r="GO58" i="7"/>
  <c r="GN58" i="7"/>
  <c r="GM58" i="7"/>
  <c r="GL58" i="7"/>
  <c r="GS57" i="7"/>
  <c r="GR57" i="7"/>
  <c r="GQ57" i="7"/>
  <c r="GP57" i="7"/>
  <c r="GO57" i="7"/>
  <c r="GN57" i="7"/>
  <c r="GM57" i="7"/>
  <c r="GL57" i="7"/>
  <c r="GS56" i="7"/>
  <c r="GR56" i="7"/>
  <c r="GQ56" i="7"/>
  <c r="GP56" i="7"/>
  <c r="GO56" i="7"/>
  <c r="GN56" i="7"/>
  <c r="GM56" i="7"/>
  <c r="GL56" i="7"/>
  <c r="GS55" i="7"/>
  <c r="GR55" i="7"/>
  <c r="GQ55" i="7"/>
  <c r="GP55" i="7"/>
  <c r="GO55" i="7"/>
  <c r="GN55" i="7"/>
  <c r="GM55" i="7"/>
  <c r="GL55" i="7"/>
  <c r="GS54" i="7"/>
  <c r="GR54" i="7"/>
  <c r="GQ54" i="7"/>
  <c r="GP54" i="7"/>
  <c r="GO54" i="7"/>
  <c r="GN54" i="7"/>
  <c r="GM54" i="7"/>
  <c r="GL54" i="7"/>
  <c r="GS53" i="7"/>
  <c r="GR53" i="7"/>
  <c r="GQ53" i="7"/>
  <c r="GP53" i="7"/>
  <c r="GO53" i="7"/>
  <c r="GN53" i="7"/>
  <c r="GM53" i="7"/>
  <c r="GL53" i="7"/>
  <c r="GS52" i="7"/>
  <c r="GR52" i="7"/>
  <c r="GQ52" i="7"/>
  <c r="GP52" i="7"/>
  <c r="GO52" i="7"/>
  <c r="GN52" i="7"/>
  <c r="GM52" i="7"/>
  <c r="GL52" i="7"/>
  <c r="GS51" i="7"/>
  <c r="GR51" i="7"/>
  <c r="GQ51" i="7"/>
  <c r="GP51" i="7"/>
  <c r="GO51" i="7"/>
  <c r="GN51" i="7"/>
  <c r="GM51" i="7"/>
  <c r="GL51" i="7"/>
  <c r="GS50" i="7"/>
  <c r="GR50" i="7"/>
  <c r="GQ50" i="7"/>
  <c r="GP50" i="7"/>
  <c r="GO50" i="7"/>
  <c r="GN50" i="7"/>
  <c r="GM50" i="7"/>
  <c r="GL50" i="7"/>
  <c r="GS49" i="7"/>
  <c r="GR49" i="7"/>
  <c r="GQ49" i="7"/>
  <c r="GP49" i="7"/>
  <c r="GO49" i="7"/>
  <c r="GN49" i="7"/>
  <c r="GM49" i="7"/>
  <c r="GL49" i="7"/>
  <c r="GS48" i="7"/>
  <c r="GR48" i="7"/>
  <c r="GQ48" i="7"/>
  <c r="GP48" i="7"/>
  <c r="GO48" i="7"/>
  <c r="GN48" i="7"/>
  <c r="GM48" i="7"/>
  <c r="GL48" i="7"/>
  <c r="GS47" i="7"/>
  <c r="GR47" i="7"/>
  <c r="GQ47" i="7"/>
  <c r="GP47" i="7"/>
  <c r="GO47" i="7"/>
  <c r="GN47" i="7"/>
  <c r="GM47" i="7"/>
  <c r="GL47" i="7"/>
  <c r="GS46" i="7"/>
  <c r="GR46" i="7"/>
  <c r="GQ46" i="7"/>
  <c r="GP46" i="7"/>
  <c r="GO46" i="7"/>
  <c r="GN46" i="7"/>
  <c r="GM46" i="7"/>
  <c r="GL46" i="7"/>
  <c r="GS45" i="7"/>
  <c r="GR45" i="7"/>
  <c r="GQ45" i="7"/>
  <c r="GP45" i="7"/>
  <c r="GO45" i="7"/>
  <c r="GN45" i="7"/>
  <c r="GM45" i="7"/>
  <c r="GL45" i="7"/>
  <c r="GS44" i="7"/>
  <c r="GR44" i="7"/>
  <c r="GQ44" i="7"/>
  <c r="GP44" i="7"/>
  <c r="GO44" i="7"/>
  <c r="GN44" i="7"/>
  <c r="GM44" i="7"/>
  <c r="GL44" i="7"/>
  <c r="GS43" i="7"/>
  <c r="GR43" i="7"/>
  <c r="GQ43" i="7"/>
  <c r="GP43" i="7"/>
  <c r="GO43" i="7"/>
  <c r="GN43" i="7"/>
  <c r="GM43" i="7"/>
  <c r="GL43" i="7"/>
  <c r="GS42" i="7"/>
  <c r="GR42" i="7"/>
  <c r="GQ42" i="7"/>
  <c r="GP42" i="7"/>
  <c r="GO42" i="7"/>
  <c r="GN42" i="7"/>
  <c r="GM42" i="7"/>
  <c r="GL42" i="7"/>
  <c r="GS41" i="7"/>
  <c r="GR41" i="7"/>
  <c r="GQ41" i="7"/>
  <c r="GP41" i="7"/>
  <c r="GO41" i="7"/>
  <c r="GN41" i="7"/>
  <c r="GM41" i="7"/>
  <c r="GL41" i="7"/>
  <c r="GS40" i="7"/>
  <c r="GR40" i="7"/>
  <c r="GQ40" i="7"/>
  <c r="GP40" i="7"/>
  <c r="GO40" i="7"/>
  <c r="GN40" i="7"/>
  <c r="GM40" i="7"/>
  <c r="GL40" i="7"/>
  <c r="GS39" i="7"/>
  <c r="GR39" i="7"/>
  <c r="GQ39" i="7"/>
  <c r="GP39" i="7"/>
  <c r="GO39" i="7"/>
  <c r="GN39" i="7"/>
  <c r="GM39" i="7"/>
  <c r="GL39" i="7"/>
  <c r="GS38" i="7"/>
  <c r="GR38" i="7"/>
  <c r="GQ38" i="7"/>
  <c r="GP38" i="7"/>
  <c r="GO38" i="7"/>
  <c r="GN38" i="7"/>
  <c r="GM38" i="7"/>
  <c r="GL38" i="7"/>
  <c r="GS37" i="7"/>
  <c r="GR37" i="7"/>
  <c r="GQ37" i="7"/>
  <c r="GP37" i="7"/>
  <c r="GO37" i="7"/>
  <c r="GN37" i="7"/>
  <c r="GM37" i="7"/>
  <c r="GL37" i="7"/>
  <c r="GS36" i="7"/>
  <c r="GR36" i="7"/>
  <c r="GQ36" i="7"/>
  <c r="GP36" i="7"/>
  <c r="GO36" i="7"/>
  <c r="GN36" i="7"/>
  <c r="GM36" i="7"/>
  <c r="GL36" i="7"/>
  <c r="GS35" i="7"/>
  <c r="GR35" i="7"/>
  <c r="GQ35" i="7"/>
  <c r="GP35" i="7"/>
  <c r="GO35" i="7"/>
  <c r="GN35" i="7"/>
  <c r="GM35" i="7"/>
  <c r="GL35" i="7"/>
  <c r="GS20" i="7"/>
  <c r="GS83" i="7" s="1"/>
  <c r="GS84" i="7" s="1"/>
  <c r="GR20" i="7"/>
  <c r="GR83" i="7" s="1"/>
  <c r="GR84" i="7" s="1"/>
  <c r="GQ20" i="7"/>
  <c r="GQ83" i="7" s="1"/>
  <c r="GQ84" i="7" s="1"/>
  <c r="GP20" i="7"/>
  <c r="GP83" i="7" s="1"/>
  <c r="GP84" i="7" s="1"/>
  <c r="GO20" i="7"/>
  <c r="GO83" i="7" s="1"/>
  <c r="GO84" i="7" s="1"/>
  <c r="GN20" i="7"/>
  <c r="GN83" i="7" s="1"/>
  <c r="GN84" i="7" s="1"/>
  <c r="GM20" i="7"/>
  <c r="GM83" i="7" s="1"/>
  <c r="GM84" i="7" s="1"/>
  <c r="GI71" i="7"/>
  <c r="GI89" i="7" s="1"/>
  <c r="GI90" i="7" s="1"/>
  <c r="GH71" i="7"/>
  <c r="GH89" i="7" s="1"/>
  <c r="GH90" i="7" s="1"/>
  <c r="GG71" i="7"/>
  <c r="GG89" i="7" s="1"/>
  <c r="GG90" i="7" s="1"/>
  <c r="GF71" i="7"/>
  <c r="GF89" i="7" s="1"/>
  <c r="GF90" i="7" s="1"/>
  <c r="GE71" i="7"/>
  <c r="GE89" i="7" s="1"/>
  <c r="GE90" i="7" s="1"/>
  <c r="GD71" i="7"/>
  <c r="GD89" i="7" s="1"/>
  <c r="GD90" i="7" s="1"/>
  <c r="GC71" i="7"/>
  <c r="GC89" i="7" s="1"/>
  <c r="GC90" i="7" s="1"/>
  <c r="GB71" i="7"/>
  <c r="GB89" i="7" s="1"/>
  <c r="GI64" i="7"/>
  <c r="GH64" i="7"/>
  <c r="GG64" i="7"/>
  <c r="GF64" i="7"/>
  <c r="GE64" i="7"/>
  <c r="GD64" i="7"/>
  <c r="GC64" i="7"/>
  <c r="GB64" i="7"/>
  <c r="GI63" i="7"/>
  <c r="GH63" i="7"/>
  <c r="GG63" i="7"/>
  <c r="GF63" i="7"/>
  <c r="GE63" i="7"/>
  <c r="GD63" i="7"/>
  <c r="GC63" i="7"/>
  <c r="GB63" i="7"/>
  <c r="GI62" i="7"/>
  <c r="GH62" i="7"/>
  <c r="GG62" i="7"/>
  <c r="GF62" i="7"/>
  <c r="GE62" i="7"/>
  <c r="GD62" i="7"/>
  <c r="GC62" i="7"/>
  <c r="GB62" i="7"/>
  <c r="GI61" i="7"/>
  <c r="GH61" i="7"/>
  <c r="GG61" i="7"/>
  <c r="GF61" i="7"/>
  <c r="GE61" i="7"/>
  <c r="GD61" i="7"/>
  <c r="GC61" i="7"/>
  <c r="GB61" i="7"/>
  <c r="GI60" i="7"/>
  <c r="GH60" i="7"/>
  <c r="GG60" i="7"/>
  <c r="GF60" i="7"/>
  <c r="GE60" i="7"/>
  <c r="GD60" i="7"/>
  <c r="GC60" i="7"/>
  <c r="GB60" i="7"/>
  <c r="GI59" i="7"/>
  <c r="GH59" i="7"/>
  <c r="GG59" i="7"/>
  <c r="GF59" i="7"/>
  <c r="GE59" i="7"/>
  <c r="GD59" i="7"/>
  <c r="GC59" i="7"/>
  <c r="GB59" i="7"/>
  <c r="GI58" i="7"/>
  <c r="GH58" i="7"/>
  <c r="GG58" i="7"/>
  <c r="GF58" i="7"/>
  <c r="GE58" i="7"/>
  <c r="GD58" i="7"/>
  <c r="GC58" i="7"/>
  <c r="GB58" i="7"/>
  <c r="GI57" i="7"/>
  <c r="GH57" i="7"/>
  <c r="GG57" i="7"/>
  <c r="GF57" i="7"/>
  <c r="GE57" i="7"/>
  <c r="GD57" i="7"/>
  <c r="GC57" i="7"/>
  <c r="GB57" i="7"/>
  <c r="GI56" i="7"/>
  <c r="GH56" i="7"/>
  <c r="GG56" i="7"/>
  <c r="GF56" i="7"/>
  <c r="GE56" i="7"/>
  <c r="GD56" i="7"/>
  <c r="GC56" i="7"/>
  <c r="GB56" i="7"/>
  <c r="GI55" i="7"/>
  <c r="GH55" i="7"/>
  <c r="GG55" i="7"/>
  <c r="GF55" i="7"/>
  <c r="GE55" i="7"/>
  <c r="GD55" i="7"/>
  <c r="GC55" i="7"/>
  <c r="GB55" i="7"/>
  <c r="GI54" i="7"/>
  <c r="GH54" i="7"/>
  <c r="GG54" i="7"/>
  <c r="GF54" i="7"/>
  <c r="GE54" i="7"/>
  <c r="GD54" i="7"/>
  <c r="GC54" i="7"/>
  <c r="GB54" i="7"/>
  <c r="GI53" i="7"/>
  <c r="GH53" i="7"/>
  <c r="GG53" i="7"/>
  <c r="GF53" i="7"/>
  <c r="GE53" i="7"/>
  <c r="GD53" i="7"/>
  <c r="GC53" i="7"/>
  <c r="GB53" i="7"/>
  <c r="GI52" i="7"/>
  <c r="GH52" i="7"/>
  <c r="GG52" i="7"/>
  <c r="GF52" i="7"/>
  <c r="GE52" i="7"/>
  <c r="GD52" i="7"/>
  <c r="GC52" i="7"/>
  <c r="GB52" i="7"/>
  <c r="GI51" i="7"/>
  <c r="GH51" i="7"/>
  <c r="GG51" i="7"/>
  <c r="GF51" i="7"/>
  <c r="GE51" i="7"/>
  <c r="GD51" i="7"/>
  <c r="GC51" i="7"/>
  <c r="GB51" i="7"/>
  <c r="GI50" i="7"/>
  <c r="GH50" i="7"/>
  <c r="GG50" i="7"/>
  <c r="GF50" i="7"/>
  <c r="GE50" i="7"/>
  <c r="GD50" i="7"/>
  <c r="GC50" i="7"/>
  <c r="GB50" i="7"/>
  <c r="GI49" i="7"/>
  <c r="GH49" i="7"/>
  <c r="GG49" i="7"/>
  <c r="GF49" i="7"/>
  <c r="GE49" i="7"/>
  <c r="GD49" i="7"/>
  <c r="GC49" i="7"/>
  <c r="GB49" i="7"/>
  <c r="GI48" i="7"/>
  <c r="GH48" i="7"/>
  <c r="GG48" i="7"/>
  <c r="GF48" i="7"/>
  <c r="GE48" i="7"/>
  <c r="GD48" i="7"/>
  <c r="GC48" i="7"/>
  <c r="GB48" i="7"/>
  <c r="GI47" i="7"/>
  <c r="GH47" i="7"/>
  <c r="GG47" i="7"/>
  <c r="GF47" i="7"/>
  <c r="GE47" i="7"/>
  <c r="GD47" i="7"/>
  <c r="GC47" i="7"/>
  <c r="GB47" i="7"/>
  <c r="GI46" i="7"/>
  <c r="GH46" i="7"/>
  <c r="GG46" i="7"/>
  <c r="GF46" i="7"/>
  <c r="GE46" i="7"/>
  <c r="GD46" i="7"/>
  <c r="GC46" i="7"/>
  <c r="GB46" i="7"/>
  <c r="GI45" i="7"/>
  <c r="GH45" i="7"/>
  <c r="GG45" i="7"/>
  <c r="GF45" i="7"/>
  <c r="GE45" i="7"/>
  <c r="GD45" i="7"/>
  <c r="GC45" i="7"/>
  <c r="GB45" i="7"/>
  <c r="GI44" i="7"/>
  <c r="GH44" i="7"/>
  <c r="GG44" i="7"/>
  <c r="GF44" i="7"/>
  <c r="GE44" i="7"/>
  <c r="GD44" i="7"/>
  <c r="GC44" i="7"/>
  <c r="GB44" i="7"/>
  <c r="GI43" i="7"/>
  <c r="GH43" i="7"/>
  <c r="GG43" i="7"/>
  <c r="GF43" i="7"/>
  <c r="GE43" i="7"/>
  <c r="GD43" i="7"/>
  <c r="GC43" i="7"/>
  <c r="GB43" i="7"/>
  <c r="GI42" i="7"/>
  <c r="GH42" i="7"/>
  <c r="GG42" i="7"/>
  <c r="GF42" i="7"/>
  <c r="GE42" i="7"/>
  <c r="GD42" i="7"/>
  <c r="GC42" i="7"/>
  <c r="GB42" i="7"/>
  <c r="GI41" i="7"/>
  <c r="GH41" i="7"/>
  <c r="GG41" i="7"/>
  <c r="GF41" i="7"/>
  <c r="GE41" i="7"/>
  <c r="GD41" i="7"/>
  <c r="GC41" i="7"/>
  <c r="GB41" i="7"/>
  <c r="GI40" i="7"/>
  <c r="GH40" i="7"/>
  <c r="GG40" i="7"/>
  <c r="GF40" i="7"/>
  <c r="GE40" i="7"/>
  <c r="GD40" i="7"/>
  <c r="GC40" i="7"/>
  <c r="GB40" i="7"/>
  <c r="GI39" i="7"/>
  <c r="GH39" i="7"/>
  <c r="GG39" i="7"/>
  <c r="GF39" i="7"/>
  <c r="GE39" i="7"/>
  <c r="GD39" i="7"/>
  <c r="GC39" i="7"/>
  <c r="GB39" i="7"/>
  <c r="GI38" i="7"/>
  <c r="GH38" i="7"/>
  <c r="GG38" i="7"/>
  <c r="GF38" i="7"/>
  <c r="GE38" i="7"/>
  <c r="GD38" i="7"/>
  <c r="GC38" i="7"/>
  <c r="GB38" i="7"/>
  <c r="GI37" i="7"/>
  <c r="GH37" i="7"/>
  <c r="GG37" i="7"/>
  <c r="GF37" i="7"/>
  <c r="GE37" i="7"/>
  <c r="GD37" i="7"/>
  <c r="GC37" i="7"/>
  <c r="GB37" i="7"/>
  <c r="GI36" i="7"/>
  <c r="GH36" i="7"/>
  <c r="GG36" i="7"/>
  <c r="GF36" i="7"/>
  <c r="GE36" i="7"/>
  <c r="GD36" i="7"/>
  <c r="GC36" i="7"/>
  <c r="GB36" i="7"/>
  <c r="GI35" i="7"/>
  <c r="GH35" i="7"/>
  <c r="GG35" i="7"/>
  <c r="GF35" i="7"/>
  <c r="GE35" i="7"/>
  <c r="GD35" i="7"/>
  <c r="GC35" i="7"/>
  <c r="GB35" i="7"/>
  <c r="GI20" i="7"/>
  <c r="GI83" i="7" s="1"/>
  <c r="GI84" i="7" s="1"/>
  <c r="GH20" i="7"/>
  <c r="GH83" i="7" s="1"/>
  <c r="GH84" i="7" s="1"/>
  <c r="GG20" i="7"/>
  <c r="GG83" i="7" s="1"/>
  <c r="GG84" i="7" s="1"/>
  <c r="GF20" i="7"/>
  <c r="GF83" i="7" s="1"/>
  <c r="GF84" i="7" s="1"/>
  <c r="GE20" i="7"/>
  <c r="GE83" i="7" s="1"/>
  <c r="GE84" i="7" s="1"/>
  <c r="GD20" i="7"/>
  <c r="GD83" i="7" s="1"/>
  <c r="GD84" i="7" s="1"/>
  <c r="GC20" i="7"/>
  <c r="GC83" i="7" s="1"/>
  <c r="GC84" i="7" s="1"/>
  <c r="FY71" i="7"/>
  <c r="FY89" i="7" s="1"/>
  <c r="FY90" i="7" s="1"/>
  <c r="FX71" i="7"/>
  <c r="FX89" i="7" s="1"/>
  <c r="FX90" i="7" s="1"/>
  <c r="FW71" i="7"/>
  <c r="FW89" i="7" s="1"/>
  <c r="FW90" i="7" s="1"/>
  <c r="FV71" i="7"/>
  <c r="FV89" i="7" s="1"/>
  <c r="FV90" i="7" s="1"/>
  <c r="FU71" i="7"/>
  <c r="FU89" i="7" s="1"/>
  <c r="FU90" i="7" s="1"/>
  <c r="FT71" i="7"/>
  <c r="FT89" i="7" s="1"/>
  <c r="FT90" i="7" s="1"/>
  <c r="FS71" i="7"/>
  <c r="FS89" i="7" s="1"/>
  <c r="FS90" i="7" s="1"/>
  <c r="FR71" i="7"/>
  <c r="FR89" i="7" s="1"/>
  <c r="FW81" i="8"/>
  <c r="GD81" i="8"/>
  <c r="GC81" i="8"/>
  <c r="FY64" i="7"/>
  <c r="FX64" i="7"/>
  <c r="FW64" i="7"/>
  <c r="FV64" i="7"/>
  <c r="FU64" i="7"/>
  <c r="FT64" i="7"/>
  <c r="FS64" i="7"/>
  <c r="FR64" i="7"/>
  <c r="FY63" i="7"/>
  <c r="FX63" i="7"/>
  <c r="FW63" i="7"/>
  <c r="FV63" i="7"/>
  <c r="FU63" i="7"/>
  <c r="FT63" i="7"/>
  <c r="FS63" i="7"/>
  <c r="FR63" i="7"/>
  <c r="FY62" i="7"/>
  <c r="FX62" i="7"/>
  <c r="FW62" i="7"/>
  <c r="FV62" i="7"/>
  <c r="FU62" i="7"/>
  <c r="FT62" i="7"/>
  <c r="FS62" i="7"/>
  <c r="FR62" i="7"/>
  <c r="FY61" i="7"/>
  <c r="FX61" i="7"/>
  <c r="FW61" i="7"/>
  <c r="FV61" i="7"/>
  <c r="FU61" i="7"/>
  <c r="FT61" i="7"/>
  <c r="FS61" i="7"/>
  <c r="FR61" i="7"/>
  <c r="FY60" i="7"/>
  <c r="FX60" i="7"/>
  <c r="FW60" i="7"/>
  <c r="FV60" i="7"/>
  <c r="FU60" i="7"/>
  <c r="FT60" i="7"/>
  <c r="FS60" i="7"/>
  <c r="FR60" i="7"/>
  <c r="FY59" i="7"/>
  <c r="FX59" i="7"/>
  <c r="FW59" i="7"/>
  <c r="FV59" i="7"/>
  <c r="FU59" i="7"/>
  <c r="FT59" i="7"/>
  <c r="FS59" i="7"/>
  <c r="FR59" i="7"/>
  <c r="FY58" i="7"/>
  <c r="FX58" i="7"/>
  <c r="FW58" i="7"/>
  <c r="FV58" i="7"/>
  <c r="FU58" i="7"/>
  <c r="FT58" i="7"/>
  <c r="FS58" i="7"/>
  <c r="FR58" i="7"/>
  <c r="FY57" i="7"/>
  <c r="FX57" i="7"/>
  <c r="FW57" i="7"/>
  <c r="FV57" i="7"/>
  <c r="FU57" i="7"/>
  <c r="FT57" i="7"/>
  <c r="FS57" i="7"/>
  <c r="FR57" i="7"/>
  <c r="FY56" i="7"/>
  <c r="FX56" i="7"/>
  <c r="FW56" i="7"/>
  <c r="FV56" i="7"/>
  <c r="FU56" i="7"/>
  <c r="FT56" i="7"/>
  <c r="FS56" i="7"/>
  <c r="FR56" i="7"/>
  <c r="FY55" i="7"/>
  <c r="FX55" i="7"/>
  <c r="FW55" i="7"/>
  <c r="FV55" i="7"/>
  <c r="FU55" i="7"/>
  <c r="FT55" i="7"/>
  <c r="FS55" i="7"/>
  <c r="FR55" i="7"/>
  <c r="FY54" i="7"/>
  <c r="FX54" i="7"/>
  <c r="FW54" i="7"/>
  <c r="FV54" i="7"/>
  <c r="FU54" i="7"/>
  <c r="FT54" i="7"/>
  <c r="FS54" i="7"/>
  <c r="FR54" i="7"/>
  <c r="FY53" i="7"/>
  <c r="FX53" i="7"/>
  <c r="FW53" i="7"/>
  <c r="FV53" i="7"/>
  <c r="FU53" i="7"/>
  <c r="FT53" i="7"/>
  <c r="FS53" i="7"/>
  <c r="FR53" i="7"/>
  <c r="FY52" i="7"/>
  <c r="FX52" i="7"/>
  <c r="FW52" i="7"/>
  <c r="FV52" i="7"/>
  <c r="FU52" i="7"/>
  <c r="FT52" i="7"/>
  <c r="FS52" i="7"/>
  <c r="FR52" i="7"/>
  <c r="FY51" i="7"/>
  <c r="FX51" i="7"/>
  <c r="FW51" i="7"/>
  <c r="FV51" i="7"/>
  <c r="FU51" i="7"/>
  <c r="FT51" i="7"/>
  <c r="FS51" i="7"/>
  <c r="FR51" i="7"/>
  <c r="FY50" i="7"/>
  <c r="FX50" i="7"/>
  <c r="FW50" i="7"/>
  <c r="FV50" i="7"/>
  <c r="FU50" i="7"/>
  <c r="FT50" i="7"/>
  <c r="FS50" i="7"/>
  <c r="FR50" i="7"/>
  <c r="FY49" i="7"/>
  <c r="FX49" i="7"/>
  <c r="FW49" i="7"/>
  <c r="FV49" i="7"/>
  <c r="FU49" i="7"/>
  <c r="FT49" i="7"/>
  <c r="FS49" i="7"/>
  <c r="FR49" i="7"/>
  <c r="FY48" i="7"/>
  <c r="FX48" i="7"/>
  <c r="FW48" i="7"/>
  <c r="FV48" i="7"/>
  <c r="FU48" i="7"/>
  <c r="FT48" i="7"/>
  <c r="FS48" i="7"/>
  <c r="FR48" i="7"/>
  <c r="FY47" i="7"/>
  <c r="FX47" i="7"/>
  <c r="FW47" i="7"/>
  <c r="FV47" i="7"/>
  <c r="FU47" i="7"/>
  <c r="FT47" i="7"/>
  <c r="FS47" i="7"/>
  <c r="FR47" i="7"/>
  <c r="FY46" i="7"/>
  <c r="FX46" i="7"/>
  <c r="FW46" i="7"/>
  <c r="FV46" i="7"/>
  <c r="FU46" i="7"/>
  <c r="FT46" i="7"/>
  <c r="FS46" i="7"/>
  <c r="FR46" i="7"/>
  <c r="FY45" i="7"/>
  <c r="FX45" i="7"/>
  <c r="FW45" i="7"/>
  <c r="FV45" i="7"/>
  <c r="FU45" i="7"/>
  <c r="FT45" i="7"/>
  <c r="FS45" i="7"/>
  <c r="FR45" i="7"/>
  <c r="FY44" i="7"/>
  <c r="FX44" i="7"/>
  <c r="FW44" i="7"/>
  <c r="FV44" i="7"/>
  <c r="FU44" i="7"/>
  <c r="FT44" i="7"/>
  <c r="FS44" i="7"/>
  <c r="FR44" i="7"/>
  <c r="FY43" i="7"/>
  <c r="FX43" i="7"/>
  <c r="FW43" i="7"/>
  <c r="FV43" i="7"/>
  <c r="FU43" i="7"/>
  <c r="FT43" i="7"/>
  <c r="FS43" i="7"/>
  <c r="FR43" i="7"/>
  <c r="FY42" i="7"/>
  <c r="FX42" i="7"/>
  <c r="FW42" i="7"/>
  <c r="FV42" i="7"/>
  <c r="FU42" i="7"/>
  <c r="FT42" i="7"/>
  <c r="FS42" i="7"/>
  <c r="FR42" i="7"/>
  <c r="FY41" i="7"/>
  <c r="FX41" i="7"/>
  <c r="FW41" i="7"/>
  <c r="FV41" i="7"/>
  <c r="FU41" i="7"/>
  <c r="FT41" i="7"/>
  <c r="FS41" i="7"/>
  <c r="FR41" i="7"/>
  <c r="FY40" i="7"/>
  <c r="FX40" i="7"/>
  <c r="FW40" i="7"/>
  <c r="FV40" i="7"/>
  <c r="FU40" i="7"/>
  <c r="FT40" i="7"/>
  <c r="FS40" i="7"/>
  <c r="FR40" i="7"/>
  <c r="FY39" i="7"/>
  <c r="FX39" i="7"/>
  <c r="FW39" i="7"/>
  <c r="FV39" i="7"/>
  <c r="FU39" i="7"/>
  <c r="FT39" i="7"/>
  <c r="FS39" i="7"/>
  <c r="FR39" i="7"/>
  <c r="FY38" i="7"/>
  <c r="FX38" i="7"/>
  <c r="FW38" i="7"/>
  <c r="FV38" i="7"/>
  <c r="FU38" i="7"/>
  <c r="FT38" i="7"/>
  <c r="FS38" i="7"/>
  <c r="FR38" i="7"/>
  <c r="FY37" i="7"/>
  <c r="FX37" i="7"/>
  <c r="FW37" i="7"/>
  <c r="FV37" i="7"/>
  <c r="FU37" i="7"/>
  <c r="FT37" i="7"/>
  <c r="FS37" i="7"/>
  <c r="FR37" i="7"/>
  <c r="FY36" i="7"/>
  <c r="FX36" i="7"/>
  <c r="FW36" i="7"/>
  <c r="FV36" i="7"/>
  <c r="FU36" i="7"/>
  <c r="FT36" i="7"/>
  <c r="FS36" i="7"/>
  <c r="FR36" i="7"/>
  <c r="FY35" i="7"/>
  <c r="FX35" i="7"/>
  <c r="FW35" i="7"/>
  <c r="FV35" i="7"/>
  <c r="FU35" i="7"/>
  <c r="FT35" i="7"/>
  <c r="FS35" i="7"/>
  <c r="FR35" i="7"/>
  <c r="FY20" i="7"/>
  <c r="FY83" i="7" s="1"/>
  <c r="FY84" i="7" s="1"/>
  <c r="FX20" i="7"/>
  <c r="FX83" i="7" s="1"/>
  <c r="FX84" i="7" s="1"/>
  <c r="FW20" i="7"/>
  <c r="FW83" i="7" s="1"/>
  <c r="FW84" i="7" s="1"/>
  <c r="FV20" i="7"/>
  <c r="FV83" i="7" s="1"/>
  <c r="FV84" i="7" s="1"/>
  <c r="FU20" i="7"/>
  <c r="FU83" i="7" s="1"/>
  <c r="FU84" i="7" s="1"/>
  <c r="FT20" i="7"/>
  <c r="FT83" i="7" s="1"/>
  <c r="FT84" i="7" s="1"/>
  <c r="FS20" i="7"/>
  <c r="FS83" i="7" s="1"/>
  <c r="FS84" i="7" s="1"/>
  <c r="FO71" i="7"/>
  <c r="FO89" i="7" s="1"/>
  <c r="FO90" i="7" s="1"/>
  <c r="FN71" i="7"/>
  <c r="FN89" i="7" s="1"/>
  <c r="FN90" i="7" s="1"/>
  <c r="FM71" i="7"/>
  <c r="FM89" i="7" s="1"/>
  <c r="FM90" i="7" s="1"/>
  <c r="FL71" i="7"/>
  <c r="FL89" i="7" s="1"/>
  <c r="FL90" i="7" s="1"/>
  <c r="FK71" i="7"/>
  <c r="FK89" i="7" s="1"/>
  <c r="FK90" i="7" s="1"/>
  <c r="FJ71" i="7"/>
  <c r="FJ89" i="7" s="1"/>
  <c r="FJ90" i="7" s="1"/>
  <c r="FI71" i="7"/>
  <c r="FI89" i="7" s="1"/>
  <c r="FI90" i="7" s="1"/>
  <c r="FH71" i="7"/>
  <c r="FH89" i="7" s="1"/>
  <c r="FO81" i="8"/>
  <c r="FO64" i="7"/>
  <c r="FN64" i="7"/>
  <c r="FM64" i="7"/>
  <c r="FL64" i="7"/>
  <c r="FK64" i="7"/>
  <c r="FJ64" i="7"/>
  <c r="FI64" i="7"/>
  <c r="FH64" i="7"/>
  <c r="FO63" i="7"/>
  <c r="FN63" i="7"/>
  <c r="FM63" i="7"/>
  <c r="FL63" i="7"/>
  <c r="FK63" i="7"/>
  <c r="FJ63" i="7"/>
  <c r="FI63" i="7"/>
  <c r="FH63" i="7"/>
  <c r="FO62" i="7"/>
  <c r="FN62" i="7"/>
  <c r="FM62" i="7"/>
  <c r="FL62" i="7"/>
  <c r="FK62" i="7"/>
  <c r="FJ62" i="7"/>
  <c r="FI62" i="7"/>
  <c r="FH62" i="7"/>
  <c r="FO61" i="7"/>
  <c r="FN61" i="7"/>
  <c r="FM61" i="7"/>
  <c r="FL61" i="7"/>
  <c r="FK61" i="7"/>
  <c r="FJ61" i="7"/>
  <c r="FI61" i="7"/>
  <c r="FH61" i="7"/>
  <c r="FO60" i="7"/>
  <c r="FN60" i="7"/>
  <c r="FM60" i="7"/>
  <c r="FL60" i="7"/>
  <c r="FK60" i="7"/>
  <c r="FJ60" i="7"/>
  <c r="FI60" i="7"/>
  <c r="FH60" i="7"/>
  <c r="FO59" i="7"/>
  <c r="FN59" i="7"/>
  <c r="FM59" i="7"/>
  <c r="FL59" i="7"/>
  <c r="FK59" i="7"/>
  <c r="FJ59" i="7"/>
  <c r="FI59" i="7"/>
  <c r="FH59" i="7"/>
  <c r="FO58" i="7"/>
  <c r="FN58" i="7"/>
  <c r="FM58" i="7"/>
  <c r="FL58" i="7"/>
  <c r="FK58" i="7"/>
  <c r="FJ58" i="7"/>
  <c r="FI58" i="7"/>
  <c r="FH58" i="7"/>
  <c r="FO57" i="7"/>
  <c r="FN57" i="7"/>
  <c r="FM57" i="7"/>
  <c r="FL57" i="7"/>
  <c r="FK57" i="7"/>
  <c r="FJ57" i="7"/>
  <c r="FI57" i="7"/>
  <c r="FH57" i="7"/>
  <c r="FO56" i="7"/>
  <c r="FN56" i="7"/>
  <c r="FM56" i="7"/>
  <c r="FL56" i="7"/>
  <c r="FK56" i="7"/>
  <c r="FJ56" i="7"/>
  <c r="FI56" i="7"/>
  <c r="FH56" i="7"/>
  <c r="FO55" i="7"/>
  <c r="FN55" i="7"/>
  <c r="FM55" i="7"/>
  <c r="FL55" i="7"/>
  <c r="FK55" i="7"/>
  <c r="FJ55" i="7"/>
  <c r="FI55" i="7"/>
  <c r="FH55" i="7"/>
  <c r="FO54" i="7"/>
  <c r="FN54" i="7"/>
  <c r="FM54" i="7"/>
  <c r="FL54" i="7"/>
  <c r="FK54" i="7"/>
  <c r="FJ54" i="7"/>
  <c r="FI54" i="7"/>
  <c r="FH54" i="7"/>
  <c r="FO53" i="7"/>
  <c r="FN53" i="7"/>
  <c r="FM53" i="7"/>
  <c r="FL53" i="7"/>
  <c r="FK53" i="7"/>
  <c r="FJ53" i="7"/>
  <c r="FI53" i="7"/>
  <c r="FH53" i="7"/>
  <c r="FO52" i="7"/>
  <c r="FN52" i="7"/>
  <c r="FM52" i="7"/>
  <c r="FL52" i="7"/>
  <c r="FK52" i="7"/>
  <c r="FJ52" i="7"/>
  <c r="FI52" i="7"/>
  <c r="FH52" i="7"/>
  <c r="FO51" i="7"/>
  <c r="FN51" i="7"/>
  <c r="FM51" i="7"/>
  <c r="FL51" i="7"/>
  <c r="FK51" i="7"/>
  <c r="FJ51" i="7"/>
  <c r="FI51" i="7"/>
  <c r="FH51" i="7"/>
  <c r="FO50" i="7"/>
  <c r="FN50" i="7"/>
  <c r="FM50" i="7"/>
  <c r="FL50" i="7"/>
  <c r="FK50" i="7"/>
  <c r="FJ50" i="7"/>
  <c r="FI50" i="7"/>
  <c r="FH50" i="7"/>
  <c r="FO49" i="7"/>
  <c r="FN49" i="7"/>
  <c r="FM49" i="7"/>
  <c r="FL49" i="7"/>
  <c r="FK49" i="7"/>
  <c r="FJ49" i="7"/>
  <c r="FI49" i="7"/>
  <c r="FH49" i="7"/>
  <c r="FO48" i="7"/>
  <c r="FN48" i="7"/>
  <c r="FM48" i="7"/>
  <c r="FL48" i="7"/>
  <c r="FK48" i="7"/>
  <c r="FJ48" i="7"/>
  <c r="FI48" i="7"/>
  <c r="FH48" i="7"/>
  <c r="FO47" i="7"/>
  <c r="FN47" i="7"/>
  <c r="FM47" i="7"/>
  <c r="FL47" i="7"/>
  <c r="FK47" i="7"/>
  <c r="FJ47" i="7"/>
  <c r="FI47" i="7"/>
  <c r="FH47" i="7"/>
  <c r="FO46" i="7"/>
  <c r="FN46" i="7"/>
  <c r="FM46" i="7"/>
  <c r="FL46" i="7"/>
  <c r="FK46" i="7"/>
  <c r="FJ46" i="7"/>
  <c r="FI46" i="7"/>
  <c r="FH46" i="7"/>
  <c r="FO45" i="7"/>
  <c r="FN45" i="7"/>
  <c r="FM45" i="7"/>
  <c r="FL45" i="7"/>
  <c r="FK45" i="7"/>
  <c r="FJ45" i="7"/>
  <c r="FI45" i="7"/>
  <c r="FH45" i="7"/>
  <c r="FO44" i="7"/>
  <c r="FN44" i="7"/>
  <c r="FM44" i="7"/>
  <c r="FL44" i="7"/>
  <c r="FK44" i="7"/>
  <c r="FJ44" i="7"/>
  <c r="FI44" i="7"/>
  <c r="FH44" i="7"/>
  <c r="FO43" i="7"/>
  <c r="FN43" i="7"/>
  <c r="FM43" i="7"/>
  <c r="FL43" i="7"/>
  <c r="FK43" i="7"/>
  <c r="FJ43" i="7"/>
  <c r="FI43" i="7"/>
  <c r="FH43" i="7"/>
  <c r="FO42" i="7"/>
  <c r="FN42" i="7"/>
  <c r="FM42" i="7"/>
  <c r="FL42" i="7"/>
  <c r="FK42" i="7"/>
  <c r="FJ42" i="7"/>
  <c r="FI42" i="7"/>
  <c r="FH42" i="7"/>
  <c r="FO41" i="7"/>
  <c r="FN41" i="7"/>
  <c r="FM41" i="7"/>
  <c r="FL41" i="7"/>
  <c r="FK41" i="7"/>
  <c r="FJ41" i="7"/>
  <c r="FI41" i="7"/>
  <c r="FH41" i="7"/>
  <c r="FO40" i="7"/>
  <c r="FN40" i="7"/>
  <c r="FM40" i="7"/>
  <c r="FL40" i="7"/>
  <c r="FK40" i="7"/>
  <c r="FJ40" i="7"/>
  <c r="FI40" i="7"/>
  <c r="FH40" i="7"/>
  <c r="FO39" i="7"/>
  <c r="FN39" i="7"/>
  <c r="FM39" i="7"/>
  <c r="FL39" i="7"/>
  <c r="FK39" i="7"/>
  <c r="FJ39" i="7"/>
  <c r="FI39" i="7"/>
  <c r="FH39" i="7"/>
  <c r="FO38" i="7"/>
  <c r="FN38" i="7"/>
  <c r="FM38" i="7"/>
  <c r="FL38" i="7"/>
  <c r="FK38" i="7"/>
  <c r="FJ38" i="7"/>
  <c r="FI38" i="7"/>
  <c r="FH38" i="7"/>
  <c r="FO37" i="7"/>
  <c r="FN37" i="7"/>
  <c r="FM37" i="7"/>
  <c r="FL37" i="7"/>
  <c r="FK37" i="7"/>
  <c r="FJ37" i="7"/>
  <c r="FI37" i="7"/>
  <c r="FH37" i="7"/>
  <c r="FO36" i="7"/>
  <c r="FN36" i="7"/>
  <c r="FM36" i="7"/>
  <c r="FL36" i="7"/>
  <c r="FK36" i="7"/>
  <c r="FJ36" i="7"/>
  <c r="FI36" i="7"/>
  <c r="FH36" i="7"/>
  <c r="FO35" i="7"/>
  <c r="FN35" i="7"/>
  <c r="FM35" i="7"/>
  <c r="FL35" i="7"/>
  <c r="FK35" i="7"/>
  <c r="FJ35" i="7"/>
  <c r="FI35" i="7"/>
  <c r="FH35" i="7"/>
  <c r="FO20" i="7"/>
  <c r="FO83" i="7" s="1"/>
  <c r="FO84" i="7" s="1"/>
  <c r="FN20" i="7"/>
  <c r="FN83" i="7" s="1"/>
  <c r="FN84" i="7" s="1"/>
  <c r="FM20" i="7"/>
  <c r="FM83" i="7" s="1"/>
  <c r="FM84" i="7" s="1"/>
  <c r="FL20" i="7"/>
  <c r="FL83" i="7" s="1"/>
  <c r="FL84" i="7" s="1"/>
  <c r="FK20" i="7"/>
  <c r="FK83" i="7" s="1"/>
  <c r="FK84" i="7" s="1"/>
  <c r="FJ20" i="7"/>
  <c r="FJ83" i="7" s="1"/>
  <c r="FJ84" i="7" s="1"/>
  <c r="FI20" i="7"/>
  <c r="FI83" i="7" s="1"/>
  <c r="FI84" i="7" s="1"/>
  <c r="FE71" i="7"/>
  <c r="FE89" i="7" s="1"/>
  <c r="FE90" i="7" s="1"/>
  <c r="FD71" i="7"/>
  <c r="FD89" i="7" s="1"/>
  <c r="FD90" i="7" s="1"/>
  <c r="FC71" i="7"/>
  <c r="FC89" i="7" s="1"/>
  <c r="FC90" i="7" s="1"/>
  <c r="FB71" i="7"/>
  <c r="FB89" i="7" s="1"/>
  <c r="FB90" i="7" s="1"/>
  <c r="FA71" i="7"/>
  <c r="FA89" i="7" s="1"/>
  <c r="FA90" i="7" s="1"/>
  <c r="EZ71" i="7"/>
  <c r="EZ89" i="7" s="1"/>
  <c r="EZ90" i="7" s="1"/>
  <c r="EY71" i="7"/>
  <c r="EY89" i="7" s="1"/>
  <c r="EY90" i="7" s="1"/>
  <c r="EX71" i="7"/>
  <c r="EX89" i="7" s="1"/>
  <c r="FF81" i="8"/>
  <c r="FE64" i="7"/>
  <c r="FD64" i="7"/>
  <c r="FC64" i="7"/>
  <c r="FB64" i="7"/>
  <c r="FA64" i="7"/>
  <c r="EZ64" i="7"/>
  <c r="EY64" i="7"/>
  <c r="EX64" i="7"/>
  <c r="FE63" i="7"/>
  <c r="FD63" i="7"/>
  <c r="FC63" i="7"/>
  <c r="FB63" i="7"/>
  <c r="FA63" i="7"/>
  <c r="EZ63" i="7"/>
  <c r="EY63" i="7"/>
  <c r="EX63" i="7"/>
  <c r="FE62" i="7"/>
  <c r="FD62" i="7"/>
  <c r="FC62" i="7"/>
  <c r="FB62" i="7"/>
  <c r="FA62" i="7"/>
  <c r="EZ62" i="7"/>
  <c r="EY62" i="7"/>
  <c r="EX62" i="7"/>
  <c r="FE61" i="7"/>
  <c r="FD61" i="7"/>
  <c r="FC61" i="7"/>
  <c r="FB61" i="7"/>
  <c r="FA61" i="7"/>
  <c r="EZ61" i="7"/>
  <c r="EY61" i="7"/>
  <c r="EX61" i="7"/>
  <c r="FE60" i="7"/>
  <c r="FD60" i="7"/>
  <c r="FC60" i="7"/>
  <c r="FB60" i="7"/>
  <c r="FA60" i="7"/>
  <c r="EZ60" i="7"/>
  <c r="EY60" i="7"/>
  <c r="EX60" i="7"/>
  <c r="FE59" i="7"/>
  <c r="FD59" i="7"/>
  <c r="FC59" i="7"/>
  <c r="FB59" i="7"/>
  <c r="FA59" i="7"/>
  <c r="EZ59" i="7"/>
  <c r="EY59" i="7"/>
  <c r="EX59" i="7"/>
  <c r="FE58" i="7"/>
  <c r="FD58" i="7"/>
  <c r="FC58" i="7"/>
  <c r="FB58" i="7"/>
  <c r="FA58" i="7"/>
  <c r="EZ58" i="7"/>
  <c r="EY58" i="7"/>
  <c r="EX58" i="7"/>
  <c r="FE57" i="7"/>
  <c r="FD57" i="7"/>
  <c r="FC57" i="7"/>
  <c r="FB57" i="7"/>
  <c r="FA57" i="7"/>
  <c r="EZ57" i="7"/>
  <c r="EY57" i="7"/>
  <c r="EX57" i="7"/>
  <c r="FE56" i="7"/>
  <c r="FD56" i="7"/>
  <c r="FC56" i="7"/>
  <c r="FB56" i="7"/>
  <c r="FA56" i="7"/>
  <c r="EZ56" i="7"/>
  <c r="EY56" i="7"/>
  <c r="EX56" i="7"/>
  <c r="FE55" i="7"/>
  <c r="FD55" i="7"/>
  <c r="FC55" i="7"/>
  <c r="FB55" i="7"/>
  <c r="FA55" i="7"/>
  <c r="EZ55" i="7"/>
  <c r="EY55" i="7"/>
  <c r="EX55" i="7"/>
  <c r="FE54" i="7"/>
  <c r="FD54" i="7"/>
  <c r="FC54" i="7"/>
  <c r="FB54" i="7"/>
  <c r="FA54" i="7"/>
  <c r="EZ54" i="7"/>
  <c r="EY54" i="7"/>
  <c r="EX54" i="7"/>
  <c r="FE53" i="7"/>
  <c r="FD53" i="7"/>
  <c r="FC53" i="7"/>
  <c r="FB53" i="7"/>
  <c r="FA53" i="7"/>
  <c r="EZ53" i="7"/>
  <c r="EY53" i="7"/>
  <c r="EX53" i="7"/>
  <c r="FE52" i="7"/>
  <c r="FD52" i="7"/>
  <c r="FC52" i="7"/>
  <c r="FB52" i="7"/>
  <c r="FA52" i="7"/>
  <c r="EZ52" i="7"/>
  <c r="EY52" i="7"/>
  <c r="EX52" i="7"/>
  <c r="FE51" i="7"/>
  <c r="FD51" i="7"/>
  <c r="FC51" i="7"/>
  <c r="FB51" i="7"/>
  <c r="FA51" i="7"/>
  <c r="EZ51" i="7"/>
  <c r="EY51" i="7"/>
  <c r="EX51" i="7"/>
  <c r="FE50" i="7"/>
  <c r="FD50" i="7"/>
  <c r="FC50" i="7"/>
  <c r="FB50" i="7"/>
  <c r="FA50" i="7"/>
  <c r="EZ50" i="7"/>
  <c r="EY50" i="7"/>
  <c r="EX50" i="7"/>
  <c r="FE49" i="7"/>
  <c r="FD49" i="7"/>
  <c r="FC49" i="7"/>
  <c r="FB49" i="7"/>
  <c r="FA49" i="7"/>
  <c r="EZ49" i="7"/>
  <c r="EY49" i="7"/>
  <c r="EX49" i="7"/>
  <c r="FE48" i="7"/>
  <c r="FD48" i="7"/>
  <c r="FC48" i="7"/>
  <c r="FB48" i="7"/>
  <c r="FA48" i="7"/>
  <c r="EZ48" i="7"/>
  <c r="EY48" i="7"/>
  <c r="EX48" i="7"/>
  <c r="FE47" i="7"/>
  <c r="FD47" i="7"/>
  <c r="FC47" i="7"/>
  <c r="FB47" i="7"/>
  <c r="FA47" i="7"/>
  <c r="EZ47" i="7"/>
  <c r="EY47" i="7"/>
  <c r="EX47" i="7"/>
  <c r="FE46" i="7"/>
  <c r="FD46" i="7"/>
  <c r="FC46" i="7"/>
  <c r="FB46" i="7"/>
  <c r="FA46" i="7"/>
  <c r="EZ46" i="7"/>
  <c r="EY46" i="7"/>
  <c r="EX46" i="7"/>
  <c r="FE45" i="7"/>
  <c r="FD45" i="7"/>
  <c r="FC45" i="7"/>
  <c r="FB45" i="7"/>
  <c r="FA45" i="7"/>
  <c r="EZ45" i="7"/>
  <c r="EY45" i="7"/>
  <c r="EX45" i="7"/>
  <c r="FE44" i="7"/>
  <c r="FD44" i="7"/>
  <c r="FC44" i="7"/>
  <c r="FB44" i="7"/>
  <c r="FA44" i="7"/>
  <c r="EZ44" i="7"/>
  <c r="EY44" i="7"/>
  <c r="EX44" i="7"/>
  <c r="FE43" i="7"/>
  <c r="FD43" i="7"/>
  <c r="FC43" i="7"/>
  <c r="FB43" i="7"/>
  <c r="FA43" i="7"/>
  <c r="EZ43" i="7"/>
  <c r="EY43" i="7"/>
  <c r="EX43" i="7"/>
  <c r="FE42" i="7"/>
  <c r="FD42" i="7"/>
  <c r="FC42" i="7"/>
  <c r="FB42" i="7"/>
  <c r="FA42" i="7"/>
  <c r="EZ42" i="7"/>
  <c r="EY42" i="7"/>
  <c r="EX42" i="7"/>
  <c r="FE41" i="7"/>
  <c r="FD41" i="7"/>
  <c r="FC41" i="7"/>
  <c r="FB41" i="7"/>
  <c r="FA41" i="7"/>
  <c r="EZ41" i="7"/>
  <c r="EY41" i="7"/>
  <c r="EX41" i="7"/>
  <c r="FE40" i="7"/>
  <c r="FD40" i="7"/>
  <c r="FC40" i="7"/>
  <c r="FB40" i="7"/>
  <c r="FA40" i="7"/>
  <c r="EZ40" i="7"/>
  <c r="EY40" i="7"/>
  <c r="EX40" i="7"/>
  <c r="FE39" i="7"/>
  <c r="FD39" i="7"/>
  <c r="FC39" i="7"/>
  <c r="FB39" i="7"/>
  <c r="FA39" i="7"/>
  <c r="EZ39" i="7"/>
  <c r="EY39" i="7"/>
  <c r="EX39" i="7"/>
  <c r="FE38" i="7"/>
  <c r="FD38" i="7"/>
  <c r="FC38" i="7"/>
  <c r="FB38" i="7"/>
  <c r="FA38" i="7"/>
  <c r="EZ38" i="7"/>
  <c r="EY38" i="7"/>
  <c r="EX38" i="7"/>
  <c r="FE37" i="7"/>
  <c r="FD37" i="7"/>
  <c r="FC37" i="7"/>
  <c r="FB37" i="7"/>
  <c r="FA37" i="7"/>
  <c r="EZ37" i="7"/>
  <c r="EY37" i="7"/>
  <c r="EX37" i="7"/>
  <c r="FE36" i="7"/>
  <c r="FD36" i="7"/>
  <c r="FC36" i="7"/>
  <c r="FB36" i="7"/>
  <c r="FA36" i="7"/>
  <c r="EZ36" i="7"/>
  <c r="EY36" i="7"/>
  <c r="EX36" i="7"/>
  <c r="FE35" i="7"/>
  <c r="FD35" i="7"/>
  <c r="FC35" i="7"/>
  <c r="FB35" i="7"/>
  <c r="FA35" i="7"/>
  <c r="EZ35" i="7"/>
  <c r="EY35" i="7"/>
  <c r="EX35" i="7"/>
  <c r="FE20" i="7"/>
  <c r="FE83" i="7" s="1"/>
  <c r="FE84" i="7" s="1"/>
  <c r="FD20" i="7"/>
  <c r="FD83" i="7" s="1"/>
  <c r="FD84" i="7" s="1"/>
  <c r="FC20" i="7"/>
  <c r="FC83" i="7" s="1"/>
  <c r="FC84" i="7" s="1"/>
  <c r="FB20" i="7"/>
  <c r="FB83" i="7" s="1"/>
  <c r="FB84" i="7" s="1"/>
  <c r="FA20" i="7"/>
  <c r="FA83" i="7" s="1"/>
  <c r="FA84" i="7" s="1"/>
  <c r="EZ20" i="7"/>
  <c r="EZ83" i="7" s="1"/>
  <c r="EZ84" i="7" s="1"/>
  <c r="EY20" i="7"/>
  <c r="EY83" i="7" s="1"/>
  <c r="EY84" i="7" s="1"/>
  <c r="EW81" i="8"/>
  <c r="FC81" i="8"/>
  <c r="FB81" i="8"/>
  <c r="EU64" i="7"/>
  <c r="ET64" i="7"/>
  <c r="ES64" i="7"/>
  <c r="ER64" i="7"/>
  <c r="EQ64" i="7"/>
  <c r="EP64" i="7"/>
  <c r="EO64" i="7"/>
  <c r="EN64" i="7"/>
  <c r="EU63" i="7"/>
  <c r="ET63" i="7"/>
  <c r="ES63" i="7"/>
  <c r="ER63" i="7"/>
  <c r="EQ63" i="7"/>
  <c r="EP63" i="7"/>
  <c r="EO63" i="7"/>
  <c r="EN63" i="7"/>
  <c r="EU62" i="7"/>
  <c r="ET62" i="7"/>
  <c r="ES62" i="7"/>
  <c r="ER62" i="7"/>
  <c r="EQ62" i="7"/>
  <c r="EP62" i="7"/>
  <c r="EO62" i="7"/>
  <c r="EN62" i="7"/>
  <c r="EU61" i="7"/>
  <c r="ET61" i="7"/>
  <c r="ES61" i="7"/>
  <c r="ER61" i="7"/>
  <c r="EQ61" i="7"/>
  <c r="EP61" i="7"/>
  <c r="EO61" i="7"/>
  <c r="EN61" i="7"/>
  <c r="EU60" i="7"/>
  <c r="ET60" i="7"/>
  <c r="ES60" i="7"/>
  <c r="ER60" i="7"/>
  <c r="EQ60" i="7"/>
  <c r="EP60" i="7"/>
  <c r="EO60" i="7"/>
  <c r="EN60" i="7"/>
  <c r="EU59" i="7"/>
  <c r="ET59" i="7"/>
  <c r="ES59" i="7"/>
  <c r="ER59" i="7"/>
  <c r="EQ59" i="7"/>
  <c r="EP59" i="7"/>
  <c r="EO59" i="7"/>
  <c r="EN59" i="7"/>
  <c r="EU58" i="7"/>
  <c r="ET58" i="7"/>
  <c r="ES58" i="7"/>
  <c r="ER58" i="7"/>
  <c r="EQ58" i="7"/>
  <c r="EP58" i="7"/>
  <c r="EO58" i="7"/>
  <c r="EN58" i="7"/>
  <c r="EU57" i="7"/>
  <c r="ET57" i="7"/>
  <c r="ES57" i="7"/>
  <c r="ER57" i="7"/>
  <c r="EQ57" i="7"/>
  <c r="EP57" i="7"/>
  <c r="EO57" i="7"/>
  <c r="EN57" i="7"/>
  <c r="EU56" i="7"/>
  <c r="ET56" i="7"/>
  <c r="ES56" i="7"/>
  <c r="ER56" i="7"/>
  <c r="EQ56" i="7"/>
  <c r="EP56" i="7"/>
  <c r="EO56" i="7"/>
  <c r="EN56" i="7"/>
  <c r="EU55" i="7"/>
  <c r="ET55" i="7"/>
  <c r="ES55" i="7"/>
  <c r="ER55" i="7"/>
  <c r="EQ55" i="7"/>
  <c r="EP55" i="7"/>
  <c r="EO55" i="7"/>
  <c r="EN55" i="7"/>
  <c r="EU54" i="7"/>
  <c r="ET54" i="7"/>
  <c r="ES54" i="7"/>
  <c r="ER54" i="7"/>
  <c r="EQ54" i="7"/>
  <c r="EP54" i="7"/>
  <c r="EO54" i="7"/>
  <c r="EN54" i="7"/>
  <c r="EU53" i="7"/>
  <c r="ET53" i="7"/>
  <c r="ES53" i="7"/>
  <c r="ER53" i="7"/>
  <c r="EQ53" i="7"/>
  <c r="EP53" i="7"/>
  <c r="EO53" i="7"/>
  <c r="EN53" i="7"/>
  <c r="EU52" i="7"/>
  <c r="ET52" i="7"/>
  <c r="ES52" i="7"/>
  <c r="ER52" i="7"/>
  <c r="EQ52" i="7"/>
  <c r="EP52" i="7"/>
  <c r="EO52" i="7"/>
  <c r="EN52" i="7"/>
  <c r="EU51" i="7"/>
  <c r="ET51" i="7"/>
  <c r="ES51" i="7"/>
  <c r="ER51" i="7"/>
  <c r="EQ51" i="7"/>
  <c r="EP51" i="7"/>
  <c r="EO51" i="7"/>
  <c r="EN51" i="7"/>
  <c r="EU50" i="7"/>
  <c r="ET50" i="7"/>
  <c r="ES50" i="7"/>
  <c r="ER50" i="7"/>
  <c r="EQ50" i="7"/>
  <c r="EP50" i="7"/>
  <c r="EO50" i="7"/>
  <c r="EN50" i="7"/>
  <c r="EU49" i="7"/>
  <c r="ET49" i="7"/>
  <c r="ES49" i="7"/>
  <c r="ER49" i="7"/>
  <c r="EQ49" i="7"/>
  <c r="EP49" i="7"/>
  <c r="EO49" i="7"/>
  <c r="EN49" i="7"/>
  <c r="EU48" i="7"/>
  <c r="ET48" i="7"/>
  <c r="ES48" i="7"/>
  <c r="ER48" i="7"/>
  <c r="EQ48" i="7"/>
  <c r="EP48" i="7"/>
  <c r="EO48" i="7"/>
  <c r="EN48" i="7"/>
  <c r="EU47" i="7"/>
  <c r="ET47" i="7"/>
  <c r="ES47" i="7"/>
  <c r="ER47" i="7"/>
  <c r="EQ47" i="7"/>
  <c r="EP47" i="7"/>
  <c r="EO47" i="7"/>
  <c r="EN47" i="7"/>
  <c r="EU46" i="7"/>
  <c r="ET46" i="7"/>
  <c r="ES46" i="7"/>
  <c r="ER46" i="7"/>
  <c r="EQ46" i="7"/>
  <c r="EP46" i="7"/>
  <c r="EO46" i="7"/>
  <c r="EN46" i="7"/>
  <c r="EU45" i="7"/>
  <c r="ET45" i="7"/>
  <c r="ES45" i="7"/>
  <c r="ER45" i="7"/>
  <c r="EQ45" i="7"/>
  <c r="EP45" i="7"/>
  <c r="EO45" i="7"/>
  <c r="EN45" i="7"/>
  <c r="EU44" i="7"/>
  <c r="ET44" i="7"/>
  <c r="ES44" i="7"/>
  <c r="ER44" i="7"/>
  <c r="EQ44" i="7"/>
  <c r="EP44" i="7"/>
  <c r="EO44" i="7"/>
  <c r="EN44" i="7"/>
  <c r="EU43" i="7"/>
  <c r="ET43" i="7"/>
  <c r="ES43" i="7"/>
  <c r="ER43" i="7"/>
  <c r="EQ43" i="7"/>
  <c r="EP43" i="7"/>
  <c r="EO43" i="7"/>
  <c r="EN43" i="7"/>
  <c r="EU42" i="7"/>
  <c r="ET42" i="7"/>
  <c r="ES42" i="7"/>
  <c r="ER42" i="7"/>
  <c r="EQ42" i="7"/>
  <c r="EP42" i="7"/>
  <c r="EO42" i="7"/>
  <c r="EN42" i="7"/>
  <c r="EU41" i="7"/>
  <c r="ET41" i="7"/>
  <c r="ES41" i="7"/>
  <c r="ER41" i="7"/>
  <c r="EQ41" i="7"/>
  <c r="EP41" i="7"/>
  <c r="EO41" i="7"/>
  <c r="EN41" i="7"/>
  <c r="EU40" i="7"/>
  <c r="ET40" i="7"/>
  <c r="ES40" i="7"/>
  <c r="ER40" i="7"/>
  <c r="EQ40" i="7"/>
  <c r="EP40" i="7"/>
  <c r="EO40" i="7"/>
  <c r="EN40" i="7"/>
  <c r="EU39" i="7"/>
  <c r="ET39" i="7"/>
  <c r="ES39" i="7"/>
  <c r="ER39" i="7"/>
  <c r="EQ39" i="7"/>
  <c r="EP39" i="7"/>
  <c r="EO39" i="7"/>
  <c r="EN39" i="7"/>
  <c r="EU38" i="7"/>
  <c r="ET38" i="7"/>
  <c r="ES38" i="7"/>
  <c r="ER38" i="7"/>
  <c r="EQ38" i="7"/>
  <c r="EP38" i="7"/>
  <c r="EO38" i="7"/>
  <c r="EN38" i="7"/>
  <c r="EU37" i="7"/>
  <c r="ET37" i="7"/>
  <c r="ES37" i="7"/>
  <c r="ER37" i="7"/>
  <c r="EQ37" i="7"/>
  <c r="EP37" i="7"/>
  <c r="EO37" i="7"/>
  <c r="EN37" i="7"/>
  <c r="EU36" i="7"/>
  <c r="ET36" i="7"/>
  <c r="ES36" i="7"/>
  <c r="ER36" i="7"/>
  <c r="EQ36" i="7"/>
  <c r="EP36" i="7"/>
  <c r="EO36" i="7"/>
  <c r="EN36" i="7"/>
  <c r="EU35" i="7"/>
  <c r="ET35" i="7"/>
  <c r="ES35" i="7"/>
  <c r="ER35" i="7"/>
  <c r="EQ35" i="7"/>
  <c r="EP35" i="7"/>
  <c r="EO35" i="7"/>
  <c r="EN35" i="7"/>
  <c r="EN81" i="8"/>
  <c r="ET81" i="8"/>
  <c r="ES81" i="8"/>
  <c r="EK64" i="7"/>
  <c r="EJ64" i="7"/>
  <c r="EI64" i="7"/>
  <c r="EH64" i="7"/>
  <c r="EG64" i="7"/>
  <c r="EF64" i="7"/>
  <c r="EE64" i="7"/>
  <c r="ED64" i="7"/>
  <c r="EK63" i="7"/>
  <c r="EJ63" i="7"/>
  <c r="EI63" i="7"/>
  <c r="EH63" i="7"/>
  <c r="EG63" i="7"/>
  <c r="EF63" i="7"/>
  <c r="EE63" i="7"/>
  <c r="ED63" i="7"/>
  <c r="EK62" i="7"/>
  <c r="EJ62" i="7"/>
  <c r="EI62" i="7"/>
  <c r="EH62" i="7"/>
  <c r="EG62" i="7"/>
  <c r="EF62" i="7"/>
  <c r="EE62" i="7"/>
  <c r="ED62" i="7"/>
  <c r="EK61" i="7"/>
  <c r="EJ61" i="7"/>
  <c r="EI61" i="7"/>
  <c r="EH61" i="7"/>
  <c r="EG61" i="7"/>
  <c r="EF61" i="7"/>
  <c r="EE61" i="7"/>
  <c r="ED61" i="7"/>
  <c r="EK60" i="7"/>
  <c r="EJ60" i="7"/>
  <c r="EI60" i="7"/>
  <c r="EH60" i="7"/>
  <c r="EG60" i="7"/>
  <c r="EF60" i="7"/>
  <c r="EE60" i="7"/>
  <c r="ED60" i="7"/>
  <c r="EK59" i="7"/>
  <c r="EJ59" i="7"/>
  <c r="EI59" i="7"/>
  <c r="EH59" i="7"/>
  <c r="EG59" i="7"/>
  <c r="EF59" i="7"/>
  <c r="EE59" i="7"/>
  <c r="ED59" i="7"/>
  <c r="EK58" i="7"/>
  <c r="EJ58" i="7"/>
  <c r="EI58" i="7"/>
  <c r="EH58" i="7"/>
  <c r="EG58" i="7"/>
  <c r="EF58" i="7"/>
  <c r="EE58" i="7"/>
  <c r="ED58" i="7"/>
  <c r="EK57" i="7"/>
  <c r="EJ57" i="7"/>
  <c r="EI57" i="7"/>
  <c r="EH57" i="7"/>
  <c r="EG57" i="7"/>
  <c r="EF57" i="7"/>
  <c r="EE57" i="7"/>
  <c r="ED57" i="7"/>
  <c r="EK56" i="7"/>
  <c r="EJ56" i="7"/>
  <c r="EI56" i="7"/>
  <c r="EH56" i="7"/>
  <c r="EG56" i="7"/>
  <c r="EF56" i="7"/>
  <c r="EE56" i="7"/>
  <c r="ED56" i="7"/>
  <c r="EK55" i="7"/>
  <c r="EJ55" i="7"/>
  <c r="EI55" i="7"/>
  <c r="EH55" i="7"/>
  <c r="EG55" i="7"/>
  <c r="EF55" i="7"/>
  <c r="EE55" i="7"/>
  <c r="ED55" i="7"/>
  <c r="EK54" i="7"/>
  <c r="EJ54" i="7"/>
  <c r="EI54" i="7"/>
  <c r="EH54" i="7"/>
  <c r="EG54" i="7"/>
  <c r="EF54" i="7"/>
  <c r="EE54" i="7"/>
  <c r="ED54" i="7"/>
  <c r="EK53" i="7"/>
  <c r="EJ53" i="7"/>
  <c r="EI53" i="7"/>
  <c r="EH53" i="7"/>
  <c r="EG53" i="7"/>
  <c r="EF53" i="7"/>
  <c r="EE53" i="7"/>
  <c r="ED53" i="7"/>
  <c r="EK52" i="7"/>
  <c r="EJ52" i="7"/>
  <c r="EI52" i="7"/>
  <c r="EH52" i="7"/>
  <c r="EG52" i="7"/>
  <c r="EF52" i="7"/>
  <c r="EE52" i="7"/>
  <c r="ED52" i="7"/>
  <c r="EK51" i="7"/>
  <c r="EJ51" i="7"/>
  <c r="EI51" i="7"/>
  <c r="EH51" i="7"/>
  <c r="EG51" i="7"/>
  <c r="EF51" i="7"/>
  <c r="EE51" i="7"/>
  <c r="ED51" i="7"/>
  <c r="EK50" i="7"/>
  <c r="EJ50" i="7"/>
  <c r="EI50" i="7"/>
  <c r="EH50" i="7"/>
  <c r="EG50" i="7"/>
  <c r="EF50" i="7"/>
  <c r="EE50" i="7"/>
  <c r="ED50" i="7"/>
  <c r="EK49" i="7"/>
  <c r="EJ49" i="7"/>
  <c r="EI49" i="7"/>
  <c r="EH49" i="7"/>
  <c r="EG49" i="7"/>
  <c r="EF49" i="7"/>
  <c r="EE49" i="7"/>
  <c r="ED49" i="7"/>
  <c r="EK48" i="7"/>
  <c r="EJ48" i="7"/>
  <c r="EI48" i="7"/>
  <c r="EH48" i="7"/>
  <c r="EG48" i="7"/>
  <c r="EF48" i="7"/>
  <c r="EE48" i="7"/>
  <c r="ED48" i="7"/>
  <c r="EK47" i="7"/>
  <c r="EJ47" i="7"/>
  <c r="EI47" i="7"/>
  <c r="EH47" i="7"/>
  <c r="EG47" i="7"/>
  <c r="EF47" i="7"/>
  <c r="EE47" i="7"/>
  <c r="ED47" i="7"/>
  <c r="EK46" i="7"/>
  <c r="EJ46" i="7"/>
  <c r="EI46" i="7"/>
  <c r="EH46" i="7"/>
  <c r="EG46" i="7"/>
  <c r="EF46" i="7"/>
  <c r="EE46" i="7"/>
  <c r="ED46" i="7"/>
  <c r="EK45" i="7"/>
  <c r="EJ45" i="7"/>
  <c r="EI45" i="7"/>
  <c r="EH45" i="7"/>
  <c r="EG45" i="7"/>
  <c r="EF45" i="7"/>
  <c r="EE45" i="7"/>
  <c r="ED45" i="7"/>
  <c r="EK44" i="7"/>
  <c r="EJ44" i="7"/>
  <c r="EI44" i="7"/>
  <c r="EH44" i="7"/>
  <c r="EG44" i="7"/>
  <c r="EF44" i="7"/>
  <c r="EE44" i="7"/>
  <c r="ED44" i="7"/>
  <c r="EK43" i="7"/>
  <c r="EJ43" i="7"/>
  <c r="EI43" i="7"/>
  <c r="EH43" i="7"/>
  <c r="EG43" i="7"/>
  <c r="EF43" i="7"/>
  <c r="EE43" i="7"/>
  <c r="ED43" i="7"/>
  <c r="EK42" i="7"/>
  <c r="EJ42" i="7"/>
  <c r="EI42" i="7"/>
  <c r="EH42" i="7"/>
  <c r="EG42" i="7"/>
  <c r="EF42" i="7"/>
  <c r="EE42" i="7"/>
  <c r="ED42" i="7"/>
  <c r="EK41" i="7"/>
  <c r="EJ41" i="7"/>
  <c r="EI41" i="7"/>
  <c r="EH41" i="7"/>
  <c r="EG41" i="7"/>
  <c r="EF41" i="7"/>
  <c r="EE41" i="7"/>
  <c r="ED41" i="7"/>
  <c r="EK40" i="7"/>
  <c r="EJ40" i="7"/>
  <c r="EI40" i="7"/>
  <c r="EH40" i="7"/>
  <c r="EG40" i="7"/>
  <c r="EF40" i="7"/>
  <c r="EE40" i="7"/>
  <c r="ED40" i="7"/>
  <c r="EK39" i="7"/>
  <c r="EJ39" i="7"/>
  <c r="EI39" i="7"/>
  <c r="EH39" i="7"/>
  <c r="EG39" i="7"/>
  <c r="EF39" i="7"/>
  <c r="EE39" i="7"/>
  <c r="ED39" i="7"/>
  <c r="EK38" i="7"/>
  <c r="EJ38" i="7"/>
  <c r="EI38" i="7"/>
  <c r="EH38" i="7"/>
  <c r="EG38" i="7"/>
  <c r="EF38" i="7"/>
  <c r="EE38" i="7"/>
  <c r="ED38" i="7"/>
  <c r="EK37" i="7"/>
  <c r="EJ37" i="7"/>
  <c r="EI37" i="7"/>
  <c r="EH37" i="7"/>
  <c r="EG37" i="7"/>
  <c r="EF37" i="7"/>
  <c r="EE37" i="7"/>
  <c r="ED37" i="7"/>
  <c r="EK36" i="7"/>
  <c r="EJ36" i="7"/>
  <c r="EI36" i="7"/>
  <c r="EH36" i="7"/>
  <c r="EG36" i="7"/>
  <c r="EF36" i="7"/>
  <c r="EE36" i="7"/>
  <c r="ED36" i="7"/>
  <c r="EK35" i="7"/>
  <c r="EJ35" i="7"/>
  <c r="EI35" i="7"/>
  <c r="EH35" i="7"/>
  <c r="EG35" i="7"/>
  <c r="EF35" i="7"/>
  <c r="EE35" i="7"/>
  <c r="ED35" i="7"/>
  <c r="EE81" i="8"/>
  <c r="EK81" i="8"/>
  <c r="EJ81" i="8"/>
  <c r="EA64" i="7"/>
  <c r="DZ64" i="7"/>
  <c r="DY64" i="7"/>
  <c r="DX64" i="7"/>
  <c r="DW64" i="7"/>
  <c r="DV64" i="7"/>
  <c r="DU64" i="7"/>
  <c r="DT64" i="7"/>
  <c r="EA63" i="7"/>
  <c r="DZ63" i="7"/>
  <c r="DY63" i="7"/>
  <c r="DX63" i="7"/>
  <c r="DW63" i="7"/>
  <c r="DV63" i="7"/>
  <c r="DU63" i="7"/>
  <c r="DT63" i="7"/>
  <c r="EA62" i="7"/>
  <c r="DZ62" i="7"/>
  <c r="DY62" i="7"/>
  <c r="DX62" i="7"/>
  <c r="DW62" i="7"/>
  <c r="DV62" i="7"/>
  <c r="DU62" i="7"/>
  <c r="DT62" i="7"/>
  <c r="EA61" i="7"/>
  <c r="DZ61" i="7"/>
  <c r="DY61" i="7"/>
  <c r="DX61" i="7"/>
  <c r="DW61" i="7"/>
  <c r="DV61" i="7"/>
  <c r="DU61" i="7"/>
  <c r="DT61" i="7"/>
  <c r="EA60" i="7"/>
  <c r="DZ60" i="7"/>
  <c r="DY60" i="7"/>
  <c r="DX60" i="7"/>
  <c r="DW60" i="7"/>
  <c r="DV60" i="7"/>
  <c r="DU60" i="7"/>
  <c r="DT60" i="7"/>
  <c r="EA59" i="7"/>
  <c r="DZ59" i="7"/>
  <c r="DY59" i="7"/>
  <c r="DX59" i="7"/>
  <c r="DW59" i="7"/>
  <c r="DV59" i="7"/>
  <c r="DU59" i="7"/>
  <c r="DT59" i="7"/>
  <c r="EA58" i="7"/>
  <c r="DZ58" i="7"/>
  <c r="DY58" i="7"/>
  <c r="DX58" i="7"/>
  <c r="DW58" i="7"/>
  <c r="DV58" i="7"/>
  <c r="DU58" i="7"/>
  <c r="DT58" i="7"/>
  <c r="EA57" i="7"/>
  <c r="DZ57" i="7"/>
  <c r="DY57" i="7"/>
  <c r="DX57" i="7"/>
  <c r="DW57" i="7"/>
  <c r="DV57" i="7"/>
  <c r="DU57" i="7"/>
  <c r="DT57" i="7"/>
  <c r="EA56" i="7"/>
  <c r="DZ56" i="7"/>
  <c r="DY56" i="7"/>
  <c r="DX56" i="7"/>
  <c r="DW56" i="7"/>
  <c r="DV56" i="7"/>
  <c r="DU56" i="7"/>
  <c r="DT56" i="7"/>
  <c r="EA55" i="7"/>
  <c r="DZ55" i="7"/>
  <c r="DY55" i="7"/>
  <c r="DX55" i="7"/>
  <c r="DW55" i="7"/>
  <c r="DV55" i="7"/>
  <c r="DU55" i="7"/>
  <c r="DT55" i="7"/>
  <c r="EA54" i="7"/>
  <c r="DZ54" i="7"/>
  <c r="DY54" i="7"/>
  <c r="DX54" i="7"/>
  <c r="DW54" i="7"/>
  <c r="DV54" i="7"/>
  <c r="DU54" i="7"/>
  <c r="DT54" i="7"/>
  <c r="EA53" i="7"/>
  <c r="DZ53" i="7"/>
  <c r="DY53" i="7"/>
  <c r="DX53" i="7"/>
  <c r="DW53" i="7"/>
  <c r="DV53" i="7"/>
  <c r="DU53" i="7"/>
  <c r="DT53" i="7"/>
  <c r="EA52" i="7"/>
  <c r="DZ52" i="7"/>
  <c r="DY52" i="7"/>
  <c r="DX52" i="7"/>
  <c r="DW52" i="7"/>
  <c r="DV52" i="7"/>
  <c r="DU52" i="7"/>
  <c r="DT52" i="7"/>
  <c r="EA51" i="7"/>
  <c r="DZ51" i="7"/>
  <c r="DY51" i="7"/>
  <c r="DX51" i="7"/>
  <c r="DW51" i="7"/>
  <c r="DV51" i="7"/>
  <c r="DU51" i="7"/>
  <c r="DT51" i="7"/>
  <c r="EA50" i="7"/>
  <c r="DZ50" i="7"/>
  <c r="DY50" i="7"/>
  <c r="DX50" i="7"/>
  <c r="DW50" i="7"/>
  <c r="DV50" i="7"/>
  <c r="DU50" i="7"/>
  <c r="DT50" i="7"/>
  <c r="EA49" i="7"/>
  <c r="DZ49" i="7"/>
  <c r="DY49" i="7"/>
  <c r="DX49" i="7"/>
  <c r="DW49" i="7"/>
  <c r="DV49" i="7"/>
  <c r="DU49" i="7"/>
  <c r="DT49" i="7"/>
  <c r="EA48" i="7"/>
  <c r="DZ48" i="7"/>
  <c r="DY48" i="7"/>
  <c r="DX48" i="7"/>
  <c r="DW48" i="7"/>
  <c r="DV48" i="7"/>
  <c r="DU48" i="7"/>
  <c r="DT48" i="7"/>
  <c r="EA47" i="7"/>
  <c r="DZ47" i="7"/>
  <c r="DY47" i="7"/>
  <c r="DX47" i="7"/>
  <c r="DW47" i="7"/>
  <c r="DV47" i="7"/>
  <c r="DU47" i="7"/>
  <c r="DT47" i="7"/>
  <c r="EA46" i="7"/>
  <c r="DZ46" i="7"/>
  <c r="DY46" i="7"/>
  <c r="DX46" i="7"/>
  <c r="DW46" i="7"/>
  <c r="DV46" i="7"/>
  <c r="DU46" i="7"/>
  <c r="DT46" i="7"/>
  <c r="EA45" i="7"/>
  <c r="DZ45" i="7"/>
  <c r="DY45" i="7"/>
  <c r="DX45" i="7"/>
  <c r="DW45" i="7"/>
  <c r="DV45" i="7"/>
  <c r="DU45" i="7"/>
  <c r="DT45" i="7"/>
  <c r="EA44" i="7"/>
  <c r="DZ44" i="7"/>
  <c r="DY44" i="7"/>
  <c r="DX44" i="7"/>
  <c r="DW44" i="7"/>
  <c r="DV44" i="7"/>
  <c r="DU44" i="7"/>
  <c r="DT44" i="7"/>
  <c r="EA43" i="7"/>
  <c r="DZ43" i="7"/>
  <c r="DY43" i="7"/>
  <c r="DX43" i="7"/>
  <c r="DW43" i="7"/>
  <c r="DV43" i="7"/>
  <c r="DU43" i="7"/>
  <c r="DT43" i="7"/>
  <c r="EA42" i="7"/>
  <c r="DZ42" i="7"/>
  <c r="DY42" i="7"/>
  <c r="DX42" i="7"/>
  <c r="DW42" i="7"/>
  <c r="DV42" i="7"/>
  <c r="DU42" i="7"/>
  <c r="DT42" i="7"/>
  <c r="EA41" i="7"/>
  <c r="DZ41" i="7"/>
  <c r="DY41" i="7"/>
  <c r="DX41" i="7"/>
  <c r="DW41" i="7"/>
  <c r="DV41" i="7"/>
  <c r="DU41" i="7"/>
  <c r="DT41" i="7"/>
  <c r="EA40" i="7"/>
  <c r="DZ40" i="7"/>
  <c r="DY40" i="7"/>
  <c r="DX40" i="7"/>
  <c r="DW40" i="7"/>
  <c r="DV40" i="7"/>
  <c r="DU40" i="7"/>
  <c r="DT40" i="7"/>
  <c r="EA39" i="7"/>
  <c r="DZ39" i="7"/>
  <c r="DY39" i="7"/>
  <c r="DX39" i="7"/>
  <c r="DW39" i="7"/>
  <c r="DV39" i="7"/>
  <c r="DU39" i="7"/>
  <c r="DT39" i="7"/>
  <c r="EA38" i="7"/>
  <c r="DZ38" i="7"/>
  <c r="DY38" i="7"/>
  <c r="DX38" i="7"/>
  <c r="DW38" i="7"/>
  <c r="DV38" i="7"/>
  <c r="DU38" i="7"/>
  <c r="DT38" i="7"/>
  <c r="EA37" i="7"/>
  <c r="DZ37" i="7"/>
  <c r="DY37" i="7"/>
  <c r="DX37" i="7"/>
  <c r="DW37" i="7"/>
  <c r="DV37" i="7"/>
  <c r="DU37" i="7"/>
  <c r="DT37" i="7"/>
  <c r="EA36" i="7"/>
  <c r="DZ36" i="7"/>
  <c r="DY36" i="7"/>
  <c r="DX36" i="7"/>
  <c r="DW36" i="7"/>
  <c r="DV36" i="7"/>
  <c r="DU36" i="7"/>
  <c r="DT36" i="7"/>
  <c r="EA35" i="7"/>
  <c r="DZ35" i="7"/>
  <c r="DY35" i="7"/>
  <c r="DX35" i="7"/>
  <c r="DW35" i="7"/>
  <c r="DV35" i="7"/>
  <c r="DU35" i="7"/>
  <c r="DT35" i="7"/>
  <c r="DX81" i="8"/>
  <c r="DV81" i="8"/>
  <c r="EA81" i="8"/>
  <c r="DR81" i="8"/>
  <c r="CZ87" i="7" l="1"/>
  <c r="D145" i="7" a="1"/>
  <c r="D145" i="7" s="1"/>
  <c r="D176" i="7" a="1"/>
  <c r="D176" i="7" s="1"/>
  <c r="D191" i="7" a="1"/>
  <c r="D191" i="7" s="1"/>
  <c r="FR90" i="7"/>
  <c r="D181" i="7" a="1"/>
  <c r="D181" i="7" s="1"/>
  <c r="EX90" i="7"/>
  <c r="D171" i="7" a="1"/>
  <c r="D171" i="7" s="1"/>
  <c r="GB90" i="7"/>
  <c r="D186" i="7" a="1"/>
  <c r="D186" i="7" s="1"/>
  <c r="CZ90" i="7"/>
  <c r="D146" i="7" a="1"/>
  <c r="D146" i="7" s="1"/>
  <c r="FH90" i="7"/>
  <c r="GL90" i="7"/>
  <c r="EG86" i="7"/>
  <c r="EG87" i="7" s="1"/>
  <c r="DZ86" i="7"/>
  <c r="DZ87" i="7" s="1"/>
  <c r="EA86" i="7"/>
  <c r="EA87" i="7" s="1"/>
  <c r="FA86" i="7"/>
  <c r="FA87" i="7" s="1"/>
  <c r="FY86" i="7"/>
  <c r="FY87" i="7" s="1"/>
  <c r="EY86" i="7"/>
  <c r="EY87" i="7" s="1"/>
  <c r="FW86" i="7"/>
  <c r="FW87" i="7" s="1"/>
  <c r="GB86" i="7"/>
  <c r="DX86" i="7"/>
  <c r="DX87" i="7" s="1"/>
  <c r="EE86" i="7"/>
  <c r="EE87" i="7" s="1"/>
  <c r="EX86" i="7"/>
  <c r="FV86" i="7"/>
  <c r="FV87" i="7" s="1"/>
  <c r="GS86" i="7"/>
  <c r="GS87" i="7" s="1"/>
  <c r="GC86" i="7"/>
  <c r="GC87" i="7" s="1"/>
  <c r="DD83" i="7"/>
  <c r="DD84" i="7" s="1"/>
  <c r="EP86" i="7"/>
  <c r="EP87" i="7" s="1"/>
  <c r="FH86" i="7"/>
  <c r="EJ86" i="7"/>
  <c r="EJ87" i="7" s="1"/>
  <c r="GE86" i="7"/>
  <c r="GE87" i="7" s="1"/>
  <c r="EK86" i="7"/>
  <c r="EK87" i="7" s="1"/>
  <c r="ES86" i="7"/>
  <c r="ES87" i="7" s="1"/>
  <c r="FK86" i="7"/>
  <c r="FK87" i="7" s="1"/>
  <c r="GN86" i="7"/>
  <c r="GN87" i="7" s="1"/>
  <c r="GH86" i="7"/>
  <c r="GH87" i="7" s="1"/>
  <c r="DU86" i="7"/>
  <c r="DU87" i="7" s="1"/>
  <c r="FM86" i="7"/>
  <c r="FM87" i="7" s="1"/>
  <c r="FS86" i="7"/>
  <c r="FS87" i="7" s="1"/>
  <c r="GI86" i="7"/>
  <c r="GI87" i="7" s="1"/>
  <c r="GP86" i="7"/>
  <c r="GP87" i="7" s="1"/>
  <c r="FB86" i="7"/>
  <c r="FB87" i="7" s="1"/>
  <c r="GD86" i="7"/>
  <c r="GD87" i="7" s="1"/>
  <c r="FI86" i="7"/>
  <c r="FI87" i="7" s="1"/>
  <c r="FJ86" i="7"/>
  <c r="FJ87" i="7" s="1"/>
  <c r="FE86" i="7"/>
  <c r="FE87" i="7" s="1"/>
  <c r="GG86" i="7"/>
  <c r="GG87" i="7" s="1"/>
  <c r="FL86" i="7"/>
  <c r="FL87" i="7" s="1"/>
  <c r="FT86" i="7"/>
  <c r="FT87" i="7" s="1"/>
  <c r="EQ86" i="7"/>
  <c r="EQ87" i="7" s="1"/>
  <c r="GL86" i="7"/>
  <c r="GM86" i="7"/>
  <c r="GM87" i="7" s="1"/>
  <c r="DW86" i="7"/>
  <c r="DW87" i="7" s="1"/>
  <c r="ED86" i="7"/>
  <c r="FO86" i="7"/>
  <c r="FO87" i="7" s="1"/>
  <c r="FU86" i="7"/>
  <c r="FU87" i="7" s="1"/>
  <c r="GR86" i="7"/>
  <c r="GR87" i="7" s="1"/>
  <c r="EH86" i="7"/>
  <c r="EH87" i="7" s="1"/>
  <c r="DB83" i="7"/>
  <c r="DB84" i="7" s="1"/>
  <c r="DV86" i="7"/>
  <c r="DV87" i="7" s="1"/>
  <c r="EZ86" i="7"/>
  <c r="EZ87" i="7" s="1"/>
  <c r="CZ83" i="7"/>
  <c r="DC83" i="7"/>
  <c r="DC84" i="7" s="1"/>
  <c r="ET86" i="7"/>
  <c r="ET87" i="7" s="1"/>
  <c r="FD86" i="7"/>
  <c r="FD87" i="7" s="1"/>
  <c r="FX86" i="7"/>
  <c r="FX87" i="7" s="1"/>
  <c r="GQ86" i="7"/>
  <c r="GQ87" i="7" s="1"/>
  <c r="GF86" i="7"/>
  <c r="GF87" i="7" s="1"/>
  <c r="DT86" i="7"/>
  <c r="EI86" i="7"/>
  <c r="EI87" i="7" s="1"/>
  <c r="FR86" i="7"/>
  <c r="GO86" i="7"/>
  <c r="GO87" i="7" s="1"/>
  <c r="DY86" i="7"/>
  <c r="DY87" i="7" s="1"/>
  <c r="EU86" i="7"/>
  <c r="EU87" i="7" s="1"/>
  <c r="EN86" i="7"/>
  <c r="FN86" i="7"/>
  <c r="FN87" i="7" s="1"/>
  <c r="ER86" i="7"/>
  <c r="ER87" i="7" s="1"/>
  <c r="DA83" i="7"/>
  <c r="DA84" i="7" s="1"/>
  <c r="EO86" i="7"/>
  <c r="EO87" i="7" s="1"/>
  <c r="DE83" i="7"/>
  <c r="DE84" i="7" s="1"/>
  <c r="DF83" i="7"/>
  <c r="DF84" i="7" s="1"/>
  <c r="EF86" i="7"/>
  <c r="EF87" i="7" s="1"/>
  <c r="DG83" i="7"/>
  <c r="DG84" i="7" s="1"/>
  <c r="FC86" i="7"/>
  <c r="FC87" i="7" s="1"/>
  <c r="GM81" i="8"/>
  <c r="DL36" i="8"/>
  <c r="GL81" i="8"/>
  <c r="FX81" i="8"/>
  <c r="GF81" i="8"/>
  <c r="GG81" i="8"/>
  <c r="GU81" i="8"/>
  <c r="DS81" i="8"/>
  <c r="GO81" i="8"/>
  <c r="EW36" i="8"/>
  <c r="EO81" i="8"/>
  <c r="EG81" i="8"/>
  <c r="EY81" i="8"/>
  <c r="GI81" i="8"/>
  <c r="DU67" i="8"/>
  <c r="ED67" i="8"/>
  <c r="DN81" i="8"/>
  <c r="FK36" i="8"/>
  <c r="FG81" i="8"/>
  <c r="FK81" i="8"/>
  <c r="FP81" i="8"/>
  <c r="DO81" i="8"/>
  <c r="FH81" i="8"/>
  <c r="FL81" i="8"/>
  <c r="FQ81" i="8"/>
  <c r="FU81" i="8"/>
  <c r="GR81" i="8"/>
  <c r="GP36" i="8"/>
  <c r="DW81" i="8"/>
  <c r="EX81" i="8"/>
  <c r="FY81" i="8"/>
  <c r="GQ81" i="8"/>
  <c r="DM81" i="8"/>
  <c r="DP81" i="8"/>
  <c r="DY81" i="8"/>
  <c r="EQ81" i="8"/>
  <c r="GJ81" i="8"/>
  <c r="GS81" i="8"/>
  <c r="FT81" i="8"/>
  <c r="EB81" i="8"/>
  <c r="GP81" i="8"/>
  <c r="EF81" i="8"/>
  <c r="GH81" i="8"/>
  <c r="EP81" i="8"/>
  <c r="FZ81" i="8"/>
  <c r="DL81" i="8"/>
  <c r="EM67" i="8"/>
  <c r="EV67" i="8"/>
  <c r="FE67" i="8"/>
  <c r="FN67" i="8"/>
  <c r="EH81" i="8"/>
  <c r="EZ81" i="8"/>
  <c r="FI81" i="8"/>
  <c r="FR81" i="8"/>
  <c r="GA81" i="8"/>
  <c r="DQ81" i="8"/>
  <c r="DZ81" i="8"/>
  <c r="EI81" i="8"/>
  <c r="ER81" i="8"/>
  <c r="FA81" i="8"/>
  <c r="FJ81" i="8"/>
  <c r="FS81" i="8"/>
  <c r="GB81" i="8"/>
  <c r="GK81" i="8"/>
  <c r="GT81" i="8"/>
  <c r="GP67" i="8"/>
  <c r="DX67" i="8"/>
  <c r="EY67" i="8"/>
  <c r="FY67" i="8"/>
  <c r="GQ67" i="8"/>
  <c r="EH67" i="8"/>
  <c r="EZ67" i="8"/>
  <c r="FR67" i="8"/>
  <c r="GI67" i="8"/>
  <c r="DQ67" i="8"/>
  <c r="EI67" i="8"/>
  <c r="FA67" i="8"/>
  <c r="FS67" i="8"/>
  <c r="GJ67" i="8"/>
  <c r="DR67" i="8"/>
  <c r="EJ67" i="8"/>
  <c r="FK67" i="8"/>
  <c r="GB67" i="8"/>
  <c r="GK67" i="8"/>
  <c r="GT67" i="8"/>
  <c r="DS67" i="8"/>
  <c r="EB67" i="8"/>
  <c r="EK67" i="8"/>
  <c r="ET67" i="8"/>
  <c r="FC67" i="8"/>
  <c r="FL67" i="8"/>
  <c r="FU67" i="8"/>
  <c r="GC67" i="8"/>
  <c r="GL67" i="8"/>
  <c r="GU67" i="8"/>
  <c r="DM67" i="8"/>
  <c r="DV67" i="8"/>
  <c r="EE67" i="8"/>
  <c r="EN67" i="8"/>
  <c r="EW67" i="8"/>
  <c r="FF67" i="8"/>
  <c r="FO67" i="8"/>
  <c r="FW67" i="8"/>
  <c r="GF67" i="8"/>
  <c r="GO67" i="8"/>
  <c r="DN67" i="8"/>
  <c r="DW67" i="8"/>
  <c r="EF67" i="8"/>
  <c r="EO67" i="8"/>
  <c r="EX67" i="8"/>
  <c r="FG67" i="8"/>
  <c r="FP67" i="8"/>
  <c r="FX67" i="8"/>
  <c r="GG67" i="8"/>
  <c r="DO67" i="8"/>
  <c r="EG67" i="8"/>
  <c r="EP67" i="8"/>
  <c r="FH67" i="8"/>
  <c r="FQ67" i="8"/>
  <c r="GH67" i="8"/>
  <c r="DP67" i="8"/>
  <c r="DY67" i="8"/>
  <c r="EQ67" i="8"/>
  <c r="FI67" i="8"/>
  <c r="FZ67" i="8"/>
  <c r="GR67" i="8"/>
  <c r="DZ67" i="8"/>
  <c r="ER67" i="8"/>
  <c r="FJ67" i="8"/>
  <c r="GA67" i="8"/>
  <c r="GS67" i="8"/>
  <c r="EA67" i="8"/>
  <c r="ES67" i="8"/>
  <c r="FB67" i="8"/>
  <c r="FT67" i="8"/>
  <c r="DU81" i="8"/>
  <c r="ED81" i="8"/>
  <c r="EM81" i="8"/>
  <c r="EV81" i="8"/>
  <c r="FE81" i="8"/>
  <c r="FN81" i="8"/>
  <c r="GD67" i="8"/>
  <c r="GM67" i="8"/>
  <c r="GV67" i="8"/>
  <c r="FL36" i="8"/>
  <c r="GB36" i="8"/>
  <c r="GQ36" i="8"/>
  <c r="DM36" i="8"/>
  <c r="EY36" i="8"/>
  <c r="FO36" i="8"/>
  <c r="GK36" i="8"/>
  <c r="DV36" i="8"/>
  <c r="EZ36" i="8"/>
  <c r="GL36" i="8"/>
  <c r="DW36" i="8"/>
  <c r="FA36" i="8"/>
  <c r="GM36" i="8"/>
  <c r="DP36" i="8"/>
  <c r="GA36" i="8"/>
  <c r="EX36" i="8"/>
  <c r="GJ36" i="8"/>
  <c r="GC36" i="8"/>
  <c r="DN36" i="8"/>
  <c r="FP36" i="8"/>
  <c r="DO36" i="8"/>
  <c r="FQ36" i="8"/>
  <c r="DX36" i="8"/>
  <c r="FB36" i="8"/>
  <c r="DY36" i="8"/>
  <c r="EN36" i="8"/>
  <c r="FC36" i="8"/>
  <c r="DZ36" i="8"/>
  <c r="EO36" i="8"/>
  <c r="EA36" i="8"/>
  <c r="EP36" i="8"/>
  <c r="EB36" i="8"/>
  <c r="EI36" i="8"/>
  <c r="FX36" i="8"/>
  <c r="EJ36" i="8"/>
  <c r="FY36" i="8"/>
  <c r="EK36" i="8"/>
  <c r="FJ36" i="8"/>
  <c r="FZ36" i="8"/>
  <c r="GD36" i="8"/>
  <c r="DQ36" i="8"/>
  <c r="EE36" i="8"/>
  <c r="FS36" i="8"/>
  <c r="DR36" i="8"/>
  <c r="EF36" i="8"/>
  <c r="ES36" i="8"/>
  <c r="FG36" i="8"/>
  <c r="FT36" i="8"/>
  <c r="GG36" i="8"/>
  <c r="GT36" i="8"/>
  <c r="DS36" i="8"/>
  <c r="EG36" i="8"/>
  <c r="ET36" i="8"/>
  <c r="FH36" i="8"/>
  <c r="FU36" i="8"/>
  <c r="GH36" i="8"/>
  <c r="GU36" i="8"/>
  <c r="EQ36" i="8"/>
  <c r="FR36" i="8"/>
  <c r="GR36" i="8"/>
  <c r="ER36" i="8"/>
  <c r="FF36" i="8"/>
  <c r="GS36" i="8"/>
  <c r="EH36" i="8"/>
  <c r="FI36" i="8"/>
  <c r="GI36" i="8"/>
  <c r="GV36" i="8"/>
  <c r="C63" i="7"/>
  <c r="C62" i="7"/>
  <c r="C61" i="7"/>
  <c r="C60" i="7"/>
  <c r="C59" i="7"/>
  <c r="C58" i="7"/>
  <c r="C57" i="7"/>
  <c r="C56" i="7"/>
  <c r="C55" i="7"/>
  <c r="C54" i="7"/>
  <c r="C33" i="7"/>
  <c r="C32" i="7"/>
  <c r="C31" i="7"/>
  <c r="C30" i="7"/>
  <c r="C29" i="7"/>
  <c r="C28" i="7"/>
  <c r="C27" i="7"/>
  <c r="C26" i="7"/>
  <c r="C25" i="7"/>
  <c r="C24" i="7"/>
  <c r="DJ65" i="8"/>
  <c r="CW63" i="7" s="1"/>
  <c r="DI65" i="8"/>
  <c r="CV63" i="7" s="1"/>
  <c r="DH65" i="8"/>
  <c r="CU63" i="7" s="1"/>
  <c r="DG65" i="8"/>
  <c r="CT63" i="7" s="1"/>
  <c r="DF65" i="8"/>
  <c r="CS63" i="7" s="1"/>
  <c r="DE65" i="8"/>
  <c r="CR63" i="7" s="1"/>
  <c r="DD65" i="8"/>
  <c r="CQ63" i="7" s="1"/>
  <c r="DC65" i="8"/>
  <c r="CP63" i="7" s="1"/>
  <c r="DA65" i="8"/>
  <c r="CM63" i="7" s="1"/>
  <c r="CZ65" i="8"/>
  <c r="CL63" i="7" s="1"/>
  <c r="CY65" i="8"/>
  <c r="CK63" i="7" s="1"/>
  <c r="CX65" i="8"/>
  <c r="CJ63" i="7" s="1"/>
  <c r="CW65" i="8"/>
  <c r="CI63" i="7" s="1"/>
  <c r="CV65" i="8"/>
  <c r="CH63" i="7" s="1"/>
  <c r="CU65" i="8"/>
  <c r="CG63" i="7" s="1"/>
  <c r="CT65" i="8"/>
  <c r="CF63" i="7" s="1"/>
  <c r="CR65" i="8"/>
  <c r="CC63" i="7" s="1"/>
  <c r="CQ65" i="8"/>
  <c r="CB63" i="7" s="1"/>
  <c r="CP65" i="8"/>
  <c r="CA63" i="7" s="1"/>
  <c r="CO65" i="8"/>
  <c r="BZ63" i="7" s="1"/>
  <c r="CN65" i="8"/>
  <c r="BY63" i="7" s="1"/>
  <c r="CM65" i="8"/>
  <c r="BX63" i="7" s="1"/>
  <c r="CL65" i="8"/>
  <c r="BW63" i="7" s="1"/>
  <c r="CK65" i="8"/>
  <c r="BV63" i="7" s="1"/>
  <c r="CI65" i="8"/>
  <c r="BS63" i="7" s="1"/>
  <c r="CH65" i="8"/>
  <c r="BR63" i="7" s="1"/>
  <c r="CG65" i="8"/>
  <c r="BQ63" i="7" s="1"/>
  <c r="CF65" i="8"/>
  <c r="BP63" i="7" s="1"/>
  <c r="CE65" i="8"/>
  <c r="BO63" i="7" s="1"/>
  <c r="CD65" i="8"/>
  <c r="BN63" i="7" s="1"/>
  <c r="CC65" i="8"/>
  <c r="BM63" i="7" s="1"/>
  <c r="CB65" i="8"/>
  <c r="BL63" i="7" s="1"/>
  <c r="BZ65" i="8"/>
  <c r="BI63" i="7" s="1"/>
  <c r="BY65" i="8"/>
  <c r="BH63" i="7" s="1"/>
  <c r="BX65" i="8"/>
  <c r="BG63" i="7" s="1"/>
  <c r="BW65" i="8"/>
  <c r="BF63" i="7" s="1"/>
  <c r="BV65" i="8"/>
  <c r="BE63" i="7" s="1"/>
  <c r="BU65" i="8"/>
  <c r="BD63" i="7" s="1"/>
  <c r="BT65" i="8"/>
  <c r="BC63" i="7" s="1"/>
  <c r="BS65" i="8"/>
  <c r="BB63" i="7" s="1"/>
  <c r="BQ65" i="8"/>
  <c r="AY63" i="7" s="1"/>
  <c r="BP65" i="8"/>
  <c r="AX63" i="7" s="1"/>
  <c r="BO65" i="8"/>
  <c r="AW63" i="7" s="1"/>
  <c r="BN65" i="8"/>
  <c r="AV63" i="7" s="1"/>
  <c r="BM65" i="8"/>
  <c r="AU63" i="7" s="1"/>
  <c r="BL65" i="8"/>
  <c r="AT63" i="7" s="1"/>
  <c r="BK65" i="8"/>
  <c r="AS63" i="7" s="1"/>
  <c r="BJ65" i="8"/>
  <c r="AR63" i="7" s="1"/>
  <c r="BH65" i="8"/>
  <c r="AO63" i="7" s="1"/>
  <c r="BG65" i="8"/>
  <c r="AN63" i="7" s="1"/>
  <c r="BF65" i="8"/>
  <c r="AM63" i="7" s="1"/>
  <c r="BE65" i="8"/>
  <c r="AL63" i="7" s="1"/>
  <c r="BD65" i="8"/>
  <c r="AK63" i="7" s="1"/>
  <c r="BC65" i="8"/>
  <c r="AJ63" i="7" s="1"/>
  <c r="BB65" i="8"/>
  <c r="AI63" i="7" s="1"/>
  <c r="BA65" i="8"/>
  <c r="AH63" i="7" s="1"/>
  <c r="AY65" i="8"/>
  <c r="AE63" i="7" s="1"/>
  <c r="AX65" i="8"/>
  <c r="AD63" i="7" s="1"/>
  <c r="AW65" i="8"/>
  <c r="AC63" i="7" s="1"/>
  <c r="AV65" i="8"/>
  <c r="AB63" i="7" s="1"/>
  <c r="AU65" i="8"/>
  <c r="AA63" i="7" s="1"/>
  <c r="AT65" i="8"/>
  <c r="Z63" i="7" s="1"/>
  <c r="AS65" i="8"/>
  <c r="Y63" i="7" s="1"/>
  <c r="AR65" i="8"/>
  <c r="X63" i="7" s="1"/>
  <c r="AP65" i="8"/>
  <c r="U63" i="7" s="1"/>
  <c r="AO65" i="8"/>
  <c r="T63" i="7" s="1"/>
  <c r="AN65" i="8"/>
  <c r="S63" i="7" s="1"/>
  <c r="AM65" i="8"/>
  <c r="R63" i="7" s="1"/>
  <c r="AL65" i="8"/>
  <c r="Q63" i="7" s="1"/>
  <c r="AK65" i="8"/>
  <c r="P63" i="7" s="1"/>
  <c r="AJ65" i="8"/>
  <c r="O63" i="7" s="1"/>
  <c r="AI65" i="8"/>
  <c r="N63" i="7" s="1"/>
  <c r="AG65" i="8"/>
  <c r="K63" i="7" s="1"/>
  <c r="AF65" i="8"/>
  <c r="J63" i="7" s="1"/>
  <c r="AE65" i="8"/>
  <c r="I63" i="7" s="1"/>
  <c r="AD65" i="8"/>
  <c r="H63" i="7" s="1"/>
  <c r="AC65" i="8"/>
  <c r="G63" i="7" s="1"/>
  <c r="AB65" i="8"/>
  <c r="F63" i="7" s="1"/>
  <c r="AA65" i="8"/>
  <c r="E63" i="7" s="1"/>
  <c r="Z65" i="8"/>
  <c r="D63" i="7" s="1"/>
  <c r="DJ64" i="8"/>
  <c r="CW62" i="7" s="1"/>
  <c r="DI64" i="8"/>
  <c r="CV62" i="7" s="1"/>
  <c r="DH64" i="8"/>
  <c r="CU62" i="7" s="1"/>
  <c r="DG64" i="8"/>
  <c r="CT62" i="7" s="1"/>
  <c r="DF64" i="8"/>
  <c r="CS62" i="7" s="1"/>
  <c r="DE64" i="8"/>
  <c r="CR62" i="7" s="1"/>
  <c r="DD64" i="8"/>
  <c r="CQ62" i="7" s="1"/>
  <c r="DC64" i="8"/>
  <c r="CP62" i="7" s="1"/>
  <c r="DA64" i="8"/>
  <c r="CM62" i="7" s="1"/>
  <c r="CZ64" i="8"/>
  <c r="CL62" i="7" s="1"/>
  <c r="CY64" i="8"/>
  <c r="CK62" i="7" s="1"/>
  <c r="CX64" i="8"/>
  <c r="CJ62" i="7" s="1"/>
  <c r="CW64" i="8"/>
  <c r="CI62" i="7" s="1"/>
  <c r="CV64" i="8"/>
  <c r="CH62" i="7" s="1"/>
  <c r="CU64" i="8"/>
  <c r="CG62" i="7" s="1"/>
  <c r="CT64" i="8"/>
  <c r="CF62" i="7" s="1"/>
  <c r="CR64" i="8"/>
  <c r="CC62" i="7" s="1"/>
  <c r="CQ64" i="8"/>
  <c r="CB62" i="7" s="1"/>
  <c r="CP64" i="8"/>
  <c r="CA62" i="7" s="1"/>
  <c r="CO64" i="8"/>
  <c r="BZ62" i="7" s="1"/>
  <c r="CN64" i="8"/>
  <c r="BY62" i="7" s="1"/>
  <c r="CM64" i="8"/>
  <c r="BX62" i="7" s="1"/>
  <c r="CL64" i="8"/>
  <c r="BW62" i="7" s="1"/>
  <c r="CK64" i="8"/>
  <c r="BV62" i="7" s="1"/>
  <c r="CI64" i="8"/>
  <c r="BS62" i="7" s="1"/>
  <c r="CH64" i="8"/>
  <c r="BR62" i="7" s="1"/>
  <c r="CG64" i="8"/>
  <c r="BQ62" i="7" s="1"/>
  <c r="CF64" i="8"/>
  <c r="BP62" i="7" s="1"/>
  <c r="CE64" i="8"/>
  <c r="BO62" i="7" s="1"/>
  <c r="CD64" i="8"/>
  <c r="BN62" i="7" s="1"/>
  <c r="CC64" i="8"/>
  <c r="BM62" i="7" s="1"/>
  <c r="CB64" i="8"/>
  <c r="BL62" i="7" s="1"/>
  <c r="BZ64" i="8"/>
  <c r="BI62" i="7" s="1"/>
  <c r="BY64" i="8"/>
  <c r="BH62" i="7" s="1"/>
  <c r="BX64" i="8"/>
  <c r="BG62" i="7" s="1"/>
  <c r="BW64" i="8"/>
  <c r="BF62" i="7" s="1"/>
  <c r="BV64" i="8"/>
  <c r="BE62" i="7" s="1"/>
  <c r="BU64" i="8"/>
  <c r="BD62" i="7" s="1"/>
  <c r="BT64" i="8"/>
  <c r="BC62" i="7" s="1"/>
  <c r="BS64" i="8"/>
  <c r="BB62" i="7" s="1"/>
  <c r="BQ64" i="8"/>
  <c r="AY62" i="7" s="1"/>
  <c r="BP64" i="8"/>
  <c r="AX62" i="7" s="1"/>
  <c r="BO64" i="8"/>
  <c r="AW62" i="7" s="1"/>
  <c r="BN64" i="8"/>
  <c r="AV62" i="7" s="1"/>
  <c r="BM64" i="8"/>
  <c r="AU62" i="7" s="1"/>
  <c r="BL64" i="8"/>
  <c r="AT62" i="7" s="1"/>
  <c r="BK64" i="8"/>
  <c r="AS62" i="7" s="1"/>
  <c r="BJ64" i="8"/>
  <c r="AR62" i="7" s="1"/>
  <c r="BH64" i="8"/>
  <c r="AO62" i="7" s="1"/>
  <c r="BG64" i="8"/>
  <c r="AN62" i="7" s="1"/>
  <c r="BF64" i="8"/>
  <c r="AM62" i="7" s="1"/>
  <c r="BE64" i="8"/>
  <c r="AL62" i="7" s="1"/>
  <c r="BD64" i="8"/>
  <c r="AK62" i="7" s="1"/>
  <c r="BC64" i="8"/>
  <c r="AJ62" i="7" s="1"/>
  <c r="BB64" i="8"/>
  <c r="AI62" i="7" s="1"/>
  <c r="BA64" i="8"/>
  <c r="AH62" i="7" s="1"/>
  <c r="AY64" i="8"/>
  <c r="AE62" i="7" s="1"/>
  <c r="AX64" i="8"/>
  <c r="AD62" i="7" s="1"/>
  <c r="AW64" i="8"/>
  <c r="AC62" i="7" s="1"/>
  <c r="AV64" i="8"/>
  <c r="AB62" i="7" s="1"/>
  <c r="AU64" i="8"/>
  <c r="AA62" i="7" s="1"/>
  <c r="AT64" i="8"/>
  <c r="Z62" i="7" s="1"/>
  <c r="AS64" i="8"/>
  <c r="Y62" i="7" s="1"/>
  <c r="AR64" i="8"/>
  <c r="X62" i="7" s="1"/>
  <c r="AP64" i="8"/>
  <c r="U62" i="7" s="1"/>
  <c r="AO64" i="8"/>
  <c r="T62" i="7" s="1"/>
  <c r="AN64" i="8"/>
  <c r="S62" i="7" s="1"/>
  <c r="AM64" i="8"/>
  <c r="R62" i="7" s="1"/>
  <c r="AL64" i="8"/>
  <c r="Q62" i="7" s="1"/>
  <c r="AK64" i="8"/>
  <c r="P62" i="7" s="1"/>
  <c r="AJ64" i="8"/>
  <c r="O62" i="7" s="1"/>
  <c r="AI64" i="8"/>
  <c r="N62" i="7" s="1"/>
  <c r="AG64" i="8"/>
  <c r="K62" i="7" s="1"/>
  <c r="AF64" i="8"/>
  <c r="J62" i="7" s="1"/>
  <c r="AE64" i="8"/>
  <c r="I62" i="7" s="1"/>
  <c r="AD64" i="8"/>
  <c r="H62" i="7" s="1"/>
  <c r="AC64" i="8"/>
  <c r="G62" i="7" s="1"/>
  <c r="AB64" i="8"/>
  <c r="F62" i="7" s="1"/>
  <c r="AA64" i="8"/>
  <c r="E62" i="7" s="1"/>
  <c r="Z64" i="8"/>
  <c r="D62" i="7" s="1"/>
  <c r="DJ63" i="8"/>
  <c r="CW61" i="7" s="1"/>
  <c r="DI63" i="8"/>
  <c r="CV61" i="7" s="1"/>
  <c r="DH63" i="8"/>
  <c r="CU61" i="7" s="1"/>
  <c r="DG63" i="8"/>
  <c r="CT61" i="7" s="1"/>
  <c r="DF63" i="8"/>
  <c r="CS61" i="7" s="1"/>
  <c r="DE63" i="8"/>
  <c r="CR61" i="7" s="1"/>
  <c r="DD63" i="8"/>
  <c r="CQ61" i="7" s="1"/>
  <c r="DC63" i="8"/>
  <c r="CP61" i="7" s="1"/>
  <c r="DA63" i="8"/>
  <c r="CM61" i="7" s="1"/>
  <c r="CZ63" i="8"/>
  <c r="CL61" i="7" s="1"/>
  <c r="CY63" i="8"/>
  <c r="CK61" i="7" s="1"/>
  <c r="CX63" i="8"/>
  <c r="CJ61" i="7" s="1"/>
  <c r="CW63" i="8"/>
  <c r="CI61" i="7" s="1"/>
  <c r="CV63" i="8"/>
  <c r="CH61" i="7" s="1"/>
  <c r="CU63" i="8"/>
  <c r="CG61" i="7" s="1"/>
  <c r="CT63" i="8"/>
  <c r="CF61" i="7" s="1"/>
  <c r="CR63" i="8"/>
  <c r="CC61" i="7" s="1"/>
  <c r="CQ63" i="8"/>
  <c r="CB61" i="7" s="1"/>
  <c r="CP63" i="8"/>
  <c r="CA61" i="7" s="1"/>
  <c r="CO63" i="8"/>
  <c r="BZ61" i="7" s="1"/>
  <c r="CN63" i="8"/>
  <c r="BY61" i="7" s="1"/>
  <c r="CM63" i="8"/>
  <c r="BX61" i="7" s="1"/>
  <c r="CL63" i="8"/>
  <c r="BW61" i="7" s="1"/>
  <c r="CK63" i="8"/>
  <c r="BV61" i="7" s="1"/>
  <c r="CI63" i="8"/>
  <c r="BS61" i="7" s="1"/>
  <c r="CH63" i="8"/>
  <c r="BR61" i="7" s="1"/>
  <c r="CG63" i="8"/>
  <c r="BQ61" i="7" s="1"/>
  <c r="CF63" i="8"/>
  <c r="BP61" i="7" s="1"/>
  <c r="CE63" i="8"/>
  <c r="BO61" i="7" s="1"/>
  <c r="CD63" i="8"/>
  <c r="BN61" i="7" s="1"/>
  <c r="CC63" i="8"/>
  <c r="BM61" i="7" s="1"/>
  <c r="CB63" i="8"/>
  <c r="BL61" i="7" s="1"/>
  <c r="BZ63" i="8"/>
  <c r="BI61" i="7" s="1"/>
  <c r="BY63" i="8"/>
  <c r="BH61" i="7" s="1"/>
  <c r="BX63" i="8"/>
  <c r="BG61" i="7" s="1"/>
  <c r="BW63" i="8"/>
  <c r="BF61" i="7" s="1"/>
  <c r="BV63" i="8"/>
  <c r="BE61" i="7" s="1"/>
  <c r="BU63" i="8"/>
  <c r="BD61" i="7" s="1"/>
  <c r="BT63" i="8"/>
  <c r="BC61" i="7" s="1"/>
  <c r="BS63" i="8"/>
  <c r="BB61" i="7" s="1"/>
  <c r="BQ63" i="8"/>
  <c r="AY61" i="7" s="1"/>
  <c r="BP63" i="8"/>
  <c r="AX61" i="7" s="1"/>
  <c r="BO63" i="8"/>
  <c r="AW61" i="7" s="1"/>
  <c r="BN63" i="8"/>
  <c r="AV61" i="7" s="1"/>
  <c r="BM63" i="8"/>
  <c r="AU61" i="7" s="1"/>
  <c r="BL63" i="8"/>
  <c r="AT61" i="7" s="1"/>
  <c r="BK63" i="8"/>
  <c r="AS61" i="7" s="1"/>
  <c r="BJ63" i="8"/>
  <c r="AR61" i="7" s="1"/>
  <c r="BH63" i="8"/>
  <c r="AO61" i="7" s="1"/>
  <c r="BG63" i="8"/>
  <c r="AN61" i="7" s="1"/>
  <c r="BF63" i="8"/>
  <c r="AM61" i="7" s="1"/>
  <c r="BE63" i="8"/>
  <c r="AL61" i="7" s="1"/>
  <c r="BD63" i="8"/>
  <c r="AK61" i="7" s="1"/>
  <c r="BC63" i="8"/>
  <c r="AJ61" i="7" s="1"/>
  <c r="BB63" i="8"/>
  <c r="AI61" i="7" s="1"/>
  <c r="BA63" i="8"/>
  <c r="AH61" i="7" s="1"/>
  <c r="AY63" i="8"/>
  <c r="AE61" i="7" s="1"/>
  <c r="AX63" i="8"/>
  <c r="AD61" i="7" s="1"/>
  <c r="AW63" i="8"/>
  <c r="AC61" i="7" s="1"/>
  <c r="AV63" i="8"/>
  <c r="AB61" i="7" s="1"/>
  <c r="AU63" i="8"/>
  <c r="AA61" i="7" s="1"/>
  <c r="AT63" i="8"/>
  <c r="Z61" i="7" s="1"/>
  <c r="AS63" i="8"/>
  <c r="Y61" i="7" s="1"/>
  <c r="AR63" i="8"/>
  <c r="X61" i="7" s="1"/>
  <c r="AP63" i="8"/>
  <c r="U61" i="7" s="1"/>
  <c r="AO63" i="8"/>
  <c r="T61" i="7" s="1"/>
  <c r="AN63" i="8"/>
  <c r="S61" i="7" s="1"/>
  <c r="AM63" i="8"/>
  <c r="R61" i="7" s="1"/>
  <c r="AL63" i="8"/>
  <c r="Q61" i="7" s="1"/>
  <c r="AK63" i="8"/>
  <c r="P61" i="7" s="1"/>
  <c r="AJ63" i="8"/>
  <c r="O61" i="7" s="1"/>
  <c r="AI63" i="8"/>
  <c r="N61" i="7" s="1"/>
  <c r="AG63" i="8"/>
  <c r="K61" i="7" s="1"/>
  <c r="AF63" i="8"/>
  <c r="J61" i="7" s="1"/>
  <c r="AE63" i="8"/>
  <c r="I61" i="7" s="1"/>
  <c r="AD63" i="8"/>
  <c r="H61" i="7" s="1"/>
  <c r="AC63" i="8"/>
  <c r="G61" i="7" s="1"/>
  <c r="AB63" i="8"/>
  <c r="F61" i="7" s="1"/>
  <c r="AA63" i="8"/>
  <c r="E61" i="7" s="1"/>
  <c r="Z63" i="8"/>
  <c r="D61" i="7" s="1"/>
  <c r="DJ62" i="8"/>
  <c r="CW60" i="7" s="1"/>
  <c r="DI62" i="8"/>
  <c r="CV60" i="7" s="1"/>
  <c r="DH62" i="8"/>
  <c r="CU60" i="7" s="1"/>
  <c r="DG62" i="8"/>
  <c r="CT60" i="7" s="1"/>
  <c r="DF62" i="8"/>
  <c r="CS60" i="7" s="1"/>
  <c r="DE62" i="8"/>
  <c r="CR60" i="7" s="1"/>
  <c r="DD62" i="8"/>
  <c r="CQ60" i="7" s="1"/>
  <c r="DC62" i="8"/>
  <c r="CP60" i="7" s="1"/>
  <c r="DA62" i="8"/>
  <c r="CM60" i="7" s="1"/>
  <c r="CZ62" i="8"/>
  <c r="CL60" i="7" s="1"/>
  <c r="CY62" i="8"/>
  <c r="CK60" i="7" s="1"/>
  <c r="CX62" i="8"/>
  <c r="CJ60" i="7" s="1"/>
  <c r="CW62" i="8"/>
  <c r="CI60" i="7" s="1"/>
  <c r="CV62" i="8"/>
  <c r="CH60" i="7" s="1"/>
  <c r="CU62" i="8"/>
  <c r="CG60" i="7" s="1"/>
  <c r="CT62" i="8"/>
  <c r="CF60" i="7" s="1"/>
  <c r="CR62" i="8"/>
  <c r="CC60" i="7" s="1"/>
  <c r="CQ62" i="8"/>
  <c r="CB60" i="7" s="1"/>
  <c r="CP62" i="8"/>
  <c r="CA60" i="7" s="1"/>
  <c r="CO62" i="8"/>
  <c r="BZ60" i="7" s="1"/>
  <c r="CN62" i="8"/>
  <c r="BY60" i="7" s="1"/>
  <c r="CM62" i="8"/>
  <c r="BX60" i="7" s="1"/>
  <c r="CL62" i="8"/>
  <c r="BW60" i="7" s="1"/>
  <c r="CK62" i="8"/>
  <c r="BV60" i="7" s="1"/>
  <c r="CI62" i="8"/>
  <c r="BS60" i="7" s="1"/>
  <c r="CH62" i="8"/>
  <c r="BR60" i="7" s="1"/>
  <c r="CG62" i="8"/>
  <c r="BQ60" i="7" s="1"/>
  <c r="CF62" i="8"/>
  <c r="BP60" i="7" s="1"/>
  <c r="CE62" i="8"/>
  <c r="BO60" i="7" s="1"/>
  <c r="CD62" i="8"/>
  <c r="BN60" i="7" s="1"/>
  <c r="CC62" i="8"/>
  <c r="BM60" i="7" s="1"/>
  <c r="CB62" i="8"/>
  <c r="BL60" i="7" s="1"/>
  <c r="BZ62" i="8"/>
  <c r="BI60" i="7" s="1"/>
  <c r="BY62" i="8"/>
  <c r="BH60" i="7" s="1"/>
  <c r="BX62" i="8"/>
  <c r="BG60" i="7" s="1"/>
  <c r="BW62" i="8"/>
  <c r="BF60" i="7" s="1"/>
  <c r="BV62" i="8"/>
  <c r="BE60" i="7" s="1"/>
  <c r="BU62" i="8"/>
  <c r="BD60" i="7" s="1"/>
  <c r="BT62" i="8"/>
  <c r="BC60" i="7" s="1"/>
  <c r="BS62" i="8"/>
  <c r="BB60" i="7" s="1"/>
  <c r="BQ62" i="8"/>
  <c r="AY60" i="7" s="1"/>
  <c r="BP62" i="8"/>
  <c r="AX60" i="7" s="1"/>
  <c r="BO62" i="8"/>
  <c r="AW60" i="7" s="1"/>
  <c r="BN62" i="8"/>
  <c r="AV60" i="7" s="1"/>
  <c r="BM62" i="8"/>
  <c r="AU60" i="7" s="1"/>
  <c r="BL62" i="8"/>
  <c r="AT60" i="7" s="1"/>
  <c r="BK62" i="8"/>
  <c r="AS60" i="7" s="1"/>
  <c r="BJ62" i="8"/>
  <c r="AR60" i="7" s="1"/>
  <c r="BH62" i="8"/>
  <c r="AO60" i="7" s="1"/>
  <c r="BG62" i="8"/>
  <c r="AN60" i="7" s="1"/>
  <c r="BF62" i="8"/>
  <c r="AM60" i="7" s="1"/>
  <c r="BE62" i="8"/>
  <c r="AL60" i="7" s="1"/>
  <c r="BD62" i="8"/>
  <c r="AK60" i="7" s="1"/>
  <c r="BC62" i="8"/>
  <c r="AJ60" i="7" s="1"/>
  <c r="BB62" i="8"/>
  <c r="AI60" i="7" s="1"/>
  <c r="BA62" i="8"/>
  <c r="AH60" i="7" s="1"/>
  <c r="AY62" i="8"/>
  <c r="AE60" i="7" s="1"/>
  <c r="AX62" i="8"/>
  <c r="AD60" i="7" s="1"/>
  <c r="AW62" i="8"/>
  <c r="AC60" i="7" s="1"/>
  <c r="AV62" i="8"/>
  <c r="AB60" i="7" s="1"/>
  <c r="AU62" i="8"/>
  <c r="AA60" i="7" s="1"/>
  <c r="AT62" i="8"/>
  <c r="Z60" i="7" s="1"/>
  <c r="AS62" i="8"/>
  <c r="Y60" i="7" s="1"/>
  <c r="AR62" i="8"/>
  <c r="X60" i="7" s="1"/>
  <c r="AP62" i="8"/>
  <c r="U60" i="7" s="1"/>
  <c r="AO62" i="8"/>
  <c r="T60" i="7" s="1"/>
  <c r="AN62" i="8"/>
  <c r="S60" i="7" s="1"/>
  <c r="AM62" i="8"/>
  <c r="R60" i="7" s="1"/>
  <c r="AL62" i="8"/>
  <c r="Q60" i="7" s="1"/>
  <c r="AK62" i="8"/>
  <c r="P60" i="7" s="1"/>
  <c r="AJ62" i="8"/>
  <c r="O60" i="7" s="1"/>
  <c r="AI62" i="8"/>
  <c r="N60" i="7" s="1"/>
  <c r="AG62" i="8"/>
  <c r="K60" i="7" s="1"/>
  <c r="AF62" i="8"/>
  <c r="J60" i="7" s="1"/>
  <c r="AE62" i="8"/>
  <c r="I60" i="7" s="1"/>
  <c r="AD62" i="8"/>
  <c r="H60" i="7" s="1"/>
  <c r="AC62" i="8"/>
  <c r="G60" i="7" s="1"/>
  <c r="AB62" i="8"/>
  <c r="F60" i="7" s="1"/>
  <c r="AA62" i="8"/>
  <c r="E60" i="7" s="1"/>
  <c r="Z62" i="8"/>
  <c r="D60" i="7" s="1"/>
  <c r="DJ61" i="8"/>
  <c r="CW59" i="7" s="1"/>
  <c r="DI61" i="8"/>
  <c r="CV59" i="7" s="1"/>
  <c r="DH61" i="8"/>
  <c r="CU59" i="7" s="1"/>
  <c r="DG61" i="8"/>
  <c r="CT59" i="7" s="1"/>
  <c r="DF61" i="8"/>
  <c r="CS59" i="7" s="1"/>
  <c r="DE61" i="8"/>
  <c r="CR59" i="7" s="1"/>
  <c r="DD61" i="8"/>
  <c r="CQ59" i="7" s="1"/>
  <c r="DC61" i="8"/>
  <c r="CP59" i="7" s="1"/>
  <c r="DA61" i="8"/>
  <c r="CM59" i="7" s="1"/>
  <c r="CZ61" i="8"/>
  <c r="CL59" i="7" s="1"/>
  <c r="CY61" i="8"/>
  <c r="CK59" i="7" s="1"/>
  <c r="CX61" i="8"/>
  <c r="CJ59" i="7" s="1"/>
  <c r="CW61" i="8"/>
  <c r="CI59" i="7" s="1"/>
  <c r="CV61" i="8"/>
  <c r="CH59" i="7" s="1"/>
  <c r="CU61" i="8"/>
  <c r="CG59" i="7" s="1"/>
  <c r="CT61" i="8"/>
  <c r="CF59" i="7" s="1"/>
  <c r="CR61" i="8"/>
  <c r="CC59" i="7" s="1"/>
  <c r="CQ61" i="8"/>
  <c r="CB59" i="7" s="1"/>
  <c r="CP61" i="8"/>
  <c r="CA59" i="7" s="1"/>
  <c r="CO61" i="8"/>
  <c r="BZ59" i="7" s="1"/>
  <c r="CN61" i="8"/>
  <c r="BY59" i="7" s="1"/>
  <c r="CM61" i="8"/>
  <c r="BX59" i="7" s="1"/>
  <c r="CL61" i="8"/>
  <c r="BW59" i="7" s="1"/>
  <c r="CK61" i="8"/>
  <c r="BV59" i="7" s="1"/>
  <c r="CI61" i="8"/>
  <c r="BS59" i="7" s="1"/>
  <c r="CH61" i="8"/>
  <c r="BR59" i="7" s="1"/>
  <c r="CG61" i="8"/>
  <c r="BQ59" i="7" s="1"/>
  <c r="CF61" i="8"/>
  <c r="BP59" i="7" s="1"/>
  <c r="CE61" i="8"/>
  <c r="BO59" i="7" s="1"/>
  <c r="CD61" i="8"/>
  <c r="BN59" i="7" s="1"/>
  <c r="CC61" i="8"/>
  <c r="BM59" i="7" s="1"/>
  <c r="CB61" i="8"/>
  <c r="BL59" i="7" s="1"/>
  <c r="BZ61" i="8"/>
  <c r="BI59" i="7" s="1"/>
  <c r="BY61" i="8"/>
  <c r="BH59" i="7" s="1"/>
  <c r="BX61" i="8"/>
  <c r="BG59" i="7" s="1"/>
  <c r="BW61" i="8"/>
  <c r="BF59" i="7" s="1"/>
  <c r="BV61" i="8"/>
  <c r="BE59" i="7" s="1"/>
  <c r="BU61" i="8"/>
  <c r="BD59" i="7" s="1"/>
  <c r="BT61" i="8"/>
  <c r="BC59" i="7" s="1"/>
  <c r="BS61" i="8"/>
  <c r="BB59" i="7" s="1"/>
  <c r="BQ61" i="8"/>
  <c r="AY59" i="7" s="1"/>
  <c r="BP61" i="8"/>
  <c r="AX59" i="7" s="1"/>
  <c r="BO61" i="8"/>
  <c r="AW59" i="7" s="1"/>
  <c r="BN61" i="8"/>
  <c r="AV59" i="7" s="1"/>
  <c r="BM61" i="8"/>
  <c r="AU59" i="7" s="1"/>
  <c r="BL61" i="8"/>
  <c r="AT59" i="7" s="1"/>
  <c r="BK61" i="8"/>
  <c r="AS59" i="7" s="1"/>
  <c r="BJ61" i="8"/>
  <c r="AR59" i="7" s="1"/>
  <c r="BH61" i="8"/>
  <c r="AO59" i="7" s="1"/>
  <c r="BG61" i="8"/>
  <c r="AN59" i="7" s="1"/>
  <c r="BF61" i="8"/>
  <c r="AM59" i="7" s="1"/>
  <c r="BE61" i="8"/>
  <c r="AL59" i="7" s="1"/>
  <c r="BD61" i="8"/>
  <c r="AK59" i="7" s="1"/>
  <c r="BC61" i="8"/>
  <c r="AJ59" i="7" s="1"/>
  <c r="BB61" i="8"/>
  <c r="AI59" i="7" s="1"/>
  <c r="BA61" i="8"/>
  <c r="AH59" i="7" s="1"/>
  <c r="AY61" i="8"/>
  <c r="AE59" i="7" s="1"/>
  <c r="AX61" i="8"/>
  <c r="AD59" i="7" s="1"/>
  <c r="AW61" i="8"/>
  <c r="AC59" i="7" s="1"/>
  <c r="AV61" i="8"/>
  <c r="AB59" i="7" s="1"/>
  <c r="AU61" i="8"/>
  <c r="AA59" i="7" s="1"/>
  <c r="AT61" i="8"/>
  <c r="Z59" i="7" s="1"/>
  <c r="AS61" i="8"/>
  <c r="Y59" i="7" s="1"/>
  <c r="AR61" i="8"/>
  <c r="X59" i="7" s="1"/>
  <c r="AP61" i="8"/>
  <c r="U59" i="7" s="1"/>
  <c r="AO61" i="8"/>
  <c r="T59" i="7" s="1"/>
  <c r="AN61" i="8"/>
  <c r="S59" i="7" s="1"/>
  <c r="AM61" i="8"/>
  <c r="R59" i="7" s="1"/>
  <c r="AL61" i="8"/>
  <c r="Q59" i="7" s="1"/>
  <c r="AK61" i="8"/>
  <c r="P59" i="7" s="1"/>
  <c r="AJ61" i="8"/>
  <c r="O59" i="7" s="1"/>
  <c r="AI61" i="8"/>
  <c r="N59" i="7" s="1"/>
  <c r="AG61" i="8"/>
  <c r="K59" i="7" s="1"/>
  <c r="AF61" i="8"/>
  <c r="J59" i="7" s="1"/>
  <c r="AE61" i="8"/>
  <c r="I59" i="7" s="1"/>
  <c r="AD61" i="8"/>
  <c r="H59" i="7" s="1"/>
  <c r="AC61" i="8"/>
  <c r="G59" i="7" s="1"/>
  <c r="AB61" i="8"/>
  <c r="F59" i="7" s="1"/>
  <c r="AA61" i="8"/>
  <c r="E59" i="7" s="1"/>
  <c r="Z61" i="8"/>
  <c r="D59" i="7" s="1"/>
  <c r="DJ60" i="8"/>
  <c r="CW58" i="7" s="1"/>
  <c r="DI60" i="8"/>
  <c r="CV58" i="7" s="1"/>
  <c r="DH60" i="8"/>
  <c r="CU58" i="7" s="1"/>
  <c r="DG60" i="8"/>
  <c r="CT58" i="7" s="1"/>
  <c r="DF60" i="8"/>
  <c r="CS58" i="7" s="1"/>
  <c r="DE60" i="8"/>
  <c r="CR58" i="7" s="1"/>
  <c r="DD60" i="8"/>
  <c r="CQ58" i="7" s="1"/>
  <c r="DC60" i="8"/>
  <c r="CP58" i="7" s="1"/>
  <c r="DA60" i="8"/>
  <c r="CM58" i="7" s="1"/>
  <c r="CZ60" i="8"/>
  <c r="CL58" i="7" s="1"/>
  <c r="CY60" i="8"/>
  <c r="CK58" i="7" s="1"/>
  <c r="CX60" i="8"/>
  <c r="CJ58" i="7" s="1"/>
  <c r="CW60" i="8"/>
  <c r="CI58" i="7" s="1"/>
  <c r="CV60" i="8"/>
  <c r="CH58" i="7" s="1"/>
  <c r="CU60" i="8"/>
  <c r="CG58" i="7" s="1"/>
  <c r="CT60" i="8"/>
  <c r="CF58" i="7" s="1"/>
  <c r="CR60" i="8"/>
  <c r="CC58" i="7" s="1"/>
  <c r="CQ60" i="8"/>
  <c r="CB58" i="7" s="1"/>
  <c r="CP60" i="8"/>
  <c r="CA58" i="7" s="1"/>
  <c r="CO60" i="8"/>
  <c r="BZ58" i="7" s="1"/>
  <c r="CN60" i="8"/>
  <c r="BY58" i="7" s="1"/>
  <c r="CM60" i="8"/>
  <c r="BX58" i="7" s="1"/>
  <c r="CL60" i="8"/>
  <c r="BW58" i="7" s="1"/>
  <c r="CK60" i="8"/>
  <c r="BV58" i="7" s="1"/>
  <c r="CI60" i="8"/>
  <c r="BS58" i="7" s="1"/>
  <c r="CH60" i="8"/>
  <c r="BR58" i="7" s="1"/>
  <c r="CG60" i="8"/>
  <c r="BQ58" i="7" s="1"/>
  <c r="CF60" i="8"/>
  <c r="BP58" i="7" s="1"/>
  <c r="CE60" i="8"/>
  <c r="BO58" i="7" s="1"/>
  <c r="CD60" i="8"/>
  <c r="BN58" i="7" s="1"/>
  <c r="CC60" i="8"/>
  <c r="BM58" i="7" s="1"/>
  <c r="CB60" i="8"/>
  <c r="BL58" i="7" s="1"/>
  <c r="BZ60" i="8"/>
  <c r="BI58" i="7" s="1"/>
  <c r="BY60" i="8"/>
  <c r="BH58" i="7" s="1"/>
  <c r="BX60" i="8"/>
  <c r="BG58" i="7" s="1"/>
  <c r="BW60" i="8"/>
  <c r="BF58" i="7" s="1"/>
  <c r="BV60" i="8"/>
  <c r="BE58" i="7" s="1"/>
  <c r="BU60" i="8"/>
  <c r="BD58" i="7" s="1"/>
  <c r="BT60" i="8"/>
  <c r="BC58" i="7" s="1"/>
  <c r="BS60" i="8"/>
  <c r="BB58" i="7" s="1"/>
  <c r="BQ60" i="8"/>
  <c r="AY58" i="7" s="1"/>
  <c r="BP60" i="8"/>
  <c r="AX58" i="7" s="1"/>
  <c r="BO60" i="8"/>
  <c r="AW58" i="7" s="1"/>
  <c r="BN60" i="8"/>
  <c r="AV58" i="7" s="1"/>
  <c r="BM60" i="8"/>
  <c r="AU58" i="7" s="1"/>
  <c r="BL60" i="8"/>
  <c r="AT58" i="7" s="1"/>
  <c r="BK60" i="8"/>
  <c r="AS58" i="7" s="1"/>
  <c r="BJ60" i="8"/>
  <c r="AR58" i="7" s="1"/>
  <c r="BH60" i="8"/>
  <c r="AO58" i="7" s="1"/>
  <c r="BG60" i="8"/>
  <c r="AN58" i="7" s="1"/>
  <c r="BF60" i="8"/>
  <c r="AM58" i="7" s="1"/>
  <c r="BE60" i="8"/>
  <c r="AL58" i="7" s="1"/>
  <c r="BD60" i="8"/>
  <c r="AK58" i="7" s="1"/>
  <c r="BC60" i="8"/>
  <c r="AJ58" i="7" s="1"/>
  <c r="BB60" i="8"/>
  <c r="AI58" i="7" s="1"/>
  <c r="BA60" i="8"/>
  <c r="AH58" i="7" s="1"/>
  <c r="AY60" i="8"/>
  <c r="AE58" i="7" s="1"/>
  <c r="AX60" i="8"/>
  <c r="AD58" i="7" s="1"/>
  <c r="AW60" i="8"/>
  <c r="AC58" i="7" s="1"/>
  <c r="AV60" i="8"/>
  <c r="AB58" i="7" s="1"/>
  <c r="AU60" i="8"/>
  <c r="AA58" i="7" s="1"/>
  <c r="AT60" i="8"/>
  <c r="Z58" i="7" s="1"/>
  <c r="AS60" i="8"/>
  <c r="Y58" i="7" s="1"/>
  <c r="AR60" i="8"/>
  <c r="X58" i="7" s="1"/>
  <c r="AP60" i="8"/>
  <c r="U58" i="7" s="1"/>
  <c r="AO60" i="8"/>
  <c r="T58" i="7" s="1"/>
  <c r="AN60" i="8"/>
  <c r="S58" i="7" s="1"/>
  <c r="AM60" i="8"/>
  <c r="R58" i="7" s="1"/>
  <c r="AL60" i="8"/>
  <c r="Q58" i="7" s="1"/>
  <c r="AK60" i="8"/>
  <c r="P58" i="7" s="1"/>
  <c r="AJ60" i="8"/>
  <c r="O58" i="7" s="1"/>
  <c r="AI60" i="8"/>
  <c r="N58" i="7" s="1"/>
  <c r="AG60" i="8"/>
  <c r="K58" i="7" s="1"/>
  <c r="AF60" i="8"/>
  <c r="J58" i="7" s="1"/>
  <c r="AE60" i="8"/>
  <c r="I58" i="7" s="1"/>
  <c r="AD60" i="8"/>
  <c r="H58" i="7" s="1"/>
  <c r="AC60" i="8"/>
  <c r="G58" i="7" s="1"/>
  <c r="AB60" i="8"/>
  <c r="F58" i="7" s="1"/>
  <c r="AA60" i="8"/>
  <c r="E58" i="7" s="1"/>
  <c r="Z60" i="8"/>
  <c r="D58" i="7" s="1"/>
  <c r="DJ59" i="8"/>
  <c r="CW57" i="7" s="1"/>
  <c r="DI59" i="8"/>
  <c r="CV57" i="7" s="1"/>
  <c r="DH59" i="8"/>
  <c r="CU57" i="7" s="1"/>
  <c r="DG59" i="8"/>
  <c r="CT57" i="7" s="1"/>
  <c r="DF59" i="8"/>
  <c r="CS57" i="7" s="1"/>
  <c r="DE59" i="8"/>
  <c r="CR57" i="7" s="1"/>
  <c r="DD59" i="8"/>
  <c r="CQ57" i="7" s="1"/>
  <c r="DC59" i="8"/>
  <c r="CP57" i="7" s="1"/>
  <c r="DA59" i="8"/>
  <c r="CM57" i="7" s="1"/>
  <c r="CZ59" i="8"/>
  <c r="CL57" i="7" s="1"/>
  <c r="CY59" i="8"/>
  <c r="CK57" i="7" s="1"/>
  <c r="CX59" i="8"/>
  <c r="CJ57" i="7" s="1"/>
  <c r="CW59" i="8"/>
  <c r="CI57" i="7" s="1"/>
  <c r="CV59" i="8"/>
  <c r="CH57" i="7" s="1"/>
  <c r="CU59" i="8"/>
  <c r="CG57" i="7" s="1"/>
  <c r="CT59" i="8"/>
  <c r="CF57" i="7" s="1"/>
  <c r="CR59" i="8"/>
  <c r="CC57" i="7" s="1"/>
  <c r="CQ59" i="8"/>
  <c r="CB57" i="7" s="1"/>
  <c r="CP59" i="8"/>
  <c r="CA57" i="7" s="1"/>
  <c r="CO59" i="8"/>
  <c r="BZ57" i="7" s="1"/>
  <c r="CN59" i="8"/>
  <c r="BY57" i="7" s="1"/>
  <c r="CM59" i="8"/>
  <c r="BX57" i="7" s="1"/>
  <c r="CL59" i="8"/>
  <c r="BW57" i="7" s="1"/>
  <c r="CK59" i="8"/>
  <c r="BV57" i="7" s="1"/>
  <c r="CI59" i="8"/>
  <c r="BS57" i="7" s="1"/>
  <c r="CH59" i="8"/>
  <c r="BR57" i="7" s="1"/>
  <c r="CG59" i="8"/>
  <c r="BQ57" i="7" s="1"/>
  <c r="CF59" i="8"/>
  <c r="BP57" i="7" s="1"/>
  <c r="CE59" i="8"/>
  <c r="BO57" i="7" s="1"/>
  <c r="CD59" i="8"/>
  <c r="BN57" i="7" s="1"/>
  <c r="CC59" i="8"/>
  <c r="BM57" i="7" s="1"/>
  <c r="CB59" i="8"/>
  <c r="BL57" i="7" s="1"/>
  <c r="BZ59" i="8"/>
  <c r="BI57" i="7" s="1"/>
  <c r="BY59" i="8"/>
  <c r="BH57" i="7" s="1"/>
  <c r="BX59" i="8"/>
  <c r="BG57" i="7" s="1"/>
  <c r="BW59" i="8"/>
  <c r="BF57" i="7" s="1"/>
  <c r="BV59" i="8"/>
  <c r="BE57" i="7" s="1"/>
  <c r="BU59" i="8"/>
  <c r="BD57" i="7" s="1"/>
  <c r="BT59" i="8"/>
  <c r="BC57" i="7" s="1"/>
  <c r="BS59" i="8"/>
  <c r="BB57" i="7" s="1"/>
  <c r="BQ59" i="8"/>
  <c r="AY57" i="7" s="1"/>
  <c r="BP59" i="8"/>
  <c r="AX57" i="7" s="1"/>
  <c r="BO59" i="8"/>
  <c r="AW57" i="7" s="1"/>
  <c r="BN59" i="8"/>
  <c r="AV57" i="7" s="1"/>
  <c r="BM59" i="8"/>
  <c r="AU57" i="7" s="1"/>
  <c r="BL59" i="8"/>
  <c r="AT57" i="7" s="1"/>
  <c r="BK59" i="8"/>
  <c r="AS57" i="7" s="1"/>
  <c r="BJ59" i="8"/>
  <c r="AR57" i="7" s="1"/>
  <c r="BH59" i="8"/>
  <c r="AO57" i="7" s="1"/>
  <c r="BG59" i="8"/>
  <c r="AN57" i="7" s="1"/>
  <c r="BF59" i="8"/>
  <c r="AM57" i="7" s="1"/>
  <c r="BE59" i="8"/>
  <c r="AL57" i="7" s="1"/>
  <c r="BD59" i="8"/>
  <c r="AK57" i="7" s="1"/>
  <c r="BC59" i="8"/>
  <c r="AJ57" i="7" s="1"/>
  <c r="BB59" i="8"/>
  <c r="AI57" i="7" s="1"/>
  <c r="BA59" i="8"/>
  <c r="AH57" i="7" s="1"/>
  <c r="AY59" i="8"/>
  <c r="AE57" i="7" s="1"/>
  <c r="AX59" i="8"/>
  <c r="AD57" i="7" s="1"/>
  <c r="AW59" i="8"/>
  <c r="AC57" i="7" s="1"/>
  <c r="AV59" i="8"/>
  <c r="AB57" i="7" s="1"/>
  <c r="AU59" i="8"/>
  <c r="AA57" i="7" s="1"/>
  <c r="AT59" i="8"/>
  <c r="Z57" i="7" s="1"/>
  <c r="AS59" i="8"/>
  <c r="Y57" i="7" s="1"/>
  <c r="AR59" i="8"/>
  <c r="X57" i="7" s="1"/>
  <c r="AP59" i="8"/>
  <c r="U57" i="7" s="1"/>
  <c r="AO59" i="8"/>
  <c r="T57" i="7" s="1"/>
  <c r="AN59" i="8"/>
  <c r="S57" i="7" s="1"/>
  <c r="AM59" i="8"/>
  <c r="R57" i="7" s="1"/>
  <c r="AL59" i="8"/>
  <c r="Q57" i="7" s="1"/>
  <c r="AK59" i="8"/>
  <c r="P57" i="7" s="1"/>
  <c r="AJ59" i="8"/>
  <c r="O57" i="7" s="1"/>
  <c r="AI59" i="8"/>
  <c r="N57" i="7" s="1"/>
  <c r="AG59" i="8"/>
  <c r="K57" i="7" s="1"/>
  <c r="AF59" i="8"/>
  <c r="J57" i="7" s="1"/>
  <c r="AE59" i="8"/>
  <c r="I57" i="7" s="1"/>
  <c r="AD59" i="8"/>
  <c r="H57" i="7" s="1"/>
  <c r="AC59" i="8"/>
  <c r="G57" i="7" s="1"/>
  <c r="AB59" i="8"/>
  <c r="F57" i="7" s="1"/>
  <c r="AA59" i="8"/>
  <c r="E57" i="7" s="1"/>
  <c r="Z59" i="8"/>
  <c r="D57" i="7" s="1"/>
  <c r="DJ58" i="8"/>
  <c r="CW56" i="7" s="1"/>
  <c r="DI58" i="8"/>
  <c r="CV56" i="7" s="1"/>
  <c r="DH58" i="8"/>
  <c r="CU56" i="7" s="1"/>
  <c r="DG58" i="8"/>
  <c r="CT56" i="7" s="1"/>
  <c r="DF58" i="8"/>
  <c r="CS56" i="7" s="1"/>
  <c r="DE58" i="8"/>
  <c r="CR56" i="7" s="1"/>
  <c r="DD58" i="8"/>
  <c r="CQ56" i="7" s="1"/>
  <c r="DC58" i="8"/>
  <c r="CP56" i="7" s="1"/>
  <c r="DA58" i="8"/>
  <c r="CM56" i="7" s="1"/>
  <c r="CZ58" i="8"/>
  <c r="CL56" i="7" s="1"/>
  <c r="CY58" i="8"/>
  <c r="CK56" i="7" s="1"/>
  <c r="CX58" i="8"/>
  <c r="CJ56" i="7" s="1"/>
  <c r="CW58" i="8"/>
  <c r="CI56" i="7" s="1"/>
  <c r="CV58" i="8"/>
  <c r="CH56" i="7" s="1"/>
  <c r="CU58" i="8"/>
  <c r="CG56" i="7" s="1"/>
  <c r="CT58" i="8"/>
  <c r="CF56" i="7" s="1"/>
  <c r="CR58" i="8"/>
  <c r="CC56" i="7" s="1"/>
  <c r="CQ58" i="8"/>
  <c r="CB56" i="7" s="1"/>
  <c r="CP58" i="8"/>
  <c r="CA56" i="7" s="1"/>
  <c r="CO58" i="8"/>
  <c r="BZ56" i="7" s="1"/>
  <c r="CN58" i="8"/>
  <c r="BY56" i="7" s="1"/>
  <c r="CM58" i="8"/>
  <c r="BX56" i="7" s="1"/>
  <c r="CL58" i="8"/>
  <c r="BW56" i="7" s="1"/>
  <c r="CK58" i="8"/>
  <c r="BV56" i="7" s="1"/>
  <c r="CI58" i="8"/>
  <c r="BS56" i="7" s="1"/>
  <c r="CH58" i="8"/>
  <c r="BR56" i="7" s="1"/>
  <c r="CG58" i="8"/>
  <c r="BQ56" i="7" s="1"/>
  <c r="CF58" i="8"/>
  <c r="BP56" i="7" s="1"/>
  <c r="CE58" i="8"/>
  <c r="BO56" i="7" s="1"/>
  <c r="CD58" i="8"/>
  <c r="BN56" i="7" s="1"/>
  <c r="CC58" i="8"/>
  <c r="BM56" i="7" s="1"/>
  <c r="CB58" i="8"/>
  <c r="BL56" i="7" s="1"/>
  <c r="BZ58" i="8"/>
  <c r="BI56" i="7" s="1"/>
  <c r="BY58" i="8"/>
  <c r="BH56" i="7" s="1"/>
  <c r="BX58" i="8"/>
  <c r="BG56" i="7" s="1"/>
  <c r="BW58" i="8"/>
  <c r="BF56" i="7" s="1"/>
  <c r="BV58" i="8"/>
  <c r="BE56" i="7" s="1"/>
  <c r="BU58" i="8"/>
  <c r="BD56" i="7" s="1"/>
  <c r="BT58" i="8"/>
  <c r="BC56" i="7" s="1"/>
  <c r="BS58" i="8"/>
  <c r="BB56" i="7" s="1"/>
  <c r="BQ58" i="8"/>
  <c r="AY56" i="7" s="1"/>
  <c r="BP58" i="8"/>
  <c r="AX56" i="7" s="1"/>
  <c r="BO58" i="8"/>
  <c r="AW56" i="7" s="1"/>
  <c r="BN58" i="8"/>
  <c r="AV56" i="7" s="1"/>
  <c r="BM58" i="8"/>
  <c r="AU56" i="7" s="1"/>
  <c r="BL58" i="8"/>
  <c r="AT56" i="7" s="1"/>
  <c r="BK58" i="8"/>
  <c r="AS56" i="7" s="1"/>
  <c r="BJ58" i="8"/>
  <c r="AR56" i="7" s="1"/>
  <c r="BH58" i="8"/>
  <c r="AO56" i="7" s="1"/>
  <c r="BG58" i="8"/>
  <c r="AN56" i="7" s="1"/>
  <c r="BF58" i="8"/>
  <c r="AM56" i="7" s="1"/>
  <c r="BE58" i="8"/>
  <c r="AL56" i="7" s="1"/>
  <c r="BD58" i="8"/>
  <c r="AK56" i="7" s="1"/>
  <c r="BC58" i="8"/>
  <c r="AJ56" i="7" s="1"/>
  <c r="BB58" i="8"/>
  <c r="AI56" i="7" s="1"/>
  <c r="BA58" i="8"/>
  <c r="AH56" i="7" s="1"/>
  <c r="AY58" i="8"/>
  <c r="AE56" i="7" s="1"/>
  <c r="AX58" i="8"/>
  <c r="AD56" i="7" s="1"/>
  <c r="AW58" i="8"/>
  <c r="AC56" i="7" s="1"/>
  <c r="AV58" i="8"/>
  <c r="AB56" i="7" s="1"/>
  <c r="AU58" i="8"/>
  <c r="AA56" i="7" s="1"/>
  <c r="AT58" i="8"/>
  <c r="Z56" i="7" s="1"/>
  <c r="AS58" i="8"/>
  <c r="Y56" i="7" s="1"/>
  <c r="AR58" i="8"/>
  <c r="X56" i="7" s="1"/>
  <c r="AP58" i="8"/>
  <c r="U56" i="7" s="1"/>
  <c r="AO58" i="8"/>
  <c r="T56" i="7" s="1"/>
  <c r="AN58" i="8"/>
  <c r="S56" i="7" s="1"/>
  <c r="AM58" i="8"/>
  <c r="R56" i="7" s="1"/>
  <c r="AL58" i="8"/>
  <c r="Q56" i="7" s="1"/>
  <c r="AK58" i="8"/>
  <c r="P56" i="7" s="1"/>
  <c r="AJ58" i="8"/>
  <c r="O56" i="7" s="1"/>
  <c r="AI58" i="8"/>
  <c r="N56" i="7" s="1"/>
  <c r="AG58" i="8"/>
  <c r="K56" i="7" s="1"/>
  <c r="AF58" i="8"/>
  <c r="J56" i="7" s="1"/>
  <c r="AE58" i="8"/>
  <c r="I56" i="7" s="1"/>
  <c r="AD58" i="8"/>
  <c r="H56" i="7" s="1"/>
  <c r="AC58" i="8"/>
  <c r="G56" i="7" s="1"/>
  <c r="AB58" i="8"/>
  <c r="F56" i="7" s="1"/>
  <c r="AA58" i="8"/>
  <c r="E56" i="7" s="1"/>
  <c r="Z58" i="8"/>
  <c r="D56" i="7" s="1"/>
  <c r="DJ57" i="8"/>
  <c r="CW55" i="7" s="1"/>
  <c r="DI57" i="8"/>
  <c r="CV55" i="7" s="1"/>
  <c r="DH57" i="8"/>
  <c r="CU55" i="7" s="1"/>
  <c r="DG57" i="8"/>
  <c r="CT55" i="7" s="1"/>
  <c r="DF57" i="8"/>
  <c r="CS55" i="7" s="1"/>
  <c r="DE57" i="8"/>
  <c r="CR55" i="7" s="1"/>
  <c r="DD57" i="8"/>
  <c r="CQ55" i="7" s="1"/>
  <c r="DC57" i="8"/>
  <c r="CP55" i="7" s="1"/>
  <c r="DA57" i="8"/>
  <c r="CM55" i="7" s="1"/>
  <c r="CZ57" i="8"/>
  <c r="CL55" i="7" s="1"/>
  <c r="CY57" i="8"/>
  <c r="CK55" i="7" s="1"/>
  <c r="CX57" i="8"/>
  <c r="CJ55" i="7" s="1"/>
  <c r="CW57" i="8"/>
  <c r="CI55" i="7" s="1"/>
  <c r="CV57" i="8"/>
  <c r="CH55" i="7" s="1"/>
  <c r="CU57" i="8"/>
  <c r="CG55" i="7" s="1"/>
  <c r="CT57" i="8"/>
  <c r="CF55" i="7" s="1"/>
  <c r="CR57" i="8"/>
  <c r="CC55" i="7" s="1"/>
  <c r="CQ57" i="8"/>
  <c r="CB55" i="7" s="1"/>
  <c r="CP57" i="8"/>
  <c r="CA55" i="7" s="1"/>
  <c r="CO57" i="8"/>
  <c r="BZ55" i="7" s="1"/>
  <c r="CN57" i="8"/>
  <c r="BY55" i="7" s="1"/>
  <c r="CM57" i="8"/>
  <c r="BX55" i="7" s="1"/>
  <c r="CL57" i="8"/>
  <c r="BW55" i="7" s="1"/>
  <c r="CK57" i="8"/>
  <c r="BV55" i="7" s="1"/>
  <c r="CI57" i="8"/>
  <c r="BS55" i="7" s="1"/>
  <c r="CH57" i="8"/>
  <c r="BR55" i="7" s="1"/>
  <c r="CG57" i="8"/>
  <c r="BQ55" i="7" s="1"/>
  <c r="CF57" i="8"/>
  <c r="BP55" i="7" s="1"/>
  <c r="CE57" i="8"/>
  <c r="BO55" i="7" s="1"/>
  <c r="CD57" i="8"/>
  <c r="BN55" i="7" s="1"/>
  <c r="CC57" i="8"/>
  <c r="BM55" i="7" s="1"/>
  <c r="CB57" i="8"/>
  <c r="BL55" i="7" s="1"/>
  <c r="BZ57" i="8"/>
  <c r="BI55" i="7" s="1"/>
  <c r="BY57" i="8"/>
  <c r="BH55" i="7" s="1"/>
  <c r="BX57" i="8"/>
  <c r="BG55" i="7" s="1"/>
  <c r="BW57" i="8"/>
  <c r="BF55" i="7" s="1"/>
  <c r="BV57" i="8"/>
  <c r="BE55" i="7" s="1"/>
  <c r="BU57" i="8"/>
  <c r="BD55" i="7" s="1"/>
  <c r="BT57" i="8"/>
  <c r="BC55" i="7" s="1"/>
  <c r="BS57" i="8"/>
  <c r="BB55" i="7" s="1"/>
  <c r="BQ57" i="8"/>
  <c r="AY55" i="7" s="1"/>
  <c r="BP57" i="8"/>
  <c r="AX55" i="7" s="1"/>
  <c r="BO57" i="8"/>
  <c r="AW55" i="7" s="1"/>
  <c r="BN57" i="8"/>
  <c r="AV55" i="7" s="1"/>
  <c r="BM57" i="8"/>
  <c r="AU55" i="7" s="1"/>
  <c r="BL57" i="8"/>
  <c r="AT55" i="7" s="1"/>
  <c r="BK57" i="8"/>
  <c r="AS55" i="7" s="1"/>
  <c r="BJ57" i="8"/>
  <c r="AR55" i="7" s="1"/>
  <c r="BH57" i="8"/>
  <c r="AO55" i="7" s="1"/>
  <c r="BG57" i="8"/>
  <c r="AN55" i="7" s="1"/>
  <c r="BF57" i="8"/>
  <c r="AM55" i="7" s="1"/>
  <c r="BE57" i="8"/>
  <c r="AL55" i="7" s="1"/>
  <c r="BD57" i="8"/>
  <c r="AK55" i="7" s="1"/>
  <c r="BC57" i="8"/>
  <c r="AJ55" i="7" s="1"/>
  <c r="BB57" i="8"/>
  <c r="AI55" i="7" s="1"/>
  <c r="BA57" i="8"/>
  <c r="AH55" i="7" s="1"/>
  <c r="AY57" i="8"/>
  <c r="AE55" i="7" s="1"/>
  <c r="AX57" i="8"/>
  <c r="AD55" i="7" s="1"/>
  <c r="AW57" i="8"/>
  <c r="AC55" i="7" s="1"/>
  <c r="AV57" i="8"/>
  <c r="AB55" i="7" s="1"/>
  <c r="AU57" i="8"/>
  <c r="AA55" i="7" s="1"/>
  <c r="AT57" i="8"/>
  <c r="Z55" i="7" s="1"/>
  <c r="AS57" i="8"/>
  <c r="Y55" i="7" s="1"/>
  <c r="AR57" i="8"/>
  <c r="X55" i="7" s="1"/>
  <c r="AP57" i="8"/>
  <c r="U55" i="7" s="1"/>
  <c r="AO57" i="8"/>
  <c r="T55" i="7" s="1"/>
  <c r="AN57" i="8"/>
  <c r="S55" i="7" s="1"/>
  <c r="AM57" i="8"/>
  <c r="R55" i="7" s="1"/>
  <c r="AL57" i="8"/>
  <c r="Q55" i="7" s="1"/>
  <c r="AK57" i="8"/>
  <c r="P55" i="7" s="1"/>
  <c r="AJ57" i="8"/>
  <c r="O55" i="7" s="1"/>
  <c r="AI57" i="8"/>
  <c r="N55" i="7" s="1"/>
  <c r="AG57" i="8"/>
  <c r="K55" i="7" s="1"/>
  <c r="AF57" i="8"/>
  <c r="J55" i="7" s="1"/>
  <c r="AE57" i="8"/>
  <c r="I55" i="7" s="1"/>
  <c r="AD57" i="8"/>
  <c r="H55" i="7" s="1"/>
  <c r="AC57" i="8"/>
  <c r="G55" i="7" s="1"/>
  <c r="AB57" i="8"/>
  <c r="F55" i="7" s="1"/>
  <c r="AA57" i="8"/>
  <c r="E55" i="7" s="1"/>
  <c r="Z57" i="8"/>
  <c r="D55" i="7" s="1"/>
  <c r="DJ56" i="8"/>
  <c r="CW54" i="7" s="1"/>
  <c r="DI56" i="8"/>
  <c r="CV54" i="7" s="1"/>
  <c r="DH56" i="8"/>
  <c r="CU54" i="7" s="1"/>
  <c r="DG56" i="8"/>
  <c r="CT54" i="7" s="1"/>
  <c r="DF56" i="8"/>
  <c r="CS54" i="7" s="1"/>
  <c r="DE56" i="8"/>
  <c r="CR54" i="7" s="1"/>
  <c r="DD56" i="8"/>
  <c r="CQ54" i="7" s="1"/>
  <c r="DC56" i="8"/>
  <c r="CP54" i="7" s="1"/>
  <c r="DA56" i="8"/>
  <c r="CM54" i="7" s="1"/>
  <c r="CZ56" i="8"/>
  <c r="CL54" i="7" s="1"/>
  <c r="CY56" i="8"/>
  <c r="CK54" i="7" s="1"/>
  <c r="CX56" i="8"/>
  <c r="CJ54" i="7" s="1"/>
  <c r="CW56" i="8"/>
  <c r="CI54" i="7" s="1"/>
  <c r="CV56" i="8"/>
  <c r="CH54" i="7" s="1"/>
  <c r="CU56" i="8"/>
  <c r="CG54" i="7" s="1"/>
  <c r="CT56" i="8"/>
  <c r="CF54" i="7" s="1"/>
  <c r="CR56" i="8"/>
  <c r="CC54" i="7" s="1"/>
  <c r="CQ56" i="8"/>
  <c r="CB54" i="7" s="1"/>
  <c r="CP56" i="8"/>
  <c r="CA54" i="7" s="1"/>
  <c r="CO56" i="8"/>
  <c r="BZ54" i="7" s="1"/>
  <c r="CN56" i="8"/>
  <c r="BY54" i="7" s="1"/>
  <c r="CM56" i="8"/>
  <c r="BX54" i="7" s="1"/>
  <c r="CL56" i="8"/>
  <c r="BW54" i="7" s="1"/>
  <c r="CK56" i="8"/>
  <c r="BV54" i="7" s="1"/>
  <c r="CI56" i="8"/>
  <c r="BS54" i="7" s="1"/>
  <c r="CH56" i="8"/>
  <c r="BR54" i="7" s="1"/>
  <c r="CG56" i="8"/>
  <c r="BQ54" i="7" s="1"/>
  <c r="CF56" i="8"/>
  <c r="BP54" i="7" s="1"/>
  <c r="CE56" i="8"/>
  <c r="BO54" i="7" s="1"/>
  <c r="CD56" i="8"/>
  <c r="BN54" i="7" s="1"/>
  <c r="CC56" i="8"/>
  <c r="BM54" i="7" s="1"/>
  <c r="CB56" i="8"/>
  <c r="BL54" i="7" s="1"/>
  <c r="BZ56" i="8"/>
  <c r="BI54" i="7" s="1"/>
  <c r="BY56" i="8"/>
  <c r="BH54" i="7" s="1"/>
  <c r="BX56" i="8"/>
  <c r="BG54" i="7" s="1"/>
  <c r="BW56" i="8"/>
  <c r="BF54" i="7" s="1"/>
  <c r="BV56" i="8"/>
  <c r="BE54" i="7" s="1"/>
  <c r="BU56" i="8"/>
  <c r="BD54" i="7" s="1"/>
  <c r="BT56" i="8"/>
  <c r="BC54" i="7" s="1"/>
  <c r="BS56" i="8"/>
  <c r="BB54" i="7" s="1"/>
  <c r="BQ56" i="8"/>
  <c r="AY54" i="7" s="1"/>
  <c r="BP56" i="8"/>
  <c r="AX54" i="7" s="1"/>
  <c r="BO56" i="8"/>
  <c r="AW54" i="7" s="1"/>
  <c r="BN56" i="8"/>
  <c r="AV54" i="7" s="1"/>
  <c r="BM56" i="8"/>
  <c r="AU54" i="7" s="1"/>
  <c r="BL56" i="8"/>
  <c r="AT54" i="7" s="1"/>
  <c r="BK56" i="8"/>
  <c r="AS54" i="7" s="1"/>
  <c r="BJ56" i="8"/>
  <c r="AR54" i="7" s="1"/>
  <c r="BH56" i="8"/>
  <c r="AO54" i="7" s="1"/>
  <c r="BG56" i="8"/>
  <c r="AN54" i="7" s="1"/>
  <c r="BF56" i="8"/>
  <c r="AM54" i="7" s="1"/>
  <c r="BE56" i="8"/>
  <c r="AL54" i="7" s="1"/>
  <c r="BD56" i="8"/>
  <c r="AK54" i="7" s="1"/>
  <c r="BC56" i="8"/>
  <c r="AJ54" i="7" s="1"/>
  <c r="BB56" i="8"/>
  <c r="AI54" i="7" s="1"/>
  <c r="BA56" i="8"/>
  <c r="AH54" i="7" s="1"/>
  <c r="AY56" i="8"/>
  <c r="AE54" i="7" s="1"/>
  <c r="AX56" i="8"/>
  <c r="AD54" i="7" s="1"/>
  <c r="AW56" i="8"/>
  <c r="AC54" i="7" s="1"/>
  <c r="AV56" i="8"/>
  <c r="AB54" i="7" s="1"/>
  <c r="AU56" i="8"/>
  <c r="AA54" i="7" s="1"/>
  <c r="AT56" i="8"/>
  <c r="Z54" i="7" s="1"/>
  <c r="AS56" i="8"/>
  <c r="Y54" i="7" s="1"/>
  <c r="AR56" i="8"/>
  <c r="X54" i="7" s="1"/>
  <c r="AP56" i="8"/>
  <c r="U54" i="7" s="1"/>
  <c r="AO56" i="8"/>
  <c r="T54" i="7" s="1"/>
  <c r="AN56" i="8"/>
  <c r="S54" i="7" s="1"/>
  <c r="AM56" i="8"/>
  <c r="R54" i="7" s="1"/>
  <c r="AL56" i="8"/>
  <c r="Q54" i="7" s="1"/>
  <c r="AK56" i="8"/>
  <c r="P54" i="7" s="1"/>
  <c r="AJ56" i="8"/>
  <c r="O54" i="7" s="1"/>
  <c r="AI56" i="8"/>
  <c r="N54" i="7" s="1"/>
  <c r="AG56" i="8"/>
  <c r="K54" i="7" s="1"/>
  <c r="AF56" i="8"/>
  <c r="J54" i="7" s="1"/>
  <c r="AE56" i="8"/>
  <c r="I54" i="7" s="1"/>
  <c r="AD56" i="8"/>
  <c r="H54" i="7" s="1"/>
  <c r="AC56" i="8"/>
  <c r="G54" i="7" s="1"/>
  <c r="AB56" i="8"/>
  <c r="F54" i="7" s="1"/>
  <c r="AA56" i="8"/>
  <c r="E54" i="7" s="1"/>
  <c r="Z56" i="8"/>
  <c r="D54" i="7" s="1"/>
  <c r="DJ35" i="8"/>
  <c r="CW33" i="7" s="1"/>
  <c r="DI35" i="8"/>
  <c r="CV33" i="7" s="1"/>
  <c r="DH35" i="8"/>
  <c r="DG35" i="8"/>
  <c r="CT33" i="7" s="1"/>
  <c r="DF35" i="8"/>
  <c r="CS33" i="7" s="1"/>
  <c r="DE35" i="8"/>
  <c r="CR33" i="7" s="1"/>
  <c r="DD35" i="8"/>
  <c r="CQ33" i="7" s="1"/>
  <c r="DC35" i="8"/>
  <c r="CP33" i="7" s="1"/>
  <c r="DA35" i="8"/>
  <c r="CM33" i="7" s="1"/>
  <c r="CZ35" i="8"/>
  <c r="CL33" i="7" s="1"/>
  <c r="CY35" i="8"/>
  <c r="CX35" i="8"/>
  <c r="CJ33" i="7" s="1"/>
  <c r="CW35" i="8"/>
  <c r="CI33" i="7" s="1"/>
  <c r="CV35" i="8"/>
  <c r="CH33" i="7" s="1"/>
  <c r="CU35" i="8"/>
  <c r="CG33" i="7" s="1"/>
  <c r="CT35" i="8"/>
  <c r="CF33" i="7" s="1"/>
  <c r="CR35" i="8"/>
  <c r="CC33" i="7" s="1"/>
  <c r="CQ35" i="8"/>
  <c r="CB33" i="7" s="1"/>
  <c r="CP35" i="8"/>
  <c r="CO35" i="8"/>
  <c r="BZ33" i="7" s="1"/>
  <c r="CN35" i="8"/>
  <c r="BY33" i="7" s="1"/>
  <c r="CM35" i="8"/>
  <c r="BX33" i="7" s="1"/>
  <c r="CL35" i="8"/>
  <c r="BW33" i="7" s="1"/>
  <c r="CK35" i="8"/>
  <c r="BV33" i="7" s="1"/>
  <c r="CI35" i="8"/>
  <c r="BS33" i="7" s="1"/>
  <c r="CH35" i="8"/>
  <c r="BR33" i="7" s="1"/>
  <c r="CG35" i="8"/>
  <c r="CF35" i="8"/>
  <c r="BP33" i="7" s="1"/>
  <c r="CE35" i="8"/>
  <c r="BO33" i="7" s="1"/>
  <c r="CD35" i="8"/>
  <c r="BN33" i="7" s="1"/>
  <c r="CC35" i="8"/>
  <c r="BM33" i="7" s="1"/>
  <c r="CB35" i="8"/>
  <c r="BL33" i="7" s="1"/>
  <c r="BZ35" i="8"/>
  <c r="BI33" i="7" s="1"/>
  <c r="BY35" i="8"/>
  <c r="BH33" i="7" s="1"/>
  <c r="BX35" i="8"/>
  <c r="BW35" i="8"/>
  <c r="BF33" i="7" s="1"/>
  <c r="BV35" i="8"/>
  <c r="BE33" i="7" s="1"/>
  <c r="BU35" i="8"/>
  <c r="BD33" i="7" s="1"/>
  <c r="BT35" i="8"/>
  <c r="BC33" i="7" s="1"/>
  <c r="BS35" i="8"/>
  <c r="BB33" i="7" s="1"/>
  <c r="BQ35" i="8"/>
  <c r="AY33" i="7" s="1"/>
  <c r="BP35" i="8"/>
  <c r="AX33" i="7" s="1"/>
  <c r="BO35" i="8"/>
  <c r="BN35" i="8"/>
  <c r="AV33" i="7" s="1"/>
  <c r="BM35" i="8"/>
  <c r="AU33" i="7" s="1"/>
  <c r="BL35" i="8"/>
  <c r="AT33" i="7" s="1"/>
  <c r="BK35" i="8"/>
  <c r="AS33" i="7" s="1"/>
  <c r="BJ35" i="8"/>
  <c r="AR33" i="7" s="1"/>
  <c r="BH35" i="8"/>
  <c r="AO33" i="7" s="1"/>
  <c r="BG35" i="8"/>
  <c r="AN33" i="7" s="1"/>
  <c r="BF35" i="8"/>
  <c r="BE35" i="8"/>
  <c r="AL33" i="7" s="1"/>
  <c r="BD35" i="8"/>
  <c r="AK33" i="7" s="1"/>
  <c r="BC35" i="8"/>
  <c r="AJ33" i="7" s="1"/>
  <c r="BB35" i="8"/>
  <c r="AI33" i="7" s="1"/>
  <c r="BA35" i="8"/>
  <c r="AH33" i="7" s="1"/>
  <c r="AY35" i="8"/>
  <c r="AE33" i="7" s="1"/>
  <c r="AX35" i="8"/>
  <c r="AD33" i="7" s="1"/>
  <c r="AW35" i="8"/>
  <c r="AV35" i="8"/>
  <c r="AB33" i="7" s="1"/>
  <c r="AU35" i="8"/>
  <c r="AA33" i="7" s="1"/>
  <c r="AT35" i="8"/>
  <c r="Z33" i="7" s="1"/>
  <c r="AS35" i="8"/>
  <c r="Y33" i="7" s="1"/>
  <c r="AR35" i="8"/>
  <c r="X33" i="7" s="1"/>
  <c r="AP35" i="8"/>
  <c r="U33" i="7" s="1"/>
  <c r="AO35" i="8"/>
  <c r="T33" i="7" s="1"/>
  <c r="AN35" i="8"/>
  <c r="AM35" i="8"/>
  <c r="R33" i="7" s="1"/>
  <c r="AL35" i="8"/>
  <c r="Q33" i="7" s="1"/>
  <c r="AK35" i="8"/>
  <c r="P33" i="7" s="1"/>
  <c r="AJ35" i="8"/>
  <c r="O33" i="7" s="1"/>
  <c r="AI35" i="8"/>
  <c r="N33" i="7" s="1"/>
  <c r="AG35" i="8"/>
  <c r="K33" i="7" s="1"/>
  <c r="AF35" i="8"/>
  <c r="J33" i="7" s="1"/>
  <c r="AE35" i="8"/>
  <c r="AD35" i="8"/>
  <c r="H33" i="7" s="1"/>
  <c r="AC35" i="8"/>
  <c r="G33" i="7" s="1"/>
  <c r="AB35" i="8"/>
  <c r="F33" i="7" s="1"/>
  <c r="AA35" i="8"/>
  <c r="E33" i="7" s="1"/>
  <c r="Z35" i="8"/>
  <c r="D33" i="7" s="1"/>
  <c r="DJ34" i="8"/>
  <c r="CW32" i="7" s="1"/>
  <c r="DI34" i="8"/>
  <c r="CV32" i="7" s="1"/>
  <c r="DH34" i="8"/>
  <c r="DG34" i="8"/>
  <c r="CT32" i="7" s="1"/>
  <c r="DF34" i="8"/>
  <c r="CS32" i="7" s="1"/>
  <c r="DE34" i="8"/>
  <c r="CR32" i="7" s="1"/>
  <c r="DD34" i="8"/>
  <c r="CQ32" i="7" s="1"/>
  <c r="DC34" i="8"/>
  <c r="CP32" i="7" s="1"/>
  <c r="DA34" i="8"/>
  <c r="CM32" i="7" s="1"/>
  <c r="CZ34" i="8"/>
  <c r="CL32" i="7" s="1"/>
  <c r="CY34" i="8"/>
  <c r="CX34" i="8"/>
  <c r="CJ32" i="7" s="1"/>
  <c r="CW34" i="8"/>
  <c r="CI32" i="7" s="1"/>
  <c r="CV34" i="8"/>
  <c r="CH32" i="7" s="1"/>
  <c r="CU34" i="8"/>
  <c r="CG32" i="7" s="1"/>
  <c r="CT34" i="8"/>
  <c r="CF32" i="7" s="1"/>
  <c r="CR34" i="8"/>
  <c r="CC32" i="7" s="1"/>
  <c r="CQ34" i="8"/>
  <c r="CB32" i="7" s="1"/>
  <c r="CP34" i="8"/>
  <c r="CO34" i="8"/>
  <c r="BZ32" i="7" s="1"/>
  <c r="CN34" i="8"/>
  <c r="BY32" i="7" s="1"/>
  <c r="CM34" i="8"/>
  <c r="BX32" i="7" s="1"/>
  <c r="CL34" i="8"/>
  <c r="BW32" i="7" s="1"/>
  <c r="CK34" i="8"/>
  <c r="BV32" i="7" s="1"/>
  <c r="CI34" i="8"/>
  <c r="BS32" i="7" s="1"/>
  <c r="CH34" i="8"/>
  <c r="BR32" i="7" s="1"/>
  <c r="CG34" i="8"/>
  <c r="CF34" i="8"/>
  <c r="BP32" i="7" s="1"/>
  <c r="CE34" i="8"/>
  <c r="BO32" i="7" s="1"/>
  <c r="CD34" i="8"/>
  <c r="BN32" i="7" s="1"/>
  <c r="CC34" i="8"/>
  <c r="BM32" i="7" s="1"/>
  <c r="CB34" i="8"/>
  <c r="BL32" i="7" s="1"/>
  <c r="BZ34" i="8"/>
  <c r="BI32" i="7" s="1"/>
  <c r="BY34" i="8"/>
  <c r="BH32" i="7" s="1"/>
  <c r="BX34" i="8"/>
  <c r="BW34" i="8"/>
  <c r="BF32" i="7" s="1"/>
  <c r="BV34" i="8"/>
  <c r="BE32" i="7" s="1"/>
  <c r="BU34" i="8"/>
  <c r="BD32" i="7" s="1"/>
  <c r="BT34" i="8"/>
  <c r="BC32" i="7" s="1"/>
  <c r="BS34" i="8"/>
  <c r="BB32" i="7" s="1"/>
  <c r="BQ34" i="8"/>
  <c r="AY32" i="7" s="1"/>
  <c r="BP34" i="8"/>
  <c r="AX32" i="7" s="1"/>
  <c r="BO34" i="8"/>
  <c r="BN34" i="8"/>
  <c r="AV32" i="7" s="1"/>
  <c r="BM34" i="8"/>
  <c r="AU32" i="7" s="1"/>
  <c r="BL34" i="8"/>
  <c r="AT32" i="7" s="1"/>
  <c r="BK34" i="8"/>
  <c r="AS32" i="7" s="1"/>
  <c r="BJ34" i="8"/>
  <c r="AR32" i="7" s="1"/>
  <c r="BH34" i="8"/>
  <c r="AO32" i="7" s="1"/>
  <c r="BG34" i="8"/>
  <c r="AN32" i="7" s="1"/>
  <c r="BF34" i="8"/>
  <c r="BE34" i="8"/>
  <c r="AL32" i="7" s="1"/>
  <c r="BD34" i="8"/>
  <c r="AK32" i="7" s="1"/>
  <c r="BC34" i="8"/>
  <c r="AJ32" i="7" s="1"/>
  <c r="BB34" i="8"/>
  <c r="AI32" i="7" s="1"/>
  <c r="BA34" i="8"/>
  <c r="AH32" i="7" s="1"/>
  <c r="AY34" i="8"/>
  <c r="AE32" i="7" s="1"/>
  <c r="AX34" i="8"/>
  <c r="AD32" i="7" s="1"/>
  <c r="AW34" i="8"/>
  <c r="AV34" i="8"/>
  <c r="AB32" i="7" s="1"/>
  <c r="AU34" i="8"/>
  <c r="AA32" i="7" s="1"/>
  <c r="AT34" i="8"/>
  <c r="Z32" i="7" s="1"/>
  <c r="AS34" i="8"/>
  <c r="Y32" i="7" s="1"/>
  <c r="AR34" i="8"/>
  <c r="X32" i="7" s="1"/>
  <c r="AP34" i="8"/>
  <c r="U32" i="7" s="1"/>
  <c r="AO34" i="8"/>
  <c r="T32" i="7" s="1"/>
  <c r="AN34" i="8"/>
  <c r="AM34" i="8"/>
  <c r="R32" i="7" s="1"/>
  <c r="AL34" i="8"/>
  <c r="Q32" i="7" s="1"/>
  <c r="AK34" i="8"/>
  <c r="P32" i="7" s="1"/>
  <c r="AJ34" i="8"/>
  <c r="O32" i="7" s="1"/>
  <c r="AI34" i="8"/>
  <c r="N32" i="7" s="1"/>
  <c r="AG34" i="8"/>
  <c r="K32" i="7" s="1"/>
  <c r="AF34" i="8"/>
  <c r="J32" i="7" s="1"/>
  <c r="AE34" i="8"/>
  <c r="AD34" i="8"/>
  <c r="H32" i="7" s="1"/>
  <c r="AC34" i="8"/>
  <c r="G32" i="7" s="1"/>
  <c r="AB34" i="8"/>
  <c r="F32" i="7" s="1"/>
  <c r="AA34" i="8"/>
  <c r="E32" i="7" s="1"/>
  <c r="Z34" i="8"/>
  <c r="D32" i="7" s="1"/>
  <c r="DJ33" i="8"/>
  <c r="CW31" i="7" s="1"/>
  <c r="DI33" i="8"/>
  <c r="CV31" i="7" s="1"/>
  <c r="DH33" i="8"/>
  <c r="DG33" i="8"/>
  <c r="CT31" i="7" s="1"/>
  <c r="DF33" i="8"/>
  <c r="CS31" i="7" s="1"/>
  <c r="DE33" i="8"/>
  <c r="CR31" i="7" s="1"/>
  <c r="DD33" i="8"/>
  <c r="CQ31" i="7" s="1"/>
  <c r="DC33" i="8"/>
  <c r="CP31" i="7" s="1"/>
  <c r="DA33" i="8"/>
  <c r="CM31" i="7" s="1"/>
  <c r="CZ33" i="8"/>
  <c r="CL31" i="7" s="1"/>
  <c r="CY33" i="8"/>
  <c r="CX33" i="8"/>
  <c r="CJ31" i="7" s="1"/>
  <c r="CW33" i="8"/>
  <c r="CI31" i="7" s="1"/>
  <c r="CV33" i="8"/>
  <c r="CH31" i="7" s="1"/>
  <c r="CU33" i="8"/>
  <c r="CG31" i="7" s="1"/>
  <c r="CT33" i="8"/>
  <c r="CF31" i="7" s="1"/>
  <c r="CR33" i="8"/>
  <c r="CC31" i="7" s="1"/>
  <c r="CQ33" i="8"/>
  <c r="CB31" i="7" s="1"/>
  <c r="CP33" i="8"/>
  <c r="CO33" i="8"/>
  <c r="BZ31" i="7" s="1"/>
  <c r="CN33" i="8"/>
  <c r="BY31" i="7" s="1"/>
  <c r="CM33" i="8"/>
  <c r="BX31" i="7" s="1"/>
  <c r="CL33" i="8"/>
  <c r="BW31" i="7" s="1"/>
  <c r="CK33" i="8"/>
  <c r="BV31" i="7" s="1"/>
  <c r="CI33" i="8"/>
  <c r="BS31" i="7" s="1"/>
  <c r="CH33" i="8"/>
  <c r="BR31" i="7" s="1"/>
  <c r="CG33" i="8"/>
  <c r="CF33" i="8"/>
  <c r="BP31" i="7" s="1"/>
  <c r="CE33" i="8"/>
  <c r="BO31" i="7" s="1"/>
  <c r="CD33" i="8"/>
  <c r="BN31" i="7" s="1"/>
  <c r="CC33" i="8"/>
  <c r="BM31" i="7" s="1"/>
  <c r="CB33" i="8"/>
  <c r="BL31" i="7" s="1"/>
  <c r="BZ33" i="8"/>
  <c r="BI31" i="7" s="1"/>
  <c r="BY33" i="8"/>
  <c r="BH31" i="7" s="1"/>
  <c r="BX33" i="8"/>
  <c r="BW33" i="8"/>
  <c r="BF31" i="7" s="1"/>
  <c r="BV33" i="8"/>
  <c r="BE31" i="7" s="1"/>
  <c r="BU33" i="8"/>
  <c r="BD31" i="7" s="1"/>
  <c r="BT33" i="8"/>
  <c r="BC31" i="7" s="1"/>
  <c r="BS33" i="8"/>
  <c r="BB31" i="7" s="1"/>
  <c r="BQ33" i="8"/>
  <c r="AY31" i="7" s="1"/>
  <c r="BP33" i="8"/>
  <c r="AX31" i="7" s="1"/>
  <c r="BO33" i="8"/>
  <c r="BN33" i="8"/>
  <c r="AV31" i="7" s="1"/>
  <c r="BM33" i="8"/>
  <c r="AU31" i="7" s="1"/>
  <c r="BL33" i="8"/>
  <c r="AT31" i="7" s="1"/>
  <c r="BK33" i="8"/>
  <c r="AS31" i="7" s="1"/>
  <c r="BJ33" i="8"/>
  <c r="AR31" i="7" s="1"/>
  <c r="BH33" i="8"/>
  <c r="AO31" i="7" s="1"/>
  <c r="BG33" i="8"/>
  <c r="AN31" i="7" s="1"/>
  <c r="BF33" i="8"/>
  <c r="BE33" i="8"/>
  <c r="AL31" i="7" s="1"/>
  <c r="BD33" i="8"/>
  <c r="AK31" i="7" s="1"/>
  <c r="BC33" i="8"/>
  <c r="AJ31" i="7" s="1"/>
  <c r="BB33" i="8"/>
  <c r="AI31" i="7" s="1"/>
  <c r="BA33" i="8"/>
  <c r="AH31" i="7" s="1"/>
  <c r="AY33" i="8"/>
  <c r="AE31" i="7" s="1"/>
  <c r="AX33" i="8"/>
  <c r="AD31" i="7" s="1"/>
  <c r="AW33" i="8"/>
  <c r="AV33" i="8"/>
  <c r="AB31" i="7" s="1"/>
  <c r="AU33" i="8"/>
  <c r="AA31" i="7" s="1"/>
  <c r="AT33" i="8"/>
  <c r="Z31" i="7" s="1"/>
  <c r="AS33" i="8"/>
  <c r="Y31" i="7" s="1"/>
  <c r="AR33" i="8"/>
  <c r="X31" i="7" s="1"/>
  <c r="AP33" i="8"/>
  <c r="U31" i="7" s="1"/>
  <c r="AO33" i="8"/>
  <c r="T31" i="7" s="1"/>
  <c r="AN33" i="8"/>
  <c r="AM33" i="8"/>
  <c r="R31" i="7" s="1"/>
  <c r="AL33" i="8"/>
  <c r="Q31" i="7" s="1"/>
  <c r="AK33" i="8"/>
  <c r="P31" i="7" s="1"/>
  <c r="AJ33" i="8"/>
  <c r="O31" i="7" s="1"/>
  <c r="AI33" i="8"/>
  <c r="N31" i="7" s="1"/>
  <c r="AG33" i="8"/>
  <c r="K31" i="7" s="1"/>
  <c r="AF33" i="8"/>
  <c r="J31" i="7" s="1"/>
  <c r="AE33" i="8"/>
  <c r="AD33" i="8"/>
  <c r="H31" i="7" s="1"/>
  <c r="AC33" i="8"/>
  <c r="G31" i="7" s="1"/>
  <c r="AB33" i="8"/>
  <c r="F31" i="7" s="1"/>
  <c r="AA33" i="8"/>
  <c r="E31" i="7" s="1"/>
  <c r="Z33" i="8"/>
  <c r="D31" i="7" s="1"/>
  <c r="DJ32" i="8"/>
  <c r="CW30" i="7" s="1"/>
  <c r="DI32" i="8"/>
  <c r="CV30" i="7" s="1"/>
  <c r="DH32" i="8"/>
  <c r="DG32" i="8"/>
  <c r="CT30" i="7" s="1"/>
  <c r="DF32" i="8"/>
  <c r="CS30" i="7" s="1"/>
  <c r="DE32" i="8"/>
  <c r="CR30" i="7" s="1"/>
  <c r="DD32" i="8"/>
  <c r="CQ30" i="7" s="1"/>
  <c r="DC32" i="8"/>
  <c r="CP30" i="7" s="1"/>
  <c r="DA32" i="8"/>
  <c r="CM30" i="7" s="1"/>
  <c r="CZ32" i="8"/>
  <c r="CL30" i="7" s="1"/>
  <c r="CY32" i="8"/>
  <c r="CX32" i="8"/>
  <c r="CJ30" i="7" s="1"/>
  <c r="CW32" i="8"/>
  <c r="CI30" i="7" s="1"/>
  <c r="CV32" i="8"/>
  <c r="CH30" i="7" s="1"/>
  <c r="CU32" i="8"/>
  <c r="CG30" i="7" s="1"/>
  <c r="CT32" i="8"/>
  <c r="CF30" i="7" s="1"/>
  <c r="CR32" i="8"/>
  <c r="CC30" i="7" s="1"/>
  <c r="CQ32" i="8"/>
  <c r="CB30" i="7" s="1"/>
  <c r="CP32" i="8"/>
  <c r="CO32" i="8"/>
  <c r="BZ30" i="7" s="1"/>
  <c r="CN32" i="8"/>
  <c r="BY30" i="7" s="1"/>
  <c r="CM32" i="8"/>
  <c r="BX30" i="7" s="1"/>
  <c r="CL32" i="8"/>
  <c r="BW30" i="7" s="1"/>
  <c r="CK32" i="8"/>
  <c r="BV30" i="7" s="1"/>
  <c r="CI32" i="8"/>
  <c r="BS30" i="7" s="1"/>
  <c r="CH32" i="8"/>
  <c r="BR30" i="7" s="1"/>
  <c r="CG32" i="8"/>
  <c r="CF32" i="8"/>
  <c r="BP30" i="7" s="1"/>
  <c r="CE32" i="8"/>
  <c r="BO30" i="7" s="1"/>
  <c r="CD32" i="8"/>
  <c r="BN30" i="7" s="1"/>
  <c r="CC32" i="8"/>
  <c r="BM30" i="7" s="1"/>
  <c r="CB32" i="8"/>
  <c r="BL30" i="7" s="1"/>
  <c r="BZ32" i="8"/>
  <c r="BI30" i="7" s="1"/>
  <c r="BY32" i="8"/>
  <c r="BH30" i="7" s="1"/>
  <c r="BX32" i="8"/>
  <c r="BW32" i="8"/>
  <c r="BF30" i="7" s="1"/>
  <c r="BV32" i="8"/>
  <c r="BE30" i="7" s="1"/>
  <c r="BU32" i="8"/>
  <c r="BD30" i="7" s="1"/>
  <c r="BT32" i="8"/>
  <c r="BC30" i="7" s="1"/>
  <c r="BS32" i="8"/>
  <c r="BB30" i="7" s="1"/>
  <c r="BQ32" i="8"/>
  <c r="AY30" i="7" s="1"/>
  <c r="BP32" i="8"/>
  <c r="AX30" i="7" s="1"/>
  <c r="BO32" i="8"/>
  <c r="BN32" i="8"/>
  <c r="AV30" i="7" s="1"/>
  <c r="BM32" i="8"/>
  <c r="AU30" i="7" s="1"/>
  <c r="BL32" i="8"/>
  <c r="AT30" i="7" s="1"/>
  <c r="BK32" i="8"/>
  <c r="AS30" i="7" s="1"/>
  <c r="BJ32" i="8"/>
  <c r="AR30" i="7" s="1"/>
  <c r="BH32" i="8"/>
  <c r="AO30" i="7" s="1"/>
  <c r="BG32" i="8"/>
  <c r="AN30" i="7" s="1"/>
  <c r="BF32" i="8"/>
  <c r="BE32" i="8"/>
  <c r="AL30" i="7" s="1"/>
  <c r="BD32" i="8"/>
  <c r="AK30" i="7" s="1"/>
  <c r="BC32" i="8"/>
  <c r="AJ30" i="7" s="1"/>
  <c r="BB32" i="8"/>
  <c r="AI30" i="7" s="1"/>
  <c r="BA32" i="8"/>
  <c r="AH30" i="7" s="1"/>
  <c r="AY32" i="8"/>
  <c r="AE30" i="7" s="1"/>
  <c r="AX32" i="8"/>
  <c r="AD30" i="7" s="1"/>
  <c r="AW32" i="8"/>
  <c r="AV32" i="8"/>
  <c r="AB30" i="7" s="1"/>
  <c r="AU32" i="8"/>
  <c r="AA30" i="7" s="1"/>
  <c r="AT32" i="8"/>
  <c r="Z30" i="7" s="1"/>
  <c r="AS32" i="8"/>
  <c r="Y30" i="7" s="1"/>
  <c r="AR32" i="8"/>
  <c r="X30" i="7" s="1"/>
  <c r="AP32" i="8"/>
  <c r="U30" i="7" s="1"/>
  <c r="AO32" i="8"/>
  <c r="T30" i="7" s="1"/>
  <c r="AN32" i="8"/>
  <c r="AM32" i="8"/>
  <c r="R30" i="7" s="1"/>
  <c r="AL32" i="8"/>
  <c r="Q30" i="7" s="1"/>
  <c r="AK32" i="8"/>
  <c r="P30" i="7" s="1"/>
  <c r="AJ32" i="8"/>
  <c r="O30" i="7" s="1"/>
  <c r="AI32" i="8"/>
  <c r="N30" i="7" s="1"/>
  <c r="AG32" i="8"/>
  <c r="K30" i="7" s="1"/>
  <c r="AF32" i="8"/>
  <c r="J30" i="7" s="1"/>
  <c r="AE32" i="8"/>
  <c r="AD32" i="8"/>
  <c r="H30" i="7" s="1"/>
  <c r="AC32" i="8"/>
  <c r="G30" i="7" s="1"/>
  <c r="AB32" i="8"/>
  <c r="F30" i="7" s="1"/>
  <c r="AA32" i="8"/>
  <c r="E30" i="7" s="1"/>
  <c r="Z32" i="8"/>
  <c r="D30" i="7" s="1"/>
  <c r="DJ31" i="8"/>
  <c r="CW29" i="7" s="1"/>
  <c r="DI31" i="8"/>
  <c r="CV29" i="7" s="1"/>
  <c r="DH31" i="8"/>
  <c r="DG31" i="8"/>
  <c r="CT29" i="7" s="1"/>
  <c r="DF31" i="8"/>
  <c r="CS29" i="7" s="1"/>
  <c r="DE31" i="8"/>
  <c r="CR29" i="7" s="1"/>
  <c r="DD31" i="8"/>
  <c r="CQ29" i="7" s="1"/>
  <c r="DC31" i="8"/>
  <c r="CP29" i="7" s="1"/>
  <c r="DA31" i="8"/>
  <c r="CM29" i="7" s="1"/>
  <c r="CZ31" i="8"/>
  <c r="CL29" i="7" s="1"/>
  <c r="CY31" i="8"/>
  <c r="CX31" i="8"/>
  <c r="CJ29" i="7" s="1"/>
  <c r="CW31" i="8"/>
  <c r="CI29" i="7" s="1"/>
  <c r="CV31" i="8"/>
  <c r="CH29" i="7" s="1"/>
  <c r="CU31" i="8"/>
  <c r="CG29" i="7" s="1"/>
  <c r="CT31" i="8"/>
  <c r="CF29" i="7" s="1"/>
  <c r="CR31" i="8"/>
  <c r="CC29" i="7" s="1"/>
  <c r="CQ31" i="8"/>
  <c r="CB29" i="7" s="1"/>
  <c r="CP31" i="8"/>
  <c r="CO31" i="8"/>
  <c r="BZ29" i="7" s="1"/>
  <c r="CN31" i="8"/>
  <c r="BY29" i="7" s="1"/>
  <c r="CM31" i="8"/>
  <c r="BX29" i="7" s="1"/>
  <c r="CL31" i="8"/>
  <c r="BW29" i="7" s="1"/>
  <c r="CK31" i="8"/>
  <c r="BV29" i="7" s="1"/>
  <c r="CI31" i="8"/>
  <c r="BS29" i="7" s="1"/>
  <c r="CH31" i="8"/>
  <c r="BR29" i="7" s="1"/>
  <c r="CG31" i="8"/>
  <c r="CF31" i="8"/>
  <c r="BP29" i="7" s="1"/>
  <c r="CE31" i="8"/>
  <c r="BO29" i="7" s="1"/>
  <c r="CD31" i="8"/>
  <c r="BN29" i="7" s="1"/>
  <c r="CC31" i="8"/>
  <c r="BM29" i="7" s="1"/>
  <c r="CB31" i="8"/>
  <c r="BL29" i="7" s="1"/>
  <c r="BZ31" i="8"/>
  <c r="BI29" i="7" s="1"/>
  <c r="BY31" i="8"/>
  <c r="BH29" i="7" s="1"/>
  <c r="BX31" i="8"/>
  <c r="BW31" i="8"/>
  <c r="BF29" i="7" s="1"/>
  <c r="BV31" i="8"/>
  <c r="BE29" i="7" s="1"/>
  <c r="BU31" i="8"/>
  <c r="BD29" i="7" s="1"/>
  <c r="BT31" i="8"/>
  <c r="BC29" i="7" s="1"/>
  <c r="BS31" i="8"/>
  <c r="BB29" i="7" s="1"/>
  <c r="BQ31" i="8"/>
  <c r="AY29" i="7" s="1"/>
  <c r="BP31" i="8"/>
  <c r="AX29" i="7" s="1"/>
  <c r="BO31" i="8"/>
  <c r="BN31" i="8"/>
  <c r="AV29" i="7" s="1"/>
  <c r="BM31" i="8"/>
  <c r="AU29" i="7" s="1"/>
  <c r="BL31" i="8"/>
  <c r="AT29" i="7" s="1"/>
  <c r="BK31" i="8"/>
  <c r="AS29" i="7" s="1"/>
  <c r="BJ31" i="8"/>
  <c r="AR29" i="7" s="1"/>
  <c r="BH31" i="8"/>
  <c r="AO29" i="7" s="1"/>
  <c r="BG31" i="8"/>
  <c r="AN29" i="7" s="1"/>
  <c r="BF31" i="8"/>
  <c r="BE31" i="8"/>
  <c r="AL29" i="7" s="1"/>
  <c r="BD31" i="8"/>
  <c r="AK29" i="7" s="1"/>
  <c r="BC31" i="8"/>
  <c r="AJ29" i="7" s="1"/>
  <c r="BB31" i="8"/>
  <c r="AI29" i="7" s="1"/>
  <c r="BA31" i="8"/>
  <c r="AH29" i="7" s="1"/>
  <c r="AY31" i="8"/>
  <c r="AE29" i="7" s="1"/>
  <c r="AX31" i="8"/>
  <c r="AD29" i="7" s="1"/>
  <c r="AW31" i="8"/>
  <c r="AV31" i="8"/>
  <c r="AB29" i="7" s="1"/>
  <c r="AU31" i="8"/>
  <c r="AA29" i="7" s="1"/>
  <c r="AT31" i="8"/>
  <c r="Z29" i="7" s="1"/>
  <c r="AS31" i="8"/>
  <c r="Y29" i="7" s="1"/>
  <c r="AR31" i="8"/>
  <c r="X29" i="7" s="1"/>
  <c r="AP31" i="8"/>
  <c r="U29" i="7" s="1"/>
  <c r="AO31" i="8"/>
  <c r="T29" i="7" s="1"/>
  <c r="AN31" i="8"/>
  <c r="AM31" i="8"/>
  <c r="R29" i="7" s="1"/>
  <c r="AL31" i="8"/>
  <c r="Q29" i="7" s="1"/>
  <c r="AK31" i="8"/>
  <c r="P29" i="7" s="1"/>
  <c r="AJ31" i="8"/>
  <c r="O29" i="7" s="1"/>
  <c r="AI31" i="8"/>
  <c r="N29" i="7" s="1"/>
  <c r="AG31" i="8"/>
  <c r="K29" i="7" s="1"/>
  <c r="AF31" i="8"/>
  <c r="J29" i="7" s="1"/>
  <c r="AE31" i="8"/>
  <c r="AD31" i="8"/>
  <c r="H29" i="7" s="1"/>
  <c r="AC31" i="8"/>
  <c r="G29" i="7" s="1"/>
  <c r="AB31" i="8"/>
  <c r="F29" i="7" s="1"/>
  <c r="AA31" i="8"/>
  <c r="E29" i="7" s="1"/>
  <c r="Z31" i="8"/>
  <c r="D29" i="7" s="1"/>
  <c r="DJ30" i="8"/>
  <c r="DI30" i="8"/>
  <c r="DH30" i="8"/>
  <c r="DG30" i="8"/>
  <c r="DF30" i="8"/>
  <c r="DE30" i="8"/>
  <c r="DD30" i="8"/>
  <c r="DC30" i="8"/>
  <c r="DA30" i="8"/>
  <c r="CZ30" i="8"/>
  <c r="CY30" i="8"/>
  <c r="CX30" i="8"/>
  <c r="CW30" i="8"/>
  <c r="CV30" i="8"/>
  <c r="CU30" i="8"/>
  <c r="CT30" i="8"/>
  <c r="CR30" i="8"/>
  <c r="CQ30" i="8"/>
  <c r="CP30" i="8"/>
  <c r="CO30" i="8"/>
  <c r="CN30" i="8"/>
  <c r="CM30" i="8"/>
  <c r="CL30" i="8"/>
  <c r="CK30" i="8"/>
  <c r="CI30" i="8"/>
  <c r="CH30" i="8"/>
  <c r="CG30" i="8"/>
  <c r="CF30" i="8"/>
  <c r="CE30" i="8"/>
  <c r="CD30" i="8"/>
  <c r="CC30" i="8"/>
  <c r="CB30" i="8"/>
  <c r="BZ30" i="8"/>
  <c r="BY30" i="8"/>
  <c r="BX30" i="8"/>
  <c r="BW30" i="8"/>
  <c r="BV30" i="8"/>
  <c r="BU30" i="8"/>
  <c r="BT30" i="8"/>
  <c r="BS30" i="8"/>
  <c r="BQ30" i="8"/>
  <c r="BP30" i="8"/>
  <c r="BO30" i="8"/>
  <c r="BN30" i="8"/>
  <c r="BM30" i="8"/>
  <c r="BL30" i="8"/>
  <c r="BK30" i="8"/>
  <c r="BJ30" i="8"/>
  <c r="BH30" i="8"/>
  <c r="BG30" i="8"/>
  <c r="BF30" i="8"/>
  <c r="BE30" i="8"/>
  <c r="BD30" i="8"/>
  <c r="BC30" i="8"/>
  <c r="BB30" i="8"/>
  <c r="BA30" i="8"/>
  <c r="AY30" i="8"/>
  <c r="AX30" i="8"/>
  <c r="AW30" i="8"/>
  <c r="AV30" i="8"/>
  <c r="AU30" i="8"/>
  <c r="AT30" i="8"/>
  <c r="AS30" i="8"/>
  <c r="AR30" i="8"/>
  <c r="AP30" i="8"/>
  <c r="AO30" i="8"/>
  <c r="AN30" i="8"/>
  <c r="AM30" i="8"/>
  <c r="AL30" i="8"/>
  <c r="AK30" i="8"/>
  <c r="AJ30" i="8"/>
  <c r="AI30" i="8"/>
  <c r="AG30" i="8"/>
  <c r="AF30" i="8"/>
  <c r="AE30" i="8"/>
  <c r="AD30" i="8"/>
  <c r="AC30" i="8"/>
  <c r="AB30" i="8"/>
  <c r="AA30" i="8"/>
  <c r="Z30" i="8"/>
  <c r="DJ29" i="8"/>
  <c r="CW27" i="7" s="1"/>
  <c r="DI29" i="8"/>
  <c r="CV27" i="7" s="1"/>
  <c r="DH29" i="8"/>
  <c r="DG29" i="8"/>
  <c r="CT27" i="7" s="1"/>
  <c r="DF29" i="8"/>
  <c r="CS27" i="7" s="1"/>
  <c r="DE29" i="8"/>
  <c r="CR27" i="7" s="1"/>
  <c r="DD29" i="8"/>
  <c r="CQ27" i="7" s="1"/>
  <c r="DC29" i="8"/>
  <c r="CP27" i="7" s="1"/>
  <c r="DA29" i="8"/>
  <c r="CM27" i="7" s="1"/>
  <c r="CZ29" i="8"/>
  <c r="CL27" i="7" s="1"/>
  <c r="CY29" i="8"/>
  <c r="CX29" i="8"/>
  <c r="CJ27" i="7" s="1"/>
  <c r="CW29" i="8"/>
  <c r="CI27" i="7" s="1"/>
  <c r="CV29" i="8"/>
  <c r="CH27" i="7" s="1"/>
  <c r="CU29" i="8"/>
  <c r="CG27" i="7" s="1"/>
  <c r="CT29" i="8"/>
  <c r="CF27" i="7" s="1"/>
  <c r="CR29" i="8"/>
  <c r="CC27" i="7" s="1"/>
  <c r="CQ29" i="8"/>
  <c r="CB27" i="7" s="1"/>
  <c r="CP29" i="8"/>
  <c r="CO29" i="8"/>
  <c r="BZ27" i="7" s="1"/>
  <c r="CN29" i="8"/>
  <c r="BY27" i="7" s="1"/>
  <c r="CM29" i="8"/>
  <c r="BX27" i="7" s="1"/>
  <c r="CL29" i="8"/>
  <c r="BW27" i="7" s="1"/>
  <c r="CK29" i="8"/>
  <c r="BV27" i="7" s="1"/>
  <c r="CI29" i="8"/>
  <c r="BS27" i="7" s="1"/>
  <c r="CH29" i="8"/>
  <c r="BR27" i="7" s="1"/>
  <c r="CG29" i="8"/>
  <c r="CF29" i="8"/>
  <c r="BP27" i="7" s="1"/>
  <c r="CE29" i="8"/>
  <c r="BO27" i="7" s="1"/>
  <c r="CD29" i="8"/>
  <c r="BN27" i="7" s="1"/>
  <c r="CC29" i="8"/>
  <c r="BM27" i="7" s="1"/>
  <c r="CB29" i="8"/>
  <c r="BL27" i="7" s="1"/>
  <c r="BZ29" i="8"/>
  <c r="BI27" i="7" s="1"/>
  <c r="BY29" i="8"/>
  <c r="BH27" i="7" s="1"/>
  <c r="BX29" i="8"/>
  <c r="BW29" i="8"/>
  <c r="BF27" i="7" s="1"/>
  <c r="BV29" i="8"/>
  <c r="BE27" i="7" s="1"/>
  <c r="BU29" i="8"/>
  <c r="BD27" i="7" s="1"/>
  <c r="BT29" i="8"/>
  <c r="BC27" i="7" s="1"/>
  <c r="BS29" i="8"/>
  <c r="BB27" i="7" s="1"/>
  <c r="BQ29" i="8"/>
  <c r="AY27" i="7" s="1"/>
  <c r="BP29" i="8"/>
  <c r="AX27" i="7" s="1"/>
  <c r="BO29" i="8"/>
  <c r="BN29" i="8"/>
  <c r="AV27" i="7" s="1"/>
  <c r="BM29" i="8"/>
  <c r="AU27" i="7" s="1"/>
  <c r="BL29" i="8"/>
  <c r="AT27" i="7" s="1"/>
  <c r="BK29" i="8"/>
  <c r="AS27" i="7" s="1"/>
  <c r="BJ29" i="8"/>
  <c r="AR27" i="7" s="1"/>
  <c r="BH29" i="8"/>
  <c r="AO27" i="7" s="1"/>
  <c r="BG29" i="8"/>
  <c r="AN27" i="7" s="1"/>
  <c r="BF29" i="8"/>
  <c r="BE29" i="8"/>
  <c r="AL27" i="7" s="1"/>
  <c r="BD29" i="8"/>
  <c r="AK27" i="7" s="1"/>
  <c r="BC29" i="8"/>
  <c r="AJ27" i="7" s="1"/>
  <c r="BB29" i="8"/>
  <c r="AI27" i="7" s="1"/>
  <c r="BA29" i="8"/>
  <c r="AH27" i="7" s="1"/>
  <c r="AY29" i="8"/>
  <c r="AE27" i="7" s="1"/>
  <c r="AX29" i="8"/>
  <c r="AD27" i="7" s="1"/>
  <c r="AW29" i="8"/>
  <c r="AV29" i="8"/>
  <c r="AB27" i="7" s="1"/>
  <c r="AU29" i="8"/>
  <c r="AA27" i="7" s="1"/>
  <c r="AT29" i="8"/>
  <c r="Z27" i="7" s="1"/>
  <c r="AS29" i="8"/>
  <c r="Y27" i="7" s="1"/>
  <c r="AR29" i="8"/>
  <c r="X27" i="7" s="1"/>
  <c r="AP29" i="8"/>
  <c r="U27" i="7" s="1"/>
  <c r="AO29" i="8"/>
  <c r="T27" i="7" s="1"/>
  <c r="AN29" i="8"/>
  <c r="AM29" i="8"/>
  <c r="R27" i="7" s="1"/>
  <c r="AL29" i="8"/>
  <c r="Q27" i="7" s="1"/>
  <c r="AK29" i="8"/>
  <c r="P27" i="7" s="1"/>
  <c r="AJ29" i="8"/>
  <c r="O27" i="7" s="1"/>
  <c r="AI29" i="8"/>
  <c r="N27" i="7" s="1"/>
  <c r="AG29" i="8"/>
  <c r="K27" i="7" s="1"/>
  <c r="AF29" i="8"/>
  <c r="J27" i="7" s="1"/>
  <c r="AE29" i="8"/>
  <c r="AD29" i="8"/>
  <c r="H27" i="7" s="1"/>
  <c r="AC29" i="8"/>
  <c r="G27" i="7" s="1"/>
  <c r="AB29" i="8"/>
  <c r="F27" i="7" s="1"/>
  <c r="AA29" i="8"/>
  <c r="E27" i="7" s="1"/>
  <c r="Z29" i="8"/>
  <c r="D27" i="7" s="1"/>
  <c r="DJ28" i="8"/>
  <c r="CW26" i="7" s="1"/>
  <c r="DI28" i="8"/>
  <c r="CV26" i="7" s="1"/>
  <c r="DH28" i="8"/>
  <c r="DG28" i="8"/>
  <c r="CT26" i="7" s="1"/>
  <c r="DF28" i="8"/>
  <c r="CS26" i="7" s="1"/>
  <c r="DE28" i="8"/>
  <c r="CR26" i="7" s="1"/>
  <c r="DD28" i="8"/>
  <c r="CQ26" i="7" s="1"/>
  <c r="DC28" i="8"/>
  <c r="CP26" i="7" s="1"/>
  <c r="DA28" i="8"/>
  <c r="CM26" i="7" s="1"/>
  <c r="CZ28" i="8"/>
  <c r="CL26" i="7" s="1"/>
  <c r="CY28" i="8"/>
  <c r="CX28" i="8"/>
  <c r="CJ26" i="7" s="1"/>
  <c r="CW28" i="8"/>
  <c r="CI26" i="7" s="1"/>
  <c r="CV28" i="8"/>
  <c r="CH26" i="7" s="1"/>
  <c r="CU28" i="8"/>
  <c r="CG26" i="7" s="1"/>
  <c r="CT28" i="8"/>
  <c r="CF26" i="7" s="1"/>
  <c r="CR28" i="8"/>
  <c r="CC26" i="7" s="1"/>
  <c r="CQ28" i="8"/>
  <c r="CB26" i="7" s="1"/>
  <c r="CP28" i="8"/>
  <c r="CO28" i="8"/>
  <c r="BZ26" i="7" s="1"/>
  <c r="CN28" i="8"/>
  <c r="BY26" i="7" s="1"/>
  <c r="CM28" i="8"/>
  <c r="BX26" i="7" s="1"/>
  <c r="CL28" i="8"/>
  <c r="BW26" i="7" s="1"/>
  <c r="CK28" i="8"/>
  <c r="BV26" i="7" s="1"/>
  <c r="CI28" i="8"/>
  <c r="BS26" i="7" s="1"/>
  <c r="CH28" i="8"/>
  <c r="BR26" i="7" s="1"/>
  <c r="CG28" i="8"/>
  <c r="CF28" i="8"/>
  <c r="BP26" i="7" s="1"/>
  <c r="CE28" i="8"/>
  <c r="BO26" i="7" s="1"/>
  <c r="CD28" i="8"/>
  <c r="BN26" i="7" s="1"/>
  <c r="CC28" i="8"/>
  <c r="BM26" i="7" s="1"/>
  <c r="CB28" i="8"/>
  <c r="BL26" i="7" s="1"/>
  <c r="BZ28" i="8"/>
  <c r="BI26" i="7" s="1"/>
  <c r="BY28" i="8"/>
  <c r="BH26" i="7" s="1"/>
  <c r="BX28" i="8"/>
  <c r="BW28" i="8"/>
  <c r="BF26" i="7" s="1"/>
  <c r="BV28" i="8"/>
  <c r="BE26" i="7" s="1"/>
  <c r="BU28" i="8"/>
  <c r="BD26" i="7" s="1"/>
  <c r="BT28" i="8"/>
  <c r="BC26" i="7" s="1"/>
  <c r="BS28" i="8"/>
  <c r="BB26" i="7" s="1"/>
  <c r="BQ28" i="8"/>
  <c r="AY26" i="7" s="1"/>
  <c r="BP28" i="8"/>
  <c r="AX26" i="7" s="1"/>
  <c r="BO28" i="8"/>
  <c r="BN28" i="8"/>
  <c r="AV26" i="7" s="1"/>
  <c r="BM28" i="8"/>
  <c r="AU26" i="7" s="1"/>
  <c r="BL28" i="8"/>
  <c r="AT26" i="7" s="1"/>
  <c r="BK28" i="8"/>
  <c r="AS26" i="7" s="1"/>
  <c r="BJ28" i="8"/>
  <c r="AR26" i="7" s="1"/>
  <c r="BH28" i="8"/>
  <c r="AO26" i="7" s="1"/>
  <c r="BG28" i="8"/>
  <c r="AN26" i="7" s="1"/>
  <c r="BF28" i="8"/>
  <c r="BE28" i="8"/>
  <c r="AL26" i="7" s="1"/>
  <c r="BD28" i="8"/>
  <c r="AK26" i="7" s="1"/>
  <c r="BC28" i="8"/>
  <c r="AJ26" i="7" s="1"/>
  <c r="BB28" i="8"/>
  <c r="AI26" i="7" s="1"/>
  <c r="BA28" i="8"/>
  <c r="AH26" i="7" s="1"/>
  <c r="AY28" i="8"/>
  <c r="AE26" i="7" s="1"/>
  <c r="AX28" i="8"/>
  <c r="AD26" i="7" s="1"/>
  <c r="AW28" i="8"/>
  <c r="AV28" i="8"/>
  <c r="AB26" i="7" s="1"/>
  <c r="AU28" i="8"/>
  <c r="AA26" i="7" s="1"/>
  <c r="AT28" i="8"/>
  <c r="Z26" i="7" s="1"/>
  <c r="AS28" i="8"/>
  <c r="Y26" i="7" s="1"/>
  <c r="AR28" i="8"/>
  <c r="X26" i="7" s="1"/>
  <c r="AP28" i="8"/>
  <c r="U26" i="7" s="1"/>
  <c r="AO28" i="8"/>
  <c r="T26" i="7" s="1"/>
  <c r="AN28" i="8"/>
  <c r="AM28" i="8"/>
  <c r="R26" i="7" s="1"/>
  <c r="AL28" i="8"/>
  <c r="Q26" i="7" s="1"/>
  <c r="AK28" i="8"/>
  <c r="P26" i="7" s="1"/>
  <c r="AJ28" i="8"/>
  <c r="O26" i="7" s="1"/>
  <c r="AI28" i="8"/>
  <c r="N26" i="7" s="1"/>
  <c r="AG28" i="8"/>
  <c r="K26" i="7" s="1"/>
  <c r="AF28" i="8"/>
  <c r="J26" i="7" s="1"/>
  <c r="AE28" i="8"/>
  <c r="AD28" i="8"/>
  <c r="H26" i="7" s="1"/>
  <c r="AC28" i="8"/>
  <c r="G26" i="7" s="1"/>
  <c r="AB28" i="8"/>
  <c r="F26" i="7" s="1"/>
  <c r="AA28" i="8"/>
  <c r="E26" i="7" s="1"/>
  <c r="Z28" i="8"/>
  <c r="D26" i="7" s="1"/>
  <c r="DJ27" i="8"/>
  <c r="CW25" i="7" s="1"/>
  <c r="DI27" i="8"/>
  <c r="CV25" i="7" s="1"/>
  <c r="DH27" i="8"/>
  <c r="DG27" i="8"/>
  <c r="CT25" i="7" s="1"/>
  <c r="DF27" i="8"/>
  <c r="CS25" i="7" s="1"/>
  <c r="DE27" i="8"/>
  <c r="CR25" i="7" s="1"/>
  <c r="DD27" i="8"/>
  <c r="CQ25" i="7" s="1"/>
  <c r="DC27" i="8"/>
  <c r="CP25" i="7" s="1"/>
  <c r="DA27" i="8"/>
  <c r="CM25" i="7" s="1"/>
  <c r="CZ27" i="8"/>
  <c r="CL25" i="7" s="1"/>
  <c r="CY27" i="8"/>
  <c r="CX27" i="8"/>
  <c r="CJ25" i="7" s="1"/>
  <c r="CW27" i="8"/>
  <c r="CI25" i="7" s="1"/>
  <c r="CV27" i="8"/>
  <c r="CH25" i="7" s="1"/>
  <c r="CU27" i="8"/>
  <c r="CG25" i="7" s="1"/>
  <c r="CT27" i="8"/>
  <c r="CF25" i="7" s="1"/>
  <c r="CR27" i="8"/>
  <c r="CC25" i="7" s="1"/>
  <c r="CQ27" i="8"/>
  <c r="CB25" i="7" s="1"/>
  <c r="CP27" i="8"/>
  <c r="CO27" i="8"/>
  <c r="BZ25" i="7" s="1"/>
  <c r="CN27" i="8"/>
  <c r="BY25" i="7" s="1"/>
  <c r="CM27" i="8"/>
  <c r="BX25" i="7" s="1"/>
  <c r="CL27" i="8"/>
  <c r="BW25" i="7" s="1"/>
  <c r="CK27" i="8"/>
  <c r="BV25" i="7" s="1"/>
  <c r="CI27" i="8"/>
  <c r="BS25" i="7" s="1"/>
  <c r="CH27" i="8"/>
  <c r="BR25" i="7" s="1"/>
  <c r="CG27" i="8"/>
  <c r="CF27" i="8"/>
  <c r="BP25" i="7" s="1"/>
  <c r="CE27" i="8"/>
  <c r="BO25" i="7" s="1"/>
  <c r="CD27" i="8"/>
  <c r="BN25" i="7" s="1"/>
  <c r="CC27" i="8"/>
  <c r="BM25" i="7" s="1"/>
  <c r="CB27" i="8"/>
  <c r="BL25" i="7" s="1"/>
  <c r="BZ27" i="8"/>
  <c r="BI25" i="7" s="1"/>
  <c r="BY27" i="8"/>
  <c r="BH25" i="7" s="1"/>
  <c r="BX27" i="8"/>
  <c r="BW27" i="8"/>
  <c r="BF25" i="7" s="1"/>
  <c r="BV27" i="8"/>
  <c r="BE25" i="7" s="1"/>
  <c r="BU27" i="8"/>
  <c r="BD25" i="7" s="1"/>
  <c r="BT27" i="8"/>
  <c r="BC25" i="7" s="1"/>
  <c r="BS27" i="8"/>
  <c r="BB25" i="7" s="1"/>
  <c r="BQ27" i="8"/>
  <c r="AY25" i="7" s="1"/>
  <c r="BP27" i="8"/>
  <c r="AX25" i="7" s="1"/>
  <c r="BO27" i="8"/>
  <c r="BN27" i="8"/>
  <c r="AV25" i="7" s="1"/>
  <c r="BM27" i="8"/>
  <c r="AU25" i="7" s="1"/>
  <c r="BL27" i="8"/>
  <c r="AT25" i="7" s="1"/>
  <c r="BK27" i="8"/>
  <c r="AS25" i="7" s="1"/>
  <c r="BJ27" i="8"/>
  <c r="AR25" i="7" s="1"/>
  <c r="BH27" i="8"/>
  <c r="AO25" i="7" s="1"/>
  <c r="BG27" i="8"/>
  <c r="AN25" i="7" s="1"/>
  <c r="BF27" i="8"/>
  <c r="BE27" i="8"/>
  <c r="AL25" i="7" s="1"/>
  <c r="BD27" i="8"/>
  <c r="AK25" i="7" s="1"/>
  <c r="BC27" i="8"/>
  <c r="AJ25" i="7" s="1"/>
  <c r="BB27" i="8"/>
  <c r="AI25" i="7" s="1"/>
  <c r="BA27" i="8"/>
  <c r="AH25" i="7" s="1"/>
  <c r="AY27" i="8"/>
  <c r="AE25" i="7" s="1"/>
  <c r="AX27" i="8"/>
  <c r="AD25" i="7" s="1"/>
  <c r="AW27" i="8"/>
  <c r="AV27" i="8"/>
  <c r="AB25" i="7" s="1"/>
  <c r="AU27" i="8"/>
  <c r="AA25" i="7" s="1"/>
  <c r="AT27" i="8"/>
  <c r="Z25" i="7" s="1"/>
  <c r="AS27" i="8"/>
  <c r="Y25" i="7" s="1"/>
  <c r="AR27" i="8"/>
  <c r="X25" i="7" s="1"/>
  <c r="AP27" i="8"/>
  <c r="U25" i="7" s="1"/>
  <c r="AO27" i="8"/>
  <c r="T25" i="7" s="1"/>
  <c r="AN27" i="8"/>
  <c r="AM27" i="8"/>
  <c r="R25" i="7" s="1"/>
  <c r="AL27" i="8"/>
  <c r="Q25" i="7" s="1"/>
  <c r="AK27" i="8"/>
  <c r="P25" i="7" s="1"/>
  <c r="AJ27" i="8"/>
  <c r="O25" i="7" s="1"/>
  <c r="AI27" i="8"/>
  <c r="N25" i="7" s="1"/>
  <c r="AG27" i="8"/>
  <c r="K25" i="7" s="1"/>
  <c r="AF27" i="8"/>
  <c r="J25" i="7" s="1"/>
  <c r="AE27" i="8"/>
  <c r="AD27" i="8"/>
  <c r="H25" i="7" s="1"/>
  <c r="AC27" i="8"/>
  <c r="G25" i="7" s="1"/>
  <c r="AB27" i="8"/>
  <c r="F25" i="7" s="1"/>
  <c r="AA27" i="8"/>
  <c r="E25" i="7" s="1"/>
  <c r="Z27" i="8"/>
  <c r="D25" i="7" s="1"/>
  <c r="DJ26" i="8"/>
  <c r="CW24" i="7" s="1"/>
  <c r="DI26" i="8"/>
  <c r="CV24" i="7" s="1"/>
  <c r="DH26" i="8"/>
  <c r="DG26" i="8"/>
  <c r="CT24" i="7" s="1"/>
  <c r="DF26" i="8"/>
  <c r="CS24" i="7" s="1"/>
  <c r="DE26" i="8"/>
  <c r="CR24" i="7" s="1"/>
  <c r="DD26" i="8"/>
  <c r="CQ24" i="7" s="1"/>
  <c r="DC26" i="8"/>
  <c r="CP24" i="7" s="1"/>
  <c r="DA26" i="8"/>
  <c r="CM24" i="7" s="1"/>
  <c r="CZ26" i="8"/>
  <c r="CL24" i="7" s="1"/>
  <c r="CY26" i="8"/>
  <c r="CX26" i="8"/>
  <c r="CJ24" i="7" s="1"/>
  <c r="CW26" i="8"/>
  <c r="CI24" i="7" s="1"/>
  <c r="CV26" i="8"/>
  <c r="CH24" i="7" s="1"/>
  <c r="CU26" i="8"/>
  <c r="CG24" i="7" s="1"/>
  <c r="CT26" i="8"/>
  <c r="CF24" i="7" s="1"/>
  <c r="CR26" i="8"/>
  <c r="CC24" i="7" s="1"/>
  <c r="CQ26" i="8"/>
  <c r="CB24" i="7" s="1"/>
  <c r="CP26" i="8"/>
  <c r="CO26" i="8"/>
  <c r="BZ24" i="7" s="1"/>
  <c r="CN26" i="8"/>
  <c r="BY24" i="7" s="1"/>
  <c r="CM26" i="8"/>
  <c r="BX24" i="7" s="1"/>
  <c r="CL26" i="8"/>
  <c r="BW24" i="7" s="1"/>
  <c r="CK26" i="8"/>
  <c r="BV24" i="7" s="1"/>
  <c r="CI26" i="8"/>
  <c r="BS24" i="7" s="1"/>
  <c r="CH26" i="8"/>
  <c r="BR24" i="7" s="1"/>
  <c r="CG26" i="8"/>
  <c r="CF26" i="8"/>
  <c r="BP24" i="7" s="1"/>
  <c r="CE26" i="8"/>
  <c r="BO24" i="7" s="1"/>
  <c r="CD26" i="8"/>
  <c r="BN24" i="7" s="1"/>
  <c r="CC26" i="8"/>
  <c r="BM24" i="7" s="1"/>
  <c r="CB26" i="8"/>
  <c r="BL24" i="7" s="1"/>
  <c r="BZ26" i="8"/>
  <c r="BI24" i="7" s="1"/>
  <c r="BY26" i="8"/>
  <c r="BH24" i="7" s="1"/>
  <c r="BX26" i="8"/>
  <c r="BW26" i="8"/>
  <c r="BF24" i="7" s="1"/>
  <c r="BV26" i="8"/>
  <c r="BE24" i="7" s="1"/>
  <c r="BU26" i="8"/>
  <c r="BD24" i="7" s="1"/>
  <c r="BT26" i="8"/>
  <c r="BC24" i="7" s="1"/>
  <c r="BS26" i="8"/>
  <c r="BB24" i="7" s="1"/>
  <c r="BQ26" i="8"/>
  <c r="AY24" i="7" s="1"/>
  <c r="BP26" i="8"/>
  <c r="AX24" i="7" s="1"/>
  <c r="BO26" i="8"/>
  <c r="BN26" i="8"/>
  <c r="AV24" i="7" s="1"/>
  <c r="BM26" i="8"/>
  <c r="AU24" i="7" s="1"/>
  <c r="BL26" i="8"/>
  <c r="AT24" i="7" s="1"/>
  <c r="BK26" i="8"/>
  <c r="AS24" i="7" s="1"/>
  <c r="BJ26" i="8"/>
  <c r="AR24" i="7" s="1"/>
  <c r="BH26" i="8"/>
  <c r="AO24" i="7" s="1"/>
  <c r="BG26" i="8"/>
  <c r="AN24" i="7" s="1"/>
  <c r="BF26" i="8"/>
  <c r="BE26" i="8"/>
  <c r="AL24" i="7" s="1"/>
  <c r="BD26" i="8"/>
  <c r="AK24" i="7" s="1"/>
  <c r="BC26" i="8"/>
  <c r="AJ24" i="7" s="1"/>
  <c r="BB26" i="8"/>
  <c r="AI24" i="7" s="1"/>
  <c r="BA26" i="8"/>
  <c r="AH24" i="7" s="1"/>
  <c r="AY26" i="8"/>
  <c r="AE24" i="7" s="1"/>
  <c r="AX26" i="8"/>
  <c r="AD24" i="7" s="1"/>
  <c r="AW26" i="8"/>
  <c r="AV26" i="8"/>
  <c r="AB24" i="7" s="1"/>
  <c r="AU26" i="8"/>
  <c r="AA24" i="7" s="1"/>
  <c r="AT26" i="8"/>
  <c r="Z24" i="7" s="1"/>
  <c r="AS26" i="8"/>
  <c r="Y24" i="7" s="1"/>
  <c r="AR26" i="8"/>
  <c r="X24" i="7" s="1"/>
  <c r="AP26" i="8"/>
  <c r="U24" i="7" s="1"/>
  <c r="AO26" i="8"/>
  <c r="T24" i="7" s="1"/>
  <c r="AN26" i="8"/>
  <c r="AM26" i="8"/>
  <c r="R24" i="7" s="1"/>
  <c r="AL26" i="8"/>
  <c r="Q24" i="7" s="1"/>
  <c r="AK26" i="8"/>
  <c r="P24" i="7" s="1"/>
  <c r="AJ26" i="8"/>
  <c r="O24" i="7" s="1"/>
  <c r="AI26" i="8"/>
  <c r="N24" i="7" s="1"/>
  <c r="AG26" i="8"/>
  <c r="K24" i="7" s="1"/>
  <c r="AF26" i="8"/>
  <c r="J24" i="7" s="1"/>
  <c r="AE26" i="8"/>
  <c r="AD26" i="8"/>
  <c r="H24" i="7" s="1"/>
  <c r="AC26" i="8"/>
  <c r="G24" i="7" s="1"/>
  <c r="AB26" i="8"/>
  <c r="F24" i="7" s="1"/>
  <c r="AA26" i="8"/>
  <c r="E24" i="7" s="1"/>
  <c r="Z26" i="8"/>
  <c r="D24" i="7" s="1"/>
  <c r="C64" i="7"/>
  <c r="C53" i="7"/>
  <c r="C52" i="7"/>
  <c r="C51" i="7"/>
  <c r="C50" i="7"/>
  <c r="C49" i="7"/>
  <c r="C48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DJ66" i="8"/>
  <c r="CW64" i="7" s="1"/>
  <c r="DI66" i="8"/>
  <c r="CV64" i="7" s="1"/>
  <c r="DH66" i="8"/>
  <c r="CU64" i="7" s="1"/>
  <c r="DG66" i="8"/>
  <c r="CT64" i="7" s="1"/>
  <c r="DF66" i="8"/>
  <c r="CS64" i="7" s="1"/>
  <c r="DE66" i="8"/>
  <c r="CR64" i="7" s="1"/>
  <c r="DD66" i="8"/>
  <c r="CQ64" i="7" s="1"/>
  <c r="DC66" i="8"/>
  <c r="CP64" i="7" s="1"/>
  <c r="DA66" i="8"/>
  <c r="CM64" i="7" s="1"/>
  <c r="CZ66" i="8"/>
  <c r="CL64" i="7" s="1"/>
  <c r="CY66" i="8"/>
  <c r="CK64" i="7" s="1"/>
  <c r="CX66" i="8"/>
  <c r="CJ64" i="7" s="1"/>
  <c r="CW66" i="8"/>
  <c r="CI64" i="7" s="1"/>
  <c r="CV66" i="8"/>
  <c r="CH64" i="7" s="1"/>
  <c r="CU66" i="8"/>
  <c r="CG64" i="7" s="1"/>
  <c r="CT66" i="8"/>
  <c r="CF64" i="7" s="1"/>
  <c r="CR66" i="8"/>
  <c r="CC64" i="7" s="1"/>
  <c r="CQ66" i="8"/>
  <c r="CB64" i="7" s="1"/>
  <c r="CP66" i="8"/>
  <c r="CA64" i="7" s="1"/>
  <c r="CO66" i="8"/>
  <c r="BZ64" i="7" s="1"/>
  <c r="CN66" i="8"/>
  <c r="BY64" i="7" s="1"/>
  <c r="CM66" i="8"/>
  <c r="BX64" i="7" s="1"/>
  <c r="CL66" i="8"/>
  <c r="BW64" i="7" s="1"/>
  <c r="CK66" i="8"/>
  <c r="BV64" i="7" s="1"/>
  <c r="CI66" i="8"/>
  <c r="BS64" i="7" s="1"/>
  <c r="CH66" i="8"/>
  <c r="BR64" i="7" s="1"/>
  <c r="CG66" i="8"/>
  <c r="BQ64" i="7" s="1"/>
  <c r="CF66" i="8"/>
  <c r="BP64" i="7" s="1"/>
  <c r="CE66" i="8"/>
  <c r="BO64" i="7" s="1"/>
  <c r="CD66" i="8"/>
  <c r="BN64" i="7" s="1"/>
  <c r="CC66" i="8"/>
  <c r="BM64" i="7" s="1"/>
  <c r="CB66" i="8"/>
  <c r="BL64" i="7" s="1"/>
  <c r="BZ66" i="8"/>
  <c r="BI64" i="7" s="1"/>
  <c r="BY66" i="8"/>
  <c r="BH64" i="7" s="1"/>
  <c r="BX66" i="8"/>
  <c r="BG64" i="7" s="1"/>
  <c r="BW66" i="8"/>
  <c r="BF64" i="7" s="1"/>
  <c r="BV66" i="8"/>
  <c r="BE64" i="7" s="1"/>
  <c r="BU66" i="8"/>
  <c r="BD64" i="7" s="1"/>
  <c r="BT66" i="8"/>
  <c r="BC64" i="7" s="1"/>
  <c r="BS66" i="8"/>
  <c r="BB64" i="7" s="1"/>
  <c r="BQ66" i="8"/>
  <c r="AY64" i="7" s="1"/>
  <c r="BP66" i="8"/>
  <c r="AX64" i="7" s="1"/>
  <c r="BO66" i="8"/>
  <c r="AW64" i="7" s="1"/>
  <c r="BN66" i="8"/>
  <c r="AV64" i="7" s="1"/>
  <c r="BM66" i="8"/>
  <c r="AU64" i="7" s="1"/>
  <c r="BL66" i="8"/>
  <c r="AT64" i="7" s="1"/>
  <c r="BK66" i="8"/>
  <c r="AS64" i="7" s="1"/>
  <c r="BJ66" i="8"/>
  <c r="AR64" i="7" s="1"/>
  <c r="BH66" i="8"/>
  <c r="AO64" i="7" s="1"/>
  <c r="BG66" i="8"/>
  <c r="AN64" i="7" s="1"/>
  <c r="BF66" i="8"/>
  <c r="AM64" i="7" s="1"/>
  <c r="BE66" i="8"/>
  <c r="AL64" i="7" s="1"/>
  <c r="BD66" i="8"/>
  <c r="AK64" i="7" s="1"/>
  <c r="BC66" i="8"/>
  <c r="AJ64" i="7" s="1"/>
  <c r="BB66" i="8"/>
  <c r="AI64" i="7" s="1"/>
  <c r="BA66" i="8"/>
  <c r="AH64" i="7" s="1"/>
  <c r="AY66" i="8"/>
  <c r="AE64" i="7" s="1"/>
  <c r="AX66" i="8"/>
  <c r="AD64" i="7" s="1"/>
  <c r="AW66" i="8"/>
  <c r="AC64" i="7" s="1"/>
  <c r="AV66" i="8"/>
  <c r="AB64" i="7" s="1"/>
  <c r="AU66" i="8"/>
  <c r="AA64" i="7" s="1"/>
  <c r="AT66" i="8"/>
  <c r="Z64" i="7" s="1"/>
  <c r="AS66" i="8"/>
  <c r="Y64" i="7" s="1"/>
  <c r="AR66" i="8"/>
  <c r="X64" i="7" s="1"/>
  <c r="AP66" i="8"/>
  <c r="U64" i="7" s="1"/>
  <c r="AO66" i="8"/>
  <c r="T64" i="7" s="1"/>
  <c r="AN66" i="8"/>
  <c r="S64" i="7" s="1"/>
  <c r="AM66" i="8"/>
  <c r="R64" i="7" s="1"/>
  <c r="AL66" i="8"/>
  <c r="Q64" i="7" s="1"/>
  <c r="AK66" i="8"/>
  <c r="P64" i="7" s="1"/>
  <c r="AJ66" i="8"/>
  <c r="O64" i="7" s="1"/>
  <c r="AI66" i="8"/>
  <c r="N64" i="7" s="1"/>
  <c r="AG66" i="8"/>
  <c r="K64" i="7" s="1"/>
  <c r="AF66" i="8"/>
  <c r="J64" i="7" s="1"/>
  <c r="AE66" i="8"/>
  <c r="I64" i="7" s="1"/>
  <c r="AD66" i="8"/>
  <c r="H64" i="7" s="1"/>
  <c r="AC66" i="8"/>
  <c r="G64" i="7" s="1"/>
  <c r="AB66" i="8"/>
  <c r="F64" i="7" s="1"/>
  <c r="AA66" i="8"/>
  <c r="E64" i="7" s="1"/>
  <c r="Z66" i="8"/>
  <c r="D64" i="7" s="1"/>
  <c r="DJ55" i="8"/>
  <c r="CW53" i="7" s="1"/>
  <c r="DI55" i="8"/>
  <c r="CV53" i="7" s="1"/>
  <c r="DH55" i="8"/>
  <c r="CU53" i="7" s="1"/>
  <c r="DG55" i="8"/>
  <c r="CT53" i="7" s="1"/>
  <c r="DF55" i="8"/>
  <c r="CS53" i="7" s="1"/>
  <c r="DE55" i="8"/>
  <c r="CR53" i="7" s="1"/>
  <c r="DD55" i="8"/>
  <c r="CQ53" i="7" s="1"/>
  <c r="DC55" i="8"/>
  <c r="CP53" i="7" s="1"/>
  <c r="DA55" i="8"/>
  <c r="CM53" i="7" s="1"/>
  <c r="CZ55" i="8"/>
  <c r="CL53" i="7" s="1"/>
  <c r="CY55" i="8"/>
  <c r="CK53" i="7" s="1"/>
  <c r="CX55" i="8"/>
  <c r="CJ53" i="7" s="1"/>
  <c r="CW55" i="8"/>
  <c r="CI53" i="7" s="1"/>
  <c r="CV55" i="8"/>
  <c r="CH53" i="7" s="1"/>
  <c r="CU55" i="8"/>
  <c r="CG53" i="7" s="1"/>
  <c r="CT55" i="8"/>
  <c r="CF53" i="7" s="1"/>
  <c r="CR55" i="8"/>
  <c r="CC53" i="7" s="1"/>
  <c r="CQ55" i="8"/>
  <c r="CB53" i="7" s="1"/>
  <c r="CP55" i="8"/>
  <c r="CA53" i="7" s="1"/>
  <c r="CO55" i="8"/>
  <c r="BZ53" i="7" s="1"/>
  <c r="CN55" i="8"/>
  <c r="BY53" i="7" s="1"/>
  <c r="CM55" i="8"/>
  <c r="BX53" i="7" s="1"/>
  <c r="CL55" i="8"/>
  <c r="BW53" i="7" s="1"/>
  <c r="CK55" i="8"/>
  <c r="BV53" i="7" s="1"/>
  <c r="CI55" i="8"/>
  <c r="BS53" i="7" s="1"/>
  <c r="CH55" i="8"/>
  <c r="BR53" i="7" s="1"/>
  <c r="CG55" i="8"/>
  <c r="BQ53" i="7" s="1"/>
  <c r="CF55" i="8"/>
  <c r="BP53" i="7" s="1"/>
  <c r="CE55" i="8"/>
  <c r="BO53" i="7" s="1"/>
  <c r="CD55" i="8"/>
  <c r="BN53" i="7" s="1"/>
  <c r="CC55" i="8"/>
  <c r="BM53" i="7" s="1"/>
  <c r="CB55" i="8"/>
  <c r="BL53" i="7" s="1"/>
  <c r="BZ55" i="8"/>
  <c r="BI53" i="7" s="1"/>
  <c r="BY55" i="8"/>
  <c r="BH53" i="7" s="1"/>
  <c r="BX55" i="8"/>
  <c r="BG53" i="7" s="1"/>
  <c r="BW55" i="8"/>
  <c r="BF53" i="7" s="1"/>
  <c r="BV55" i="8"/>
  <c r="BE53" i="7" s="1"/>
  <c r="BU55" i="8"/>
  <c r="BD53" i="7" s="1"/>
  <c r="BT55" i="8"/>
  <c r="BC53" i="7" s="1"/>
  <c r="BS55" i="8"/>
  <c r="BB53" i="7" s="1"/>
  <c r="BQ55" i="8"/>
  <c r="AY53" i="7" s="1"/>
  <c r="BP55" i="8"/>
  <c r="AX53" i="7" s="1"/>
  <c r="BO55" i="8"/>
  <c r="AW53" i="7" s="1"/>
  <c r="BN55" i="8"/>
  <c r="AV53" i="7" s="1"/>
  <c r="BM55" i="8"/>
  <c r="AU53" i="7" s="1"/>
  <c r="BL55" i="8"/>
  <c r="AT53" i="7" s="1"/>
  <c r="BK55" i="8"/>
  <c r="AS53" i="7" s="1"/>
  <c r="BJ55" i="8"/>
  <c r="AR53" i="7" s="1"/>
  <c r="BH55" i="8"/>
  <c r="AO53" i="7" s="1"/>
  <c r="BG55" i="8"/>
  <c r="AN53" i="7" s="1"/>
  <c r="BF55" i="8"/>
  <c r="AM53" i="7" s="1"/>
  <c r="BE55" i="8"/>
  <c r="AL53" i="7" s="1"/>
  <c r="BD55" i="8"/>
  <c r="AK53" i="7" s="1"/>
  <c r="BC55" i="8"/>
  <c r="AJ53" i="7" s="1"/>
  <c r="BB55" i="8"/>
  <c r="AI53" i="7" s="1"/>
  <c r="BA55" i="8"/>
  <c r="AH53" i="7" s="1"/>
  <c r="AY55" i="8"/>
  <c r="AE53" i="7" s="1"/>
  <c r="AX55" i="8"/>
  <c r="AD53" i="7" s="1"/>
  <c r="AW55" i="8"/>
  <c r="AC53" i="7" s="1"/>
  <c r="AV55" i="8"/>
  <c r="AB53" i="7" s="1"/>
  <c r="AU55" i="8"/>
  <c r="AA53" i="7" s="1"/>
  <c r="AT55" i="8"/>
  <c r="Z53" i="7" s="1"/>
  <c r="AS55" i="8"/>
  <c r="Y53" i="7" s="1"/>
  <c r="AR55" i="8"/>
  <c r="X53" i="7" s="1"/>
  <c r="AP55" i="8"/>
  <c r="U53" i="7" s="1"/>
  <c r="AO55" i="8"/>
  <c r="T53" i="7" s="1"/>
  <c r="AN55" i="8"/>
  <c r="S53" i="7" s="1"/>
  <c r="AM55" i="8"/>
  <c r="R53" i="7" s="1"/>
  <c r="AL55" i="8"/>
  <c r="Q53" i="7" s="1"/>
  <c r="AK55" i="8"/>
  <c r="P53" i="7" s="1"/>
  <c r="AJ55" i="8"/>
  <c r="O53" i="7" s="1"/>
  <c r="AI55" i="8"/>
  <c r="N53" i="7" s="1"/>
  <c r="AG55" i="8"/>
  <c r="K53" i="7" s="1"/>
  <c r="AF55" i="8"/>
  <c r="J53" i="7" s="1"/>
  <c r="AE55" i="8"/>
  <c r="I53" i="7" s="1"/>
  <c r="AD55" i="8"/>
  <c r="H53" i="7" s="1"/>
  <c r="AC55" i="8"/>
  <c r="G53" i="7" s="1"/>
  <c r="AB55" i="8"/>
  <c r="F53" i="7" s="1"/>
  <c r="AA55" i="8"/>
  <c r="E53" i="7" s="1"/>
  <c r="Z55" i="8"/>
  <c r="D53" i="7" s="1"/>
  <c r="DJ54" i="8"/>
  <c r="CW52" i="7" s="1"/>
  <c r="DI54" i="8"/>
  <c r="CV52" i="7" s="1"/>
  <c r="DH54" i="8"/>
  <c r="CU52" i="7" s="1"/>
  <c r="DG54" i="8"/>
  <c r="CT52" i="7" s="1"/>
  <c r="DF54" i="8"/>
  <c r="CS52" i="7" s="1"/>
  <c r="DE54" i="8"/>
  <c r="CR52" i="7" s="1"/>
  <c r="DD54" i="8"/>
  <c r="CQ52" i="7" s="1"/>
  <c r="DC54" i="8"/>
  <c r="CP52" i="7" s="1"/>
  <c r="DA54" i="8"/>
  <c r="CM52" i="7" s="1"/>
  <c r="CZ54" i="8"/>
  <c r="CL52" i="7" s="1"/>
  <c r="CY54" i="8"/>
  <c r="CK52" i="7" s="1"/>
  <c r="CX54" i="8"/>
  <c r="CJ52" i="7" s="1"/>
  <c r="CW54" i="8"/>
  <c r="CI52" i="7" s="1"/>
  <c r="CV54" i="8"/>
  <c r="CH52" i="7" s="1"/>
  <c r="CU54" i="8"/>
  <c r="CG52" i="7" s="1"/>
  <c r="CT54" i="8"/>
  <c r="CF52" i="7" s="1"/>
  <c r="CR54" i="8"/>
  <c r="CC52" i="7" s="1"/>
  <c r="CQ54" i="8"/>
  <c r="CB52" i="7" s="1"/>
  <c r="CP54" i="8"/>
  <c r="CA52" i="7" s="1"/>
  <c r="CO54" i="8"/>
  <c r="BZ52" i="7" s="1"/>
  <c r="CN54" i="8"/>
  <c r="BY52" i="7" s="1"/>
  <c r="CM54" i="8"/>
  <c r="BX52" i="7" s="1"/>
  <c r="CL54" i="8"/>
  <c r="BW52" i="7" s="1"/>
  <c r="CK54" i="8"/>
  <c r="BV52" i="7" s="1"/>
  <c r="CI54" i="8"/>
  <c r="BS52" i="7" s="1"/>
  <c r="CH54" i="8"/>
  <c r="BR52" i="7" s="1"/>
  <c r="CG54" i="8"/>
  <c r="BQ52" i="7" s="1"/>
  <c r="CF54" i="8"/>
  <c r="BP52" i="7" s="1"/>
  <c r="CE54" i="8"/>
  <c r="BO52" i="7" s="1"/>
  <c r="CD54" i="8"/>
  <c r="BN52" i="7" s="1"/>
  <c r="CC54" i="8"/>
  <c r="BM52" i="7" s="1"/>
  <c r="CB54" i="8"/>
  <c r="BL52" i="7" s="1"/>
  <c r="BZ54" i="8"/>
  <c r="BI52" i="7" s="1"/>
  <c r="BY54" i="8"/>
  <c r="BH52" i="7" s="1"/>
  <c r="BX54" i="8"/>
  <c r="BG52" i="7" s="1"/>
  <c r="BW54" i="8"/>
  <c r="BF52" i="7" s="1"/>
  <c r="BV54" i="8"/>
  <c r="BE52" i="7" s="1"/>
  <c r="BU54" i="8"/>
  <c r="BD52" i="7" s="1"/>
  <c r="BT54" i="8"/>
  <c r="BC52" i="7" s="1"/>
  <c r="BS54" i="8"/>
  <c r="BB52" i="7" s="1"/>
  <c r="BQ54" i="8"/>
  <c r="AY52" i="7" s="1"/>
  <c r="BP54" i="8"/>
  <c r="AX52" i="7" s="1"/>
  <c r="BO54" i="8"/>
  <c r="AW52" i="7" s="1"/>
  <c r="BN54" i="8"/>
  <c r="AV52" i="7" s="1"/>
  <c r="BM54" i="8"/>
  <c r="AU52" i="7" s="1"/>
  <c r="BL54" i="8"/>
  <c r="AT52" i="7" s="1"/>
  <c r="BK54" i="8"/>
  <c r="AS52" i="7" s="1"/>
  <c r="BJ54" i="8"/>
  <c r="AR52" i="7" s="1"/>
  <c r="BH54" i="8"/>
  <c r="AO52" i="7" s="1"/>
  <c r="BG54" i="8"/>
  <c r="AN52" i="7" s="1"/>
  <c r="BF54" i="8"/>
  <c r="AM52" i="7" s="1"/>
  <c r="BE54" i="8"/>
  <c r="AL52" i="7" s="1"/>
  <c r="BD54" i="8"/>
  <c r="AK52" i="7" s="1"/>
  <c r="BC54" i="8"/>
  <c r="AJ52" i="7" s="1"/>
  <c r="BB54" i="8"/>
  <c r="AI52" i="7" s="1"/>
  <c r="BA54" i="8"/>
  <c r="AH52" i="7" s="1"/>
  <c r="AY54" i="8"/>
  <c r="AE52" i="7" s="1"/>
  <c r="AX54" i="8"/>
  <c r="AD52" i="7" s="1"/>
  <c r="AW54" i="8"/>
  <c r="AC52" i="7" s="1"/>
  <c r="AV54" i="8"/>
  <c r="AB52" i="7" s="1"/>
  <c r="AU54" i="8"/>
  <c r="AA52" i="7" s="1"/>
  <c r="AT54" i="8"/>
  <c r="Z52" i="7" s="1"/>
  <c r="AS54" i="8"/>
  <c r="Y52" i="7" s="1"/>
  <c r="AR54" i="8"/>
  <c r="X52" i="7" s="1"/>
  <c r="AP54" i="8"/>
  <c r="U52" i="7" s="1"/>
  <c r="AO54" i="8"/>
  <c r="T52" i="7" s="1"/>
  <c r="AN54" i="8"/>
  <c r="S52" i="7" s="1"/>
  <c r="AM54" i="8"/>
  <c r="R52" i="7" s="1"/>
  <c r="AL54" i="8"/>
  <c r="Q52" i="7" s="1"/>
  <c r="AK54" i="8"/>
  <c r="P52" i="7" s="1"/>
  <c r="AJ54" i="8"/>
  <c r="O52" i="7" s="1"/>
  <c r="AI54" i="8"/>
  <c r="N52" i="7" s="1"/>
  <c r="AG54" i="8"/>
  <c r="K52" i="7" s="1"/>
  <c r="AF54" i="8"/>
  <c r="J52" i="7" s="1"/>
  <c r="AE54" i="8"/>
  <c r="I52" i="7" s="1"/>
  <c r="AD54" i="8"/>
  <c r="H52" i="7" s="1"/>
  <c r="AC54" i="8"/>
  <c r="G52" i="7" s="1"/>
  <c r="AB54" i="8"/>
  <c r="F52" i="7" s="1"/>
  <c r="AA54" i="8"/>
  <c r="E52" i="7" s="1"/>
  <c r="Z54" i="8"/>
  <c r="D52" i="7" s="1"/>
  <c r="DJ53" i="8"/>
  <c r="CW51" i="7" s="1"/>
  <c r="DI53" i="8"/>
  <c r="CV51" i="7" s="1"/>
  <c r="DH53" i="8"/>
  <c r="CU51" i="7" s="1"/>
  <c r="DG53" i="8"/>
  <c r="CT51" i="7" s="1"/>
  <c r="DF53" i="8"/>
  <c r="CS51" i="7" s="1"/>
  <c r="DE53" i="8"/>
  <c r="CR51" i="7" s="1"/>
  <c r="DD53" i="8"/>
  <c r="CQ51" i="7" s="1"/>
  <c r="DC53" i="8"/>
  <c r="CP51" i="7" s="1"/>
  <c r="DA53" i="8"/>
  <c r="CM51" i="7" s="1"/>
  <c r="CZ53" i="8"/>
  <c r="CL51" i="7" s="1"/>
  <c r="CY53" i="8"/>
  <c r="CK51" i="7" s="1"/>
  <c r="CX53" i="8"/>
  <c r="CJ51" i="7" s="1"/>
  <c r="CW53" i="8"/>
  <c r="CI51" i="7" s="1"/>
  <c r="CV53" i="8"/>
  <c r="CH51" i="7" s="1"/>
  <c r="CU53" i="8"/>
  <c r="CG51" i="7" s="1"/>
  <c r="CT53" i="8"/>
  <c r="CF51" i="7" s="1"/>
  <c r="CR53" i="8"/>
  <c r="CC51" i="7" s="1"/>
  <c r="CQ53" i="8"/>
  <c r="CB51" i="7" s="1"/>
  <c r="CP53" i="8"/>
  <c r="CA51" i="7" s="1"/>
  <c r="CO53" i="8"/>
  <c r="BZ51" i="7" s="1"/>
  <c r="CN53" i="8"/>
  <c r="BY51" i="7" s="1"/>
  <c r="CM53" i="8"/>
  <c r="BX51" i="7" s="1"/>
  <c r="CL53" i="8"/>
  <c r="BW51" i="7" s="1"/>
  <c r="CK53" i="8"/>
  <c r="BV51" i="7" s="1"/>
  <c r="CI53" i="8"/>
  <c r="BS51" i="7" s="1"/>
  <c r="CH53" i="8"/>
  <c r="BR51" i="7" s="1"/>
  <c r="CG53" i="8"/>
  <c r="BQ51" i="7" s="1"/>
  <c r="CF53" i="8"/>
  <c r="BP51" i="7" s="1"/>
  <c r="CE53" i="8"/>
  <c r="BO51" i="7" s="1"/>
  <c r="CD53" i="8"/>
  <c r="BN51" i="7" s="1"/>
  <c r="CC53" i="8"/>
  <c r="BM51" i="7" s="1"/>
  <c r="CB53" i="8"/>
  <c r="BL51" i="7" s="1"/>
  <c r="BZ53" i="8"/>
  <c r="BI51" i="7" s="1"/>
  <c r="BY53" i="8"/>
  <c r="BH51" i="7" s="1"/>
  <c r="BX53" i="8"/>
  <c r="BG51" i="7" s="1"/>
  <c r="BW53" i="8"/>
  <c r="BF51" i="7" s="1"/>
  <c r="BV53" i="8"/>
  <c r="BE51" i="7" s="1"/>
  <c r="BU53" i="8"/>
  <c r="BD51" i="7" s="1"/>
  <c r="BT53" i="8"/>
  <c r="BC51" i="7" s="1"/>
  <c r="BS53" i="8"/>
  <c r="BB51" i="7" s="1"/>
  <c r="BQ53" i="8"/>
  <c r="AY51" i="7" s="1"/>
  <c r="BP53" i="8"/>
  <c r="AX51" i="7" s="1"/>
  <c r="BO53" i="8"/>
  <c r="AW51" i="7" s="1"/>
  <c r="BN53" i="8"/>
  <c r="AV51" i="7" s="1"/>
  <c r="BM53" i="8"/>
  <c r="AU51" i="7" s="1"/>
  <c r="BL53" i="8"/>
  <c r="AT51" i="7" s="1"/>
  <c r="BK53" i="8"/>
  <c r="AS51" i="7" s="1"/>
  <c r="BJ53" i="8"/>
  <c r="AR51" i="7" s="1"/>
  <c r="BH53" i="8"/>
  <c r="AO51" i="7" s="1"/>
  <c r="BG53" i="8"/>
  <c r="AN51" i="7" s="1"/>
  <c r="BF53" i="8"/>
  <c r="AM51" i="7" s="1"/>
  <c r="BE53" i="8"/>
  <c r="AL51" i="7" s="1"/>
  <c r="BD53" i="8"/>
  <c r="AK51" i="7" s="1"/>
  <c r="BC53" i="8"/>
  <c r="AJ51" i="7" s="1"/>
  <c r="BB53" i="8"/>
  <c r="AI51" i="7" s="1"/>
  <c r="BA53" i="8"/>
  <c r="AH51" i="7" s="1"/>
  <c r="AY53" i="8"/>
  <c r="AE51" i="7" s="1"/>
  <c r="AX53" i="8"/>
  <c r="AD51" i="7" s="1"/>
  <c r="AW53" i="8"/>
  <c r="AC51" i="7" s="1"/>
  <c r="AV53" i="8"/>
  <c r="AB51" i="7" s="1"/>
  <c r="AU53" i="8"/>
  <c r="AA51" i="7" s="1"/>
  <c r="AT53" i="8"/>
  <c r="Z51" i="7" s="1"/>
  <c r="AS53" i="8"/>
  <c r="Y51" i="7" s="1"/>
  <c r="AR53" i="8"/>
  <c r="X51" i="7" s="1"/>
  <c r="AP53" i="8"/>
  <c r="U51" i="7" s="1"/>
  <c r="AO53" i="8"/>
  <c r="T51" i="7" s="1"/>
  <c r="AN53" i="8"/>
  <c r="S51" i="7" s="1"/>
  <c r="AM53" i="8"/>
  <c r="R51" i="7" s="1"/>
  <c r="AL53" i="8"/>
  <c r="Q51" i="7" s="1"/>
  <c r="AK53" i="8"/>
  <c r="P51" i="7" s="1"/>
  <c r="AJ53" i="8"/>
  <c r="O51" i="7" s="1"/>
  <c r="AI53" i="8"/>
  <c r="N51" i="7" s="1"/>
  <c r="AG53" i="8"/>
  <c r="K51" i="7" s="1"/>
  <c r="AF53" i="8"/>
  <c r="J51" i="7" s="1"/>
  <c r="AE53" i="8"/>
  <c r="I51" i="7" s="1"/>
  <c r="AD53" i="8"/>
  <c r="H51" i="7" s="1"/>
  <c r="AC53" i="8"/>
  <c r="G51" i="7" s="1"/>
  <c r="AB53" i="8"/>
  <c r="F51" i="7" s="1"/>
  <c r="AA53" i="8"/>
  <c r="E51" i="7" s="1"/>
  <c r="Z53" i="8"/>
  <c r="D51" i="7" s="1"/>
  <c r="DJ52" i="8"/>
  <c r="CW50" i="7" s="1"/>
  <c r="DI52" i="8"/>
  <c r="CV50" i="7" s="1"/>
  <c r="DH52" i="8"/>
  <c r="CU50" i="7" s="1"/>
  <c r="DG52" i="8"/>
  <c r="CT50" i="7" s="1"/>
  <c r="DF52" i="8"/>
  <c r="CS50" i="7" s="1"/>
  <c r="DE52" i="8"/>
  <c r="CR50" i="7" s="1"/>
  <c r="DD52" i="8"/>
  <c r="CQ50" i="7" s="1"/>
  <c r="DC52" i="8"/>
  <c r="CP50" i="7" s="1"/>
  <c r="DA52" i="8"/>
  <c r="CM50" i="7" s="1"/>
  <c r="CZ52" i="8"/>
  <c r="CL50" i="7" s="1"/>
  <c r="CY52" i="8"/>
  <c r="CK50" i="7" s="1"/>
  <c r="CX52" i="8"/>
  <c r="CJ50" i="7" s="1"/>
  <c r="CW52" i="8"/>
  <c r="CI50" i="7" s="1"/>
  <c r="CV52" i="8"/>
  <c r="CH50" i="7" s="1"/>
  <c r="CU52" i="8"/>
  <c r="CG50" i="7" s="1"/>
  <c r="CT52" i="8"/>
  <c r="CF50" i="7" s="1"/>
  <c r="CR52" i="8"/>
  <c r="CC50" i="7" s="1"/>
  <c r="CQ52" i="8"/>
  <c r="CB50" i="7" s="1"/>
  <c r="CP52" i="8"/>
  <c r="CA50" i="7" s="1"/>
  <c r="CO52" i="8"/>
  <c r="BZ50" i="7" s="1"/>
  <c r="CN52" i="8"/>
  <c r="BY50" i="7" s="1"/>
  <c r="CM52" i="8"/>
  <c r="BX50" i="7" s="1"/>
  <c r="CL52" i="8"/>
  <c r="BW50" i="7" s="1"/>
  <c r="CK52" i="8"/>
  <c r="BV50" i="7" s="1"/>
  <c r="CI52" i="8"/>
  <c r="BS50" i="7" s="1"/>
  <c r="CH52" i="8"/>
  <c r="BR50" i="7" s="1"/>
  <c r="CG52" i="8"/>
  <c r="BQ50" i="7" s="1"/>
  <c r="CF52" i="8"/>
  <c r="BP50" i="7" s="1"/>
  <c r="CE52" i="8"/>
  <c r="BO50" i="7" s="1"/>
  <c r="CD52" i="8"/>
  <c r="BN50" i="7" s="1"/>
  <c r="CC52" i="8"/>
  <c r="BM50" i="7" s="1"/>
  <c r="CB52" i="8"/>
  <c r="BL50" i="7" s="1"/>
  <c r="BZ52" i="8"/>
  <c r="BI50" i="7" s="1"/>
  <c r="BY52" i="8"/>
  <c r="BH50" i="7" s="1"/>
  <c r="BX52" i="8"/>
  <c r="BG50" i="7" s="1"/>
  <c r="BW52" i="8"/>
  <c r="BF50" i="7" s="1"/>
  <c r="BV52" i="8"/>
  <c r="BE50" i="7" s="1"/>
  <c r="BU52" i="8"/>
  <c r="BD50" i="7" s="1"/>
  <c r="BT52" i="8"/>
  <c r="BC50" i="7" s="1"/>
  <c r="BS52" i="8"/>
  <c r="BB50" i="7" s="1"/>
  <c r="BQ52" i="8"/>
  <c r="AY50" i="7" s="1"/>
  <c r="BP52" i="8"/>
  <c r="AX50" i="7" s="1"/>
  <c r="BO52" i="8"/>
  <c r="AW50" i="7" s="1"/>
  <c r="BN52" i="8"/>
  <c r="AV50" i="7" s="1"/>
  <c r="BM52" i="8"/>
  <c r="AU50" i="7" s="1"/>
  <c r="BL52" i="8"/>
  <c r="AT50" i="7" s="1"/>
  <c r="BK52" i="8"/>
  <c r="AS50" i="7" s="1"/>
  <c r="BJ52" i="8"/>
  <c r="AR50" i="7" s="1"/>
  <c r="BH52" i="8"/>
  <c r="AO50" i="7" s="1"/>
  <c r="BG52" i="8"/>
  <c r="AN50" i="7" s="1"/>
  <c r="BF52" i="8"/>
  <c r="AM50" i="7" s="1"/>
  <c r="BE52" i="8"/>
  <c r="AL50" i="7" s="1"/>
  <c r="BD52" i="8"/>
  <c r="AK50" i="7" s="1"/>
  <c r="BC52" i="8"/>
  <c r="AJ50" i="7" s="1"/>
  <c r="BB52" i="8"/>
  <c r="AI50" i="7" s="1"/>
  <c r="BA52" i="8"/>
  <c r="AH50" i="7" s="1"/>
  <c r="AY52" i="8"/>
  <c r="AE50" i="7" s="1"/>
  <c r="AX52" i="8"/>
  <c r="AD50" i="7" s="1"/>
  <c r="AW52" i="8"/>
  <c r="AC50" i="7" s="1"/>
  <c r="AV52" i="8"/>
  <c r="AB50" i="7" s="1"/>
  <c r="AU52" i="8"/>
  <c r="AA50" i="7" s="1"/>
  <c r="AT52" i="8"/>
  <c r="Z50" i="7" s="1"/>
  <c r="AS52" i="8"/>
  <c r="Y50" i="7" s="1"/>
  <c r="AR52" i="8"/>
  <c r="X50" i="7" s="1"/>
  <c r="AP52" i="8"/>
  <c r="U50" i="7" s="1"/>
  <c r="AO52" i="8"/>
  <c r="T50" i="7" s="1"/>
  <c r="AN52" i="8"/>
  <c r="S50" i="7" s="1"/>
  <c r="AM52" i="8"/>
  <c r="R50" i="7" s="1"/>
  <c r="AL52" i="8"/>
  <c r="Q50" i="7" s="1"/>
  <c r="AK52" i="8"/>
  <c r="P50" i="7" s="1"/>
  <c r="AJ52" i="8"/>
  <c r="O50" i="7" s="1"/>
  <c r="AI52" i="8"/>
  <c r="N50" i="7" s="1"/>
  <c r="AG52" i="8"/>
  <c r="K50" i="7" s="1"/>
  <c r="AF52" i="8"/>
  <c r="J50" i="7" s="1"/>
  <c r="AE52" i="8"/>
  <c r="I50" i="7" s="1"/>
  <c r="AD52" i="8"/>
  <c r="H50" i="7" s="1"/>
  <c r="AC52" i="8"/>
  <c r="G50" i="7" s="1"/>
  <c r="AB52" i="8"/>
  <c r="F50" i="7" s="1"/>
  <c r="AA52" i="8"/>
  <c r="E50" i="7" s="1"/>
  <c r="Z52" i="8"/>
  <c r="D50" i="7" s="1"/>
  <c r="DJ51" i="8"/>
  <c r="CW49" i="7" s="1"/>
  <c r="DI51" i="8"/>
  <c r="CV49" i="7" s="1"/>
  <c r="DH51" i="8"/>
  <c r="CU49" i="7" s="1"/>
  <c r="DG51" i="8"/>
  <c r="CT49" i="7" s="1"/>
  <c r="DF51" i="8"/>
  <c r="CS49" i="7" s="1"/>
  <c r="DE51" i="8"/>
  <c r="CR49" i="7" s="1"/>
  <c r="DD51" i="8"/>
  <c r="CQ49" i="7" s="1"/>
  <c r="DC51" i="8"/>
  <c r="CP49" i="7" s="1"/>
  <c r="DA51" i="8"/>
  <c r="CM49" i="7" s="1"/>
  <c r="CZ51" i="8"/>
  <c r="CL49" i="7" s="1"/>
  <c r="CY51" i="8"/>
  <c r="CK49" i="7" s="1"/>
  <c r="CX51" i="8"/>
  <c r="CJ49" i="7" s="1"/>
  <c r="CW51" i="8"/>
  <c r="CI49" i="7" s="1"/>
  <c r="CV51" i="8"/>
  <c r="CH49" i="7" s="1"/>
  <c r="CU51" i="8"/>
  <c r="CG49" i="7" s="1"/>
  <c r="CT51" i="8"/>
  <c r="CF49" i="7" s="1"/>
  <c r="CR51" i="8"/>
  <c r="CC49" i="7" s="1"/>
  <c r="CQ51" i="8"/>
  <c r="CB49" i="7" s="1"/>
  <c r="CP51" i="8"/>
  <c r="CA49" i="7" s="1"/>
  <c r="CO51" i="8"/>
  <c r="BZ49" i="7" s="1"/>
  <c r="CN51" i="8"/>
  <c r="BY49" i="7" s="1"/>
  <c r="CM51" i="8"/>
  <c r="BX49" i="7" s="1"/>
  <c r="CL51" i="8"/>
  <c r="BW49" i="7" s="1"/>
  <c r="CK51" i="8"/>
  <c r="BV49" i="7" s="1"/>
  <c r="CI51" i="8"/>
  <c r="BS49" i="7" s="1"/>
  <c r="CH51" i="8"/>
  <c r="BR49" i="7" s="1"/>
  <c r="CG51" i="8"/>
  <c r="BQ49" i="7" s="1"/>
  <c r="CF51" i="8"/>
  <c r="BP49" i="7" s="1"/>
  <c r="CE51" i="8"/>
  <c r="BO49" i="7" s="1"/>
  <c r="CD51" i="8"/>
  <c r="BN49" i="7" s="1"/>
  <c r="CC51" i="8"/>
  <c r="BM49" i="7" s="1"/>
  <c r="CB51" i="8"/>
  <c r="BL49" i="7" s="1"/>
  <c r="BZ51" i="8"/>
  <c r="BI49" i="7" s="1"/>
  <c r="BY51" i="8"/>
  <c r="BH49" i="7" s="1"/>
  <c r="BX51" i="8"/>
  <c r="BG49" i="7" s="1"/>
  <c r="BW51" i="8"/>
  <c r="BF49" i="7" s="1"/>
  <c r="BV51" i="8"/>
  <c r="BE49" i="7" s="1"/>
  <c r="BU51" i="8"/>
  <c r="BD49" i="7" s="1"/>
  <c r="BT51" i="8"/>
  <c r="BC49" i="7" s="1"/>
  <c r="BS51" i="8"/>
  <c r="BB49" i="7" s="1"/>
  <c r="BQ51" i="8"/>
  <c r="AY49" i="7" s="1"/>
  <c r="BP51" i="8"/>
  <c r="AX49" i="7" s="1"/>
  <c r="BO51" i="8"/>
  <c r="AW49" i="7" s="1"/>
  <c r="BN51" i="8"/>
  <c r="AV49" i="7" s="1"/>
  <c r="BM51" i="8"/>
  <c r="AU49" i="7" s="1"/>
  <c r="BL51" i="8"/>
  <c r="AT49" i="7" s="1"/>
  <c r="BK51" i="8"/>
  <c r="AS49" i="7" s="1"/>
  <c r="BJ51" i="8"/>
  <c r="AR49" i="7" s="1"/>
  <c r="BH51" i="8"/>
  <c r="AO49" i="7" s="1"/>
  <c r="BG51" i="8"/>
  <c r="AN49" i="7" s="1"/>
  <c r="BF51" i="8"/>
  <c r="AM49" i="7" s="1"/>
  <c r="BE51" i="8"/>
  <c r="AL49" i="7" s="1"/>
  <c r="BD51" i="8"/>
  <c r="AK49" i="7" s="1"/>
  <c r="BC51" i="8"/>
  <c r="AJ49" i="7" s="1"/>
  <c r="BB51" i="8"/>
  <c r="AI49" i="7" s="1"/>
  <c r="BA51" i="8"/>
  <c r="AH49" i="7" s="1"/>
  <c r="AY51" i="8"/>
  <c r="AE49" i="7" s="1"/>
  <c r="AX51" i="8"/>
  <c r="AD49" i="7" s="1"/>
  <c r="AW51" i="8"/>
  <c r="AC49" i="7" s="1"/>
  <c r="AV51" i="8"/>
  <c r="AB49" i="7" s="1"/>
  <c r="AU51" i="8"/>
  <c r="AA49" i="7" s="1"/>
  <c r="AT51" i="8"/>
  <c r="Z49" i="7" s="1"/>
  <c r="AS51" i="8"/>
  <c r="Y49" i="7" s="1"/>
  <c r="AR51" i="8"/>
  <c r="X49" i="7" s="1"/>
  <c r="AP51" i="8"/>
  <c r="U49" i="7" s="1"/>
  <c r="AO51" i="8"/>
  <c r="T49" i="7" s="1"/>
  <c r="AN51" i="8"/>
  <c r="S49" i="7" s="1"/>
  <c r="AM51" i="8"/>
  <c r="R49" i="7" s="1"/>
  <c r="AL51" i="8"/>
  <c r="Q49" i="7" s="1"/>
  <c r="AK51" i="8"/>
  <c r="P49" i="7" s="1"/>
  <c r="AJ51" i="8"/>
  <c r="O49" i="7" s="1"/>
  <c r="AI51" i="8"/>
  <c r="N49" i="7" s="1"/>
  <c r="AG51" i="8"/>
  <c r="K49" i="7" s="1"/>
  <c r="AF51" i="8"/>
  <c r="J49" i="7" s="1"/>
  <c r="AE51" i="8"/>
  <c r="I49" i="7" s="1"/>
  <c r="AD51" i="8"/>
  <c r="H49" i="7" s="1"/>
  <c r="AC51" i="8"/>
  <c r="G49" i="7" s="1"/>
  <c r="AB51" i="8"/>
  <c r="F49" i="7" s="1"/>
  <c r="AA51" i="8"/>
  <c r="E49" i="7" s="1"/>
  <c r="Z51" i="8"/>
  <c r="D49" i="7" s="1"/>
  <c r="DJ25" i="8"/>
  <c r="CW23" i="7" s="1"/>
  <c r="DI25" i="8"/>
  <c r="CV23" i="7" s="1"/>
  <c r="DH25" i="8"/>
  <c r="DG25" i="8"/>
  <c r="CT23" i="7" s="1"/>
  <c r="DF25" i="8"/>
  <c r="CS23" i="7" s="1"/>
  <c r="DE25" i="8"/>
  <c r="CR23" i="7" s="1"/>
  <c r="DD25" i="8"/>
  <c r="CQ23" i="7" s="1"/>
  <c r="DC25" i="8"/>
  <c r="CP23" i="7" s="1"/>
  <c r="DA25" i="8"/>
  <c r="CM23" i="7" s="1"/>
  <c r="CZ25" i="8"/>
  <c r="CL23" i="7" s="1"/>
  <c r="CY25" i="8"/>
  <c r="CX25" i="8"/>
  <c r="CJ23" i="7" s="1"/>
  <c r="CW25" i="8"/>
  <c r="CI23" i="7" s="1"/>
  <c r="CV25" i="8"/>
  <c r="CH23" i="7" s="1"/>
  <c r="CU25" i="8"/>
  <c r="CG23" i="7" s="1"/>
  <c r="CT25" i="8"/>
  <c r="CF23" i="7" s="1"/>
  <c r="CR25" i="8"/>
  <c r="CC23" i="7" s="1"/>
  <c r="CQ25" i="8"/>
  <c r="CB23" i="7" s="1"/>
  <c r="CP25" i="8"/>
  <c r="CO25" i="8"/>
  <c r="BZ23" i="7" s="1"/>
  <c r="CN25" i="8"/>
  <c r="BY23" i="7" s="1"/>
  <c r="CM25" i="8"/>
  <c r="BX23" i="7" s="1"/>
  <c r="CL25" i="8"/>
  <c r="BW23" i="7" s="1"/>
  <c r="CK25" i="8"/>
  <c r="BV23" i="7" s="1"/>
  <c r="CI25" i="8"/>
  <c r="BS23" i="7" s="1"/>
  <c r="CH25" i="8"/>
  <c r="BR23" i="7" s="1"/>
  <c r="CG25" i="8"/>
  <c r="CF25" i="8"/>
  <c r="BP23" i="7" s="1"/>
  <c r="CE25" i="8"/>
  <c r="BO23" i="7" s="1"/>
  <c r="CD25" i="8"/>
  <c r="BN23" i="7" s="1"/>
  <c r="CC25" i="8"/>
  <c r="BM23" i="7" s="1"/>
  <c r="CB25" i="8"/>
  <c r="BL23" i="7" s="1"/>
  <c r="BZ25" i="8"/>
  <c r="BI23" i="7" s="1"/>
  <c r="BY25" i="8"/>
  <c r="BH23" i="7" s="1"/>
  <c r="BX25" i="8"/>
  <c r="BW25" i="8"/>
  <c r="BF23" i="7" s="1"/>
  <c r="BV25" i="8"/>
  <c r="BE23" i="7" s="1"/>
  <c r="BU25" i="8"/>
  <c r="BD23" i="7" s="1"/>
  <c r="BT25" i="8"/>
  <c r="BC23" i="7" s="1"/>
  <c r="BS25" i="8"/>
  <c r="BB23" i="7" s="1"/>
  <c r="BQ25" i="8"/>
  <c r="AY23" i="7" s="1"/>
  <c r="BP25" i="8"/>
  <c r="AX23" i="7" s="1"/>
  <c r="BO25" i="8"/>
  <c r="BN25" i="8"/>
  <c r="AV23" i="7" s="1"/>
  <c r="BM25" i="8"/>
  <c r="AU23" i="7" s="1"/>
  <c r="BL25" i="8"/>
  <c r="AT23" i="7" s="1"/>
  <c r="BK25" i="8"/>
  <c r="AS23" i="7" s="1"/>
  <c r="BJ25" i="8"/>
  <c r="AR23" i="7" s="1"/>
  <c r="BH25" i="8"/>
  <c r="AO23" i="7" s="1"/>
  <c r="BG25" i="8"/>
  <c r="AN23" i="7" s="1"/>
  <c r="BF25" i="8"/>
  <c r="BE25" i="8"/>
  <c r="AL23" i="7" s="1"/>
  <c r="BD25" i="8"/>
  <c r="AK23" i="7" s="1"/>
  <c r="BC25" i="8"/>
  <c r="AJ23" i="7" s="1"/>
  <c r="BB25" i="8"/>
  <c r="AI23" i="7" s="1"/>
  <c r="BA25" i="8"/>
  <c r="AH23" i="7" s="1"/>
  <c r="AY25" i="8"/>
  <c r="AE23" i="7" s="1"/>
  <c r="AX25" i="8"/>
  <c r="AD23" i="7" s="1"/>
  <c r="AW25" i="8"/>
  <c r="AV25" i="8"/>
  <c r="AB23" i="7" s="1"/>
  <c r="AU25" i="8"/>
  <c r="AA23" i="7" s="1"/>
  <c r="AT25" i="8"/>
  <c r="Z23" i="7" s="1"/>
  <c r="AS25" i="8"/>
  <c r="Y23" i="7" s="1"/>
  <c r="AR25" i="8"/>
  <c r="X23" i="7" s="1"/>
  <c r="AP25" i="8"/>
  <c r="U23" i="7" s="1"/>
  <c r="AO25" i="8"/>
  <c r="T23" i="7" s="1"/>
  <c r="AN25" i="8"/>
  <c r="AM25" i="8"/>
  <c r="R23" i="7" s="1"/>
  <c r="AL25" i="8"/>
  <c r="Q23" i="7" s="1"/>
  <c r="AK25" i="8"/>
  <c r="P23" i="7" s="1"/>
  <c r="AJ25" i="8"/>
  <c r="O23" i="7" s="1"/>
  <c r="AI25" i="8"/>
  <c r="N23" i="7" s="1"/>
  <c r="AG25" i="8"/>
  <c r="K23" i="7" s="1"/>
  <c r="AF25" i="8"/>
  <c r="J23" i="7" s="1"/>
  <c r="AE25" i="8"/>
  <c r="AD25" i="8"/>
  <c r="H23" i="7" s="1"/>
  <c r="AC25" i="8"/>
  <c r="G23" i="7" s="1"/>
  <c r="AB25" i="8"/>
  <c r="F23" i="7" s="1"/>
  <c r="AA25" i="8"/>
  <c r="E23" i="7" s="1"/>
  <c r="Z25" i="8"/>
  <c r="D23" i="7" s="1"/>
  <c r="DJ24" i="8"/>
  <c r="CW22" i="7" s="1"/>
  <c r="DI24" i="8"/>
  <c r="CV22" i="7" s="1"/>
  <c r="DH24" i="8"/>
  <c r="DG24" i="8"/>
  <c r="CT22" i="7" s="1"/>
  <c r="DF24" i="8"/>
  <c r="CS22" i="7" s="1"/>
  <c r="DE24" i="8"/>
  <c r="CR22" i="7" s="1"/>
  <c r="DD24" i="8"/>
  <c r="CQ22" i="7" s="1"/>
  <c r="DC24" i="8"/>
  <c r="CP22" i="7" s="1"/>
  <c r="DA24" i="8"/>
  <c r="CM22" i="7" s="1"/>
  <c r="CZ24" i="8"/>
  <c r="CL22" i="7" s="1"/>
  <c r="CY24" i="8"/>
  <c r="CX24" i="8"/>
  <c r="CJ22" i="7" s="1"/>
  <c r="CW24" i="8"/>
  <c r="CI22" i="7" s="1"/>
  <c r="CV24" i="8"/>
  <c r="CH22" i="7" s="1"/>
  <c r="CU24" i="8"/>
  <c r="CG22" i="7" s="1"/>
  <c r="CT24" i="8"/>
  <c r="CF22" i="7" s="1"/>
  <c r="CR24" i="8"/>
  <c r="CC22" i="7" s="1"/>
  <c r="CQ24" i="8"/>
  <c r="CB22" i="7" s="1"/>
  <c r="CP24" i="8"/>
  <c r="CO24" i="8"/>
  <c r="BZ22" i="7" s="1"/>
  <c r="CN24" i="8"/>
  <c r="BY22" i="7" s="1"/>
  <c r="CM24" i="8"/>
  <c r="BX22" i="7" s="1"/>
  <c r="CL24" i="8"/>
  <c r="BW22" i="7" s="1"/>
  <c r="CK24" i="8"/>
  <c r="BV22" i="7" s="1"/>
  <c r="CI24" i="8"/>
  <c r="BS22" i="7" s="1"/>
  <c r="CH24" i="8"/>
  <c r="BR22" i="7" s="1"/>
  <c r="CG24" i="8"/>
  <c r="CF24" i="8"/>
  <c r="BP22" i="7" s="1"/>
  <c r="CE24" i="8"/>
  <c r="BO22" i="7" s="1"/>
  <c r="CD24" i="8"/>
  <c r="BN22" i="7" s="1"/>
  <c r="CC24" i="8"/>
  <c r="BM22" i="7" s="1"/>
  <c r="CB24" i="8"/>
  <c r="BL22" i="7" s="1"/>
  <c r="BZ24" i="8"/>
  <c r="BI22" i="7" s="1"/>
  <c r="BY24" i="8"/>
  <c r="BH22" i="7" s="1"/>
  <c r="BX24" i="8"/>
  <c r="BW24" i="8"/>
  <c r="BF22" i="7" s="1"/>
  <c r="BV24" i="8"/>
  <c r="BE22" i="7" s="1"/>
  <c r="BU24" i="8"/>
  <c r="BD22" i="7" s="1"/>
  <c r="BT24" i="8"/>
  <c r="BC22" i="7" s="1"/>
  <c r="BS24" i="8"/>
  <c r="BB22" i="7" s="1"/>
  <c r="BQ24" i="8"/>
  <c r="AY22" i="7" s="1"/>
  <c r="BP24" i="8"/>
  <c r="AX22" i="7" s="1"/>
  <c r="BO24" i="8"/>
  <c r="BN24" i="8"/>
  <c r="AV22" i="7" s="1"/>
  <c r="BM24" i="8"/>
  <c r="AU22" i="7" s="1"/>
  <c r="BL24" i="8"/>
  <c r="AT22" i="7" s="1"/>
  <c r="BK24" i="8"/>
  <c r="AS22" i="7" s="1"/>
  <c r="BJ24" i="8"/>
  <c r="AR22" i="7" s="1"/>
  <c r="BH24" i="8"/>
  <c r="AO22" i="7" s="1"/>
  <c r="BG24" i="8"/>
  <c r="AN22" i="7" s="1"/>
  <c r="BF24" i="8"/>
  <c r="BE24" i="8"/>
  <c r="AL22" i="7" s="1"/>
  <c r="BD24" i="8"/>
  <c r="AK22" i="7" s="1"/>
  <c r="BC24" i="8"/>
  <c r="AJ22" i="7" s="1"/>
  <c r="BB24" i="8"/>
  <c r="AI22" i="7" s="1"/>
  <c r="BA24" i="8"/>
  <c r="AH22" i="7" s="1"/>
  <c r="AY24" i="8"/>
  <c r="AE22" i="7" s="1"/>
  <c r="AX24" i="8"/>
  <c r="AD22" i="7" s="1"/>
  <c r="AW24" i="8"/>
  <c r="AV24" i="8"/>
  <c r="AB22" i="7" s="1"/>
  <c r="AU24" i="8"/>
  <c r="AA22" i="7" s="1"/>
  <c r="AT24" i="8"/>
  <c r="Z22" i="7" s="1"/>
  <c r="AS24" i="8"/>
  <c r="Y22" i="7" s="1"/>
  <c r="AR24" i="8"/>
  <c r="X22" i="7" s="1"/>
  <c r="AP24" i="8"/>
  <c r="U22" i="7" s="1"/>
  <c r="AO24" i="8"/>
  <c r="T22" i="7" s="1"/>
  <c r="AN24" i="8"/>
  <c r="AM24" i="8"/>
  <c r="R22" i="7" s="1"/>
  <c r="AL24" i="8"/>
  <c r="Q22" i="7" s="1"/>
  <c r="AK24" i="8"/>
  <c r="P22" i="7" s="1"/>
  <c r="AJ24" i="8"/>
  <c r="O22" i="7" s="1"/>
  <c r="AI24" i="8"/>
  <c r="N22" i="7" s="1"/>
  <c r="AG24" i="8"/>
  <c r="K22" i="7" s="1"/>
  <c r="AF24" i="8"/>
  <c r="J22" i="7" s="1"/>
  <c r="AE24" i="8"/>
  <c r="AD24" i="8"/>
  <c r="H22" i="7" s="1"/>
  <c r="AC24" i="8"/>
  <c r="G22" i="7" s="1"/>
  <c r="AB24" i="8"/>
  <c r="F22" i="7" s="1"/>
  <c r="AA24" i="8"/>
  <c r="E22" i="7" s="1"/>
  <c r="Z24" i="8"/>
  <c r="D22" i="7" s="1"/>
  <c r="DJ23" i="8"/>
  <c r="CW21" i="7" s="1"/>
  <c r="DI23" i="8"/>
  <c r="CV21" i="7" s="1"/>
  <c r="DH23" i="8"/>
  <c r="DG23" i="8"/>
  <c r="CT21" i="7" s="1"/>
  <c r="DF23" i="8"/>
  <c r="CS21" i="7" s="1"/>
  <c r="DE23" i="8"/>
  <c r="CR21" i="7" s="1"/>
  <c r="DD23" i="8"/>
  <c r="CQ21" i="7" s="1"/>
  <c r="DC23" i="8"/>
  <c r="CP21" i="7" s="1"/>
  <c r="DA23" i="8"/>
  <c r="CM21" i="7" s="1"/>
  <c r="CZ23" i="8"/>
  <c r="CL21" i="7" s="1"/>
  <c r="CY23" i="8"/>
  <c r="CX23" i="8"/>
  <c r="CJ21" i="7" s="1"/>
  <c r="CW23" i="8"/>
  <c r="CI21" i="7" s="1"/>
  <c r="CV23" i="8"/>
  <c r="CH21" i="7" s="1"/>
  <c r="CU23" i="8"/>
  <c r="CG21" i="7" s="1"/>
  <c r="CT23" i="8"/>
  <c r="CF21" i="7" s="1"/>
  <c r="CR23" i="8"/>
  <c r="CC21" i="7" s="1"/>
  <c r="CQ23" i="8"/>
  <c r="CB21" i="7" s="1"/>
  <c r="CP23" i="8"/>
  <c r="CO23" i="8"/>
  <c r="BZ21" i="7" s="1"/>
  <c r="CN23" i="8"/>
  <c r="BY21" i="7" s="1"/>
  <c r="CM23" i="8"/>
  <c r="BX21" i="7" s="1"/>
  <c r="CL23" i="8"/>
  <c r="BW21" i="7" s="1"/>
  <c r="CK23" i="8"/>
  <c r="BV21" i="7" s="1"/>
  <c r="CI23" i="8"/>
  <c r="BS21" i="7" s="1"/>
  <c r="CH23" i="8"/>
  <c r="BR21" i="7" s="1"/>
  <c r="CG23" i="8"/>
  <c r="CF23" i="8"/>
  <c r="BP21" i="7" s="1"/>
  <c r="CE23" i="8"/>
  <c r="BO21" i="7" s="1"/>
  <c r="CD23" i="8"/>
  <c r="BN21" i="7" s="1"/>
  <c r="CC23" i="8"/>
  <c r="BM21" i="7" s="1"/>
  <c r="CB23" i="8"/>
  <c r="BL21" i="7" s="1"/>
  <c r="BZ23" i="8"/>
  <c r="BI21" i="7" s="1"/>
  <c r="BY23" i="8"/>
  <c r="BH21" i="7" s="1"/>
  <c r="BX23" i="8"/>
  <c r="BW23" i="8"/>
  <c r="BF21" i="7" s="1"/>
  <c r="BV23" i="8"/>
  <c r="BE21" i="7" s="1"/>
  <c r="BU23" i="8"/>
  <c r="BD21" i="7" s="1"/>
  <c r="BT23" i="8"/>
  <c r="BC21" i="7" s="1"/>
  <c r="BS23" i="8"/>
  <c r="BB21" i="7" s="1"/>
  <c r="BQ23" i="8"/>
  <c r="AY21" i="7" s="1"/>
  <c r="BP23" i="8"/>
  <c r="AX21" i="7" s="1"/>
  <c r="BO23" i="8"/>
  <c r="BN23" i="8"/>
  <c r="AV21" i="7" s="1"/>
  <c r="BM23" i="8"/>
  <c r="AU21" i="7" s="1"/>
  <c r="BL23" i="8"/>
  <c r="AT21" i="7" s="1"/>
  <c r="BK23" i="8"/>
  <c r="AS21" i="7" s="1"/>
  <c r="BJ23" i="8"/>
  <c r="AR21" i="7" s="1"/>
  <c r="BH23" i="8"/>
  <c r="AO21" i="7" s="1"/>
  <c r="BG23" i="8"/>
  <c r="AN21" i="7" s="1"/>
  <c r="BF23" i="8"/>
  <c r="BE23" i="8"/>
  <c r="AL21" i="7" s="1"/>
  <c r="BD23" i="8"/>
  <c r="AK21" i="7" s="1"/>
  <c r="BC23" i="8"/>
  <c r="AJ21" i="7" s="1"/>
  <c r="BB23" i="8"/>
  <c r="AI21" i="7" s="1"/>
  <c r="BA23" i="8"/>
  <c r="AH21" i="7" s="1"/>
  <c r="AY23" i="8"/>
  <c r="AE21" i="7" s="1"/>
  <c r="AX23" i="8"/>
  <c r="AD21" i="7" s="1"/>
  <c r="AW23" i="8"/>
  <c r="AV23" i="8"/>
  <c r="AB21" i="7" s="1"/>
  <c r="AU23" i="8"/>
  <c r="AA21" i="7" s="1"/>
  <c r="AT23" i="8"/>
  <c r="Z21" i="7" s="1"/>
  <c r="AS23" i="8"/>
  <c r="Y21" i="7" s="1"/>
  <c r="AR23" i="8"/>
  <c r="X21" i="7" s="1"/>
  <c r="AP23" i="8"/>
  <c r="U21" i="7" s="1"/>
  <c r="AO23" i="8"/>
  <c r="T21" i="7" s="1"/>
  <c r="AN23" i="8"/>
  <c r="AM23" i="8"/>
  <c r="R21" i="7" s="1"/>
  <c r="AL23" i="8"/>
  <c r="Q21" i="7" s="1"/>
  <c r="AK23" i="8"/>
  <c r="P21" i="7" s="1"/>
  <c r="AJ23" i="8"/>
  <c r="O21" i="7" s="1"/>
  <c r="AI23" i="8"/>
  <c r="N21" i="7" s="1"/>
  <c r="AG23" i="8"/>
  <c r="K21" i="7" s="1"/>
  <c r="AF23" i="8"/>
  <c r="J21" i="7" s="1"/>
  <c r="AE23" i="8"/>
  <c r="AD23" i="8"/>
  <c r="H21" i="7" s="1"/>
  <c r="AC23" i="8"/>
  <c r="G21" i="7" s="1"/>
  <c r="AB23" i="8"/>
  <c r="F21" i="7" s="1"/>
  <c r="AA23" i="8"/>
  <c r="E21" i="7" s="1"/>
  <c r="Z23" i="8"/>
  <c r="D21" i="7" s="1"/>
  <c r="DJ22" i="8"/>
  <c r="CW20" i="7" s="1"/>
  <c r="DI22" i="8"/>
  <c r="CV20" i="7" s="1"/>
  <c r="DH22" i="8"/>
  <c r="DG22" i="8"/>
  <c r="CT20" i="7" s="1"/>
  <c r="DF22" i="8"/>
  <c r="CS20" i="7" s="1"/>
  <c r="DE22" i="8"/>
  <c r="CR20" i="7" s="1"/>
  <c r="DD22" i="8"/>
  <c r="CQ20" i="7" s="1"/>
  <c r="DC22" i="8"/>
  <c r="CP20" i="7" s="1"/>
  <c r="DA22" i="8"/>
  <c r="CM20" i="7" s="1"/>
  <c r="CZ22" i="8"/>
  <c r="CL20" i="7" s="1"/>
  <c r="CY22" i="8"/>
  <c r="CX22" i="8"/>
  <c r="CJ20" i="7" s="1"/>
  <c r="CW22" i="8"/>
  <c r="CI20" i="7" s="1"/>
  <c r="CV22" i="8"/>
  <c r="CH20" i="7" s="1"/>
  <c r="CU22" i="8"/>
  <c r="CG20" i="7" s="1"/>
  <c r="CT22" i="8"/>
  <c r="CF20" i="7" s="1"/>
  <c r="CR22" i="8"/>
  <c r="CC20" i="7" s="1"/>
  <c r="CQ22" i="8"/>
  <c r="CB20" i="7" s="1"/>
  <c r="CP22" i="8"/>
  <c r="CO22" i="8"/>
  <c r="BZ20" i="7" s="1"/>
  <c r="CN22" i="8"/>
  <c r="BY20" i="7" s="1"/>
  <c r="CM22" i="8"/>
  <c r="BX20" i="7" s="1"/>
  <c r="CL22" i="8"/>
  <c r="BW20" i="7" s="1"/>
  <c r="CK22" i="8"/>
  <c r="BV20" i="7" s="1"/>
  <c r="CI22" i="8"/>
  <c r="BS20" i="7" s="1"/>
  <c r="CH22" i="8"/>
  <c r="BR20" i="7" s="1"/>
  <c r="CG22" i="8"/>
  <c r="CF22" i="8"/>
  <c r="BP20" i="7" s="1"/>
  <c r="CE22" i="8"/>
  <c r="BO20" i="7" s="1"/>
  <c r="CD22" i="8"/>
  <c r="BN20" i="7" s="1"/>
  <c r="CC22" i="8"/>
  <c r="BM20" i="7" s="1"/>
  <c r="CB22" i="8"/>
  <c r="BL20" i="7" s="1"/>
  <c r="BZ22" i="8"/>
  <c r="BI20" i="7" s="1"/>
  <c r="BY22" i="8"/>
  <c r="BH20" i="7" s="1"/>
  <c r="BX22" i="8"/>
  <c r="BW22" i="8"/>
  <c r="BF20" i="7" s="1"/>
  <c r="BV22" i="8"/>
  <c r="BE20" i="7" s="1"/>
  <c r="BU22" i="8"/>
  <c r="BD20" i="7" s="1"/>
  <c r="BT22" i="8"/>
  <c r="BC20" i="7" s="1"/>
  <c r="BS22" i="8"/>
  <c r="BB20" i="7" s="1"/>
  <c r="BQ22" i="8"/>
  <c r="AY20" i="7" s="1"/>
  <c r="BP22" i="8"/>
  <c r="AX20" i="7" s="1"/>
  <c r="BO22" i="8"/>
  <c r="BN22" i="8"/>
  <c r="AV20" i="7" s="1"/>
  <c r="BM22" i="8"/>
  <c r="AU20" i="7" s="1"/>
  <c r="BL22" i="8"/>
  <c r="AT20" i="7" s="1"/>
  <c r="BK22" i="8"/>
  <c r="AS20" i="7" s="1"/>
  <c r="BJ22" i="8"/>
  <c r="AR20" i="7" s="1"/>
  <c r="BH22" i="8"/>
  <c r="AO20" i="7" s="1"/>
  <c r="BG22" i="8"/>
  <c r="AN20" i="7" s="1"/>
  <c r="BF22" i="8"/>
  <c r="BE22" i="8"/>
  <c r="AL20" i="7" s="1"/>
  <c r="BD22" i="8"/>
  <c r="AK20" i="7" s="1"/>
  <c r="BC22" i="8"/>
  <c r="AJ20" i="7" s="1"/>
  <c r="BB22" i="8"/>
  <c r="AI20" i="7" s="1"/>
  <c r="BA22" i="8"/>
  <c r="AH20" i="7" s="1"/>
  <c r="AY22" i="8"/>
  <c r="AE20" i="7" s="1"/>
  <c r="AX22" i="8"/>
  <c r="AD20" i="7" s="1"/>
  <c r="AW22" i="8"/>
  <c r="AV22" i="8"/>
  <c r="AB20" i="7" s="1"/>
  <c r="AU22" i="8"/>
  <c r="AA20" i="7" s="1"/>
  <c r="AT22" i="8"/>
  <c r="Z20" i="7" s="1"/>
  <c r="AS22" i="8"/>
  <c r="Y20" i="7" s="1"/>
  <c r="AR22" i="8"/>
  <c r="X20" i="7" s="1"/>
  <c r="AP22" i="8"/>
  <c r="U20" i="7" s="1"/>
  <c r="AO22" i="8"/>
  <c r="T20" i="7" s="1"/>
  <c r="AN22" i="8"/>
  <c r="AM22" i="8"/>
  <c r="R20" i="7" s="1"/>
  <c r="AL22" i="8"/>
  <c r="Q20" i="7" s="1"/>
  <c r="AK22" i="8"/>
  <c r="P20" i="7" s="1"/>
  <c r="AJ22" i="8"/>
  <c r="O20" i="7" s="1"/>
  <c r="AI22" i="8"/>
  <c r="N20" i="7" s="1"/>
  <c r="AG22" i="8"/>
  <c r="K20" i="7" s="1"/>
  <c r="AF22" i="8"/>
  <c r="J20" i="7" s="1"/>
  <c r="AE22" i="8"/>
  <c r="AD22" i="8"/>
  <c r="H20" i="7" s="1"/>
  <c r="AC22" i="8"/>
  <c r="G20" i="7" s="1"/>
  <c r="AB22" i="8"/>
  <c r="F20" i="7" s="1"/>
  <c r="AA22" i="8"/>
  <c r="E20" i="7" s="1"/>
  <c r="Z22" i="8"/>
  <c r="D20" i="7" s="1"/>
  <c r="DJ21" i="8"/>
  <c r="CW19" i="7" s="1"/>
  <c r="DI21" i="8"/>
  <c r="CV19" i="7" s="1"/>
  <c r="DH21" i="8"/>
  <c r="DG21" i="8"/>
  <c r="CT19" i="7" s="1"/>
  <c r="DF21" i="8"/>
  <c r="CS19" i="7" s="1"/>
  <c r="DE21" i="8"/>
  <c r="CR19" i="7" s="1"/>
  <c r="DD21" i="8"/>
  <c r="CQ19" i="7" s="1"/>
  <c r="DC21" i="8"/>
  <c r="CP19" i="7" s="1"/>
  <c r="DA21" i="8"/>
  <c r="CM19" i="7" s="1"/>
  <c r="CZ21" i="8"/>
  <c r="CL19" i="7" s="1"/>
  <c r="CY21" i="8"/>
  <c r="CX21" i="8"/>
  <c r="CJ19" i="7" s="1"/>
  <c r="CW21" i="8"/>
  <c r="CI19" i="7" s="1"/>
  <c r="CV21" i="8"/>
  <c r="CH19" i="7" s="1"/>
  <c r="CU21" i="8"/>
  <c r="CG19" i="7" s="1"/>
  <c r="CT21" i="8"/>
  <c r="CF19" i="7" s="1"/>
  <c r="CR21" i="8"/>
  <c r="CC19" i="7" s="1"/>
  <c r="CQ21" i="8"/>
  <c r="CB19" i="7" s="1"/>
  <c r="CP21" i="8"/>
  <c r="CO21" i="8"/>
  <c r="BZ19" i="7" s="1"/>
  <c r="CN21" i="8"/>
  <c r="BY19" i="7" s="1"/>
  <c r="CM21" i="8"/>
  <c r="BX19" i="7" s="1"/>
  <c r="CL21" i="8"/>
  <c r="BW19" i="7" s="1"/>
  <c r="CK21" i="8"/>
  <c r="BV19" i="7" s="1"/>
  <c r="CI21" i="8"/>
  <c r="BS19" i="7" s="1"/>
  <c r="CH21" i="8"/>
  <c r="BR19" i="7" s="1"/>
  <c r="CG21" i="8"/>
  <c r="CF21" i="8"/>
  <c r="BP19" i="7" s="1"/>
  <c r="CE21" i="8"/>
  <c r="BO19" i="7" s="1"/>
  <c r="CD21" i="8"/>
  <c r="BN19" i="7" s="1"/>
  <c r="CC21" i="8"/>
  <c r="BM19" i="7" s="1"/>
  <c r="CB21" i="8"/>
  <c r="BL19" i="7" s="1"/>
  <c r="BZ21" i="8"/>
  <c r="BI19" i="7" s="1"/>
  <c r="BY21" i="8"/>
  <c r="BH19" i="7" s="1"/>
  <c r="BX21" i="8"/>
  <c r="BW21" i="8"/>
  <c r="BF19" i="7" s="1"/>
  <c r="BV21" i="8"/>
  <c r="BE19" i="7" s="1"/>
  <c r="BU21" i="8"/>
  <c r="BD19" i="7" s="1"/>
  <c r="BT21" i="8"/>
  <c r="BC19" i="7" s="1"/>
  <c r="BS21" i="8"/>
  <c r="BB19" i="7" s="1"/>
  <c r="BQ21" i="8"/>
  <c r="AY19" i="7" s="1"/>
  <c r="BP21" i="8"/>
  <c r="AX19" i="7" s="1"/>
  <c r="BO21" i="8"/>
  <c r="BN21" i="8"/>
  <c r="AV19" i="7" s="1"/>
  <c r="BM21" i="8"/>
  <c r="AU19" i="7" s="1"/>
  <c r="BL21" i="8"/>
  <c r="AT19" i="7" s="1"/>
  <c r="BK21" i="8"/>
  <c r="AS19" i="7" s="1"/>
  <c r="BJ21" i="8"/>
  <c r="AR19" i="7" s="1"/>
  <c r="BH21" i="8"/>
  <c r="AO19" i="7" s="1"/>
  <c r="BG21" i="8"/>
  <c r="AN19" i="7" s="1"/>
  <c r="BF21" i="8"/>
  <c r="BE21" i="8"/>
  <c r="AL19" i="7" s="1"/>
  <c r="BD21" i="8"/>
  <c r="AK19" i="7" s="1"/>
  <c r="BC21" i="8"/>
  <c r="AJ19" i="7" s="1"/>
  <c r="BB21" i="8"/>
  <c r="AI19" i="7" s="1"/>
  <c r="BA21" i="8"/>
  <c r="AH19" i="7" s="1"/>
  <c r="AY21" i="8"/>
  <c r="AE19" i="7" s="1"/>
  <c r="AX21" i="8"/>
  <c r="AD19" i="7" s="1"/>
  <c r="AW21" i="8"/>
  <c r="AV21" i="8"/>
  <c r="AB19" i="7" s="1"/>
  <c r="AU21" i="8"/>
  <c r="AA19" i="7" s="1"/>
  <c r="AT21" i="8"/>
  <c r="Z19" i="7" s="1"/>
  <c r="AS21" i="8"/>
  <c r="Y19" i="7" s="1"/>
  <c r="AR21" i="8"/>
  <c r="X19" i="7" s="1"/>
  <c r="AP21" i="8"/>
  <c r="U19" i="7" s="1"/>
  <c r="AO21" i="8"/>
  <c r="T19" i="7" s="1"/>
  <c r="AN21" i="8"/>
  <c r="AM21" i="8"/>
  <c r="R19" i="7" s="1"/>
  <c r="AL21" i="8"/>
  <c r="Q19" i="7" s="1"/>
  <c r="AK21" i="8"/>
  <c r="P19" i="7" s="1"/>
  <c r="AJ21" i="8"/>
  <c r="O19" i="7" s="1"/>
  <c r="AI21" i="8"/>
  <c r="N19" i="7" s="1"/>
  <c r="AG21" i="8"/>
  <c r="K19" i="7" s="1"/>
  <c r="AF21" i="8"/>
  <c r="J19" i="7" s="1"/>
  <c r="AE21" i="8"/>
  <c r="AD21" i="8"/>
  <c r="H19" i="7" s="1"/>
  <c r="AC21" i="8"/>
  <c r="G19" i="7" s="1"/>
  <c r="AB21" i="8"/>
  <c r="F19" i="7" s="1"/>
  <c r="AA21" i="8"/>
  <c r="E19" i="7" s="1"/>
  <c r="Z21" i="8"/>
  <c r="D19" i="7" s="1"/>
  <c r="DJ20" i="8"/>
  <c r="CW18" i="7" s="1"/>
  <c r="DI20" i="8"/>
  <c r="CV18" i="7" s="1"/>
  <c r="DH20" i="8"/>
  <c r="DG20" i="8"/>
  <c r="CT18" i="7" s="1"/>
  <c r="DF20" i="8"/>
  <c r="CS18" i="7" s="1"/>
  <c r="DE20" i="8"/>
  <c r="CR18" i="7" s="1"/>
  <c r="DD20" i="8"/>
  <c r="CQ18" i="7" s="1"/>
  <c r="DC20" i="8"/>
  <c r="CP18" i="7" s="1"/>
  <c r="DA20" i="8"/>
  <c r="CM18" i="7" s="1"/>
  <c r="CZ20" i="8"/>
  <c r="CL18" i="7" s="1"/>
  <c r="CY20" i="8"/>
  <c r="CX20" i="8"/>
  <c r="CJ18" i="7" s="1"/>
  <c r="CW20" i="8"/>
  <c r="CI18" i="7" s="1"/>
  <c r="CV20" i="8"/>
  <c r="CH18" i="7" s="1"/>
  <c r="CU20" i="8"/>
  <c r="CG18" i="7" s="1"/>
  <c r="CT20" i="8"/>
  <c r="CF18" i="7" s="1"/>
  <c r="CR20" i="8"/>
  <c r="CC18" i="7" s="1"/>
  <c r="CQ20" i="8"/>
  <c r="CB18" i="7" s="1"/>
  <c r="CP20" i="8"/>
  <c r="CO20" i="8"/>
  <c r="BZ18" i="7" s="1"/>
  <c r="CN20" i="8"/>
  <c r="BY18" i="7" s="1"/>
  <c r="CM20" i="8"/>
  <c r="BX18" i="7" s="1"/>
  <c r="CL20" i="8"/>
  <c r="BW18" i="7" s="1"/>
  <c r="CK20" i="8"/>
  <c r="BV18" i="7" s="1"/>
  <c r="CI20" i="8"/>
  <c r="BS18" i="7" s="1"/>
  <c r="CH20" i="8"/>
  <c r="BR18" i="7" s="1"/>
  <c r="CG20" i="8"/>
  <c r="CF20" i="8"/>
  <c r="BP18" i="7" s="1"/>
  <c r="CE20" i="8"/>
  <c r="BO18" i="7" s="1"/>
  <c r="CD20" i="8"/>
  <c r="BN18" i="7" s="1"/>
  <c r="CC20" i="8"/>
  <c r="BM18" i="7" s="1"/>
  <c r="CB20" i="8"/>
  <c r="BL18" i="7" s="1"/>
  <c r="BZ20" i="8"/>
  <c r="BI18" i="7" s="1"/>
  <c r="BY20" i="8"/>
  <c r="BH18" i="7" s="1"/>
  <c r="BX20" i="8"/>
  <c r="BW20" i="8"/>
  <c r="BF18" i="7" s="1"/>
  <c r="BV20" i="8"/>
  <c r="BE18" i="7" s="1"/>
  <c r="BU20" i="8"/>
  <c r="BD18" i="7" s="1"/>
  <c r="BT20" i="8"/>
  <c r="BC18" i="7" s="1"/>
  <c r="BS20" i="8"/>
  <c r="BB18" i="7" s="1"/>
  <c r="BQ20" i="8"/>
  <c r="AY18" i="7" s="1"/>
  <c r="BP20" i="8"/>
  <c r="AX18" i="7" s="1"/>
  <c r="BO20" i="8"/>
  <c r="BN20" i="8"/>
  <c r="AV18" i="7" s="1"/>
  <c r="BM20" i="8"/>
  <c r="AU18" i="7" s="1"/>
  <c r="BL20" i="8"/>
  <c r="AT18" i="7" s="1"/>
  <c r="BK20" i="8"/>
  <c r="AS18" i="7" s="1"/>
  <c r="BJ20" i="8"/>
  <c r="AR18" i="7" s="1"/>
  <c r="BH20" i="8"/>
  <c r="AO18" i="7" s="1"/>
  <c r="BG20" i="8"/>
  <c r="AN18" i="7" s="1"/>
  <c r="BF20" i="8"/>
  <c r="BE20" i="8"/>
  <c r="AL18" i="7" s="1"/>
  <c r="BD20" i="8"/>
  <c r="AK18" i="7" s="1"/>
  <c r="BC20" i="8"/>
  <c r="AJ18" i="7" s="1"/>
  <c r="BB20" i="8"/>
  <c r="AI18" i="7" s="1"/>
  <c r="BA20" i="8"/>
  <c r="AH18" i="7" s="1"/>
  <c r="AY20" i="8"/>
  <c r="AE18" i="7" s="1"/>
  <c r="AX20" i="8"/>
  <c r="AD18" i="7" s="1"/>
  <c r="AW20" i="8"/>
  <c r="AV20" i="8"/>
  <c r="AB18" i="7" s="1"/>
  <c r="AU20" i="8"/>
  <c r="AA18" i="7" s="1"/>
  <c r="AT20" i="8"/>
  <c r="Z18" i="7" s="1"/>
  <c r="AS20" i="8"/>
  <c r="Y18" i="7" s="1"/>
  <c r="AR20" i="8"/>
  <c r="X18" i="7" s="1"/>
  <c r="AP20" i="8"/>
  <c r="U18" i="7" s="1"/>
  <c r="AO20" i="8"/>
  <c r="T18" i="7" s="1"/>
  <c r="AN20" i="8"/>
  <c r="AM20" i="8"/>
  <c r="R18" i="7" s="1"/>
  <c r="AL20" i="8"/>
  <c r="Q18" i="7" s="1"/>
  <c r="AK20" i="8"/>
  <c r="P18" i="7" s="1"/>
  <c r="AJ20" i="8"/>
  <c r="O18" i="7" s="1"/>
  <c r="AI20" i="8"/>
  <c r="N18" i="7" s="1"/>
  <c r="AG20" i="8"/>
  <c r="K18" i="7" s="1"/>
  <c r="AF20" i="8"/>
  <c r="J18" i="7" s="1"/>
  <c r="AE20" i="8"/>
  <c r="AD20" i="8"/>
  <c r="H18" i="7" s="1"/>
  <c r="AC20" i="8"/>
  <c r="G18" i="7" s="1"/>
  <c r="AB20" i="8"/>
  <c r="F18" i="7" s="1"/>
  <c r="AA20" i="8"/>
  <c r="E18" i="7" s="1"/>
  <c r="Z20" i="8"/>
  <c r="D18" i="7" s="1"/>
  <c r="DJ19" i="8"/>
  <c r="CW17" i="7" s="1"/>
  <c r="DI19" i="8"/>
  <c r="CV17" i="7" s="1"/>
  <c r="DH19" i="8"/>
  <c r="DG19" i="8"/>
  <c r="CT17" i="7" s="1"/>
  <c r="DF19" i="8"/>
  <c r="CS17" i="7" s="1"/>
  <c r="DE19" i="8"/>
  <c r="CR17" i="7" s="1"/>
  <c r="DD19" i="8"/>
  <c r="CQ17" i="7" s="1"/>
  <c r="DC19" i="8"/>
  <c r="CP17" i="7" s="1"/>
  <c r="DA19" i="8"/>
  <c r="CM17" i="7" s="1"/>
  <c r="CZ19" i="8"/>
  <c r="CL17" i="7" s="1"/>
  <c r="CY19" i="8"/>
  <c r="CX19" i="8"/>
  <c r="CJ17" i="7" s="1"/>
  <c r="CW19" i="8"/>
  <c r="CI17" i="7" s="1"/>
  <c r="CV19" i="8"/>
  <c r="CH17" i="7" s="1"/>
  <c r="CU19" i="8"/>
  <c r="CG17" i="7" s="1"/>
  <c r="CT19" i="8"/>
  <c r="CF17" i="7" s="1"/>
  <c r="CR19" i="8"/>
  <c r="CC17" i="7" s="1"/>
  <c r="CQ19" i="8"/>
  <c r="CB17" i="7" s="1"/>
  <c r="CP19" i="8"/>
  <c r="CO19" i="8"/>
  <c r="BZ17" i="7" s="1"/>
  <c r="CN19" i="8"/>
  <c r="BY17" i="7" s="1"/>
  <c r="CM19" i="8"/>
  <c r="BX17" i="7" s="1"/>
  <c r="CL19" i="8"/>
  <c r="BW17" i="7" s="1"/>
  <c r="CK19" i="8"/>
  <c r="BV17" i="7" s="1"/>
  <c r="CI19" i="8"/>
  <c r="BS17" i="7" s="1"/>
  <c r="CH19" i="8"/>
  <c r="BR17" i="7" s="1"/>
  <c r="CG19" i="8"/>
  <c r="CF19" i="8"/>
  <c r="BP17" i="7" s="1"/>
  <c r="CE19" i="8"/>
  <c r="BO17" i="7" s="1"/>
  <c r="CD19" i="8"/>
  <c r="BN17" i="7" s="1"/>
  <c r="CC19" i="8"/>
  <c r="BM17" i="7" s="1"/>
  <c r="CB19" i="8"/>
  <c r="BL17" i="7" s="1"/>
  <c r="BZ19" i="8"/>
  <c r="BI17" i="7" s="1"/>
  <c r="BY19" i="8"/>
  <c r="BH17" i="7" s="1"/>
  <c r="BX19" i="8"/>
  <c r="BW19" i="8"/>
  <c r="BF17" i="7" s="1"/>
  <c r="BV19" i="8"/>
  <c r="BE17" i="7" s="1"/>
  <c r="BU19" i="8"/>
  <c r="BD17" i="7" s="1"/>
  <c r="BT19" i="8"/>
  <c r="BC17" i="7" s="1"/>
  <c r="BS19" i="8"/>
  <c r="BB17" i="7" s="1"/>
  <c r="BQ19" i="8"/>
  <c r="AY17" i="7" s="1"/>
  <c r="BP19" i="8"/>
  <c r="AX17" i="7" s="1"/>
  <c r="BO19" i="8"/>
  <c r="BN19" i="8"/>
  <c r="AV17" i="7" s="1"/>
  <c r="BM19" i="8"/>
  <c r="AU17" i="7" s="1"/>
  <c r="BL19" i="8"/>
  <c r="AT17" i="7" s="1"/>
  <c r="BK19" i="8"/>
  <c r="AS17" i="7" s="1"/>
  <c r="BJ19" i="8"/>
  <c r="AR17" i="7" s="1"/>
  <c r="BH19" i="8"/>
  <c r="AO17" i="7" s="1"/>
  <c r="BG19" i="8"/>
  <c r="AN17" i="7" s="1"/>
  <c r="BF19" i="8"/>
  <c r="BE19" i="8"/>
  <c r="AL17" i="7" s="1"/>
  <c r="BD19" i="8"/>
  <c r="AK17" i="7" s="1"/>
  <c r="BC19" i="8"/>
  <c r="AJ17" i="7" s="1"/>
  <c r="BB19" i="8"/>
  <c r="AI17" i="7" s="1"/>
  <c r="BA19" i="8"/>
  <c r="AH17" i="7" s="1"/>
  <c r="AY19" i="8"/>
  <c r="AE17" i="7" s="1"/>
  <c r="AX19" i="8"/>
  <c r="AD17" i="7" s="1"/>
  <c r="AW19" i="8"/>
  <c r="AV19" i="8"/>
  <c r="AB17" i="7" s="1"/>
  <c r="AU19" i="8"/>
  <c r="AA17" i="7" s="1"/>
  <c r="AT19" i="8"/>
  <c r="Z17" i="7" s="1"/>
  <c r="AS19" i="8"/>
  <c r="Y17" i="7" s="1"/>
  <c r="AR19" i="8"/>
  <c r="X17" i="7" s="1"/>
  <c r="AP19" i="8"/>
  <c r="U17" i="7" s="1"/>
  <c r="AO19" i="8"/>
  <c r="T17" i="7" s="1"/>
  <c r="AN19" i="8"/>
  <c r="AM19" i="8"/>
  <c r="R17" i="7" s="1"/>
  <c r="AL19" i="8"/>
  <c r="Q17" i="7" s="1"/>
  <c r="AK19" i="8"/>
  <c r="P17" i="7" s="1"/>
  <c r="AJ19" i="8"/>
  <c r="O17" i="7" s="1"/>
  <c r="AI19" i="8"/>
  <c r="N17" i="7" s="1"/>
  <c r="AG19" i="8"/>
  <c r="K17" i="7" s="1"/>
  <c r="AF19" i="8"/>
  <c r="J17" i="7" s="1"/>
  <c r="AE19" i="8"/>
  <c r="AD19" i="8"/>
  <c r="H17" i="7" s="1"/>
  <c r="AC19" i="8"/>
  <c r="G17" i="7" s="1"/>
  <c r="AB19" i="8"/>
  <c r="F17" i="7" s="1"/>
  <c r="AA19" i="8"/>
  <c r="E17" i="7" s="1"/>
  <c r="Z19" i="8"/>
  <c r="D17" i="7" s="1"/>
  <c r="C67" i="7"/>
  <c r="C68" i="7"/>
  <c r="C69" i="7"/>
  <c r="C70" i="7"/>
  <c r="C71" i="7"/>
  <c r="C72" i="7"/>
  <c r="C73" i="7"/>
  <c r="C74" i="7"/>
  <c r="C75" i="7"/>
  <c r="C76" i="7"/>
  <c r="C77" i="7"/>
  <c r="C78" i="7"/>
  <c r="C66" i="7"/>
  <c r="C36" i="7"/>
  <c r="C37" i="7"/>
  <c r="C38" i="7"/>
  <c r="C39" i="7"/>
  <c r="C40" i="7"/>
  <c r="C41" i="7"/>
  <c r="C42" i="7"/>
  <c r="C43" i="7"/>
  <c r="C44" i="7"/>
  <c r="C45" i="7"/>
  <c r="C46" i="7"/>
  <c r="C47" i="7"/>
  <c r="C35" i="7"/>
  <c r="C4" i="7"/>
  <c r="CP67" i="7"/>
  <c r="CQ67" i="7"/>
  <c r="CR67" i="7"/>
  <c r="CS67" i="7"/>
  <c r="CT67" i="7"/>
  <c r="CU67" i="7"/>
  <c r="CV67" i="7"/>
  <c r="CW67" i="7"/>
  <c r="CP68" i="7"/>
  <c r="CQ68" i="7"/>
  <c r="CR68" i="7"/>
  <c r="CS68" i="7"/>
  <c r="CT68" i="7"/>
  <c r="CU68" i="7"/>
  <c r="CV68" i="7"/>
  <c r="CW68" i="7"/>
  <c r="CP69" i="7"/>
  <c r="CQ69" i="7"/>
  <c r="CR69" i="7"/>
  <c r="CS69" i="7"/>
  <c r="CT69" i="7"/>
  <c r="CU69" i="7"/>
  <c r="CV69" i="7"/>
  <c r="CW69" i="7"/>
  <c r="CP70" i="7"/>
  <c r="CQ70" i="7"/>
  <c r="CR70" i="7"/>
  <c r="CS70" i="7"/>
  <c r="CT70" i="7"/>
  <c r="CU70" i="7"/>
  <c r="CV70" i="7"/>
  <c r="CW70" i="7"/>
  <c r="CP71" i="7"/>
  <c r="CQ71" i="7"/>
  <c r="CR71" i="7"/>
  <c r="CS71" i="7"/>
  <c r="CT71" i="7"/>
  <c r="CU71" i="7"/>
  <c r="CV71" i="7"/>
  <c r="CW71" i="7"/>
  <c r="CP72" i="7"/>
  <c r="CQ72" i="7"/>
  <c r="CR72" i="7"/>
  <c r="CS72" i="7"/>
  <c r="CT72" i="7"/>
  <c r="CU72" i="7"/>
  <c r="CV72" i="7"/>
  <c r="CW72" i="7"/>
  <c r="CP73" i="7"/>
  <c r="CQ73" i="7"/>
  <c r="CR73" i="7"/>
  <c r="CS73" i="7"/>
  <c r="CT73" i="7"/>
  <c r="CU73" i="7"/>
  <c r="CV73" i="7"/>
  <c r="CW73" i="7"/>
  <c r="CP74" i="7"/>
  <c r="CQ74" i="7"/>
  <c r="CR74" i="7"/>
  <c r="CS74" i="7"/>
  <c r="CT74" i="7"/>
  <c r="CU74" i="7"/>
  <c r="CV74" i="7"/>
  <c r="CW74" i="7"/>
  <c r="CP75" i="7"/>
  <c r="CQ75" i="7"/>
  <c r="CR75" i="7"/>
  <c r="CS75" i="7"/>
  <c r="CT75" i="7"/>
  <c r="CU75" i="7"/>
  <c r="CV75" i="7"/>
  <c r="CW75" i="7"/>
  <c r="CP76" i="7"/>
  <c r="CQ76" i="7"/>
  <c r="CR76" i="7"/>
  <c r="CS76" i="7"/>
  <c r="CT76" i="7"/>
  <c r="CU76" i="7"/>
  <c r="CV76" i="7"/>
  <c r="CW76" i="7"/>
  <c r="CP77" i="7"/>
  <c r="CQ77" i="7"/>
  <c r="CR77" i="7"/>
  <c r="CS77" i="7"/>
  <c r="CT77" i="7"/>
  <c r="CU77" i="7"/>
  <c r="CV77" i="7"/>
  <c r="CW77" i="7"/>
  <c r="CP78" i="7"/>
  <c r="CQ78" i="7"/>
  <c r="CR78" i="7"/>
  <c r="CS78" i="7"/>
  <c r="CT78" i="7"/>
  <c r="CU78" i="7"/>
  <c r="CV78" i="7"/>
  <c r="CW78" i="7"/>
  <c r="CW66" i="7"/>
  <c r="CV66" i="7"/>
  <c r="CU66" i="7"/>
  <c r="CT66" i="7"/>
  <c r="CS66" i="7"/>
  <c r="CQ66" i="7"/>
  <c r="CP66" i="7"/>
  <c r="CF67" i="7"/>
  <c r="CG67" i="7"/>
  <c r="CH67" i="7"/>
  <c r="CI67" i="7"/>
  <c r="CJ67" i="7"/>
  <c r="CK67" i="7"/>
  <c r="CL67" i="7"/>
  <c r="CM67" i="7"/>
  <c r="CF68" i="7"/>
  <c r="CG68" i="7"/>
  <c r="CH68" i="7"/>
  <c r="CI68" i="7"/>
  <c r="CJ68" i="7"/>
  <c r="CK68" i="7"/>
  <c r="CL68" i="7"/>
  <c r="CM68" i="7"/>
  <c r="CF69" i="7"/>
  <c r="CG69" i="7"/>
  <c r="CH69" i="7"/>
  <c r="CI69" i="7"/>
  <c r="CJ69" i="7"/>
  <c r="CK69" i="7"/>
  <c r="CL69" i="7"/>
  <c r="CM69" i="7"/>
  <c r="CF70" i="7"/>
  <c r="CG70" i="7"/>
  <c r="CH70" i="7"/>
  <c r="CI70" i="7"/>
  <c r="CJ70" i="7"/>
  <c r="CK70" i="7"/>
  <c r="CL70" i="7"/>
  <c r="CM70" i="7"/>
  <c r="CF71" i="7"/>
  <c r="CG71" i="7"/>
  <c r="CH71" i="7"/>
  <c r="CI71" i="7"/>
  <c r="CJ71" i="7"/>
  <c r="CK71" i="7"/>
  <c r="CL71" i="7"/>
  <c r="CM71" i="7"/>
  <c r="CF72" i="7"/>
  <c r="CG72" i="7"/>
  <c r="CH72" i="7"/>
  <c r="CI72" i="7"/>
  <c r="CJ72" i="7"/>
  <c r="CK72" i="7"/>
  <c r="CL72" i="7"/>
  <c r="CM72" i="7"/>
  <c r="CF73" i="7"/>
  <c r="CG73" i="7"/>
  <c r="CH73" i="7"/>
  <c r="CI73" i="7"/>
  <c r="CJ73" i="7"/>
  <c r="CK73" i="7"/>
  <c r="CL73" i="7"/>
  <c r="CM73" i="7"/>
  <c r="CF74" i="7"/>
  <c r="CG74" i="7"/>
  <c r="CH74" i="7"/>
  <c r="CI74" i="7"/>
  <c r="CJ74" i="7"/>
  <c r="CK74" i="7"/>
  <c r="CL74" i="7"/>
  <c r="CM74" i="7"/>
  <c r="CF75" i="7"/>
  <c r="CG75" i="7"/>
  <c r="CH75" i="7"/>
  <c r="CI75" i="7"/>
  <c r="CJ75" i="7"/>
  <c r="CK75" i="7"/>
  <c r="CL75" i="7"/>
  <c r="CM75" i="7"/>
  <c r="CF76" i="7"/>
  <c r="CG76" i="7"/>
  <c r="CH76" i="7"/>
  <c r="CI76" i="7"/>
  <c r="CJ76" i="7"/>
  <c r="CK76" i="7"/>
  <c r="CL76" i="7"/>
  <c r="CM76" i="7"/>
  <c r="CF77" i="7"/>
  <c r="CG77" i="7"/>
  <c r="CH77" i="7"/>
  <c r="CI77" i="7"/>
  <c r="CJ77" i="7"/>
  <c r="CK77" i="7"/>
  <c r="CL77" i="7"/>
  <c r="CM77" i="7"/>
  <c r="CF78" i="7"/>
  <c r="CG78" i="7"/>
  <c r="CH78" i="7"/>
  <c r="CI78" i="7"/>
  <c r="CJ78" i="7"/>
  <c r="CK78" i="7"/>
  <c r="CL78" i="7"/>
  <c r="CM78" i="7"/>
  <c r="CM66" i="7"/>
  <c r="CL66" i="7"/>
  <c r="CK66" i="7"/>
  <c r="CJ66" i="7"/>
  <c r="CI66" i="7"/>
  <c r="CH66" i="7"/>
  <c r="CG66" i="7"/>
  <c r="CF66" i="7"/>
  <c r="BV67" i="7"/>
  <c r="BW67" i="7"/>
  <c r="BX67" i="7"/>
  <c r="BY67" i="7"/>
  <c r="BZ67" i="7"/>
  <c r="CA67" i="7"/>
  <c r="CB67" i="7"/>
  <c r="CC67" i="7"/>
  <c r="BV68" i="7"/>
  <c r="BW68" i="7"/>
  <c r="BX68" i="7"/>
  <c r="BY68" i="7"/>
  <c r="BZ68" i="7"/>
  <c r="CA68" i="7"/>
  <c r="CB68" i="7"/>
  <c r="CC68" i="7"/>
  <c r="BV69" i="7"/>
  <c r="BW69" i="7"/>
  <c r="BX69" i="7"/>
  <c r="BY69" i="7"/>
  <c r="BZ69" i="7"/>
  <c r="CA69" i="7"/>
  <c r="CB69" i="7"/>
  <c r="CC69" i="7"/>
  <c r="BV70" i="7"/>
  <c r="BW70" i="7"/>
  <c r="BX70" i="7"/>
  <c r="BY70" i="7"/>
  <c r="BZ70" i="7"/>
  <c r="CA70" i="7"/>
  <c r="CB70" i="7"/>
  <c r="CC70" i="7"/>
  <c r="BV71" i="7"/>
  <c r="BW71" i="7"/>
  <c r="BX71" i="7"/>
  <c r="BY71" i="7"/>
  <c r="BZ71" i="7"/>
  <c r="CA71" i="7"/>
  <c r="CB71" i="7"/>
  <c r="CC71" i="7"/>
  <c r="BV72" i="7"/>
  <c r="BW72" i="7"/>
  <c r="BX72" i="7"/>
  <c r="BY72" i="7"/>
  <c r="BZ72" i="7"/>
  <c r="CA72" i="7"/>
  <c r="CB72" i="7"/>
  <c r="CC72" i="7"/>
  <c r="BV73" i="7"/>
  <c r="BW73" i="7"/>
  <c r="BX73" i="7"/>
  <c r="BY73" i="7"/>
  <c r="BZ73" i="7"/>
  <c r="CA73" i="7"/>
  <c r="CB73" i="7"/>
  <c r="CC73" i="7"/>
  <c r="BV74" i="7"/>
  <c r="BW74" i="7"/>
  <c r="BX74" i="7"/>
  <c r="BY74" i="7"/>
  <c r="BZ74" i="7"/>
  <c r="CA74" i="7"/>
  <c r="CB74" i="7"/>
  <c r="CC74" i="7"/>
  <c r="BV75" i="7"/>
  <c r="BW75" i="7"/>
  <c r="BX75" i="7"/>
  <c r="BY75" i="7"/>
  <c r="BZ75" i="7"/>
  <c r="CA75" i="7"/>
  <c r="CB75" i="7"/>
  <c r="CC75" i="7"/>
  <c r="BV76" i="7"/>
  <c r="BW76" i="7"/>
  <c r="BX76" i="7"/>
  <c r="BY76" i="7"/>
  <c r="BZ76" i="7"/>
  <c r="CA76" i="7"/>
  <c r="CB76" i="7"/>
  <c r="CC76" i="7"/>
  <c r="BV77" i="7"/>
  <c r="BW77" i="7"/>
  <c r="BX77" i="7"/>
  <c r="BY77" i="7"/>
  <c r="BZ77" i="7"/>
  <c r="CA77" i="7"/>
  <c r="CB77" i="7"/>
  <c r="CC77" i="7"/>
  <c r="BV78" i="7"/>
  <c r="BW78" i="7"/>
  <c r="BX78" i="7"/>
  <c r="BY78" i="7"/>
  <c r="BZ78" i="7"/>
  <c r="CA78" i="7"/>
  <c r="CB78" i="7"/>
  <c r="CC78" i="7"/>
  <c r="CC66" i="7"/>
  <c r="CA66" i="7"/>
  <c r="BY66" i="7"/>
  <c r="BV66" i="7"/>
  <c r="BL67" i="7"/>
  <c r="BM67" i="7"/>
  <c r="BN67" i="7"/>
  <c r="BO67" i="7"/>
  <c r="BP67" i="7"/>
  <c r="BQ67" i="7"/>
  <c r="BR67" i="7"/>
  <c r="BS67" i="7"/>
  <c r="BL68" i="7"/>
  <c r="BM68" i="7"/>
  <c r="BN68" i="7"/>
  <c r="BO68" i="7"/>
  <c r="BP68" i="7"/>
  <c r="BQ68" i="7"/>
  <c r="BR68" i="7"/>
  <c r="BS68" i="7"/>
  <c r="BL69" i="7"/>
  <c r="BM69" i="7"/>
  <c r="BN69" i="7"/>
  <c r="BO69" i="7"/>
  <c r="BP69" i="7"/>
  <c r="BQ69" i="7"/>
  <c r="BR69" i="7"/>
  <c r="BS69" i="7"/>
  <c r="BL70" i="7"/>
  <c r="BM70" i="7"/>
  <c r="BN70" i="7"/>
  <c r="BO70" i="7"/>
  <c r="BP70" i="7"/>
  <c r="BQ70" i="7"/>
  <c r="BR70" i="7"/>
  <c r="BS70" i="7"/>
  <c r="BL71" i="7"/>
  <c r="BM71" i="7"/>
  <c r="BN71" i="7"/>
  <c r="BO71" i="7"/>
  <c r="BP71" i="7"/>
  <c r="BQ71" i="7"/>
  <c r="BR71" i="7"/>
  <c r="BS71" i="7"/>
  <c r="BL72" i="7"/>
  <c r="BM72" i="7"/>
  <c r="BN72" i="7"/>
  <c r="BO72" i="7"/>
  <c r="BP72" i="7"/>
  <c r="BQ72" i="7"/>
  <c r="BR72" i="7"/>
  <c r="BS72" i="7"/>
  <c r="BL73" i="7"/>
  <c r="BM73" i="7"/>
  <c r="BN73" i="7"/>
  <c r="BO73" i="7"/>
  <c r="BP73" i="7"/>
  <c r="BQ73" i="7"/>
  <c r="BR73" i="7"/>
  <c r="BS73" i="7"/>
  <c r="BL74" i="7"/>
  <c r="BM74" i="7"/>
  <c r="BN74" i="7"/>
  <c r="BO74" i="7"/>
  <c r="BP74" i="7"/>
  <c r="BQ74" i="7"/>
  <c r="BR74" i="7"/>
  <c r="BS74" i="7"/>
  <c r="BL75" i="7"/>
  <c r="BM75" i="7"/>
  <c r="BN75" i="7"/>
  <c r="BO75" i="7"/>
  <c r="BP75" i="7"/>
  <c r="BQ75" i="7"/>
  <c r="BR75" i="7"/>
  <c r="BS75" i="7"/>
  <c r="BL76" i="7"/>
  <c r="BM76" i="7"/>
  <c r="BN76" i="7"/>
  <c r="BO76" i="7"/>
  <c r="BP76" i="7"/>
  <c r="BQ76" i="7"/>
  <c r="BR76" i="7"/>
  <c r="BS76" i="7"/>
  <c r="BL77" i="7"/>
  <c r="BM77" i="7"/>
  <c r="BN77" i="7"/>
  <c r="BO77" i="7"/>
  <c r="BP77" i="7"/>
  <c r="BQ77" i="7"/>
  <c r="BR77" i="7"/>
  <c r="BS77" i="7"/>
  <c r="BL78" i="7"/>
  <c r="BM78" i="7"/>
  <c r="BN78" i="7"/>
  <c r="BO78" i="7"/>
  <c r="BP78" i="7"/>
  <c r="BQ78" i="7"/>
  <c r="BR78" i="7"/>
  <c r="BS78" i="7"/>
  <c r="BS66" i="7"/>
  <c r="BR66" i="7"/>
  <c r="BQ66" i="7"/>
  <c r="BP66" i="7"/>
  <c r="BO66" i="7"/>
  <c r="BN66" i="7"/>
  <c r="BM66" i="7"/>
  <c r="BL66" i="7"/>
  <c r="BB67" i="7"/>
  <c r="BC67" i="7"/>
  <c r="BD67" i="7"/>
  <c r="BE67" i="7"/>
  <c r="BF67" i="7"/>
  <c r="BG67" i="7"/>
  <c r="BH67" i="7"/>
  <c r="BI67" i="7"/>
  <c r="BB68" i="7"/>
  <c r="BC68" i="7"/>
  <c r="BD68" i="7"/>
  <c r="BE68" i="7"/>
  <c r="BF68" i="7"/>
  <c r="BG68" i="7"/>
  <c r="BH68" i="7"/>
  <c r="BI68" i="7"/>
  <c r="BB69" i="7"/>
  <c r="BC69" i="7"/>
  <c r="BD69" i="7"/>
  <c r="BE69" i="7"/>
  <c r="BF69" i="7"/>
  <c r="BG69" i="7"/>
  <c r="BH69" i="7"/>
  <c r="BI69" i="7"/>
  <c r="BB70" i="7"/>
  <c r="BC70" i="7"/>
  <c r="BD70" i="7"/>
  <c r="BE70" i="7"/>
  <c r="BF70" i="7"/>
  <c r="BG70" i="7"/>
  <c r="BH70" i="7"/>
  <c r="BI70" i="7"/>
  <c r="BB71" i="7"/>
  <c r="BC71" i="7"/>
  <c r="BD71" i="7"/>
  <c r="BE71" i="7"/>
  <c r="BF71" i="7"/>
  <c r="BG71" i="7"/>
  <c r="BH71" i="7"/>
  <c r="BI71" i="7"/>
  <c r="BB72" i="7"/>
  <c r="BC72" i="7"/>
  <c r="BD72" i="7"/>
  <c r="BE72" i="7"/>
  <c r="BF72" i="7"/>
  <c r="BG72" i="7"/>
  <c r="BH72" i="7"/>
  <c r="BI72" i="7"/>
  <c r="BB73" i="7"/>
  <c r="BC73" i="7"/>
  <c r="BD73" i="7"/>
  <c r="BE73" i="7"/>
  <c r="BF73" i="7"/>
  <c r="BG73" i="7"/>
  <c r="BH73" i="7"/>
  <c r="BI73" i="7"/>
  <c r="BB74" i="7"/>
  <c r="BC74" i="7"/>
  <c r="BD74" i="7"/>
  <c r="BE74" i="7"/>
  <c r="BF74" i="7"/>
  <c r="BG74" i="7"/>
  <c r="BH74" i="7"/>
  <c r="BI74" i="7"/>
  <c r="BB75" i="7"/>
  <c r="BC75" i="7"/>
  <c r="BD75" i="7"/>
  <c r="BE75" i="7"/>
  <c r="BF75" i="7"/>
  <c r="BG75" i="7"/>
  <c r="BH75" i="7"/>
  <c r="BI75" i="7"/>
  <c r="BB76" i="7"/>
  <c r="BC76" i="7"/>
  <c r="BD76" i="7"/>
  <c r="BE76" i="7"/>
  <c r="BF76" i="7"/>
  <c r="BG76" i="7"/>
  <c r="BH76" i="7"/>
  <c r="BI76" i="7"/>
  <c r="BB77" i="7"/>
  <c r="BC77" i="7"/>
  <c r="BD77" i="7"/>
  <c r="BE77" i="7"/>
  <c r="BF77" i="7"/>
  <c r="BG77" i="7"/>
  <c r="BH77" i="7"/>
  <c r="BI77" i="7"/>
  <c r="BB78" i="7"/>
  <c r="BC78" i="7"/>
  <c r="BD78" i="7"/>
  <c r="BE78" i="7"/>
  <c r="BF78" i="7"/>
  <c r="BG78" i="7"/>
  <c r="BH78" i="7"/>
  <c r="BI78" i="7"/>
  <c r="BI66" i="7"/>
  <c r="BH66" i="7"/>
  <c r="BG66" i="7"/>
  <c r="BF66" i="7"/>
  <c r="BE66" i="7"/>
  <c r="BC66" i="7"/>
  <c r="BB66" i="7"/>
  <c r="AR67" i="7"/>
  <c r="AS67" i="7"/>
  <c r="AT67" i="7"/>
  <c r="AU67" i="7"/>
  <c r="AV67" i="7"/>
  <c r="AX67" i="7"/>
  <c r="AY67" i="7"/>
  <c r="AR68" i="7"/>
  <c r="AS68" i="7"/>
  <c r="AT68" i="7"/>
  <c r="AU68" i="7"/>
  <c r="AV68" i="7"/>
  <c r="AW68" i="7"/>
  <c r="AX68" i="7"/>
  <c r="AY68" i="7"/>
  <c r="AR69" i="7"/>
  <c r="AS69" i="7"/>
  <c r="AT69" i="7"/>
  <c r="AU69" i="7"/>
  <c r="AV69" i="7"/>
  <c r="AW69" i="7"/>
  <c r="AX69" i="7"/>
  <c r="AY69" i="7"/>
  <c r="AR70" i="7"/>
  <c r="AS70" i="7"/>
  <c r="AT70" i="7"/>
  <c r="AU70" i="7"/>
  <c r="AV70" i="7"/>
  <c r="AW70" i="7"/>
  <c r="AX70" i="7"/>
  <c r="AY70" i="7"/>
  <c r="AR71" i="7"/>
  <c r="AS71" i="7"/>
  <c r="AT71" i="7"/>
  <c r="AU71" i="7"/>
  <c r="AV71" i="7"/>
  <c r="AW71" i="7"/>
  <c r="AX71" i="7"/>
  <c r="AY71" i="7"/>
  <c r="AR72" i="7"/>
  <c r="AS72" i="7"/>
  <c r="AT72" i="7"/>
  <c r="AU72" i="7"/>
  <c r="AV72" i="7"/>
  <c r="AW72" i="7"/>
  <c r="AX72" i="7"/>
  <c r="AY72" i="7"/>
  <c r="AR73" i="7"/>
  <c r="AS73" i="7"/>
  <c r="AT73" i="7"/>
  <c r="AU73" i="7"/>
  <c r="AV73" i="7"/>
  <c r="AW73" i="7"/>
  <c r="AX73" i="7"/>
  <c r="AY73" i="7"/>
  <c r="AR74" i="7"/>
  <c r="AS74" i="7"/>
  <c r="AT74" i="7"/>
  <c r="AU74" i="7"/>
  <c r="AV74" i="7"/>
  <c r="AW74" i="7"/>
  <c r="AX74" i="7"/>
  <c r="AY74" i="7"/>
  <c r="AR75" i="7"/>
  <c r="AS75" i="7"/>
  <c r="AT75" i="7"/>
  <c r="AU75" i="7"/>
  <c r="AV75" i="7"/>
  <c r="AW75" i="7"/>
  <c r="AX75" i="7"/>
  <c r="AY75" i="7"/>
  <c r="AR76" i="7"/>
  <c r="AS76" i="7"/>
  <c r="AT76" i="7"/>
  <c r="AU76" i="7"/>
  <c r="AV76" i="7"/>
  <c r="AW76" i="7"/>
  <c r="AX76" i="7"/>
  <c r="AY76" i="7"/>
  <c r="AR77" i="7"/>
  <c r="AS77" i="7"/>
  <c r="AT77" i="7"/>
  <c r="AU77" i="7"/>
  <c r="AV77" i="7"/>
  <c r="AW77" i="7"/>
  <c r="AX77" i="7"/>
  <c r="AY77" i="7"/>
  <c r="AR78" i="7"/>
  <c r="AS78" i="7"/>
  <c r="AT78" i="7"/>
  <c r="AU78" i="7"/>
  <c r="AV78" i="7"/>
  <c r="AW78" i="7"/>
  <c r="AX78" i="7"/>
  <c r="AY78" i="7"/>
  <c r="AY66" i="7"/>
  <c r="AX66" i="7"/>
  <c r="AW66" i="7"/>
  <c r="AU66" i="7"/>
  <c r="AS66" i="7"/>
  <c r="AR66" i="7"/>
  <c r="AH67" i="7"/>
  <c r="AI67" i="7"/>
  <c r="AJ67" i="7"/>
  <c r="AK67" i="7"/>
  <c r="AL67" i="7"/>
  <c r="AN67" i="7"/>
  <c r="AO67" i="7"/>
  <c r="AH68" i="7"/>
  <c r="AI68" i="7"/>
  <c r="AJ68" i="7"/>
  <c r="AK68" i="7"/>
  <c r="AL68" i="7"/>
  <c r="AM68" i="7"/>
  <c r="AN68" i="7"/>
  <c r="AO68" i="7"/>
  <c r="AH69" i="7"/>
  <c r="AI69" i="7"/>
  <c r="AJ69" i="7"/>
  <c r="AK69" i="7"/>
  <c r="AL69" i="7"/>
  <c r="AM69" i="7"/>
  <c r="AN69" i="7"/>
  <c r="AO69" i="7"/>
  <c r="AH70" i="7"/>
  <c r="AI70" i="7"/>
  <c r="AJ70" i="7"/>
  <c r="AK70" i="7"/>
  <c r="AL70" i="7"/>
  <c r="AM70" i="7"/>
  <c r="AN70" i="7"/>
  <c r="AO70" i="7"/>
  <c r="AH71" i="7"/>
  <c r="AI71" i="7"/>
  <c r="AJ71" i="7"/>
  <c r="AK71" i="7"/>
  <c r="AL71" i="7"/>
  <c r="AM71" i="7"/>
  <c r="AN71" i="7"/>
  <c r="AO71" i="7"/>
  <c r="AH72" i="7"/>
  <c r="AI72" i="7"/>
  <c r="AJ72" i="7"/>
  <c r="AK72" i="7"/>
  <c r="AL72" i="7"/>
  <c r="AM72" i="7"/>
  <c r="AN72" i="7"/>
  <c r="AO72" i="7"/>
  <c r="AH73" i="7"/>
  <c r="AI73" i="7"/>
  <c r="AJ73" i="7"/>
  <c r="AK73" i="7"/>
  <c r="AL73" i="7"/>
  <c r="AM73" i="7"/>
  <c r="AN73" i="7"/>
  <c r="AO73" i="7"/>
  <c r="AH74" i="7"/>
  <c r="AI74" i="7"/>
  <c r="AJ74" i="7"/>
  <c r="AK74" i="7"/>
  <c r="AL74" i="7"/>
  <c r="AM74" i="7"/>
  <c r="AN74" i="7"/>
  <c r="AO74" i="7"/>
  <c r="AH75" i="7"/>
  <c r="AI75" i="7"/>
  <c r="AJ75" i="7"/>
  <c r="AK75" i="7"/>
  <c r="AL75" i="7"/>
  <c r="AM75" i="7"/>
  <c r="AN75" i="7"/>
  <c r="AO75" i="7"/>
  <c r="AH76" i="7"/>
  <c r="AI76" i="7"/>
  <c r="AJ76" i="7"/>
  <c r="AK76" i="7"/>
  <c r="AL76" i="7"/>
  <c r="AM76" i="7"/>
  <c r="AN76" i="7"/>
  <c r="AO76" i="7"/>
  <c r="AH77" i="7"/>
  <c r="AI77" i="7"/>
  <c r="AJ77" i="7"/>
  <c r="AK77" i="7"/>
  <c r="AL77" i="7"/>
  <c r="AM77" i="7"/>
  <c r="AN77" i="7"/>
  <c r="AO77" i="7"/>
  <c r="AH78" i="7"/>
  <c r="AI78" i="7"/>
  <c r="AJ78" i="7"/>
  <c r="AK78" i="7"/>
  <c r="AL78" i="7"/>
  <c r="AM78" i="7"/>
  <c r="AN78" i="7"/>
  <c r="AO78" i="7"/>
  <c r="AO66" i="7"/>
  <c r="AN66" i="7"/>
  <c r="AM66" i="7"/>
  <c r="AJ66" i="7"/>
  <c r="AK66" i="7"/>
  <c r="AI66" i="7"/>
  <c r="AH66" i="7"/>
  <c r="X67" i="7"/>
  <c r="Y67" i="7"/>
  <c r="Z67" i="7"/>
  <c r="AA67" i="7"/>
  <c r="AB67" i="7"/>
  <c r="AD67" i="7"/>
  <c r="AE67" i="7"/>
  <c r="X68" i="7"/>
  <c r="Y68" i="7"/>
  <c r="Z68" i="7"/>
  <c r="AA68" i="7"/>
  <c r="AB68" i="7"/>
  <c r="AC68" i="7"/>
  <c r="AD68" i="7"/>
  <c r="AE68" i="7"/>
  <c r="X69" i="7"/>
  <c r="Y69" i="7"/>
  <c r="Z69" i="7"/>
  <c r="AA69" i="7"/>
  <c r="AB69" i="7"/>
  <c r="AC69" i="7"/>
  <c r="AD69" i="7"/>
  <c r="AE69" i="7"/>
  <c r="X70" i="7"/>
  <c r="Y70" i="7"/>
  <c r="Z70" i="7"/>
  <c r="AA70" i="7"/>
  <c r="AB70" i="7"/>
  <c r="AC70" i="7"/>
  <c r="AD70" i="7"/>
  <c r="AE70" i="7"/>
  <c r="X71" i="7"/>
  <c r="Y71" i="7"/>
  <c r="Z71" i="7"/>
  <c r="AA71" i="7"/>
  <c r="AB71" i="7"/>
  <c r="AC71" i="7"/>
  <c r="AD71" i="7"/>
  <c r="AE71" i="7"/>
  <c r="X72" i="7"/>
  <c r="Y72" i="7"/>
  <c r="Z72" i="7"/>
  <c r="AA72" i="7"/>
  <c r="AB72" i="7"/>
  <c r="AC72" i="7"/>
  <c r="AD72" i="7"/>
  <c r="AE72" i="7"/>
  <c r="X73" i="7"/>
  <c r="Y73" i="7"/>
  <c r="Z73" i="7"/>
  <c r="AA73" i="7"/>
  <c r="AB73" i="7"/>
  <c r="AC73" i="7"/>
  <c r="AD73" i="7"/>
  <c r="AE73" i="7"/>
  <c r="X74" i="7"/>
  <c r="Y74" i="7"/>
  <c r="Z74" i="7"/>
  <c r="AA74" i="7"/>
  <c r="AB74" i="7"/>
  <c r="AC74" i="7"/>
  <c r="AD74" i="7"/>
  <c r="AE74" i="7"/>
  <c r="X75" i="7"/>
  <c r="Y75" i="7"/>
  <c r="Z75" i="7"/>
  <c r="AA75" i="7"/>
  <c r="AB75" i="7"/>
  <c r="AC75" i="7"/>
  <c r="AD75" i="7"/>
  <c r="AE75" i="7"/>
  <c r="X76" i="7"/>
  <c r="Y76" i="7"/>
  <c r="Z76" i="7"/>
  <c r="AA76" i="7"/>
  <c r="AB76" i="7"/>
  <c r="AC76" i="7"/>
  <c r="AD76" i="7"/>
  <c r="AE76" i="7"/>
  <c r="X77" i="7"/>
  <c r="Y77" i="7"/>
  <c r="Z77" i="7"/>
  <c r="AA77" i="7"/>
  <c r="AB77" i="7"/>
  <c r="AC77" i="7"/>
  <c r="AD77" i="7"/>
  <c r="AE77" i="7"/>
  <c r="X78" i="7"/>
  <c r="Y78" i="7"/>
  <c r="Z78" i="7"/>
  <c r="AA78" i="7"/>
  <c r="AB78" i="7"/>
  <c r="AC78" i="7"/>
  <c r="AD78" i="7"/>
  <c r="AE78" i="7"/>
  <c r="AE66" i="7"/>
  <c r="AD66" i="7"/>
  <c r="AC66" i="7"/>
  <c r="AA66" i="7"/>
  <c r="Y66" i="7"/>
  <c r="X66" i="7"/>
  <c r="N67" i="7"/>
  <c r="O67" i="7"/>
  <c r="P67" i="7"/>
  <c r="Q67" i="7"/>
  <c r="R67" i="7"/>
  <c r="T67" i="7"/>
  <c r="U67" i="7"/>
  <c r="N68" i="7"/>
  <c r="O68" i="7"/>
  <c r="P68" i="7"/>
  <c r="Q68" i="7"/>
  <c r="R68" i="7"/>
  <c r="S68" i="7"/>
  <c r="T68" i="7"/>
  <c r="U68" i="7"/>
  <c r="N69" i="7"/>
  <c r="O69" i="7"/>
  <c r="P69" i="7"/>
  <c r="Q69" i="7"/>
  <c r="R69" i="7"/>
  <c r="S69" i="7"/>
  <c r="T69" i="7"/>
  <c r="U69" i="7"/>
  <c r="N70" i="7"/>
  <c r="O70" i="7"/>
  <c r="P70" i="7"/>
  <c r="Q70" i="7"/>
  <c r="R70" i="7"/>
  <c r="S70" i="7"/>
  <c r="T70" i="7"/>
  <c r="U70" i="7"/>
  <c r="N71" i="7"/>
  <c r="O71" i="7"/>
  <c r="P71" i="7"/>
  <c r="Q71" i="7"/>
  <c r="R71" i="7"/>
  <c r="S71" i="7"/>
  <c r="T71" i="7"/>
  <c r="U71" i="7"/>
  <c r="N72" i="7"/>
  <c r="O72" i="7"/>
  <c r="P72" i="7"/>
  <c r="Q72" i="7"/>
  <c r="R72" i="7"/>
  <c r="S72" i="7"/>
  <c r="T72" i="7"/>
  <c r="U72" i="7"/>
  <c r="N73" i="7"/>
  <c r="O73" i="7"/>
  <c r="P73" i="7"/>
  <c r="Q73" i="7"/>
  <c r="R73" i="7"/>
  <c r="S73" i="7"/>
  <c r="T73" i="7"/>
  <c r="U73" i="7"/>
  <c r="N74" i="7"/>
  <c r="O74" i="7"/>
  <c r="P74" i="7"/>
  <c r="Q74" i="7"/>
  <c r="R74" i="7"/>
  <c r="S74" i="7"/>
  <c r="T74" i="7"/>
  <c r="U74" i="7"/>
  <c r="N75" i="7"/>
  <c r="O75" i="7"/>
  <c r="P75" i="7"/>
  <c r="Q75" i="7"/>
  <c r="R75" i="7"/>
  <c r="S75" i="7"/>
  <c r="T75" i="7"/>
  <c r="U75" i="7"/>
  <c r="N76" i="7"/>
  <c r="O76" i="7"/>
  <c r="P76" i="7"/>
  <c r="Q76" i="7"/>
  <c r="R76" i="7"/>
  <c r="S76" i="7"/>
  <c r="T76" i="7"/>
  <c r="U76" i="7"/>
  <c r="N77" i="7"/>
  <c r="O77" i="7"/>
  <c r="P77" i="7"/>
  <c r="Q77" i="7"/>
  <c r="R77" i="7"/>
  <c r="S77" i="7"/>
  <c r="T77" i="7"/>
  <c r="U77" i="7"/>
  <c r="N78" i="7"/>
  <c r="O78" i="7"/>
  <c r="P78" i="7"/>
  <c r="Q78" i="7"/>
  <c r="R78" i="7"/>
  <c r="S78" i="7"/>
  <c r="T78" i="7"/>
  <c r="U78" i="7"/>
  <c r="U66" i="7"/>
  <c r="T66" i="7"/>
  <c r="S66" i="7"/>
  <c r="R66" i="7"/>
  <c r="Q66" i="7"/>
  <c r="P66" i="7"/>
  <c r="O66" i="7"/>
  <c r="N66" i="7"/>
  <c r="D67" i="7"/>
  <c r="E67" i="7"/>
  <c r="F67" i="7"/>
  <c r="G67" i="7"/>
  <c r="H67" i="7"/>
  <c r="I67" i="7"/>
  <c r="J67" i="7"/>
  <c r="K67" i="7"/>
  <c r="D68" i="7"/>
  <c r="E68" i="7"/>
  <c r="F68" i="7"/>
  <c r="G68" i="7"/>
  <c r="H68" i="7"/>
  <c r="I68" i="7"/>
  <c r="J68" i="7"/>
  <c r="K68" i="7"/>
  <c r="D69" i="7"/>
  <c r="E69" i="7"/>
  <c r="F69" i="7"/>
  <c r="G69" i="7"/>
  <c r="H69" i="7"/>
  <c r="I69" i="7"/>
  <c r="J69" i="7"/>
  <c r="K69" i="7"/>
  <c r="D70" i="7"/>
  <c r="E70" i="7"/>
  <c r="F70" i="7"/>
  <c r="G70" i="7"/>
  <c r="H70" i="7"/>
  <c r="I70" i="7"/>
  <c r="J70" i="7"/>
  <c r="K70" i="7"/>
  <c r="D71" i="7"/>
  <c r="E71" i="7"/>
  <c r="F71" i="7"/>
  <c r="G71" i="7"/>
  <c r="H71" i="7"/>
  <c r="I71" i="7"/>
  <c r="J71" i="7"/>
  <c r="K71" i="7"/>
  <c r="D72" i="7"/>
  <c r="E72" i="7"/>
  <c r="F72" i="7"/>
  <c r="G72" i="7"/>
  <c r="H72" i="7"/>
  <c r="I72" i="7"/>
  <c r="J72" i="7"/>
  <c r="K72" i="7"/>
  <c r="D73" i="7"/>
  <c r="E73" i="7"/>
  <c r="F73" i="7"/>
  <c r="G73" i="7"/>
  <c r="H73" i="7"/>
  <c r="I73" i="7"/>
  <c r="J73" i="7"/>
  <c r="K73" i="7"/>
  <c r="D74" i="7"/>
  <c r="E74" i="7"/>
  <c r="F74" i="7"/>
  <c r="G74" i="7"/>
  <c r="H74" i="7"/>
  <c r="I74" i="7"/>
  <c r="J74" i="7"/>
  <c r="K74" i="7"/>
  <c r="D75" i="7"/>
  <c r="E75" i="7"/>
  <c r="F75" i="7"/>
  <c r="G75" i="7"/>
  <c r="H75" i="7"/>
  <c r="I75" i="7"/>
  <c r="J75" i="7"/>
  <c r="K75" i="7"/>
  <c r="D76" i="7"/>
  <c r="E76" i="7"/>
  <c r="F76" i="7"/>
  <c r="G76" i="7"/>
  <c r="H76" i="7"/>
  <c r="I76" i="7"/>
  <c r="J76" i="7"/>
  <c r="K76" i="7"/>
  <c r="D77" i="7"/>
  <c r="E77" i="7"/>
  <c r="F77" i="7"/>
  <c r="G77" i="7"/>
  <c r="H77" i="7"/>
  <c r="I77" i="7"/>
  <c r="J77" i="7"/>
  <c r="K77" i="7"/>
  <c r="D78" i="7"/>
  <c r="E78" i="7"/>
  <c r="F78" i="7"/>
  <c r="G78" i="7"/>
  <c r="H78" i="7"/>
  <c r="I78" i="7"/>
  <c r="J78" i="7"/>
  <c r="K78" i="7"/>
  <c r="K66" i="7"/>
  <c r="J66" i="7"/>
  <c r="I66" i="7"/>
  <c r="H66" i="7"/>
  <c r="F66" i="7"/>
  <c r="E66" i="7"/>
  <c r="DC38" i="8"/>
  <c r="CP36" i="7" s="1"/>
  <c r="DD38" i="8"/>
  <c r="CQ36" i="7" s="1"/>
  <c r="DE38" i="8"/>
  <c r="CR36" i="7" s="1"/>
  <c r="DF38" i="8"/>
  <c r="CS36" i="7" s="1"/>
  <c r="DG38" i="8"/>
  <c r="CT36" i="7" s="1"/>
  <c r="DH38" i="8"/>
  <c r="CU36" i="7" s="1"/>
  <c r="DI38" i="8"/>
  <c r="CV36" i="7" s="1"/>
  <c r="DJ38" i="8"/>
  <c r="CW36" i="7" s="1"/>
  <c r="DC39" i="8"/>
  <c r="CP37" i="7" s="1"/>
  <c r="DD39" i="8"/>
  <c r="CQ37" i="7" s="1"/>
  <c r="DE39" i="8"/>
  <c r="CR37" i="7" s="1"/>
  <c r="DF39" i="8"/>
  <c r="CS37" i="7" s="1"/>
  <c r="DG39" i="8"/>
  <c r="CT37" i="7" s="1"/>
  <c r="DH39" i="8"/>
  <c r="CU37" i="7" s="1"/>
  <c r="DI39" i="8"/>
  <c r="CV37" i="7" s="1"/>
  <c r="DJ39" i="8"/>
  <c r="CW37" i="7" s="1"/>
  <c r="DC40" i="8"/>
  <c r="CP38" i="7" s="1"/>
  <c r="DD40" i="8"/>
  <c r="CQ38" i="7" s="1"/>
  <c r="DE40" i="8"/>
  <c r="CR38" i="7" s="1"/>
  <c r="DF40" i="8"/>
  <c r="CS38" i="7" s="1"/>
  <c r="DG40" i="8"/>
  <c r="CT38" i="7" s="1"/>
  <c r="DH40" i="8"/>
  <c r="CU38" i="7" s="1"/>
  <c r="DI40" i="8"/>
  <c r="CV38" i="7" s="1"/>
  <c r="DJ40" i="8"/>
  <c r="CW38" i="7" s="1"/>
  <c r="DC41" i="8"/>
  <c r="CP39" i="7" s="1"/>
  <c r="DD41" i="8"/>
  <c r="CQ39" i="7" s="1"/>
  <c r="DE41" i="8"/>
  <c r="CR39" i="7" s="1"/>
  <c r="DF41" i="8"/>
  <c r="CS39" i="7" s="1"/>
  <c r="DG41" i="8"/>
  <c r="CT39" i="7" s="1"/>
  <c r="DH41" i="8"/>
  <c r="CU39" i="7" s="1"/>
  <c r="DI41" i="8"/>
  <c r="CV39" i="7" s="1"/>
  <c r="DJ41" i="8"/>
  <c r="CW39" i="7" s="1"/>
  <c r="DC42" i="8"/>
  <c r="CP40" i="7" s="1"/>
  <c r="DD42" i="8"/>
  <c r="CQ40" i="7" s="1"/>
  <c r="DE42" i="8"/>
  <c r="CR40" i="7" s="1"/>
  <c r="DF42" i="8"/>
  <c r="CS40" i="7" s="1"/>
  <c r="DG42" i="8"/>
  <c r="CT40" i="7" s="1"/>
  <c r="DH42" i="8"/>
  <c r="CU40" i="7" s="1"/>
  <c r="DI42" i="8"/>
  <c r="CV40" i="7" s="1"/>
  <c r="DJ42" i="8"/>
  <c r="CW40" i="7" s="1"/>
  <c r="DC43" i="8"/>
  <c r="CP41" i="7" s="1"/>
  <c r="DD43" i="8"/>
  <c r="CQ41" i="7" s="1"/>
  <c r="DE43" i="8"/>
  <c r="CR41" i="7" s="1"/>
  <c r="DF43" i="8"/>
  <c r="CS41" i="7" s="1"/>
  <c r="DG43" i="8"/>
  <c r="CT41" i="7" s="1"/>
  <c r="DH43" i="8"/>
  <c r="CU41" i="7" s="1"/>
  <c r="DI43" i="8"/>
  <c r="CV41" i="7" s="1"/>
  <c r="DJ43" i="8"/>
  <c r="CW41" i="7" s="1"/>
  <c r="DC44" i="8"/>
  <c r="CP42" i="7" s="1"/>
  <c r="DD44" i="8"/>
  <c r="CQ42" i="7" s="1"/>
  <c r="DE44" i="8"/>
  <c r="CR42" i="7" s="1"/>
  <c r="DF44" i="8"/>
  <c r="CS42" i="7" s="1"/>
  <c r="DG44" i="8"/>
  <c r="CT42" i="7" s="1"/>
  <c r="DH44" i="8"/>
  <c r="CU42" i="7" s="1"/>
  <c r="DI44" i="8"/>
  <c r="CV42" i="7" s="1"/>
  <c r="DJ44" i="8"/>
  <c r="CW42" i="7" s="1"/>
  <c r="DC45" i="8"/>
  <c r="CP43" i="7" s="1"/>
  <c r="DD45" i="8"/>
  <c r="CQ43" i="7" s="1"/>
  <c r="DE45" i="8"/>
  <c r="CR43" i="7" s="1"/>
  <c r="DF45" i="8"/>
  <c r="CS43" i="7" s="1"/>
  <c r="DG45" i="8"/>
  <c r="CT43" i="7" s="1"/>
  <c r="DH45" i="8"/>
  <c r="CU43" i="7" s="1"/>
  <c r="DI45" i="8"/>
  <c r="CV43" i="7" s="1"/>
  <c r="DJ45" i="8"/>
  <c r="CW43" i="7" s="1"/>
  <c r="DC46" i="8"/>
  <c r="CP44" i="7" s="1"/>
  <c r="DD46" i="8"/>
  <c r="CQ44" i="7" s="1"/>
  <c r="DE46" i="8"/>
  <c r="CR44" i="7" s="1"/>
  <c r="DF46" i="8"/>
  <c r="CS44" i="7" s="1"/>
  <c r="DG46" i="8"/>
  <c r="CT44" i="7" s="1"/>
  <c r="DH46" i="8"/>
  <c r="CU44" i="7" s="1"/>
  <c r="DI46" i="8"/>
  <c r="CV44" i="7" s="1"/>
  <c r="DJ46" i="8"/>
  <c r="CW44" i="7" s="1"/>
  <c r="DC47" i="8"/>
  <c r="CP45" i="7" s="1"/>
  <c r="DD47" i="8"/>
  <c r="CQ45" i="7" s="1"/>
  <c r="DE47" i="8"/>
  <c r="CR45" i="7" s="1"/>
  <c r="DF47" i="8"/>
  <c r="CS45" i="7" s="1"/>
  <c r="DG47" i="8"/>
  <c r="CT45" i="7" s="1"/>
  <c r="DH47" i="8"/>
  <c r="CU45" i="7" s="1"/>
  <c r="DI47" i="8"/>
  <c r="CV45" i="7" s="1"/>
  <c r="DJ47" i="8"/>
  <c r="CW45" i="7" s="1"/>
  <c r="DC48" i="8"/>
  <c r="DD48" i="8"/>
  <c r="DE48" i="8"/>
  <c r="DF48" i="8"/>
  <c r="DG48" i="8"/>
  <c r="DH48" i="8"/>
  <c r="DI48" i="8"/>
  <c r="DJ48" i="8"/>
  <c r="DC49" i="8"/>
  <c r="CP47" i="7" s="1"/>
  <c r="DD49" i="8"/>
  <c r="CQ47" i="7" s="1"/>
  <c r="DE49" i="8"/>
  <c r="CR47" i="7" s="1"/>
  <c r="DF49" i="8"/>
  <c r="CS47" i="7" s="1"/>
  <c r="DG49" i="8"/>
  <c r="CT47" i="7" s="1"/>
  <c r="DH49" i="8"/>
  <c r="CU47" i="7" s="1"/>
  <c r="DI49" i="8"/>
  <c r="CV47" i="7" s="1"/>
  <c r="DJ49" i="8"/>
  <c r="CW47" i="7" s="1"/>
  <c r="DC50" i="8"/>
  <c r="CP48" i="7" s="1"/>
  <c r="DD50" i="8"/>
  <c r="CQ48" i="7" s="1"/>
  <c r="DE50" i="8"/>
  <c r="CR48" i="7" s="1"/>
  <c r="DF50" i="8"/>
  <c r="CS48" i="7" s="1"/>
  <c r="DG50" i="8"/>
  <c r="CT48" i="7" s="1"/>
  <c r="DH50" i="8"/>
  <c r="CU48" i="7" s="1"/>
  <c r="DI50" i="8"/>
  <c r="CV48" i="7" s="1"/>
  <c r="DJ50" i="8"/>
  <c r="CW48" i="7" s="1"/>
  <c r="DJ37" i="8"/>
  <c r="CW35" i="7" s="1"/>
  <c r="DI37" i="8"/>
  <c r="CV35" i="7" s="1"/>
  <c r="DH37" i="8"/>
  <c r="CU35" i="7" s="1"/>
  <c r="DG37" i="8"/>
  <c r="CT35" i="7" s="1"/>
  <c r="DF37" i="8"/>
  <c r="CS35" i="7" s="1"/>
  <c r="DE37" i="8"/>
  <c r="CR35" i="7" s="1"/>
  <c r="DD37" i="8"/>
  <c r="DC37" i="8"/>
  <c r="CP35" i="7" s="1"/>
  <c r="CT38" i="8"/>
  <c r="CF36" i="7" s="1"/>
  <c r="CU38" i="8"/>
  <c r="CG36" i="7" s="1"/>
  <c r="CV38" i="8"/>
  <c r="CH36" i="7" s="1"/>
  <c r="CW38" i="8"/>
  <c r="CI36" i="7" s="1"/>
  <c r="CX38" i="8"/>
  <c r="CJ36" i="7" s="1"/>
  <c r="CY38" i="8"/>
  <c r="CK36" i="7" s="1"/>
  <c r="CZ38" i="8"/>
  <c r="CL36" i="7" s="1"/>
  <c r="DA38" i="8"/>
  <c r="CM36" i="7" s="1"/>
  <c r="CT39" i="8"/>
  <c r="CF37" i="7" s="1"/>
  <c r="CU39" i="8"/>
  <c r="CG37" i="7" s="1"/>
  <c r="CV39" i="8"/>
  <c r="CH37" i="7" s="1"/>
  <c r="CW39" i="8"/>
  <c r="CI37" i="7" s="1"/>
  <c r="CX39" i="8"/>
  <c r="CJ37" i="7" s="1"/>
  <c r="CY39" i="8"/>
  <c r="CK37" i="7" s="1"/>
  <c r="CZ39" i="8"/>
  <c r="CL37" i="7" s="1"/>
  <c r="DA39" i="8"/>
  <c r="CM37" i="7" s="1"/>
  <c r="CT40" i="8"/>
  <c r="CF38" i="7" s="1"/>
  <c r="CU40" i="8"/>
  <c r="CG38" i="7" s="1"/>
  <c r="CV40" i="8"/>
  <c r="CH38" i="7" s="1"/>
  <c r="CW40" i="8"/>
  <c r="CI38" i="7" s="1"/>
  <c r="CX40" i="8"/>
  <c r="CJ38" i="7" s="1"/>
  <c r="CY40" i="8"/>
  <c r="CK38" i="7" s="1"/>
  <c r="CZ40" i="8"/>
  <c r="CL38" i="7" s="1"/>
  <c r="DA40" i="8"/>
  <c r="CM38" i="7" s="1"/>
  <c r="CT41" i="8"/>
  <c r="CF39" i="7" s="1"/>
  <c r="CU41" i="8"/>
  <c r="CG39" i="7" s="1"/>
  <c r="CV41" i="8"/>
  <c r="CH39" i="7" s="1"/>
  <c r="CW41" i="8"/>
  <c r="CI39" i="7" s="1"/>
  <c r="CX41" i="8"/>
  <c r="CJ39" i="7" s="1"/>
  <c r="CY41" i="8"/>
  <c r="CK39" i="7" s="1"/>
  <c r="CZ41" i="8"/>
  <c r="CL39" i="7" s="1"/>
  <c r="DA41" i="8"/>
  <c r="CM39" i="7" s="1"/>
  <c r="CT42" i="8"/>
  <c r="CF40" i="7" s="1"/>
  <c r="CU42" i="8"/>
  <c r="CG40" i="7" s="1"/>
  <c r="CV42" i="8"/>
  <c r="CH40" i="7" s="1"/>
  <c r="CW42" i="8"/>
  <c r="CI40" i="7" s="1"/>
  <c r="CX42" i="8"/>
  <c r="CJ40" i="7" s="1"/>
  <c r="CY42" i="8"/>
  <c r="CK40" i="7" s="1"/>
  <c r="CZ42" i="8"/>
  <c r="CL40" i="7" s="1"/>
  <c r="DA42" i="8"/>
  <c r="CM40" i="7" s="1"/>
  <c r="CT43" i="8"/>
  <c r="CF41" i="7" s="1"/>
  <c r="CU43" i="8"/>
  <c r="CG41" i="7" s="1"/>
  <c r="CV43" i="8"/>
  <c r="CH41" i="7" s="1"/>
  <c r="CW43" i="8"/>
  <c r="CI41" i="7" s="1"/>
  <c r="CX43" i="8"/>
  <c r="CJ41" i="7" s="1"/>
  <c r="CY43" i="8"/>
  <c r="CK41" i="7" s="1"/>
  <c r="CZ43" i="8"/>
  <c r="CL41" i="7" s="1"/>
  <c r="DA43" i="8"/>
  <c r="CM41" i="7" s="1"/>
  <c r="CT44" i="8"/>
  <c r="CF42" i="7" s="1"/>
  <c r="CU44" i="8"/>
  <c r="CG42" i="7" s="1"/>
  <c r="CV44" i="8"/>
  <c r="CH42" i="7" s="1"/>
  <c r="CW44" i="8"/>
  <c r="CI42" i="7" s="1"/>
  <c r="CX44" i="8"/>
  <c r="CJ42" i="7" s="1"/>
  <c r="CY44" i="8"/>
  <c r="CK42" i="7" s="1"/>
  <c r="CZ44" i="8"/>
  <c r="CL42" i="7" s="1"/>
  <c r="DA44" i="8"/>
  <c r="CM42" i="7" s="1"/>
  <c r="CT45" i="8"/>
  <c r="CF43" i="7" s="1"/>
  <c r="CU45" i="8"/>
  <c r="CG43" i="7" s="1"/>
  <c r="CV45" i="8"/>
  <c r="CH43" i="7" s="1"/>
  <c r="CW45" i="8"/>
  <c r="CI43" i="7" s="1"/>
  <c r="CX45" i="8"/>
  <c r="CJ43" i="7" s="1"/>
  <c r="CY45" i="8"/>
  <c r="CK43" i="7" s="1"/>
  <c r="CZ45" i="8"/>
  <c r="CL43" i="7" s="1"/>
  <c r="DA45" i="8"/>
  <c r="CM43" i="7" s="1"/>
  <c r="CT46" i="8"/>
  <c r="CF44" i="7" s="1"/>
  <c r="CU46" i="8"/>
  <c r="CG44" i="7" s="1"/>
  <c r="CV46" i="8"/>
  <c r="CH44" i="7" s="1"/>
  <c r="CW46" i="8"/>
  <c r="CI44" i="7" s="1"/>
  <c r="CX46" i="8"/>
  <c r="CJ44" i="7" s="1"/>
  <c r="CY46" i="8"/>
  <c r="CK44" i="7" s="1"/>
  <c r="CZ46" i="8"/>
  <c r="CL44" i="7" s="1"/>
  <c r="DA46" i="8"/>
  <c r="CM44" i="7" s="1"/>
  <c r="CT47" i="8"/>
  <c r="CF45" i="7" s="1"/>
  <c r="CU47" i="8"/>
  <c r="CG45" i="7" s="1"/>
  <c r="CV47" i="8"/>
  <c r="CH45" i="7" s="1"/>
  <c r="CW47" i="8"/>
  <c r="CI45" i="7" s="1"/>
  <c r="CX47" i="8"/>
  <c r="CJ45" i="7" s="1"/>
  <c r="CY47" i="8"/>
  <c r="CK45" i="7" s="1"/>
  <c r="CZ47" i="8"/>
  <c r="CL45" i="7" s="1"/>
  <c r="DA47" i="8"/>
  <c r="CM45" i="7" s="1"/>
  <c r="CT48" i="8"/>
  <c r="CU48" i="8"/>
  <c r="CV48" i="8"/>
  <c r="CW48" i="8"/>
  <c r="CX48" i="8"/>
  <c r="CY48" i="8"/>
  <c r="CZ48" i="8"/>
  <c r="DA48" i="8"/>
  <c r="CT49" i="8"/>
  <c r="CF47" i="7" s="1"/>
  <c r="CU49" i="8"/>
  <c r="CG47" i="7" s="1"/>
  <c r="CV49" i="8"/>
  <c r="CH47" i="7" s="1"/>
  <c r="CW49" i="8"/>
  <c r="CI47" i="7" s="1"/>
  <c r="CX49" i="8"/>
  <c r="CJ47" i="7" s="1"/>
  <c r="CY49" i="8"/>
  <c r="CK47" i="7" s="1"/>
  <c r="CZ49" i="8"/>
  <c r="CL47" i="7" s="1"/>
  <c r="DA49" i="8"/>
  <c r="CM47" i="7" s="1"/>
  <c r="CT50" i="8"/>
  <c r="CF48" i="7" s="1"/>
  <c r="CU50" i="8"/>
  <c r="CG48" i="7" s="1"/>
  <c r="CV50" i="8"/>
  <c r="CH48" i="7" s="1"/>
  <c r="CW50" i="8"/>
  <c r="CI48" i="7" s="1"/>
  <c r="CX50" i="8"/>
  <c r="CJ48" i="7" s="1"/>
  <c r="CY50" i="8"/>
  <c r="CK48" i="7" s="1"/>
  <c r="CZ50" i="8"/>
  <c r="CL48" i="7" s="1"/>
  <c r="DA50" i="8"/>
  <c r="CM48" i="7" s="1"/>
  <c r="DA37" i="8"/>
  <c r="CM35" i="7" s="1"/>
  <c r="CZ37" i="8"/>
  <c r="CL35" i="7" s="1"/>
  <c r="CY37" i="8"/>
  <c r="CK35" i="7" s="1"/>
  <c r="CX37" i="8"/>
  <c r="CJ35" i="7" s="1"/>
  <c r="CW37" i="8"/>
  <c r="CI35" i="7" s="1"/>
  <c r="CV37" i="8"/>
  <c r="CH35" i="7" s="1"/>
  <c r="CU37" i="8"/>
  <c r="CT37" i="8"/>
  <c r="CF35" i="7" s="1"/>
  <c r="CK38" i="8"/>
  <c r="BV36" i="7" s="1"/>
  <c r="CL38" i="8"/>
  <c r="BW36" i="7" s="1"/>
  <c r="CM38" i="8"/>
  <c r="BX36" i="7" s="1"/>
  <c r="CN38" i="8"/>
  <c r="BY36" i="7" s="1"/>
  <c r="CO38" i="8"/>
  <c r="BZ36" i="7" s="1"/>
  <c r="CP38" i="8"/>
  <c r="CA36" i="7" s="1"/>
  <c r="CQ38" i="8"/>
  <c r="CB36" i="7" s="1"/>
  <c r="CR38" i="8"/>
  <c r="CC36" i="7" s="1"/>
  <c r="CK39" i="8"/>
  <c r="BV37" i="7" s="1"/>
  <c r="CL39" i="8"/>
  <c r="BW37" i="7" s="1"/>
  <c r="CM39" i="8"/>
  <c r="BX37" i="7" s="1"/>
  <c r="CN39" i="8"/>
  <c r="BY37" i="7" s="1"/>
  <c r="CO39" i="8"/>
  <c r="BZ37" i="7" s="1"/>
  <c r="CP39" i="8"/>
  <c r="CA37" i="7" s="1"/>
  <c r="CQ39" i="8"/>
  <c r="CB37" i="7" s="1"/>
  <c r="CR39" i="8"/>
  <c r="CC37" i="7" s="1"/>
  <c r="CK40" i="8"/>
  <c r="BV38" i="7" s="1"/>
  <c r="CL40" i="8"/>
  <c r="BW38" i="7" s="1"/>
  <c r="CM40" i="8"/>
  <c r="BX38" i="7" s="1"/>
  <c r="CN40" i="8"/>
  <c r="BY38" i="7" s="1"/>
  <c r="CO40" i="8"/>
  <c r="BZ38" i="7" s="1"/>
  <c r="CP40" i="8"/>
  <c r="CA38" i="7" s="1"/>
  <c r="CQ40" i="8"/>
  <c r="CB38" i="7" s="1"/>
  <c r="CR40" i="8"/>
  <c r="CC38" i="7" s="1"/>
  <c r="CK41" i="8"/>
  <c r="BV39" i="7" s="1"/>
  <c r="CL41" i="8"/>
  <c r="BW39" i="7" s="1"/>
  <c r="CM41" i="8"/>
  <c r="BX39" i="7" s="1"/>
  <c r="CN41" i="8"/>
  <c r="BY39" i="7" s="1"/>
  <c r="CO41" i="8"/>
  <c r="BZ39" i="7" s="1"/>
  <c r="CP41" i="8"/>
  <c r="CA39" i="7" s="1"/>
  <c r="CQ41" i="8"/>
  <c r="CB39" i="7" s="1"/>
  <c r="CR41" i="8"/>
  <c r="CC39" i="7" s="1"/>
  <c r="CK42" i="8"/>
  <c r="BV40" i="7" s="1"/>
  <c r="CL42" i="8"/>
  <c r="BW40" i="7" s="1"/>
  <c r="CM42" i="8"/>
  <c r="BX40" i="7" s="1"/>
  <c r="CN42" i="8"/>
  <c r="BY40" i="7" s="1"/>
  <c r="CO42" i="8"/>
  <c r="BZ40" i="7" s="1"/>
  <c r="CP42" i="8"/>
  <c r="CA40" i="7" s="1"/>
  <c r="CQ42" i="8"/>
  <c r="CB40" i="7" s="1"/>
  <c r="CR42" i="8"/>
  <c r="CC40" i="7" s="1"/>
  <c r="CK43" i="8"/>
  <c r="BV41" i="7" s="1"/>
  <c r="CL43" i="8"/>
  <c r="BW41" i="7" s="1"/>
  <c r="CM43" i="8"/>
  <c r="BX41" i="7" s="1"/>
  <c r="CN43" i="8"/>
  <c r="BY41" i="7" s="1"/>
  <c r="CO43" i="8"/>
  <c r="BZ41" i="7" s="1"/>
  <c r="CP43" i="8"/>
  <c r="CA41" i="7" s="1"/>
  <c r="CQ43" i="8"/>
  <c r="CB41" i="7" s="1"/>
  <c r="CR43" i="8"/>
  <c r="CC41" i="7" s="1"/>
  <c r="CK44" i="8"/>
  <c r="BV42" i="7" s="1"/>
  <c r="CL44" i="8"/>
  <c r="BW42" i="7" s="1"/>
  <c r="CM44" i="8"/>
  <c r="BX42" i="7" s="1"/>
  <c r="CN44" i="8"/>
  <c r="BY42" i="7" s="1"/>
  <c r="CO44" i="8"/>
  <c r="BZ42" i="7" s="1"/>
  <c r="CP44" i="8"/>
  <c r="CA42" i="7" s="1"/>
  <c r="CQ44" i="8"/>
  <c r="CB42" i="7" s="1"/>
  <c r="CR44" i="8"/>
  <c r="CC42" i="7" s="1"/>
  <c r="CK45" i="8"/>
  <c r="BV43" i="7" s="1"/>
  <c r="CL45" i="8"/>
  <c r="BW43" i="7" s="1"/>
  <c r="CM45" i="8"/>
  <c r="BX43" i="7" s="1"/>
  <c r="CN45" i="8"/>
  <c r="BY43" i="7" s="1"/>
  <c r="CO45" i="8"/>
  <c r="BZ43" i="7" s="1"/>
  <c r="CP45" i="8"/>
  <c r="CA43" i="7" s="1"/>
  <c r="CQ45" i="8"/>
  <c r="CB43" i="7" s="1"/>
  <c r="CR45" i="8"/>
  <c r="CC43" i="7" s="1"/>
  <c r="CK46" i="8"/>
  <c r="BV44" i="7" s="1"/>
  <c r="CL46" i="8"/>
  <c r="BW44" i="7" s="1"/>
  <c r="CM46" i="8"/>
  <c r="BX44" i="7" s="1"/>
  <c r="CN46" i="8"/>
  <c r="BY44" i="7" s="1"/>
  <c r="CO46" i="8"/>
  <c r="BZ44" i="7" s="1"/>
  <c r="CP46" i="8"/>
  <c r="CA44" i="7" s="1"/>
  <c r="CQ46" i="8"/>
  <c r="CB44" i="7" s="1"/>
  <c r="CR46" i="8"/>
  <c r="CC44" i="7" s="1"/>
  <c r="CK47" i="8"/>
  <c r="BV45" i="7" s="1"/>
  <c r="CL47" i="8"/>
  <c r="BW45" i="7" s="1"/>
  <c r="CM47" i="8"/>
  <c r="BX45" i="7" s="1"/>
  <c r="CN47" i="8"/>
  <c r="BY45" i="7" s="1"/>
  <c r="CO47" i="8"/>
  <c r="BZ45" i="7" s="1"/>
  <c r="CP47" i="8"/>
  <c r="CA45" i="7" s="1"/>
  <c r="CQ47" i="8"/>
  <c r="CB45" i="7" s="1"/>
  <c r="CR47" i="8"/>
  <c r="CC45" i="7" s="1"/>
  <c r="CK48" i="8"/>
  <c r="CL48" i="8"/>
  <c r="CM48" i="8"/>
  <c r="CN48" i="8"/>
  <c r="CO48" i="8"/>
  <c r="CP48" i="8"/>
  <c r="CQ48" i="8"/>
  <c r="CR48" i="8"/>
  <c r="CK49" i="8"/>
  <c r="BV47" i="7" s="1"/>
  <c r="CL49" i="8"/>
  <c r="BW47" i="7" s="1"/>
  <c r="CM49" i="8"/>
  <c r="BX47" i="7" s="1"/>
  <c r="CN49" i="8"/>
  <c r="BY47" i="7" s="1"/>
  <c r="CO49" i="8"/>
  <c r="BZ47" i="7" s="1"/>
  <c r="CP49" i="8"/>
  <c r="CA47" i="7" s="1"/>
  <c r="CQ49" i="8"/>
  <c r="CB47" i="7" s="1"/>
  <c r="CR49" i="8"/>
  <c r="CC47" i="7" s="1"/>
  <c r="CK50" i="8"/>
  <c r="BV48" i="7" s="1"/>
  <c r="CL50" i="8"/>
  <c r="BW48" i="7" s="1"/>
  <c r="CM50" i="8"/>
  <c r="BX48" i="7" s="1"/>
  <c r="CN50" i="8"/>
  <c r="BY48" i="7" s="1"/>
  <c r="CO50" i="8"/>
  <c r="BZ48" i="7" s="1"/>
  <c r="CP50" i="8"/>
  <c r="CA48" i="7" s="1"/>
  <c r="CQ50" i="8"/>
  <c r="CB48" i="7" s="1"/>
  <c r="CR50" i="8"/>
  <c r="CC48" i="7" s="1"/>
  <c r="CR37" i="8"/>
  <c r="CC35" i="7" s="1"/>
  <c r="CQ37" i="8"/>
  <c r="CB35" i="7" s="1"/>
  <c r="CP37" i="8"/>
  <c r="CA35" i="7" s="1"/>
  <c r="CO37" i="8"/>
  <c r="BZ35" i="7" s="1"/>
  <c r="CN37" i="8"/>
  <c r="BY35" i="7" s="1"/>
  <c r="CM37" i="8"/>
  <c r="BX35" i="7" s="1"/>
  <c r="CL37" i="8"/>
  <c r="BW35" i="7" s="1"/>
  <c r="CK37" i="8"/>
  <c r="BV35" i="7" s="1"/>
  <c r="CB38" i="8"/>
  <c r="BL36" i="7" s="1"/>
  <c r="CC38" i="8"/>
  <c r="BM36" i="7" s="1"/>
  <c r="CD38" i="8"/>
  <c r="BN36" i="7" s="1"/>
  <c r="CE38" i="8"/>
  <c r="BO36" i="7" s="1"/>
  <c r="CF38" i="8"/>
  <c r="BP36" i="7" s="1"/>
  <c r="CG38" i="8"/>
  <c r="BQ36" i="7" s="1"/>
  <c r="CH38" i="8"/>
  <c r="BR36" i="7" s="1"/>
  <c r="CI38" i="8"/>
  <c r="BS36" i="7" s="1"/>
  <c r="CB39" i="8"/>
  <c r="BL37" i="7" s="1"/>
  <c r="CC39" i="8"/>
  <c r="BM37" i="7" s="1"/>
  <c r="CD39" i="8"/>
  <c r="BN37" i="7" s="1"/>
  <c r="CE39" i="8"/>
  <c r="BO37" i="7" s="1"/>
  <c r="CF39" i="8"/>
  <c r="BP37" i="7" s="1"/>
  <c r="CG39" i="8"/>
  <c r="BQ37" i="7" s="1"/>
  <c r="CH39" i="8"/>
  <c r="BR37" i="7" s="1"/>
  <c r="CI39" i="8"/>
  <c r="BS37" i="7" s="1"/>
  <c r="CB40" i="8"/>
  <c r="BL38" i="7" s="1"/>
  <c r="CC40" i="8"/>
  <c r="BM38" i="7" s="1"/>
  <c r="CD40" i="8"/>
  <c r="BN38" i="7" s="1"/>
  <c r="CE40" i="8"/>
  <c r="BO38" i="7" s="1"/>
  <c r="CF40" i="8"/>
  <c r="BP38" i="7" s="1"/>
  <c r="CG40" i="8"/>
  <c r="BQ38" i="7" s="1"/>
  <c r="CH40" i="8"/>
  <c r="BR38" i="7" s="1"/>
  <c r="CI40" i="8"/>
  <c r="BS38" i="7" s="1"/>
  <c r="CB41" i="8"/>
  <c r="BL39" i="7" s="1"/>
  <c r="CC41" i="8"/>
  <c r="BM39" i="7" s="1"/>
  <c r="CD41" i="8"/>
  <c r="BN39" i="7" s="1"/>
  <c r="CE41" i="8"/>
  <c r="BO39" i="7" s="1"/>
  <c r="CF41" i="8"/>
  <c r="BP39" i="7" s="1"/>
  <c r="CG41" i="8"/>
  <c r="BQ39" i="7" s="1"/>
  <c r="CH41" i="8"/>
  <c r="BR39" i="7" s="1"/>
  <c r="CI41" i="8"/>
  <c r="BS39" i="7" s="1"/>
  <c r="CB42" i="8"/>
  <c r="BL40" i="7" s="1"/>
  <c r="CC42" i="8"/>
  <c r="BM40" i="7" s="1"/>
  <c r="CD42" i="8"/>
  <c r="BN40" i="7" s="1"/>
  <c r="CE42" i="8"/>
  <c r="BO40" i="7" s="1"/>
  <c r="CF42" i="8"/>
  <c r="BP40" i="7" s="1"/>
  <c r="CG42" i="8"/>
  <c r="BQ40" i="7" s="1"/>
  <c r="CH42" i="8"/>
  <c r="BR40" i="7" s="1"/>
  <c r="CI42" i="8"/>
  <c r="BS40" i="7" s="1"/>
  <c r="CB43" i="8"/>
  <c r="BL41" i="7" s="1"/>
  <c r="CC43" i="8"/>
  <c r="BM41" i="7" s="1"/>
  <c r="CD43" i="8"/>
  <c r="BN41" i="7" s="1"/>
  <c r="CE43" i="8"/>
  <c r="BO41" i="7" s="1"/>
  <c r="CF43" i="8"/>
  <c r="BP41" i="7" s="1"/>
  <c r="CG43" i="8"/>
  <c r="BQ41" i="7" s="1"/>
  <c r="CH43" i="8"/>
  <c r="BR41" i="7" s="1"/>
  <c r="CI43" i="8"/>
  <c r="BS41" i="7" s="1"/>
  <c r="CB44" i="8"/>
  <c r="BL42" i="7" s="1"/>
  <c r="CC44" i="8"/>
  <c r="BM42" i="7" s="1"/>
  <c r="CD44" i="8"/>
  <c r="BN42" i="7" s="1"/>
  <c r="CE44" i="8"/>
  <c r="BO42" i="7" s="1"/>
  <c r="CF44" i="8"/>
  <c r="BP42" i="7" s="1"/>
  <c r="CG44" i="8"/>
  <c r="BQ42" i="7" s="1"/>
  <c r="CH44" i="8"/>
  <c r="BR42" i="7" s="1"/>
  <c r="CI44" i="8"/>
  <c r="BS42" i="7" s="1"/>
  <c r="CB45" i="8"/>
  <c r="BL43" i="7" s="1"/>
  <c r="CC45" i="8"/>
  <c r="BM43" i="7" s="1"/>
  <c r="CD45" i="8"/>
  <c r="BN43" i="7" s="1"/>
  <c r="CE45" i="8"/>
  <c r="BO43" i="7" s="1"/>
  <c r="CF45" i="8"/>
  <c r="BP43" i="7" s="1"/>
  <c r="CG45" i="8"/>
  <c r="BQ43" i="7" s="1"/>
  <c r="CH45" i="8"/>
  <c r="BR43" i="7" s="1"/>
  <c r="CI45" i="8"/>
  <c r="BS43" i="7" s="1"/>
  <c r="CB46" i="8"/>
  <c r="BL44" i="7" s="1"/>
  <c r="CC46" i="8"/>
  <c r="BM44" i="7" s="1"/>
  <c r="CD46" i="8"/>
  <c r="BN44" i="7" s="1"/>
  <c r="CE46" i="8"/>
  <c r="BO44" i="7" s="1"/>
  <c r="CF46" i="8"/>
  <c r="BP44" i="7" s="1"/>
  <c r="CG46" i="8"/>
  <c r="BQ44" i="7" s="1"/>
  <c r="CH46" i="8"/>
  <c r="BR44" i="7" s="1"/>
  <c r="CI46" i="8"/>
  <c r="BS44" i="7" s="1"/>
  <c r="CB47" i="8"/>
  <c r="BL45" i="7" s="1"/>
  <c r="CC47" i="8"/>
  <c r="BM45" i="7" s="1"/>
  <c r="CD47" i="8"/>
  <c r="BN45" i="7" s="1"/>
  <c r="CE47" i="8"/>
  <c r="BO45" i="7" s="1"/>
  <c r="CF47" i="8"/>
  <c r="BP45" i="7" s="1"/>
  <c r="CG47" i="8"/>
  <c r="BQ45" i="7" s="1"/>
  <c r="CH47" i="8"/>
  <c r="BR45" i="7" s="1"/>
  <c r="CI47" i="8"/>
  <c r="BS45" i="7" s="1"/>
  <c r="CB48" i="8"/>
  <c r="CC48" i="8"/>
  <c r="CD48" i="8"/>
  <c r="CE48" i="8"/>
  <c r="CF48" i="8"/>
  <c r="CG48" i="8"/>
  <c r="CH48" i="8"/>
  <c r="CI48" i="8"/>
  <c r="CB49" i="8"/>
  <c r="BL47" i="7" s="1"/>
  <c r="CC49" i="8"/>
  <c r="BM47" i="7" s="1"/>
  <c r="CD49" i="8"/>
  <c r="BN47" i="7" s="1"/>
  <c r="CE49" i="8"/>
  <c r="BO47" i="7" s="1"/>
  <c r="CF49" i="8"/>
  <c r="BP47" i="7" s="1"/>
  <c r="CG49" i="8"/>
  <c r="BQ47" i="7" s="1"/>
  <c r="CH49" i="8"/>
  <c r="BR47" i="7" s="1"/>
  <c r="CI49" i="8"/>
  <c r="BS47" i="7" s="1"/>
  <c r="CB50" i="8"/>
  <c r="BL48" i="7" s="1"/>
  <c r="CC50" i="8"/>
  <c r="BM48" i="7" s="1"/>
  <c r="CD50" i="8"/>
  <c r="BN48" i="7" s="1"/>
  <c r="CE50" i="8"/>
  <c r="BO48" i="7" s="1"/>
  <c r="CF50" i="8"/>
  <c r="BP48" i="7" s="1"/>
  <c r="CG50" i="8"/>
  <c r="BQ48" i="7" s="1"/>
  <c r="CH50" i="8"/>
  <c r="BR48" i="7" s="1"/>
  <c r="CI50" i="8"/>
  <c r="BS48" i="7" s="1"/>
  <c r="CI37" i="8"/>
  <c r="BS35" i="7" s="1"/>
  <c r="CH37" i="8"/>
  <c r="BR35" i="7" s="1"/>
  <c r="CG37" i="8"/>
  <c r="BQ35" i="7" s="1"/>
  <c r="CF37" i="8"/>
  <c r="BP35" i="7" s="1"/>
  <c r="CE37" i="8"/>
  <c r="BO35" i="7" s="1"/>
  <c r="CD37" i="8"/>
  <c r="BN35" i="7" s="1"/>
  <c r="CC37" i="8"/>
  <c r="BM35" i="7" s="1"/>
  <c r="CB37" i="8"/>
  <c r="BL35" i="7" s="1"/>
  <c r="BS38" i="8"/>
  <c r="BB36" i="7" s="1"/>
  <c r="BT38" i="8"/>
  <c r="BC36" i="7" s="1"/>
  <c r="BU38" i="8"/>
  <c r="BD36" i="7" s="1"/>
  <c r="BV38" i="8"/>
  <c r="BE36" i="7" s="1"/>
  <c r="BW38" i="8"/>
  <c r="BF36" i="7" s="1"/>
  <c r="BX38" i="8"/>
  <c r="BG36" i="7" s="1"/>
  <c r="BY38" i="8"/>
  <c r="BH36" i="7" s="1"/>
  <c r="BZ38" i="8"/>
  <c r="BI36" i="7" s="1"/>
  <c r="BS39" i="8"/>
  <c r="BB37" i="7" s="1"/>
  <c r="BT39" i="8"/>
  <c r="BC37" i="7" s="1"/>
  <c r="BU39" i="8"/>
  <c r="BD37" i="7" s="1"/>
  <c r="BV39" i="8"/>
  <c r="BE37" i="7" s="1"/>
  <c r="BW39" i="8"/>
  <c r="BF37" i="7" s="1"/>
  <c r="BX39" i="8"/>
  <c r="BG37" i="7" s="1"/>
  <c r="BY39" i="8"/>
  <c r="BH37" i="7" s="1"/>
  <c r="BZ39" i="8"/>
  <c r="BI37" i="7" s="1"/>
  <c r="BS40" i="8"/>
  <c r="BB38" i="7" s="1"/>
  <c r="BT40" i="8"/>
  <c r="BC38" i="7" s="1"/>
  <c r="BU40" i="8"/>
  <c r="BD38" i="7" s="1"/>
  <c r="BV40" i="8"/>
  <c r="BE38" i="7" s="1"/>
  <c r="BW40" i="8"/>
  <c r="BF38" i="7" s="1"/>
  <c r="BX40" i="8"/>
  <c r="BG38" i="7" s="1"/>
  <c r="BY40" i="8"/>
  <c r="BH38" i="7" s="1"/>
  <c r="BZ40" i="8"/>
  <c r="BI38" i="7" s="1"/>
  <c r="BS41" i="8"/>
  <c r="BB39" i="7" s="1"/>
  <c r="BT41" i="8"/>
  <c r="BC39" i="7" s="1"/>
  <c r="BU41" i="8"/>
  <c r="BD39" i="7" s="1"/>
  <c r="BV41" i="8"/>
  <c r="BE39" i="7" s="1"/>
  <c r="BW41" i="8"/>
  <c r="BF39" i="7" s="1"/>
  <c r="BX41" i="8"/>
  <c r="BG39" i="7" s="1"/>
  <c r="BY41" i="8"/>
  <c r="BH39" i="7" s="1"/>
  <c r="BZ41" i="8"/>
  <c r="BI39" i="7" s="1"/>
  <c r="BS42" i="8"/>
  <c r="BB40" i="7" s="1"/>
  <c r="BT42" i="8"/>
  <c r="BC40" i="7" s="1"/>
  <c r="BU42" i="8"/>
  <c r="BD40" i="7" s="1"/>
  <c r="BV42" i="8"/>
  <c r="BE40" i="7" s="1"/>
  <c r="BW42" i="8"/>
  <c r="BF40" i="7" s="1"/>
  <c r="BX42" i="8"/>
  <c r="BG40" i="7" s="1"/>
  <c r="BY42" i="8"/>
  <c r="BH40" i="7" s="1"/>
  <c r="BZ42" i="8"/>
  <c r="BI40" i="7" s="1"/>
  <c r="BS43" i="8"/>
  <c r="BB41" i="7" s="1"/>
  <c r="BT43" i="8"/>
  <c r="BC41" i="7" s="1"/>
  <c r="BU43" i="8"/>
  <c r="BD41" i="7" s="1"/>
  <c r="BV43" i="8"/>
  <c r="BE41" i="7" s="1"/>
  <c r="BW43" i="8"/>
  <c r="BF41" i="7" s="1"/>
  <c r="BX43" i="8"/>
  <c r="BG41" i="7" s="1"/>
  <c r="BY43" i="8"/>
  <c r="BH41" i="7" s="1"/>
  <c r="BZ43" i="8"/>
  <c r="BI41" i="7" s="1"/>
  <c r="BS44" i="8"/>
  <c r="BB42" i="7" s="1"/>
  <c r="BT44" i="8"/>
  <c r="BC42" i="7" s="1"/>
  <c r="BU44" i="8"/>
  <c r="BD42" i="7" s="1"/>
  <c r="BV44" i="8"/>
  <c r="BE42" i="7" s="1"/>
  <c r="BW44" i="8"/>
  <c r="BF42" i="7" s="1"/>
  <c r="BX44" i="8"/>
  <c r="BG42" i="7" s="1"/>
  <c r="BY44" i="8"/>
  <c r="BH42" i="7" s="1"/>
  <c r="BZ44" i="8"/>
  <c r="BI42" i="7" s="1"/>
  <c r="BS45" i="8"/>
  <c r="BB43" i="7" s="1"/>
  <c r="BT45" i="8"/>
  <c r="BC43" i="7" s="1"/>
  <c r="BU45" i="8"/>
  <c r="BD43" i="7" s="1"/>
  <c r="BV45" i="8"/>
  <c r="BE43" i="7" s="1"/>
  <c r="BW45" i="8"/>
  <c r="BF43" i="7" s="1"/>
  <c r="BX45" i="8"/>
  <c r="BG43" i="7" s="1"/>
  <c r="BY45" i="8"/>
  <c r="BH43" i="7" s="1"/>
  <c r="BZ45" i="8"/>
  <c r="BI43" i="7" s="1"/>
  <c r="BS46" i="8"/>
  <c r="BB44" i="7" s="1"/>
  <c r="BT46" i="8"/>
  <c r="BC44" i="7" s="1"/>
  <c r="BU46" i="8"/>
  <c r="BD44" i="7" s="1"/>
  <c r="BV46" i="8"/>
  <c r="BE44" i="7" s="1"/>
  <c r="BW46" i="8"/>
  <c r="BF44" i="7" s="1"/>
  <c r="BX46" i="8"/>
  <c r="BG44" i="7" s="1"/>
  <c r="BY46" i="8"/>
  <c r="BH44" i="7" s="1"/>
  <c r="BZ46" i="8"/>
  <c r="BI44" i="7" s="1"/>
  <c r="BS47" i="8"/>
  <c r="BB45" i="7" s="1"/>
  <c r="BT47" i="8"/>
  <c r="BC45" i="7" s="1"/>
  <c r="BU47" i="8"/>
  <c r="BD45" i="7" s="1"/>
  <c r="BV47" i="8"/>
  <c r="BE45" i="7" s="1"/>
  <c r="BW47" i="8"/>
  <c r="BF45" i="7" s="1"/>
  <c r="BX47" i="8"/>
  <c r="BG45" i="7" s="1"/>
  <c r="BY47" i="8"/>
  <c r="BH45" i="7" s="1"/>
  <c r="BZ47" i="8"/>
  <c r="BI45" i="7" s="1"/>
  <c r="BS48" i="8"/>
  <c r="BT48" i="8"/>
  <c r="BU48" i="8"/>
  <c r="BV48" i="8"/>
  <c r="BW48" i="8"/>
  <c r="BX48" i="8"/>
  <c r="BY48" i="8"/>
  <c r="BZ48" i="8"/>
  <c r="BS49" i="8"/>
  <c r="BB47" i="7" s="1"/>
  <c r="BT49" i="8"/>
  <c r="BC47" i="7" s="1"/>
  <c r="BU49" i="8"/>
  <c r="BD47" i="7" s="1"/>
  <c r="BV49" i="8"/>
  <c r="BE47" i="7" s="1"/>
  <c r="BW49" i="8"/>
  <c r="BF47" i="7" s="1"/>
  <c r="BX49" i="8"/>
  <c r="BG47" i="7" s="1"/>
  <c r="BY49" i="8"/>
  <c r="BH47" i="7" s="1"/>
  <c r="BZ49" i="8"/>
  <c r="BI47" i="7" s="1"/>
  <c r="BS50" i="8"/>
  <c r="BB48" i="7" s="1"/>
  <c r="BT50" i="8"/>
  <c r="BC48" i="7" s="1"/>
  <c r="BU50" i="8"/>
  <c r="BD48" i="7" s="1"/>
  <c r="BV50" i="8"/>
  <c r="BE48" i="7" s="1"/>
  <c r="BW50" i="8"/>
  <c r="BF48" i="7" s="1"/>
  <c r="BX50" i="8"/>
  <c r="BG48" i="7" s="1"/>
  <c r="BY50" i="8"/>
  <c r="BH48" i="7" s="1"/>
  <c r="BZ50" i="8"/>
  <c r="BI48" i="7" s="1"/>
  <c r="BZ37" i="8"/>
  <c r="BI35" i="7" s="1"/>
  <c r="BY37" i="8"/>
  <c r="BH35" i="7" s="1"/>
  <c r="BX37" i="8"/>
  <c r="BG35" i="7" s="1"/>
  <c r="BW37" i="8"/>
  <c r="BF35" i="7" s="1"/>
  <c r="BV37" i="8"/>
  <c r="BE35" i="7" s="1"/>
  <c r="BU37" i="8"/>
  <c r="BT37" i="8"/>
  <c r="BC35" i="7" s="1"/>
  <c r="BS37" i="8"/>
  <c r="BB35" i="7" s="1"/>
  <c r="BJ38" i="8"/>
  <c r="AR36" i="7" s="1"/>
  <c r="BK38" i="8"/>
  <c r="AS36" i="7" s="1"/>
  <c r="BL38" i="8"/>
  <c r="AT36" i="7" s="1"/>
  <c r="BM38" i="8"/>
  <c r="AU36" i="7" s="1"/>
  <c r="BN38" i="8"/>
  <c r="AV36" i="7" s="1"/>
  <c r="BO38" i="8"/>
  <c r="AW36" i="7" s="1"/>
  <c r="BP38" i="8"/>
  <c r="AX36" i="7" s="1"/>
  <c r="BQ38" i="8"/>
  <c r="AY36" i="7" s="1"/>
  <c r="BJ39" i="8"/>
  <c r="AR37" i="7" s="1"/>
  <c r="BK39" i="8"/>
  <c r="AS37" i="7" s="1"/>
  <c r="BL39" i="8"/>
  <c r="AT37" i="7" s="1"/>
  <c r="BM39" i="8"/>
  <c r="AU37" i="7" s="1"/>
  <c r="BN39" i="8"/>
  <c r="AV37" i="7" s="1"/>
  <c r="BO39" i="8"/>
  <c r="AW37" i="7" s="1"/>
  <c r="BP39" i="8"/>
  <c r="AX37" i="7" s="1"/>
  <c r="BQ39" i="8"/>
  <c r="AY37" i="7" s="1"/>
  <c r="BJ40" i="8"/>
  <c r="AR38" i="7" s="1"/>
  <c r="BK40" i="8"/>
  <c r="AS38" i="7" s="1"/>
  <c r="BL40" i="8"/>
  <c r="AT38" i="7" s="1"/>
  <c r="BM40" i="8"/>
  <c r="AU38" i="7" s="1"/>
  <c r="BN40" i="8"/>
  <c r="AV38" i="7" s="1"/>
  <c r="BO40" i="8"/>
  <c r="AW38" i="7" s="1"/>
  <c r="BP40" i="8"/>
  <c r="AX38" i="7" s="1"/>
  <c r="BQ40" i="8"/>
  <c r="AY38" i="7" s="1"/>
  <c r="BJ41" i="8"/>
  <c r="AR39" i="7" s="1"/>
  <c r="BK41" i="8"/>
  <c r="AS39" i="7" s="1"/>
  <c r="BL41" i="8"/>
  <c r="AT39" i="7" s="1"/>
  <c r="BM41" i="8"/>
  <c r="AU39" i="7" s="1"/>
  <c r="BN41" i="8"/>
  <c r="AV39" i="7" s="1"/>
  <c r="BO41" i="8"/>
  <c r="AW39" i="7" s="1"/>
  <c r="BP41" i="8"/>
  <c r="AX39" i="7" s="1"/>
  <c r="BQ41" i="8"/>
  <c r="AY39" i="7" s="1"/>
  <c r="BJ42" i="8"/>
  <c r="AR40" i="7" s="1"/>
  <c r="BK42" i="8"/>
  <c r="AS40" i="7" s="1"/>
  <c r="BL42" i="8"/>
  <c r="AT40" i="7" s="1"/>
  <c r="BM42" i="8"/>
  <c r="AU40" i="7" s="1"/>
  <c r="BN42" i="8"/>
  <c r="AV40" i="7" s="1"/>
  <c r="BO42" i="8"/>
  <c r="AW40" i="7" s="1"/>
  <c r="BP42" i="8"/>
  <c r="AX40" i="7" s="1"/>
  <c r="BQ42" i="8"/>
  <c r="AY40" i="7" s="1"/>
  <c r="BJ43" i="8"/>
  <c r="AR41" i="7" s="1"/>
  <c r="BK43" i="8"/>
  <c r="AS41" i="7" s="1"/>
  <c r="BL43" i="8"/>
  <c r="AT41" i="7" s="1"/>
  <c r="BM43" i="8"/>
  <c r="AU41" i="7" s="1"/>
  <c r="BN43" i="8"/>
  <c r="AV41" i="7" s="1"/>
  <c r="BO43" i="8"/>
  <c r="AW41" i="7" s="1"/>
  <c r="BP43" i="8"/>
  <c r="AX41" i="7" s="1"/>
  <c r="BQ43" i="8"/>
  <c r="AY41" i="7" s="1"/>
  <c r="BJ44" i="8"/>
  <c r="AR42" i="7" s="1"/>
  <c r="BK44" i="8"/>
  <c r="AS42" i="7" s="1"/>
  <c r="BL44" i="8"/>
  <c r="AT42" i="7" s="1"/>
  <c r="BM44" i="8"/>
  <c r="AU42" i="7" s="1"/>
  <c r="BN44" i="8"/>
  <c r="AV42" i="7" s="1"/>
  <c r="BO44" i="8"/>
  <c r="AW42" i="7" s="1"/>
  <c r="BP44" i="8"/>
  <c r="AX42" i="7" s="1"/>
  <c r="BQ44" i="8"/>
  <c r="AY42" i="7" s="1"/>
  <c r="BJ45" i="8"/>
  <c r="AR43" i="7" s="1"/>
  <c r="BK45" i="8"/>
  <c r="AS43" i="7" s="1"/>
  <c r="BL45" i="8"/>
  <c r="AT43" i="7" s="1"/>
  <c r="BM45" i="8"/>
  <c r="AU43" i="7" s="1"/>
  <c r="BN45" i="8"/>
  <c r="AV43" i="7" s="1"/>
  <c r="BO45" i="8"/>
  <c r="AW43" i="7" s="1"/>
  <c r="BP45" i="8"/>
  <c r="AX43" i="7" s="1"/>
  <c r="BQ45" i="8"/>
  <c r="AY43" i="7" s="1"/>
  <c r="BJ46" i="8"/>
  <c r="AR44" i="7" s="1"/>
  <c r="BK46" i="8"/>
  <c r="AS44" i="7" s="1"/>
  <c r="BL46" i="8"/>
  <c r="AT44" i="7" s="1"/>
  <c r="BM46" i="8"/>
  <c r="AU44" i="7" s="1"/>
  <c r="BN46" i="8"/>
  <c r="AV44" i="7" s="1"/>
  <c r="BO46" i="8"/>
  <c r="AW44" i="7" s="1"/>
  <c r="BP46" i="8"/>
  <c r="AX44" i="7" s="1"/>
  <c r="BQ46" i="8"/>
  <c r="AY44" i="7" s="1"/>
  <c r="BJ47" i="8"/>
  <c r="AR45" i="7" s="1"/>
  <c r="BK47" i="8"/>
  <c r="AS45" i="7" s="1"/>
  <c r="BL47" i="8"/>
  <c r="AT45" i="7" s="1"/>
  <c r="BM47" i="8"/>
  <c r="AU45" i="7" s="1"/>
  <c r="BN47" i="8"/>
  <c r="AV45" i="7" s="1"/>
  <c r="BO47" i="8"/>
  <c r="AW45" i="7" s="1"/>
  <c r="BP47" i="8"/>
  <c r="AX45" i="7" s="1"/>
  <c r="BQ47" i="8"/>
  <c r="AY45" i="7" s="1"/>
  <c r="BJ48" i="8"/>
  <c r="BK48" i="8"/>
  <c r="BL48" i="8"/>
  <c r="BM48" i="8"/>
  <c r="BN48" i="8"/>
  <c r="BO48" i="8"/>
  <c r="BP48" i="8"/>
  <c r="BQ48" i="8"/>
  <c r="BJ49" i="8"/>
  <c r="AR47" i="7" s="1"/>
  <c r="BK49" i="8"/>
  <c r="AS47" i="7" s="1"/>
  <c r="BL49" i="8"/>
  <c r="AT47" i="7" s="1"/>
  <c r="BM49" i="8"/>
  <c r="AU47" i="7" s="1"/>
  <c r="BN49" i="8"/>
  <c r="AV47" i="7" s="1"/>
  <c r="BO49" i="8"/>
  <c r="AW47" i="7" s="1"/>
  <c r="BP49" i="8"/>
  <c r="AX47" i="7" s="1"/>
  <c r="BQ49" i="8"/>
  <c r="AY47" i="7" s="1"/>
  <c r="BJ50" i="8"/>
  <c r="AR48" i="7" s="1"/>
  <c r="BK50" i="8"/>
  <c r="AS48" i="7" s="1"/>
  <c r="BL50" i="8"/>
  <c r="AT48" i="7" s="1"/>
  <c r="BM50" i="8"/>
  <c r="AU48" i="7" s="1"/>
  <c r="BN50" i="8"/>
  <c r="AV48" i="7" s="1"/>
  <c r="BO50" i="8"/>
  <c r="AW48" i="7" s="1"/>
  <c r="BP50" i="8"/>
  <c r="AX48" i="7" s="1"/>
  <c r="BQ50" i="8"/>
  <c r="AY48" i="7" s="1"/>
  <c r="BQ37" i="8"/>
  <c r="AY35" i="7" s="1"/>
  <c r="BP37" i="8"/>
  <c r="AX35" i="7" s="1"/>
  <c r="BO37" i="8"/>
  <c r="AW35" i="7" s="1"/>
  <c r="BN37" i="8"/>
  <c r="AV35" i="7" s="1"/>
  <c r="BM37" i="8"/>
  <c r="AU35" i="7" s="1"/>
  <c r="BL37" i="8"/>
  <c r="AT35" i="7" s="1"/>
  <c r="BK37" i="8"/>
  <c r="BJ37" i="8"/>
  <c r="AR35" i="7" s="1"/>
  <c r="BA38" i="8"/>
  <c r="AH36" i="7" s="1"/>
  <c r="BB38" i="8"/>
  <c r="AI36" i="7" s="1"/>
  <c r="BC38" i="8"/>
  <c r="AJ36" i="7" s="1"/>
  <c r="BD38" i="8"/>
  <c r="AK36" i="7" s="1"/>
  <c r="BE38" i="8"/>
  <c r="AL36" i="7" s="1"/>
  <c r="BF38" i="8"/>
  <c r="AM36" i="7" s="1"/>
  <c r="BG38" i="8"/>
  <c r="AN36" i="7" s="1"/>
  <c r="BH38" i="8"/>
  <c r="AO36" i="7" s="1"/>
  <c r="BA39" i="8"/>
  <c r="AH37" i="7" s="1"/>
  <c r="BB39" i="8"/>
  <c r="AI37" i="7" s="1"/>
  <c r="BC39" i="8"/>
  <c r="AJ37" i="7" s="1"/>
  <c r="BD39" i="8"/>
  <c r="AK37" i="7" s="1"/>
  <c r="BE39" i="8"/>
  <c r="AL37" i="7" s="1"/>
  <c r="BF39" i="8"/>
  <c r="AM37" i="7" s="1"/>
  <c r="BG39" i="8"/>
  <c r="AN37" i="7" s="1"/>
  <c r="BH39" i="8"/>
  <c r="AO37" i="7" s="1"/>
  <c r="BA40" i="8"/>
  <c r="AH38" i="7" s="1"/>
  <c r="BB40" i="8"/>
  <c r="AI38" i="7" s="1"/>
  <c r="BC40" i="8"/>
  <c r="AJ38" i="7" s="1"/>
  <c r="BD40" i="8"/>
  <c r="AK38" i="7" s="1"/>
  <c r="BE40" i="8"/>
  <c r="AL38" i="7" s="1"/>
  <c r="BF40" i="8"/>
  <c r="AM38" i="7" s="1"/>
  <c r="BG40" i="8"/>
  <c r="AN38" i="7" s="1"/>
  <c r="BH40" i="8"/>
  <c r="AO38" i="7" s="1"/>
  <c r="BA41" i="8"/>
  <c r="AH39" i="7" s="1"/>
  <c r="BB41" i="8"/>
  <c r="AI39" i="7" s="1"/>
  <c r="BC41" i="8"/>
  <c r="AJ39" i="7" s="1"/>
  <c r="BD41" i="8"/>
  <c r="AK39" i="7" s="1"/>
  <c r="BE41" i="8"/>
  <c r="AL39" i="7" s="1"/>
  <c r="BF41" i="8"/>
  <c r="AM39" i="7" s="1"/>
  <c r="BG41" i="8"/>
  <c r="AN39" i="7" s="1"/>
  <c r="BH41" i="8"/>
  <c r="AO39" i="7" s="1"/>
  <c r="BA42" i="8"/>
  <c r="AH40" i="7" s="1"/>
  <c r="BB42" i="8"/>
  <c r="AI40" i="7" s="1"/>
  <c r="BC42" i="8"/>
  <c r="AJ40" i="7" s="1"/>
  <c r="BD42" i="8"/>
  <c r="AK40" i="7" s="1"/>
  <c r="BE42" i="8"/>
  <c r="AL40" i="7" s="1"/>
  <c r="BF42" i="8"/>
  <c r="AM40" i="7" s="1"/>
  <c r="BG42" i="8"/>
  <c r="AN40" i="7" s="1"/>
  <c r="BH42" i="8"/>
  <c r="AO40" i="7" s="1"/>
  <c r="BA43" i="8"/>
  <c r="AH41" i="7" s="1"/>
  <c r="BB43" i="8"/>
  <c r="AI41" i="7" s="1"/>
  <c r="BC43" i="8"/>
  <c r="AJ41" i="7" s="1"/>
  <c r="BD43" i="8"/>
  <c r="AK41" i="7" s="1"/>
  <c r="BE43" i="8"/>
  <c r="AL41" i="7" s="1"/>
  <c r="BF43" i="8"/>
  <c r="AM41" i="7" s="1"/>
  <c r="BG43" i="8"/>
  <c r="AN41" i="7" s="1"/>
  <c r="BH43" i="8"/>
  <c r="AO41" i="7" s="1"/>
  <c r="BA44" i="8"/>
  <c r="AH42" i="7" s="1"/>
  <c r="BB44" i="8"/>
  <c r="AI42" i="7" s="1"/>
  <c r="BC44" i="8"/>
  <c r="AJ42" i="7" s="1"/>
  <c r="BD44" i="8"/>
  <c r="AK42" i="7" s="1"/>
  <c r="BE44" i="8"/>
  <c r="AL42" i="7" s="1"/>
  <c r="BF44" i="8"/>
  <c r="AM42" i="7" s="1"/>
  <c r="BG44" i="8"/>
  <c r="AN42" i="7" s="1"/>
  <c r="BH44" i="8"/>
  <c r="AO42" i="7" s="1"/>
  <c r="BA45" i="8"/>
  <c r="AH43" i="7" s="1"/>
  <c r="BB45" i="8"/>
  <c r="AI43" i="7" s="1"/>
  <c r="BC45" i="8"/>
  <c r="AJ43" i="7" s="1"/>
  <c r="BD45" i="8"/>
  <c r="AK43" i="7" s="1"/>
  <c r="BE45" i="8"/>
  <c r="AL43" i="7" s="1"/>
  <c r="BF45" i="8"/>
  <c r="AM43" i="7" s="1"/>
  <c r="BG45" i="8"/>
  <c r="AN43" i="7" s="1"/>
  <c r="BH45" i="8"/>
  <c r="AO43" i="7" s="1"/>
  <c r="BA46" i="8"/>
  <c r="AH44" i="7" s="1"/>
  <c r="BB46" i="8"/>
  <c r="AI44" i="7" s="1"/>
  <c r="BC46" i="8"/>
  <c r="AJ44" i="7" s="1"/>
  <c r="BD46" i="8"/>
  <c r="AK44" i="7" s="1"/>
  <c r="BE46" i="8"/>
  <c r="AL44" i="7" s="1"/>
  <c r="BF46" i="8"/>
  <c r="AM44" i="7" s="1"/>
  <c r="BG46" i="8"/>
  <c r="AN44" i="7" s="1"/>
  <c r="BH46" i="8"/>
  <c r="AO44" i="7" s="1"/>
  <c r="BA47" i="8"/>
  <c r="AH45" i="7" s="1"/>
  <c r="BB47" i="8"/>
  <c r="AI45" i="7" s="1"/>
  <c r="BC47" i="8"/>
  <c r="AJ45" i="7" s="1"/>
  <c r="BD47" i="8"/>
  <c r="AK45" i="7" s="1"/>
  <c r="BE47" i="8"/>
  <c r="AL45" i="7" s="1"/>
  <c r="BF47" i="8"/>
  <c r="AM45" i="7" s="1"/>
  <c r="BG47" i="8"/>
  <c r="AN45" i="7" s="1"/>
  <c r="BH47" i="8"/>
  <c r="AO45" i="7" s="1"/>
  <c r="BA48" i="8"/>
  <c r="BB48" i="8"/>
  <c r="BC48" i="8"/>
  <c r="BD48" i="8"/>
  <c r="BE48" i="8"/>
  <c r="BF48" i="8"/>
  <c r="BG48" i="8"/>
  <c r="BH48" i="8"/>
  <c r="BA49" i="8"/>
  <c r="AH47" i="7" s="1"/>
  <c r="BB49" i="8"/>
  <c r="AI47" i="7" s="1"/>
  <c r="BC49" i="8"/>
  <c r="AJ47" i="7" s="1"/>
  <c r="BD49" i="8"/>
  <c r="AK47" i="7" s="1"/>
  <c r="BE49" i="8"/>
  <c r="AL47" i="7" s="1"/>
  <c r="BF49" i="8"/>
  <c r="AM47" i="7" s="1"/>
  <c r="BG49" i="8"/>
  <c r="AN47" i="7" s="1"/>
  <c r="BH49" i="8"/>
  <c r="AO47" i="7" s="1"/>
  <c r="BA50" i="8"/>
  <c r="AH48" i="7" s="1"/>
  <c r="BB50" i="8"/>
  <c r="AI48" i="7" s="1"/>
  <c r="BC50" i="8"/>
  <c r="AJ48" i="7" s="1"/>
  <c r="BD50" i="8"/>
  <c r="AK48" i="7" s="1"/>
  <c r="BE50" i="8"/>
  <c r="AL48" i="7" s="1"/>
  <c r="BF50" i="8"/>
  <c r="AM48" i="7" s="1"/>
  <c r="BG50" i="8"/>
  <c r="AN48" i="7" s="1"/>
  <c r="BH50" i="8"/>
  <c r="AO48" i="7" s="1"/>
  <c r="BH37" i="8"/>
  <c r="AO35" i="7" s="1"/>
  <c r="BG37" i="8"/>
  <c r="AN35" i="7" s="1"/>
  <c r="BF37" i="8"/>
  <c r="AM35" i="7" s="1"/>
  <c r="BE37" i="8"/>
  <c r="AL35" i="7" s="1"/>
  <c r="BD37" i="8"/>
  <c r="AK35" i="7" s="1"/>
  <c r="BC37" i="8"/>
  <c r="AJ35" i="7" s="1"/>
  <c r="BB37" i="8"/>
  <c r="BA37" i="8"/>
  <c r="AH35" i="7" s="1"/>
  <c r="AR38" i="8"/>
  <c r="X36" i="7" s="1"/>
  <c r="AS38" i="8"/>
  <c r="Y36" i="7" s="1"/>
  <c r="AT38" i="8"/>
  <c r="Z36" i="7" s="1"/>
  <c r="AU38" i="8"/>
  <c r="AA36" i="7" s="1"/>
  <c r="AV38" i="8"/>
  <c r="AB36" i="7" s="1"/>
  <c r="AW38" i="8"/>
  <c r="AC36" i="7" s="1"/>
  <c r="AX38" i="8"/>
  <c r="AD36" i="7" s="1"/>
  <c r="AY38" i="8"/>
  <c r="AE36" i="7" s="1"/>
  <c r="AR39" i="8"/>
  <c r="X37" i="7" s="1"/>
  <c r="AS39" i="8"/>
  <c r="Y37" i="7" s="1"/>
  <c r="AT39" i="8"/>
  <c r="Z37" i="7" s="1"/>
  <c r="AU39" i="8"/>
  <c r="AA37" i="7" s="1"/>
  <c r="AV39" i="8"/>
  <c r="AB37" i="7" s="1"/>
  <c r="AW39" i="8"/>
  <c r="AC37" i="7" s="1"/>
  <c r="AX39" i="8"/>
  <c r="AD37" i="7" s="1"/>
  <c r="AY39" i="8"/>
  <c r="AE37" i="7" s="1"/>
  <c r="AR40" i="8"/>
  <c r="X38" i="7" s="1"/>
  <c r="AS40" i="8"/>
  <c r="Y38" i="7" s="1"/>
  <c r="AT40" i="8"/>
  <c r="Z38" i="7" s="1"/>
  <c r="AU40" i="8"/>
  <c r="AA38" i="7" s="1"/>
  <c r="AV40" i="8"/>
  <c r="AB38" i="7" s="1"/>
  <c r="AW40" i="8"/>
  <c r="AC38" i="7" s="1"/>
  <c r="AX40" i="8"/>
  <c r="AD38" i="7" s="1"/>
  <c r="AY40" i="8"/>
  <c r="AE38" i="7" s="1"/>
  <c r="AR41" i="8"/>
  <c r="X39" i="7" s="1"/>
  <c r="AS41" i="8"/>
  <c r="Y39" i="7" s="1"/>
  <c r="AT41" i="8"/>
  <c r="Z39" i="7" s="1"/>
  <c r="AU41" i="8"/>
  <c r="AA39" i="7" s="1"/>
  <c r="AV41" i="8"/>
  <c r="AB39" i="7" s="1"/>
  <c r="AW41" i="8"/>
  <c r="AC39" i="7" s="1"/>
  <c r="AX41" i="8"/>
  <c r="AD39" i="7" s="1"/>
  <c r="AY41" i="8"/>
  <c r="AE39" i="7" s="1"/>
  <c r="AR42" i="8"/>
  <c r="X40" i="7" s="1"/>
  <c r="AS42" i="8"/>
  <c r="Y40" i="7" s="1"/>
  <c r="AT42" i="8"/>
  <c r="Z40" i="7" s="1"/>
  <c r="AU42" i="8"/>
  <c r="AA40" i="7" s="1"/>
  <c r="AV42" i="8"/>
  <c r="AB40" i="7" s="1"/>
  <c r="AW42" i="8"/>
  <c r="AC40" i="7" s="1"/>
  <c r="AX42" i="8"/>
  <c r="AD40" i="7" s="1"/>
  <c r="AY42" i="8"/>
  <c r="AE40" i="7" s="1"/>
  <c r="AR43" i="8"/>
  <c r="X41" i="7" s="1"/>
  <c r="AS43" i="8"/>
  <c r="Y41" i="7" s="1"/>
  <c r="AT43" i="8"/>
  <c r="Z41" i="7" s="1"/>
  <c r="AU43" i="8"/>
  <c r="AA41" i="7" s="1"/>
  <c r="AV43" i="8"/>
  <c r="AB41" i="7" s="1"/>
  <c r="AW43" i="8"/>
  <c r="AC41" i="7" s="1"/>
  <c r="AX43" i="8"/>
  <c r="AD41" i="7" s="1"/>
  <c r="AY43" i="8"/>
  <c r="AE41" i="7" s="1"/>
  <c r="AR44" i="8"/>
  <c r="X42" i="7" s="1"/>
  <c r="AS44" i="8"/>
  <c r="Y42" i="7" s="1"/>
  <c r="AT44" i="8"/>
  <c r="Z42" i="7" s="1"/>
  <c r="AU44" i="8"/>
  <c r="AA42" i="7" s="1"/>
  <c r="AV44" i="8"/>
  <c r="AB42" i="7" s="1"/>
  <c r="AW44" i="8"/>
  <c r="AC42" i="7" s="1"/>
  <c r="AX44" i="8"/>
  <c r="AD42" i="7" s="1"/>
  <c r="AY44" i="8"/>
  <c r="AE42" i="7" s="1"/>
  <c r="AR45" i="8"/>
  <c r="X43" i="7" s="1"/>
  <c r="AS45" i="8"/>
  <c r="Y43" i="7" s="1"/>
  <c r="AT45" i="8"/>
  <c r="Z43" i="7" s="1"/>
  <c r="AU45" i="8"/>
  <c r="AA43" i="7" s="1"/>
  <c r="AV45" i="8"/>
  <c r="AB43" i="7" s="1"/>
  <c r="AW45" i="8"/>
  <c r="AC43" i="7" s="1"/>
  <c r="AX45" i="8"/>
  <c r="AD43" i="7" s="1"/>
  <c r="AY45" i="8"/>
  <c r="AE43" i="7" s="1"/>
  <c r="AR46" i="8"/>
  <c r="X44" i="7" s="1"/>
  <c r="AS46" i="8"/>
  <c r="Y44" i="7" s="1"/>
  <c r="AT46" i="8"/>
  <c r="Z44" i="7" s="1"/>
  <c r="AU46" i="8"/>
  <c r="AA44" i="7" s="1"/>
  <c r="AV46" i="8"/>
  <c r="AB44" i="7" s="1"/>
  <c r="AW46" i="8"/>
  <c r="AC44" i="7" s="1"/>
  <c r="AX46" i="8"/>
  <c r="AD44" i="7" s="1"/>
  <c r="AY46" i="8"/>
  <c r="AE44" i="7" s="1"/>
  <c r="AR47" i="8"/>
  <c r="X45" i="7" s="1"/>
  <c r="AS47" i="8"/>
  <c r="Y45" i="7" s="1"/>
  <c r="AT47" i="8"/>
  <c r="Z45" i="7" s="1"/>
  <c r="AU47" i="8"/>
  <c r="AA45" i="7" s="1"/>
  <c r="AV47" i="8"/>
  <c r="AB45" i="7" s="1"/>
  <c r="AW47" i="8"/>
  <c r="AC45" i="7" s="1"/>
  <c r="AX47" i="8"/>
  <c r="AD45" i="7" s="1"/>
  <c r="AY47" i="8"/>
  <c r="AE45" i="7" s="1"/>
  <c r="AR48" i="8"/>
  <c r="AS48" i="8"/>
  <c r="AT48" i="8"/>
  <c r="AU48" i="8"/>
  <c r="AV48" i="8"/>
  <c r="AW48" i="8"/>
  <c r="AX48" i="8"/>
  <c r="AY48" i="8"/>
  <c r="AR49" i="8"/>
  <c r="X47" i="7" s="1"/>
  <c r="AS49" i="8"/>
  <c r="Y47" i="7" s="1"/>
  <c r="AT49" i="8"/>
  <c r="Z47" i="7" s="1"/>
  <c r="AU49" i="8"/>
  <c r="AA47" i="7" s="1"/>
  <c r="AV49" i="8"/>
  <c r="AB47" i="7" s="1"/>
  <c r="AW49" i="8"/>
  <c r="AC47" i="7" s="1"/>
  <c r="AX49" i="8"/>
  <c r="AD47" i="7" s="1"/>
  <c r="AY49" i="8"/>
  <c r="AE47" i="7" s="1"/>
  <c r="AR50" i="8"/>
  <c r="X48" i="7" s="1"/>
  <c r="AS50" i="8"/>
  <c r="Y48" i="7" s="1"/>
  <c r="AT50" i="8"/>
  <c r="Z48" i="7" s="1"/>
  <c r="AU50" i="8"/>
  <c r="AA48" i="7" s="1"/>
  <c r="AV50" i="8"/>
  <c r="AB48" i="7" s="1"/>
  <c r="AW50" i="8"/>
  <c r="AC48" i="7" s="1"/>
  <c r="AX50" i="8"/>
  <c r="AD48" i="7" s="1"/>
  <c r="AY50" i="8"/>
  <c r="AE48" i="7" s="1"/>
  <c r="AY37" i="8"/>
  <c r="AE35" i="7" s="1"/>
  <c r="AX37" i="8"/>
  <c r="AD35" i="7" s="1"/>
  <c r="AW37" i="8"/>
  <c r="AC35" i="7" s="1"/>
  <c r="AV37" i="8"/>
  <c r="AB35" i="7" s="1"/>
  <c r="AU37" i="8"/>
  <c r="AA35" i="7" s="1"/>
  <c r="AT37" i="8"/>
  <c r="Z35" i="7" s="1"/>
  <c r="AS37" i="8"/>
  <c r="AR37" i="8"/>
  <c r="X35" i="7" s="1"/>
  <c r="AI38" i="8"/>
  <c r="N36" i="7" s="1"/>
  <c r="AJ38" i="8"/>
  <c r="O36" i="7" s="1"/>
  <c r="AK38" i="8"/>
  <c r="P36" i="7" s="1"/>
  <c r="AL38" i="8"/>
  <c r="Q36" i="7" s="1"/>
  <c r="AM38" i="8"/>
  <c r="R36" i="7" s="1"/>
  <c r="AN38" i="8"/>
  <c r="S36" i="7" s="1"/>
  <c r="AO38" i="8"/>
  <c r="T36" i="7" s="1"/>
  <c r="AP38" i="8"/>
  <c r="U36" i="7" s="1"/>
  <c r="AI39" i="8"/>
  <c r="N37" i="7" s="1"/>
  <c r="AJ39" i="8"/>
  <c r="O37" i="7" s="1"/>
  <c r="AK39" i="8"/>
  <c r="P37" i="7" s="1"/>
  <c r="AL39" i="8"/>
  <c r="Q37" i="7" s="1"/>
  <c r="AM39" i="8"/>
  <c r="R37" i="7" s="1"/>
  <c r="AN39" i="8"/>
  <c r="S37" i="7" s="1"/>
  <c r="AO39" i="8"/>
  <c r="T37" i="7" s="1"/>
  <c r="AP39" i="8"/>
  <c r="U37" i="7" s="1"/>
  <c r="AI40" i="8"/>
  <c r="N38" i="7" s="1"/>
  <c r="AJ40" i="8"/>
  <c r="O38" i="7" s="1"/>
  <c r="AK40" i="8"/>
  <c r="P38" i="7" s="1"/>
  <c r="AL40" i="8"/>
  <c r="Q38" i="7" s="1"/>
  <c r="AM40" i="8"/>
  <c r="R38" i="7" s="1"/>
  <c r="AN40" i="8"/>
  <c r="S38" i="7" s="1"/>
  <c r="AO40" i="8"/>
  <c r="T38" i="7" s="1"/>
  <c r="AP40" i="8"/>
  <c r="U38" i="7" s="1"/>
  <c r="AI41" i="8"/>
  <c r="N39" i="7" s="1"/>
  <c r="AJ41" i="8"/>
  <c r="O39" i="7" s="1"/>
  <c r="AK41" i="8"/>
  <c r="P39" i="7" s="1"/>
  <c r="AL41" i="8"/>
  <c r="Q39" i="7" s="1"/>
  <c r="AM41" i="8"/>
  <c r="R39" i="7" s="1"/>
  <c r="AN41" i="8"/>
  <c r="S39" i="7" s="1"/>
  <c r="AO41" i="8"/>
  <c r="T39" i="7" s="1"/>
  <c r="AP41" i="8"/>
  <c r="U39" i="7" s="1"/>
  <c r="AI42" i="8"/>
  <c r="N40" i="7" s="1"/>
  <c r="AJ42" i="8"/>
  <c r="O40" i="7" s="1"/>
  <c r="AK42" i="8"/>
  <c r="P40" i="7" s="1"/>
  <c r="AL42" i="8"/>
  <c r="Q40" i="7" s="1"/>
  <c r="AM42" i="8"/>
  <c r="R40" i="7" s="1"/>
  <c r="AN42" i="8"/>
  <c r="S40" i="7" s="1"/>
  <c r="AO42" i="8"/>
  <c r="T40" i="7" s="1"/>
  <c r="AP42" i="8"/>
  <c r="U40" i="7" s="1"/>
  <c r="AI43" i="8"/>
  <c r="N41" i="7" s="1"/>
  <c r="AJ43" i="8"/>
  <c r="O41" i="7" s="1"/>
  <c r="AK43" i="8"/>
  <c r="P41" i="7" s="1"/>
  <c r="AL43" i="8"/>
  <c r="Q41" i="7" s="1"/>
  <c r="AM43" i="8"/>
  <c r="R41" i="7" s="1"/>
  <c r="AN43" i="8"/>
  <c r="S41" i="7" s="1"/>
  <c r="AO43" i="8"/>
  <c r="T41" i="7" s="1"/>
  <c r="AP43" i="8"/>
  <c r="U41" i="7" s="1"/>
  <c r="AI44" i="8"/>
  <c r="N42" i="7" s="1"/>
  <c r="AJ44" i="8"/>
  <c r="O42" i="7" s="1"/>
  <c r="AK44" i="8"/>
  <c r="P42" i="7" s="1"/>
  <c r="AL44" i="8"/>
  <c r="Q42" i="7" s="1"/>
  <c r="AM44" i="8"/>
  <c r="R42" i="7" s="1"/>
  <c r="AN44" i="8"/>
  <c r="S42" i="7" s="1"/>
  <c r="AO44" i="8"/>
  <c r="T42" i="7" s="1"/>
  <c r="AP44" i="8"/>
  <c r="U42" i="7" s="1"/>
  <c r="AI45" i="8"/>
  <c r="N43" i="7" s="1"/>
  <c r="AJ45" i="8"/>
  <c r="O43" i="7" s="1"/>
  <c r="AK45" i="8"/>
  <c r="P43" i="7" s="1"/>
  <c r="AL45" i="8"/>
  <c r="Q43" i="7" s="1"/>
  <c r="AM45" i="8"/>
  <c r="R43" i="7" s="1"/>
  <c r="AN45" i="8"/>
  <c r="S43" i="7" s="1"/>
  <c r="AO45" i="8"/>
  <c r="T43" i="7" s="1"/>
  <c r="AP45" i="8"/>
  <c r="U43" i="7" s="1"/>
  <c r="AI46" i="8"/>
  <c r="N44" i="7" s="1"/>
  <c r="AJ46" i="8"/>
  <c r="O44" i="7" s="1"/>
  <c r="AK46" i="8"/>
  <c r="P44" i="7" s="1"/>
  <c r="AL46" i="8"/>
  <c r="Q44" i="7" s="1"/>
  <c r="AM46" i="8"/>
  <c r="R44" i="7" s="1"/>
  <c r="AN46" i="8"/>
  <c r="S44" i="7" s="1"/>
  <c r="AO46" i="8"/>
  <c r="T44" i="7" s="1"/>
  <c r="AP46" i="8"/>
  <c r="U44" i="7" s="1"/>
  <c r="AI47" i="8"/>
  <c r="N45" i="7" s="1"/>
  <c r="AJ47" i="8"/>
  <c r="O45" i="7" s="1"/>
  <c r="AK47" i="8"/>
  <c r="P45" i="7" s="1"/>
  <c r="AL47" i="8"/>
  <c r="Q45" i="7" s="1"/>
  <c r="AM47" i="8"/>
  <c r="R45" i="7" s="1"/>
  <c r="AN47" i="8"/>
  <c r="S45" i="7" s="1"/>
  <c r="AO47" i="8"/>
  <c r="T45" i="7" s="1"/>
  <c r="AP47" i="8"/>
  <c r="U45" i="7" s="1"/>
  <c r="AI48" i="8"/>
  <c r="AJ48" i="8"/>
  <c r="AK48" i="8"/>
  <c r="AL48" i="8"/>
  <c r="AM48" i="8"/>
  <c r="AN48" i="8"/>
  <c r="AO48" i="8"/>
  <c r="AP48" i="8"/>
  <c r="AI49" i="8"/>
  <c r="N47" i="7" s="1"/>
  <c r="AJ49" i="8"/>
  <c r="O47" i="7" s="1"/>
  <c r="AK49" i="8"/>
  <c r="P47" i="7" s="1"/>
  <c r="AL49" i="8"/>
  <c r="Q47" i="7" s="1"/>
  <c r="AM49" i="8"/>
  <c r="R47" i="7" s="1"/>
  <c r="AN49" i="8"/>
  <c r="S47" i="7" s="1"/>
  <c r="AO49" i="8"/>
  <c r="T47" i="7" s="1"/>
  <c r="AP49" i="8"/>
  <c r="U47" i="7" s="1"/>
  <c r="AI50" i="8"/>
  <c r="N48" i="7" s="1"/>
  <c r="AJ50" i="8"/>
  <c r="O48" i="7" s="1"/>
  <c r="AK50" i="8"/>
  <c r="P48" i="7" s="1"/>
  <c r="AL50" i="8"/>
  <c r="Q48" i="7" s="1"/>
  <c r="AM50" i="8"/>
  <c r="R48" i="7" s="1"/>
  <c r="AN50" i="8"/>
  <c r="S48" i="7" s="1"/>
  <c r="AO50" i="8"/>
  <c r="T48" i="7" s="1"/>
  <c r="AP50" i="8"/>
  <c r="U48" i="7" s="1"/>
  <c r="AP37" i="8"/>
  <c r="U35" i="7" s="1"/>
  <c r="AO37" i="8"/>
  <c r="T35" i="7" s="1"/>
  <c r="AN37" i="8"/>
  <c r="S35" i="7" s="1"/>
  <c r="AM37" i="8"/>
  <c r="R35" i="7" s="1"/>
  <c r="AL37" i="8"/>
  <c r="Q35" i="7" s="1"/>
  <c r="AK37" i="8"/>
  <c r="P35" i="7" s="1"/>
  <c r="AJ37" i="8"/>
  <c r="AI37" i="8"/>
  <c r="N35" i="7" s="1"/>
  <c r="Z38" i="8"/>
  <c r="D36" i="7" s="1"/>
  <c r="AA38" i="8"/>
  <c r="E36" i="7" s="1"/>
  <c r="AB38" i="8"/>
  <c r="F36" i="7" s="1"/>
  <c r="AC38" i="8"/>
  <c r="G36" i="7" s="1"/>
  <c r="AD38" i="8"/>
  <c r="H36" i="7" s="1"/>
  <c r="AE38" i="8"/>
  <c r="I36" i="7" s="1"/>
  <c r="AF38" i="8"/>
  <c r="AG38" i="8"/>
  <c r="K36" i="7" s="1"/>
  <c r="Z39" i="8"/>
  <c r="D37" i="7" s="1"/>
  <c r="AA39" i="8"/>
  <c r="E37" i="7" s="1"/>
  <c r="AB39" i="8"/>
  <c r="F37" i="7" s="1"/>
  <c r="AC39" i="8"/>
  <c r="G37" i="7" s="1"/>
  <c r="AD39" i="8"/>
  <c r="H37" i="7" s="1"/>
  <c r="AE39" i="8"/>
  <c r="AF39" i="8"/>
  <c r="J37" i="7" s="1"/>
  <c r="AG39" i="8"/>
  <c r="K37" i="7" s="1"/>
  <c r="Z40" i="8"/>
  <c r="D38" i="7" s="1"/>
  <c r="AA40" i="8"/>
  <c r="E38" i="7" s="1"/>
  <c r="AB40" i="8"/>
  <c r="F38" i="7" s="1"/>
  <c r="AC40" i="8"/>
  <c r="G38" i="7" s="1"/>
  <c r="AD40" i="8"/>
  <c r="H38" i="7" s="1"/>
  <c r="AE40" i="8"/>
  <c r="I38" i="7" s="1"/>
  <c r="AF40" i="8"/>
  <c r="J38" i="7" s="1"/>
  <c r="AG40" i="8"/>
  <c r="K38" i="7" s="1"/>
  <c r="Z41" i="8"/>
  <c r="D39" i="7" s="1"/>
  <c r="AA41" i="8"/>
  <c r="E39" i="7" s="1"/>
  <c r="AB41" i="8"/>
  <c r="F39" i="7" s="1"/>
  <c r="AC41" i="8"/>
  <c r="G39" i="7" s="1"/>
  <c r="AD41" i="8"/>
  <c r="H39" i="7" s="1"/>
  <c r="AE41" i="8"/>
  <c r="I39" i="7" s="1"/>
  <c r="AF41" i="8"/>
  <c r="J39" i="7" s="1"/>
  <c r="AG41" i="8"/>
  <c r="K39" i="7" s="1"/>
  <c r="Z42" i="8"/>
  <c r="D40" i="7" s="1"/>
  <c r="AA42" i="8"/>
  <c r="E40" i="7" s="1"/>
  <c r="AB42" i="8"/>
  <c r="F40" i="7" s="1"/>
  <c r="AC42" i="8"/>
  <c r="G40" i="7" s="1"/>
  <c r="AD42" i="8"/>
  <c r="H40" i="7" s="1"/>
  <c r="AE42" i="8"/>
  <c r="I40" i="7" s="1"/>
  <c r="AF42" i="8"/>
  <c r="J40" i="7" s="1"/>
  <c r="AG42" i="8"/>
  <c r="K40" i="7" s="1"/>
  <c r="Z43" i="8"/>
  <c r="D41" i="7" s="1"/>
  <c r="AA43" i="8"/>
  <c r="E41" i="7" s="1"/>
  <c r="AB43" i="8"/>
  <c r="F41" i="7" s="1"/>
  <c r="AC43" i="8"/>
  <c r="G41" i="7" s="1"/>
  <c r="AD43" i="8"/>
  <c r="H41" i="7" s="1"/>
  <c r="AE43" i="8"/>
  <c r="I41" i="7" s="1"/>
  <c r="AF43" i="8"/>
  <c r="J41" i="7" s="1"/>
  <c r="AG43" i="8"/>
  <c r="K41" i="7" s="1"/>
  <c r="Z44" i="8"/>
  <c r="D42" i="7" s="1"/>
  <c r="AA44" i="8"/>
  <c r="E42" i="7" s="1"/>
  <c r="AB44" i="8"/>
  <c r="F42" i="7" s="1"/>
  <c r="AC44" i="8"/>
  <c r="G42" i="7" s="1"/>
  <c r="AD44" i="8"/>
  <c r="H42" i="7" s="1"/>
  <c r="AE44" i="8"/>
  <c r="I42" i="7" s="1"/>
  <c r="AF44" i="8"/>
  <c r="J42" i="7" s="1"/>
  <c r="AG44" i="8"/>
  <c r="K42" i="7" s="1"/>
  <c r="Z45" i="8"/>
  <c r="D43" i="7" s="1"/>
  <c r="AA45" i="8"/>
  <c r="E43" i="7" s="1"/>
  <c r="AB45" i="8"/>
  <c r="F43" i="7" s="1"/>
  <c r="AC45" i="8"/>
  <c r="G43" i="7" s="1"/>
  <c r="AD45" i="8"/>
  <c r="H43" i="7" s="1"/>
  <c r="AE45" i="8"/>
  <c r="I43" i="7" s="1"/>
  <c r="AF45" i="8"/>
  <c r="J43" i="7" s="1"/>
  <c r="AG45" i="8"/>
  <c r="K43" i="7" s="1"/>
  <c r="Z46" i="8"/>
  <c r="D44" i="7" s="1"/>
  <c r="AA46" i="8"/>
  <c r="E44" i="7" s="1"/>
  <c r="AB46" i="8"/>
  <c r="F44" i="7" s="1"/>
  <c r="AC46" i="8"/>
  <c r="G44" i="7" s="1"/>
  <c r="AD46" i="8"/>
  <c r="H44" i="7" s="1"/>
  <c r="AE46" i="8"/>
  <c r="I44" i="7" s="1"/>
  <c r="AF46" i="8"/>
  <c r="J44" i="7" s="1"/>
  <c r="AG46" i="8"/>
  <c r="K44" i="7" s="1"/>
  <c r="Z47" i="8"/>
  <c r="D45" i="7" s="1"/>
  <c r="AA47" i="8"/>
  <c r="E45" i="7" s="1"/>
  <c r="AB47" i="8"/>
  <c r="F45" i="7" s="1"/>
  <c r="AC47" i="8"/>
  <c r="G45" i="7" s="1"/>
  <c r="AD47" i="8"/>
  <c r="H45" i="7" s="1"/>
  <c r="AE47" i="8"/>
  <c r="I45" i="7" s="1"/>
  <c r="AF47" i="8"/>
  <c r="J45" i="7" s="1"/>
  <c r="AG47" i="8"/>
  <c r="K45" i="7" s="1"/>
  <c r="Z48" i="8"/>
  <c r="AA48" i="8"/>
  <c r="AB48" i="8"/>
  <c r="AC48" i="8"/>
  <c r="AD48" i="8"/>
  <c r="AE48" i="8"/>
  <c r="AF48" i="8"/>
  <c r="AG48" i="8"/>
  <c r="Z49" i="8"/>
  <c r="D47" i="7" s="1"/>
  <c r="AA49" i="8"/>
  <c r="E47" i="7" s="1"/>
  <c r="AB49" i="8"/>
  <c r="F47" i="7" s="1"/>
  <c r="AC49" i="8"/>
  <c r="G47" i="7" s="1"/>
  <c r="AD49" i="8"/>
  <c r="H47" i="7" s="1"/>
  <c r="AE49" i="8"/>
  <c r="I47" i="7" s="1"/>
  <c r="AF49" i="8"/>
  <c r="J47" i="7" s="1"/>
  <c r="AG49" i="8"/>
  <c r="K47" i="7" s="1"/>
  <c r="Z50" i="8"/>
  <c r="D48" i="7" s="1"/>
  <c r="AA50" i="8"/>
  <c r="E48" i="7" s="1"/>
  <c r="AB50" i="8"/>
  <c r="F48" i="7" s="1"/>
  <c r="AC50" i="8"/>
  <c r="G48" i="7" s="1"/>
  <c r="AD50" i="8"/>
  <c r="H48" i="7" s="1"/>
  <c r="AE50" i="8"/>
  <c r="I48" i="7" s="1"/>
  <c r="AF50" i="8"/>
  <c r="J48" i="7" s="1"/>
  <c r="AG50" i="8"/>
  <c r="K48" i="7" s="1"/>
  <c r="AG37" i="8"/>
  <c r="K35" i="7" s="1"/>
  <c r="AF37" i="8"/>
  <c r="J35" i="7" s="1"/>
  <c r="AE37" i="8"/>
  <c r="I35" i="7" s="1"/>
  <c r="AD37" i="8"/>
  <c r="H35" i="7" s="1"/>
  <c r="AC37" i="8"/>
  <c r="G35" i="7" s="1"/>
  <c r="AB37" i="8"/>
  <c r="F35" i="7" s="1"/>
  <c r="AA37" i="8"/>
  <c r="E35" i="7" s="1"/>
  <c r="Z37" i="8"/>
  <c r="DC7" i="8"/>
  <c r="CP5" i="7" s="1"/>
  <c r="DD7" i="8"/>
  <c r="CQ5" i="7" s="1"/>
  <c r="DE7" i="8"/>
  <c r="CR5" i="7" s="1"/>
  <c r="DF7" i="8"/>
  <c r="CS5" i="7" s="1"/>
  <c r="DG7" i="8"/>
  <c r="CT5" i="7" s="1"/>
  <c r="DH7" i="8"/>
  <c r="DI7" i="8"/>
  <c r="CV5" i="7" s="1"/>
  <c r="DJ7" i="8"/>
  <c r="CW5" i="7" s="1"/>
  <c r="DC8" i="8"/>
  <c r="CP6" i="7" s="1"/>
  <c r="DD8" i="8"/>
  <c r="CQ6" i="7" s="1"/>
  <c r="DE8" i="8"/>
  <c r="CR6" i="7" s="1"/>
  <c r="DF8" i="8"/>
  <c r="CS6" i="7" s="1"/>
  <c r="DG8" i="8"/>
  <c r="CT6" i="7" s="1"/>
  <c r="DH8" i="8"/>
  <c r="DI8" i="8"/>
  <c r="CV6" i="7" s="1"/>
  <c r="DJ8" i="8"/>
  <c r="CW6" i="7" s="1"/>
  <c r="DC9" i="8"/>
  <c r="CP7" i="7" s="1"/>
  <c r="DD9" i="8"/>
  <c r="CQ7" i="7" s="1"/>
  <c r="DE9" i="8"/>
  <c r="CR7" i="7" s="1"/>
  <c r="DF9" i="8"/>
  <c r="CS7" i="7" s="1"/>
  <c r="DG9" i="8"/>
  <c r="CT7" i="7" s="1"/>
  <c r="DH9" i="8"/>
  <c r="DI9" i="8"/>
  <c r="CV7" i="7" s="1"/>
  <c r="DJ9" i="8"/>
  <c r="CW7" i="7" s="1"/>
  <c r="DC10" i="8"/>
  <c r="CP8" i="7" s="1"/>
  <c r="DD10" i="8"/>
  <c r="CQ8" i="7" s="1"/>
  <c r="DE10" i="8"/>
  <c r="CR8" i="7" s="1"/>
  <c r="DF10" i="8"/>
  <c r="CS8" i="7" s="1"/>
  <c r="DG10" i="8"/>
  <c r="CT8" i="7" s="1"/>
  <c r="DH10" i="8"/>
  <c r="DI10" i="8"/>
  <c r="CV8" i="7" s="1"/>
  <c r="DJ10" i="8"/>
  <c r="CW8" i="7" s="1"/>
  <c r="DC11" i="8"/>
  <c r="CP9" i="7" s="1"/>
  <c r="DD11" i="8"/>
  <c r="CQ9" i="7" s="1"/>
  <c r="DE11" i="8"/>
  <c r="CR9" i="7" s="1"/>
  <c r="DF11" i="8"/>
  <c r="CS9" i="7" s="1"/>
  <c r="DG11" i="8"/>
  <c r="CT9" i="7" s="1"/>
  <c r="DH11" i="8"/>
  <c r="DI11" i="8"/>
  <c r="CV9" i="7" s="1"/>
  <c r="DJ11" i="8"/>
  <c r="CW9" i="7" s="1"/>
  <c r="DC12" i="8"/>
  <c r="CP10" i="7" s="1"/>
  <c r="DD12" i="8"/>
  <c r="CQ10" i="7" s="1"/>
  <c r="DE12" i="8"/>
  <c r="CR10" i="7" s="1"/>
  <c r="DF12" i="8"/>
  <c r="CS10" i="7" s="1"/>
  <c r="DG12" i="8"/>
  <c r="CT10" i="7" s="1"/>
  <c r="DH12" i="8"/>
  <c r="DI12" i="8"/>
  <c r="CV10" i="7" s="1"/>
  <c r="DJ12" i="8"/>
  <c r="CW10" i="7" s="1"/>
  <c r="DC13" i="8"/>
  <c r="CP11" i="7" s="1"/>
  <c r="DD13" i="8"/>
  <c r="CQ11" i="7" s="1"/>
  <c r="DE13" i="8"/>
  <c r="CR11" i="7" s="1"/>
  <c r="DF13" i="8"/>
  <c r="CS11" i="7" s="1"/>
  <c r="DG13" i="8"/>
  <c r="CT11" i="7" s="1"/>
  <c r="DH13" i="8"/>
  <c r="DI13" i="8"/>
  <c r="CV11" i="7" s="1"/>
  <c r="DJ13" i="8"/>
  <c r="CW11" i="7" s="1"/>
  <c r="DC14" i="8"/>
  <c r="CP12" i="7" s="1"/>
  <c r="DD14" i="8"/>
  <c r="CQ12" i="7" s="1"/>
  <c r="DE14" i="8"/>
  <c r="CR12" i="7" s="1"/>
  <c r="DF14" i="8"/>
  <c r="CS12" i="7" s="1"/>
  <c r="DG14" i="8"/>
  <c r="CT12" i="7" s="1"/>
  <c r="DH14" i="8"/>
  <c r="DI14" i="8"/>
  <c r="CV12" i="7" s="1"/>
  <c r="DJ14" i="8"/>
  <c r="CW12" i="7" s="1"/>
  <c r="DC15" i="8"/>
  <c r="CP13" i="7" s="1"/>
  <c r="DD15" i="8"/>
  <c r="CQ13" i="7" s="1"/>
  <c r="DE15" i="8"/>
  <c r="CR13" i="7" s="1"/>
  <c r="DF15" i="8"/>
  <c r="CS13" i="7" s="1"/>
  <c r="DG15" i="8"/>
  <c r="CT13" i="7" s="1"/>
  <c r="DH15" i="8"/>
  <c r="DI15" i="8"/>
  <c r="CV13" i="7" s="1"/>
  <c r="DJ15" i="8"/>
  <c r="CW13" i="7" s="1"/>
  <c r="DC16" i="8"/>
  <c r="CP14" i="7" s="1"/>
  <c r="DD16" i="8"/>
  <c r="CQ14" i="7" s="1"/>
  <c r="DE16" i="8"/>
  <c r="CR14" i="7" s="1"/>
  <c r="DF16" i="8"/>
  <c r="CS14" i="7" s="1"/>
  <c r="DG16" i="8"/>
  <c r="CT14" i="7" s="1"/>
  <c r="DH16" i="8"/>
  <c r="DI16" i="8"/>
  <c r="CV14" i="7" s="1"/>
  <c r="DJ16" i="8"/>
  <c r="CW14" i="7" s="1"/>
  <c r="DC17" i="8"/>
  <c r="CP15" i="7" s="1"/>
  <c r="DD17" i="8"/>
  <c r="CQ15" i="7" s="1"/>
  <c r="DE17" i="8"/>
  <c r="CR15" i="7" s="1"/>
  <c r="DF17" i="8"/>
  <c r="CS15" i="7" s="1"/>
  <c r="DG17" i="8"/>
  <c r="CT15" i="7" s="1"/>
  <c r="DH17" i="8"/>
  <c r="DI17" i="8"/>
  <c r="CV15" i="7" s="1"/>
  <c r="DJ17" i="8"/>
  <c r="CW15" i="7" s="1"/>
  <c r="DC18" i="8"/>
  <c r="CP16" i="7" s="1"/>
  <c r="DD18" i="8"/>
  <c r="CQ16" i="7" s="1"/>
  <c r="DE18" i="8"/>
  <c r="CR16" i="7" s="1"/>
  <c r="DF18" i="8"/>
  <c r="CS16" i="7" s="1"/>
  <c r="DG18" i="8"/>
  <c r="CT16" i="7" s="1"/>
  <c r="DH18" i="8"/>
  <c r="DI18" i="8"/>
  <c r="CV16" i="7" s="1"/>
  <c r="DJ18" i="8"/>
  <c r="CW16" i="7" s="1"/>
  <c r="DJ6" i="8"/>
  <c r="CW4" i="7" s="1"/>
  <c r="DI6" i="8"/>
  <c r="CV4" i="7" s="1"/>
  <c r="DH6" i="8"/>
  <c r="DG6" i="8"/>
  <c r="CT4" i="7" s="1"/>
  <c r="DF6" i="8"/>
  <c r="CS4" i="7" s="1"/>
  <c r="DE6" i="8"/>
  <c r="CR4" i="7" s="1"/>
  <c r="DD6" i="8"/>
  <c r="CQ4" i="7" s="1"/>
  <c r="DC6" i="8"/>
  <c r="CP4" i="7" s="1"/>
  <c r="CT7" i="8"/>
  <c r="CF5" i="7" s="1"/>
  <c r="CU7" i="8"/>
  <c r="CG5" i="7" s="1"/>
  <c r="CV7" i="8"/>
  <c r="CH5" i="7" s="1"/>
  <c r="CW7" i="8"/>
  <c r="CI5" i="7" s="1"/>
  <c r="CX7" i="8"/>
  <c r="CJ5" i="7" s="1"/>
  <c r="CY7" i="8"/>
  <c r="CZ7" i="8"/>
  <c r="CL5" i="7" s="1"/>
  <c r="DA7" i="8"/>
  <c r="CM5" i="7" s="1"/>
  <c r="CT8" i="8"/>
  <c r="CF6" i="7" s="1"/>
  <c r="CU8" i="8"/>
  <c r="CG6" i="7" s="1"/>
  <c r="CV8" i="8"/>
  <c r="CH6" i="7" s="1"/>
  <c r="CW8" i="8"/>
  <c r="CI6" i="7" s="1"/>
  <c r="CX8" i="8"/>
  <c r="CJ6" i="7" s="1"/>
  <c r="CY8" i="8"/>
  <c r="CZ8" i="8"/>
  <c r="CL6" i="7" s="1"/>
  <c r="DA8" i="8"/>
  <c r="CM6" i="7" s="1"/>
  <c r="CT9" i="8"/>
  <c r="CF7" i="7" s="1"/>
  <c r="CU9" i="8"/>
  <c r="CG7" i="7" s="1"/>
  <c r="CV9" i="8"/>
  <c r="CH7" i="7" s="1"/>
  <c r="CW9" i="8"/>
  <c r="CI7" i="7" s="1"/>
  <c r="CX9" i="8"/>
  <c r="CJ7" i="7" s="1"/>
  <c r="CY9" i="8"/>
  <c r="CZ9" i="8"/>
  <c r="CL7" i="7" s="1"/>
  <c r="DA9" i="8"/>
  <c r="CM7" i="7" s="1"/>
  <c r="CT10" i="8"/>
  <c r="CF8" i="7" s="1"/>
  <c r="CU10" i="8"/>
  <c r="CG8" i="7" s="1"/>
  <c r="CV10" i="8"/>
  <c r="CH8" i="7" s="1"/>
  <c r="CW10" i="8"/>
  <c r="CI8" i="7" s="1"/>
  <c r="CX10" i="8"/>
  <c r="CJ8" i="7" s="1"/>
  <c r="CY10" i="8"/>
  <c r="CZ10" i="8"/>
  <c r="CL8" i="7" s="1"/>
  <c r="DA10" i="8"/>
  <c r="CM8" i="7" s="1"/>
  <c r="CT11" i="8"/>
  <c r="CF9" i="7" s="1"/>
  <c r="CU11" i="8"/>
  <c r="CG9" i="7" s="1"/>
  <c r="CV11" i="8"/>
  <c r="CH9" i="7" s="1"/>
  <c r="CW11" i="8"/>
  <c r="CI9" i="7" s="1"/>
  <c r="CX11" i="8"/>
  <c r="CJ9" i="7" s="1"/>
  <c r="CY11" i="8"/>
  <c r="CZ11" i="8"/>
  <c r="CL9" i="7" s="1"/>
  <c r="DA11" i="8"/>
  <c r="CM9" i="7" s="1"/>
  <c r="CT12" i="8"/>
  <c r="CF10" i="7" s="1"/>
  <c r="CU12" i="8"/>
  <c r="CG10" i="7" s="1"/>
  <c r="CV12" i="8"/>
  <c r="CH10" i="7" s="1"/>
  <c r="CW12" i="8"/>
  <c r="CI10" i="7" s="1"/>
  <c r="CX12" i="8"/>
  <c r="CJ10" i="7" s="1"/>
  <c r="CY12" i="8"/>
  <c r="CZ12" i="8"/>
  <c r="CL10" i="7" s="1"/>
  <c r="DA12" i="8"/>
  <c r="CM10" i="7" s="1"/>
  <c r="CT13" i="8"/>
  <c r="CF11" i="7" s="1"/>
  <c r="CU13" i="8"/>
  <c r="CG11" i="7" s="1"/>
  <c r="CV13" i="8"/>
  <c r="CH11" i="7" s="1"/>
  <c r="CW13" i="8"/>
  <c r="CI11" i="7" s="1"/>
  <c r="CX13" i="8"/>
  <c r="CJ11" i="7" s="1"/>
  <c r="CY13" i="8"/>
  <c r="CZ13" i="8"/>
  <c r="CL11" i="7" s="1"/>
  <c r="DA13" i="8"/>
  <c r="CM11" i="7" s="1"/>
  <c r="CT14" i="8"/>
  <c r="CF12" i="7" s="1"/>
  <c r="CU14" i="8"/>
  <c r="CG12" i="7" s="1"/>
  <c r="CV14" i="8"/>
  <c r="CH12" i="7" s="1"/>
  <c r="CW14" i="8"/>
  <c r="CI12" i="7" s="1"/>
  <c r="CX14" i="8"/>
  <c r="CJ12" i="7" s="1"/>
  <c r="CY14" i="8"/>
  <c r="CZ14" i="8"/>
  <c r="CL12" i="7" s="1"/>
  <c r="DA14" i="8"/>
  <c r="CM12" i="7" s="1"/>
  <c r="CT15" i="8"/>
  <c r="CF13" i="7" s="1"/>
  <c r="CU15" i="8"/>
  <c r="CG13" i="7" s="1"/>
  <c r="CV15" i="8"/>
  <c r="CH13" i="7" s="1"/>
  <c r="CW15" i="8"/>
  <c r="CI13" i="7" s="1"/>
  <c r="CX15" i="8"/>
  <c r="CJ13" i="7" s="1"/>
  <c r="CY15" i="8"/>
  <c r="CZ15" i="8"/>
  <c r="CL13" i="7" s="1"/>
  <c r="DA15" i="8"/>
  <c r="CM13" i="7" s="1"/>
  <c r="CT16" i="8"/>
  <c r="CF14" i="7" s="1"/>
  <c r="CU16" i="8"/>
  <c r="CG14" i="7" s="1"/>
  <c r="CV16" i="8"/>
  <c r="CH14" i="7" s="1"/>
  <c r="CW16" i="8"/>
  <c r="CI14" i="7" s="1"/>
  <c r="CX16" i="8"/>
  <c r="CJ14" i="7" s="1"/>
  <c r="CY16" i="8"/>
  <c r="CZ16" i="8"/>
  <c r="CL14" i="7" s="1"/>
  <c r="DA16" i="8"/>
  <c r="CM14" i="7" s="1"/>
  <c r="CT17" i="8"/>
  <c r="CF15" i="7" s="1"/>
  <c r="CU17" i="8"/>
  <c r="CG15" i="7" s="1"/>
  <c r="CV17" i="8"/>
  <c r="CH15" i="7" s="1"/>
  <c r="CW17" i="8"/>
  <c r="CI15" i="7" s="1"/>
  <c r="CX17" i="8"/>
  <c r="CJ15" i="7" s="1"/>
  <c r="CY17" i="8"/>
  <c r="CZ17" i="8"/>
  <c r="CL15" i="7" s="1"/>
  <c r="DA17" i="8"/>
  <c r="CM15" i="7" s="1"/>
  <c r="CT18" i="8"/>
  <c r="CF16" i="7" s="1"/>
  <c r="CU18" i="8"/>
  <c r="CG16" i="7" s="1"/>
  <c r="CV18" i="8"/>
  <c r="CH16" i="7" s="1"/>
  <c r="CW18" i="8"/>
  <c r="CI16" i="7" s="1"/>
  <c r="CX18" i="8"/>
  <c r="CJ16" i="7" s="1"/>
  <c r="CY18" i="8"/>
  <c r="CZ18" i="8"/>
  <c r="CL16" i="7" s="1"/>
  <c r="DA18" i="8"/>
  <c r="CM16" i="7" s="1"/>
  <c r="DA6" i="8"/>
  <c r="CM4" i="7" s="1"/>
  <c r="CZ6" i="8"/>
  <c r="CL4" i="7" s="1"/>
  <c r="CY6" i="8"/>
  <c r="CX6" i="8"/>
  <c r="CJ4" i="7" s="1"/>
  <c r="CW6" i="8"/>
  <c r="CI4" i="7" s="1"/>
  <c r="CV6" i="8"/>
  <c r="CH4" i="7" s="1"/>
  <c r="CU6" i="8"/>
  <c r="CG4" i="7" s="1"/>
  <c r="CT6" i="8"/>
  <c r="CF4" i="7" s="1"/>
  <c r="CK7" i="8"/>
  <c r="BV5" i="7" s="1"/>
  <c r="CL7" i="8"/>
  <c r="BW5" i="7" s="1"/>
  <c r="CM7" i="8"/>
  <c r="BX5" i="7" s="1"/>
  <c r="CN7" i="8"/>
  <c r="BY5" i="7" s="1"/>
  <c r="CO7" i="8"/>
  <c r="BZ5" i="7" s="1"/>
  <c r="CP7" i="8"/>
  <c r="CQ7" i="8"/>
  <c r="CB5" i="7" s="1"/>
  <c r="CR7" i="8"/>
  <c r="CC5" i="7" s="1"/>
  <c r="CK8" i="8"/>
  <c r="BV6" i="7" s="1"/>
  <c r="CL8" i="8"/>
  <c r="BW6" i="7" s="1"/>
  <c r="CM8" i="8"/>
  <c r="BX6" i="7" s="1"/>
  <c r="CN8" i="8"/>
  <c r="BY6" i="7" s="1"/>
  <c r="CO8" i="8"/>
  <c r="BZ6" i="7" s="1"/>
  <c r="CP8" i="8"/>
  <c r="CQ8" i="8"/>
  <c r="CB6" i="7" s="1"/>
  <c r="CR8" i="8"/>
  <c r="CC6" i="7" s="1"/>
  <c r="CK9" i="8"/>
  <c r="BV7" i="7" s="1"/>
  <c r="CL9" i="8"/>
  <c r="BW7" i="7" s="1"/>
  <c r="CM9" i="8"/>
  <c r="BX7" i="7" s="1"/>
  <c r="CN9" i="8"/>
  <c r="BY7" i="7" s="1"/>
  <c r="CO9" i="8"/>
  <c r="BZ7" i="7" s="1"/>
  <c r="CP9" i="8"/>
  <c r="CQ9" i="8"/>
  <c r="CB7" i="7" s="1"/>
  <c r="CR9" i="8"/>
  <c r="CC7" i="7" s="1"/>
  <c r="CK10" i="8"/>
  <c r="BV8" i="7" s="1"/>
  <c r="CL10" i="8"/>
  <c r="BW8" i="7" s="1"/>
  <c r="CM10" i="8"/>
  <c r="BX8" i="7" s="1"/>
  <c r="CN10" i="8"/>
  <c r="BY8" i="7" s="1"/>
  <c r="CO10" i="8"/>
  <c r="BZ8" i="7" s="1"/>
  <c r="CP10" i="8"/>
  <c r="CQ10" i="8"/>
  <c r="CB8" i="7" s="1"/>
  <c r="CR10" i="8"/>
  <c r="CC8" i="7" s="1"/>
  <c r="CK11" i="8"/>
  <c r="BV9" i="7" s="1"/>
  <c r="CL11" i="8"/>
  <c r="BW9" i="7" s="1"/>
  <c r="CM11" i="8"/>
  <c r="BX9" i="7" s="1"/>
  <c r="CN11" i="8"/>
  <c r="BY9" i="7" s="1"/>
  <c r="CO11" i="8"/>
  <c r="BZ9" i="7" s="1"/>
  <c r="CP11" i="8"/>
  <c r="CQ11" i="8"/>
  <c r="CB9" i="7" s="1"/>
  <c r="CR11" i="8"/>
  <c r="CC9" i="7" s="1"/>
  <c r="CK12" i="8"/>
  <c r="BV10" i="7" s="1"/>
  <c r="CL12" i="8"/>
  <c r="BW10" i="7" s="1"/>
  <c r="CM12" i="8"/>
  <c r="BX10" i="7" s="1"/>
  <c r="CN12" i="8"/>
  <c r="BY10" i="7" s="1"/>
  <c r="CO12" i="8"/>
  <c r="BZ10" i="7" s="1"/>
  <c r="CP12" i="8"/>
  <c r="CQ12" i="8"/>
  <c r="CB10" i="7" s="1"/>
  <c r="CR12" i="8"/>
  <c r="CC10" i="7" s="1"/>
  <c r="CK13" i="8"/>
  <c r="BV11" i="7" s="1"/>
  <c r="CL13" i="8"/>
  <c r="BW11" i="7" s="1"/>
  <c r="CM13" i="8"/>
  <c r="BX11" i="7" s="1"/>
  <c r="CN13" i="8"/>
  <c r="BY11" i="7" s="1"/>
  <c r="CO13" i="8"/>
  <c r="BZ11" i="7" s="1"/>
  <c r="CP13" i="8"/>
  <c r="CQ13" i="8"/>
  <c r="CB11" i="7" s="1"/>
  <c r="CR13" i="8"/>
  <c r="CC11" i="7" s="1"/>
  <c r="CK14" i="8"/>
  <c r="BV12" i="7" s="1"/>
  <c r="CL14" i="8"/>
  <c r="BW12" i="7" s="1"/>
  <c r="CM14" i="8"/>
  <c r="BX12" i="7" s="1"/>
  <c r="CN14" i="8"/>
  <c r="BY12" i="7" s="1"/>
  <c r="CO14" i="8"/>
  <c r="BZ12" i="7" s="1"/>
  <c r="CP14" i="8"/>
  <c r="CQ14" i="8"/>
  <c r="CB12" i="7" s="1"/>
  <c r="CR14" i="8"/>
  <c r="CC12" i="7" s="1"/>
  <c r="CK15" i="8"/>
  <c r="BV13" i="7" s="1"/>
  <c r="CL15" i="8"/>
  <c r="BW13" i="7" s="1"/>
  <c r="CM15" i="8"/>
  <c r="BX13" i="7" s="1"/>
  <c r="CN15" i="8"/>
  <c r="BY13" i="7" s="1"/>
  <c r="CO15" i="8"/>
  <c r="BZ13" i="7" s="1"/>
  <c r="CP15" i="8"/>
  <c r="CQ15" i="8"/>
  <c r="CB13" i="7" s="1"/>
  <c r="CR15" i="8"/>
  <c r="CC13" i="7" s="1"/>
  <c r="CK16" i="8"/>
  <c r="BV14" i="7" s="1"/>
  <c r="CL16" i="8"/>
  <c r="BW14" i="7" s="1"/>
  <c r="CM16" i="8"/>
  <c r="BX14" i="7" s="1"/>
  <c r="CN16" i="8"/>
  <c r="BY14" i="7" s="1"/>
  <c r="CO16" i="8"/>
  <c r="BZ14" i="7" s="1"/>
  <c r="CP16" i="8"/>
  <c r="CQ16" i="8"/>
  <c r="CB14" i="7" s="1"/>
  <c r="CR16" i="8"/>
  <c r="CC14" i="7" s="1"/>
  <c r="CK17" i="8"/>
  <c r="BV15" i="7" s="1"/>
  <c r="CL17" i="8"/>
  <c r="BW15" i="7" s="1"/>
  <c r="CM17" i="8"/>
  <c r="BX15" i="7" s="1"/>
  <c r="CN17" i="8"/>
  <c r="BY15" i="7" s="1"/>
  <c r="CO17" i="8"/>
  <c r="BZ15" i="7" s="1"/>
  <c r="CP17" i="8"/>
  <c r="CQ17" i="8"/>
  <c r="CB15" i="7" s="1"/>
  <c r="CR17" i="8"/>
  <c r="CC15" i="7" s="1"/>
  <c r="CK18" i="8"/>
  <c r="BV16" i="7" s="1"/>
  <c r="CL18" i="8"/>
  <c r="BW16" i="7" s="1"/>
  <c r="CM18" i="8"/>
  <c r="BX16" i="7" s="1"/>
  <c r="CN18" i="8"/>
  <c r="BY16" i="7" s="1"/>
  <c r="CO18" i="8"/>
  <c r="BZ16" i="7" s="1"/>
  <c r="CP18" i="8"/>
  <c r="CQ18" i="8"/>
  <c r="CB16" i="7" s="1"/>
  <c r="CR18" i="8"/>
  <c r="CC16" i="7" s="1"/>
  <c r="CR6" i="8"/>
  <c r="CC4" i="7" s="1"/>
  <c r="CQ6" i="8"/>
  <c r="CB4" i="7" s="1"/>
  <c r="CP6" i="8"/>
  <c r="CO6" i="8"/>
  <c r="CN6" i="8"/>
  <c r="BY4" i="7" s="1"/>
  <c r="CM6" i="8"/>
  <c r="BX4" i="7" s="1"/>
  <c r="CL6" i="8"/>
  <c r="BW4" i="7" s="1"/>
  <c r="CK6" i="8"/>
  <c r="BV4" i="7" s="1"/>
  <c r="CB7" i="8"/>
  <c r="BL5" i="7" s="1"/>
  <c r="CC7" i="8"/>
  <c r="BM5" i="7" s="1"/>
  <c r="CD7" i="8"/>
  <c r="BN5" i="7" s="1"/>
  <c r="CE7" i="8"/>
  <c r="CF7" i="8"/>
  <c r="BP5" i="7" s="1"/>
  <c r="CG7" i="8"/>
  <c r="CH7" i="8"/>
  <c r="BR5" i="7" s="1"/>
  <c r="CI7" i="8"/>
  <c r="BS5" i="7" s="1"/>
  <c r="CB8" i="8"/>
  <c r="BL6" i="7" s="1"/>
  <c r="CC8" i="8"/>
  <c r="BM6" i="7" s="1"/>
  <c r="CD8" i="8"/>
  <c r="BN6" i="7" s="1"/>
  <c r="CE8" i="8"/>
  <c r="BO6" i="7" s="1"/>
  <c r="CF8" i="8"/>
  <c r="BP6" i="7" s="1"/>
  <c r="CG8" i="8"/>
  <c r="CH8" i="8"/>
  <c r="BR6" i="7" s="1"/>
  <c r="CI8" i="8"/>
  <c r="BS6" i="7" s="1"/>
  <c r="CB9" i="8"/>
  <c r="BL7" i="7" s="1"/>
  <c r="CC9" i="8"/>
  <c r="BM7" i="7" s="1"/>
  <c r="CD9" i="8"/>
  <c r="BN7" i="7" s="1"/>
  <c r="CE9" i="8"/>
  <c r="BO7" i="7" s="1"/>
  <c r="CF9" i="8"/>
  <c r="BP7" i="7" s="1"/>
  <c r="CG9" i="8"/>
  <c r="CH9" i="8"/>
  <c r="BR7" i="7" s="1"/>
  <c r="CI9" i="8"/>
  <c r="BS7" i="7" s="1"/>
  <c r="CB10" i="8"/>
  <c r="BL8" i="7" s="1"/>
  <c r="CC10" i="8"/>
  <c r="BM8" i="7" s="1"/>
  <c r="CD10" i="8"/>
  <c r="BN8" i="7" s="1"/>
  <c r="CE10" i="8"/>
  <c r="BO8" i="7" s="1"/>
  <c r="CF10" i="8"/>
  <c r="BP8" i="7" s="1"/>
  <c r="CG10" i="8"/>
  <c r="CH10" i="8"/>
  <c r="BR8" i="7" s="1"/>
  <c r="CI10" i="8"/>
  <c r="BS8" i="7" s="1"/>
  <c r="CB11" i="8"/>
  <c r="BL9" i="7" s="1"/>
  <c r="CC11" i="8"/>
  <c r="BM9" i="7" s="1"/>
  <c r="CD11" i="8"/>
  <c r="BN9" i="7" s="1"/>
  <c r="CE11" i="8"/>
  <c r="BO9" i="7" s="1"/>
  <c r="CF11" i="8"/>
  <c r="BP9" i="7" s="1"/>
  <c r="CG11" i="8"/>
  <c r="CH11" i="8"/>
  <c r="BR9" i="7" s="1"/>
  <c r="CI11" i="8"/>
  <c r="BS9" i="7" s="1"/>
  <c r="CB12" i="8"/>
  <c r="BL10" i="7" s="1"/>
  <c r="CC12" i="8"/>
  <c r="BM10" i="7" s="1"/>
  <c r="CD12" i="8"/>
  <c r="BN10" i="7" s="1"/>
  <c r="CE12" i="8"/>
  <c r="BO10" i="7" s="1"/>
  <c r="CF12" i="8"/>
  <c r="BP10" i="7" s="1"/>
  <c r="CG12" i="8"/>
  <c r="CH12" i="8"/>
  <c r="BR10" i="7" s="1"/>
  <c r="CI12" i="8"/>
  <c r="BS10" i="7" s="1"/>
  <c r="CB13" i="8"/>
  <c r="BL11" i="7" s="1"/>
  <c r="CC13" i="8"/>
  <c r="BM11" i="7" s="1"/>
  <c r="CD13" i="8"/>
  <c r="BN11" i="7" s="1"/>
  <c r="CE13" i="8"/>
  <c r="BO11" i="7" s="1"/>
  <c r="CF13" i="8"/>
  <c r="BP11" i="7" s="1"/>
  <c r="CG13" i="8"/>
  <c r="CH13" i="8"/>
  <c r="BR11" i="7" s="1"/>
  <c r="CI13" i="8"/>
  <c r="BS11" i="7" s="1"/>
  <c r="CB14" i="8"/>
  <c r="BL12" i="7" s="1"/>
  <c r="CC14" i="8"/>
  <c r="BM12" i="7" s="1"/>
  <c r="CD14" i="8"/>
  <c r="BN12" i="7" s="1"/>
  <c r="CE14" i="8"/>
  <c r="BO12" i="7" s="1"/>
  <c r="CF14" i="8"/>
  <c r="BP12" i="7" s="1"/>
  <c r="CG14" i="8"/>
  <c r="CH14" i="8"/>
  <c r="BR12" i="7" s="1"/>
  <c r="CI14" i="8"/>
  <c r="BS12" i="7" s="1"/>
  <c r="CB15" i="8"/>
  <c r="BL13" i="7" s="1"/>
  <c r="CC15" i="8"/>
  <c r="BM13" i="7" s="1"/>
  <c r="CD15" i="8"/>
  <c r="BN13" i="7" s="1"/>
  <c r="CE15" i="8"/>
  <c r="BO13" i="7" s="1"/>
  <c r="CF15" i="8"/>
  <c r="BP13" i="7" s="1"/>
  <c r="CG15" i="8"/>
  <c r="CH15" i="8"/>
  <c r="BR13" i="7" s="1"/>
  <c r="CI15" i="8"/>
  <c r="BS13" i="7" s="1"/>
  <c r="CB16" i="8"/>
  <c r="BL14" i="7" s="1"/>
  <c r="CC16" i="8"/>
  <c r="BM14" i="7" s="1"/>
  <c r="CD16" i="8"/>
  <c r="BN14" i="7" s="1"/>
  <c r="CE16" i="8"/>
  <c r="BO14" i="7" s="1"/>
  <c r="CF16" i="8"/>
  <c r="BP14" i="7" s="1"/>
  <c r="CG16" i="8"/>
  <c r="CH16" i="8"/>
  <c r="BR14" i="7" s="1"/>
  <c r="CI16" i="8"/>
  <c r="BS14" i="7" s="1"/>
  <c r="CB17" i="8"/>
  <c r="BL15" i="7" s="1"/>
  <c r="CC17" i="8"/>
  <c r="BM15" i="7" s="1"/>
  <c r="CD17" i="8"/>
  <c r="BN15" i="7" s="1"/>
  <c r="CE17" i="8"/>
  <c r="BO15" i="7" s="1"/>
  <c r="CF17" i="8"/>
  <c r="BP15" i="7" s="1"/>
  <c r="CG17" i="8"/>
  <c r="CH17" i="8"/>
  <c r="BR15" i="7" s="1"/>
  <c r="CI17" i="8"/>
  <c r="BS15" i="7" s="1"/>
  <c r="CB18" i="8"/>
  <c r="BL16" i="7" s="1"/>
  <c r="CC18" i="8"/>
  <c r="BM16" i="7" s="1"/>
  <c r="CD18" i="8"/>
  <c r="BN16" i="7" s="1"/>
  <c r="CE18" i="8"/>
  <c r="BO16" i="7" s="1"/>
  <c r="CF18" i="8"/>
  <c r="BP16" i="7" s="1"/>
  <c r="CG18" i="8"/>
  <c r="CH18" i="8"/>
  <c r="BR16" i="7" s="1"/>
  <c r="CI18" i="8"/>
  <c r="BS16" i="7" s="1"/>
  <c r="CI6" i="8"/>
  <c r="BS4" i="7" s="1"/>
  <c r="CH6" i="8"/>
  <c r="BR4" i="7" s="1"/>
  <c r="CG6" i="8"/>
  <c r="CF6" i="8"/>
  <c r="CE6" i="8"/>
  <c r="BO4" i="7" s="1"/>
  <c r="CD6" i="8"/>
  <c r="BN4" i="7" s="1"/>
  <c r="CC6" i="8"/>
  <c r="BM4" i="7" s="1"/>
  <c r="CB6" i="8"/>
  <c r="BL4" i="7" s="1"/>
  <c r="BS7" i="8"/>
  <c r="BB5" i="7" s="1"/>
  <c r="BT7" i="8"/>
  <c r="BC5" i="7" s="1"/>
  <c r="BU7" i="8"/>
  <c r="BD5" i="7" s="1"/>
  <c r="BV7" i="8"/>
  <c r="BW7" i="8"/>
  <c r="BF5" i="7" s="1"/>
  <c r="BX7" i="8"/>
  <c r="BY7" i="8"/>
  <c r="BZ7" i="8"/>
  <c r="BI5" i="7" s="1"/>
  <c r="BS8" i="8"/>
  <c r="BB6" i="7" s="1"/>
  <c r="BT8" i="8"/>
  <c r="BC6" i="7" s="1"/>
  <c r="BU8" i="8"/>
  <c r="BD6" i="7" s="1"/>
  <c r="BV8" i="8"/>
  <c r="BE6" i="7" s="1"/>
  <c r="BW8" i="8"/>
  <c r="BF6" i="7" s="1"/>
  <c r="BX8" i="8"/>
  <c r="BY8" i="8"/>
  <c r="BH6" i="7" s="1"/>
  <c r="BZ8" i="8"/>
  <c r="BI6" i="7" s="1"/>
  <c r="BS9" i="8"/>
  <c r="BB7" i="7" s="1"/>
  <c r="BT9" i="8"/>
  <c r="BC7" i="7" s="1"/>
  <c r="BU9" i="8"/>
  <c r="BD7" i="7" s="1"/>
  <c r="BV9" i="8"/>
  <c r="BE7" i="7" s="1"/>
  <c r="BW9" i="8"/>
  <c r="BF7" i="7" s="1"/>
  <c r="BX9" i="8"/>
  <c r="BY9" i="8"/>
  <c r="BH7" i="7" s="1"/>
  <c r="BZ9" i="8"/>
  <c r="BI7" i="7" s="1"/>
  <c r="BS10" i="8"/>
  <c r="BB8" i="7" s="1"/>
  <c r="BT10" i="8"/>
  <c r="BC8" i="7" s="1"/>
  <c r="BU10" i="8"/>
  <c r="BD8" i="7" s="1"/>
  <c r="BV10" i="8"/>
  <c r="BE8" i="7" s="1"/>
  <c r="BW10" i="8"/>
  <c r="BF8" i="7" s="1"/>
  <c r="BX10" i="8"/>
  <c r="BY10" i="8"/>
  <c r="BH8" i="7" s="1"/>
  <c r="BZ10" i="8"/>
  <c r="BI8" i="7" s="1"/>
  <c r="BS11" i="8"/>
  <c r="BB9" i="7" s="1"/>
  <c r="BT11" i="8"/>
  <c r="BC9" i="7" s="1"/>
  <c r="BU11" i="8"/>
  <c r="BD9" i="7" s="1"/>
  <c r="BV11" i="8"/>
  <c r="BE9" i="7" s="1"/>
  <c r="BW11" i="8"/>
  <c r="BF9" i="7" s="1"/>
  <c r="BX11" i="8"/>
  <c r="BY11" i="8"/>
  <c r="BH9" i="7" s="1"/>
  <c r="BZ11" i="8"/>
  <c r="BI9" i="7" s="1"/>
  <c r="BS12" i="8"/>
  <c r="BB10" i="7" s="1"/>
  <c r="BT12" i="8"/>
  <c r="BC10" i="7" s="1"/>
  <c r="BU12" i="8"/>
  <c r="BD10" i="7" s="1"/>
  <c r="BV12" i="8"/>
  <c r="BE10" i="7" s="1"/>
  <c r="BW12" i="8"/>
  <c r="BF10" i="7" s="1"/>
  <c r="BX12" i="8"/>
  <c r="BY12" i="8"/>
  <c r="BH10" i="7" s="1"/>
  <c r="BZ12" i="8"/>
  <c r="BI10" i="7" s="1"/>
  <c r="BS13" i="8"/>
  <c r="BB11" i="7" s="1"/>
  <c r="BT13" i="8"/>
  <c r="BC11" i="7" s="1"/>
  <c r="BU13" i="8"/>
  <c r="BD11" i="7" s="1"/>
  <c r="BV13" i="8"/>
  <c r="BE11" i="7" s="1"/>
  <c r="BW13" i="8"/>
  <c r="BF11" i="7" s="1"/>
  <c r="BX13" i="8"/>
  <c r="BY13" i="8"/>
  <c r="BH11" i="7" s="1"/>
  <c r="BZ13" i="8"/>
  <c r="BI11" i="7" s="1"/>
  <c r="BS14" i="8"/>
  <c r="BB12" i="7" s="1"/>
  <c r="BT14" i="8"/>
  <c r="BC12" i="7" s="1"/>
  <c r="BU14" i="8"/>
  <c r="BD12" i="7" s="1"/>
  <c r="BV14" i="8"/>
  <c r="BE12" i="7" s="1"/>
  <c r="BW14" i="8"/>
  <c r="BF12" i="7" s="1"/>
  <c r="BX14" i="8"/>
  <c r="BY14" i="8"/>
  <c r="BH12" i="7" s="1"/>
  <c r="BZ14" i="8"/>
  <c r="BI12" i="7" s="1"/>
  <c r="BS15" i="8"/>
  <c r="BB13" i="7" s="1"/>
  <c r="BT15" i="8"/>
  <c r="BC13" i="7" s="1"/>
  <c r="BU15" i="8"/>
  <c r="BD13" i="7" s="1"/>
  <c r="BV15" i="8"/>
  <c r="BE13" i="7" s="1"/>
  <c r="BW15" i="8"/>
  <c r="BF13" i="7" s="1"/>
  <c r="BX15" i="8"/>
  <c r="BY15" i="8"/>
  <c r="BH13" i="7" s="1"/>
  <c r="BZ15" i="8"/>
  <c r="BI13" i="7" s="1"/>
  <c r="BS16" i="8"/>
  <c r="BB14" i="7" s="1"/>
  <c r="BT16" i="8"/>
  <c r="BC14" i="7" s="1"/>
  <c r="BU16" i="8"/>
  <c r="BD14" i="7" s="1"/>
  <c r="BV16" i="8"/>
  <c r="BE14" i="7" s="1"/>
  <c r="BW16" i="8"/>
  <c r="BF14" i="7" s="1"/>
  <c r="BX16" i="8"/>
  <c r="BY16" i="8"/>
  <c r="BH14" i="7" s="1"/>
  <c r="BZ16" i="8"/>
  <c r="BI14" i="7" s="1"/>
  <c r="BS17" i="8"/>
  <c r="BB15" i="7" s="1"/>
  <c r="BT17" i="8"/>
  <c r="BC15" i="7" s="1"/>
  <c r="BU17" i="8"/>
  <c r="BD15" i="7" s="1"/>
  <c r="BV17" i="8"/>
  <c r="BE15" i="7" s="1"/>
  <c r="BW17" i="8"/>
  <c r="BF15" i="7" s="1"/>
  <c r="BX17" i="8"/>
  <c r="BY17" i="8"/>
  <c r="BH15" i="7" s="1"/>
  <c r="BZ17" i="8"/>
  <c r="BI15" i="7" s="1"/>
  <c r="BS18" i="8"/>
  <c r="BB16" i="7" s="1"/>
  <c r="BT18" i="8"/>
  <c r="BC16" i="7" s="1"/>
  <c r="BU18" i="8"/>
  <c r="BD16" i="7" s="1"/>
  <c r="BV18" i="8"/>
  <c r="BE16" i="7" s="1"/>
  <c r="BW18" i="8"/>
  <c r="BF16" i="7" s="1"/>
  <c r="BX18" i="8"/>
  <c r="BY18" i="8"/>
  <c r="BH16" i="7" s="1"/>
  <c r="BZ18" i="8"/>
  <c r="BI16" i="7" s="1"/>
  <c r="BZ6" i="8"/>
  <c r="BI4" i="7" s="1"/>
  <c r="BY6" i="8"/>
  <c r="BH4" i="7" s="1"/>
  <c r="BX6" i="8"/>
  <c r="BW6" i="8"/>
  <c r="BV6" i="8"/>
  <c r="BE4" i="7" s="1"/>
  <c r="BU6" i="8"/>
  <c r="BD4" i="7" s="1"/>
  <c r="BT6" i="8"/>
  <c r="BC4" i="7" s="1"/>
  <c r="BS6" i="8"/>
  <c r="BB4" i="7" s="1"/>
  <c r="BJ7" i="8"/>
  <c r="AR5" i="7" s="1"/>
  <c r="BK7" i="8"/>
  <c r="AS5" i="7" s="1"/>
  <c r="BL7" i="8"/>
  <c r="AT5" i="7" s="1"/>
  <c r="BM7" i="8"/>
  <c r="AU5" i="7" s="1"/>
  <c r="BN7" i="8"/>
  <c r="AV5" i="7" s="1"/>
  <c r="BO7" i="8"/>
  <c r="BP7" i="8"/>
  <c r="AX5" i="7" s="1"/>
  <c r="BQ7" i="8"/>
  <c r="AY5" i="7" s="1"/>
  <c r="BJ8" i="8"/>
  <c r="AR6" i="7" s="1"/>
  <c r="BK8" i="8"/>
  <c r="AS6" i="7" s="1"/>
  <c r="BL8" i="8"/>
  <c r="AT6" i="7" s="1"/>
  <c r="BM8" i="8"/>
  <c r="AU6" i="7" s="1"/>
  <c r="BN8" i="8"/>
  <c r="AV6" i="7" s="1"/>
  <c r="BO8" i="8"/>
  <c r="BP8" i="8"/>
  <c r="AX6" i="7" s="1"/>
  <c r="BQ8" i="8"/>
  <c r="AY6" i="7" s="1"/>
  <c r="BJ9" i="8"/>
  <c r="AR7" i="7" s="1"/>
  <c r="BK9" i="8"/>
  <c r="AS7" i="7" s="1"/>
  <c r="BL9" i="8"/>
  <c r="AT7" i="7" s="1"/>
  <c r="BM9" i="8"/>
  <c r="AU7" i="7" s="1"/>
  <c r="BN9" i="8"/>
  <c r="AV7" i="7" s="1"/>
  <c r="BO9" i="8"/>
  <c r="BP9" i="8"/>
  <c r="AX7" i="7" s="1"/>
  <c r="BQ9" i="8"/>
  <c r="AY7" i="7" s="1"/>
  <c r="BJ10" i="8"/>
  <c r="AR8" i="7" s="1"/>
  <c r="BK10" i="8"/>
  <c r="AS8" i="7" s="1"/>
  <c r="BL10" i="8"/>
  <c r="AT8" i="7" s="1"/>
  <c r="BM10" i="8"/>
  <c r="AU8" i="7" s="1"/>
  <c r="BN10" i="8"/>
  <c r="AV8" i="7" s="1"/>
  <c r="BO10" i="8"/>
  <c r="BP10" i="8"/>
  <c r="AX8" i="7" s="1"/>
  <c r="BQ10" i="8"/>
  <c r="AY8" i="7" s="1"/>
  <c r="BJ11" i="8"/>
  <c r="AR9" i="7" s="1"/>
  <c r="BK11" i="8"/>
  <c r="AS9" i="7" s="1"/>
  <c r="BL11" i="8"/>
  <c r="AT9" i="7" s="1"/>
  <c r="BM11" i="8"/>
  <c r="AU9" i="7" s="1"/>
  <c r="BN11" i="8"/>
  <c r="AV9" i="7" s="1"/>
  <c r="BO11" i="8"/>
  <c r="BP11" i="8"/>
  <c r="AX9" i="7" s="1"/>
  <c r="BQ11" i="8"/>
  <c r="AY9" i="7" s="1"/>
  <c r="BJ12" i="8"/>
  <c r="AR10" i="7" s="1"/>
  <c r="BK12" i="8"/>
  <c r="AS10" i="7" s="1"/>
  <c r="BL12" i="8"/>
  <c r="AT10" i="7" s="1"/>
  <c r="BM12" i="8"/>
  <c r="AU10" i="7" s="1"/>
  <c r="BN12" i="8"/>
  <c r="AV10" i="7" s="1"/>
  <c r="BO12" i="8"/>
  <c r="BP12" i="8"/>
  <c r="AX10" i="7" s="1"/>
  <c r="BQ12" i="8"/>
  <c r="AY10" i="7" s="1"/>
  <c r="BJ13" i="8"/>
  <c r="AR11" i="7" s="1"/>
  <c r="BK13" i="8"/>
  <c r="AS11" i="7" s="1"/>
  <c r="BL13" i="8"/>
  <c r="AT11" i="7" s="1"/>
  <c r="BM13" i="8"/>
  <c r="AU11" i="7" s="1"/>
  <c r="BN13" i="8"/>
  <c r="AV11" i="7" s="1"/>
  <c r="BO13" i="8"/>
  <c r="BP13" i="8"/>
  <c r="AX11" i="7" s="1"/>
  <c r="BQ13" i="8"/>
  <c r="AY11" i="7" s="1"/>
  <c r="BJ14" i="8"/>
  <c r="AR12" i="7" s="1"/>
  <c r="BK14" i="8"/>
  <c r="AS12" i="7" s="1"/>
  <c r="BL14" i="8"/>
  <c r="AT12" i="7" s="1"/>
  <c r="BM14" i="8"/>
  <c r="AU12" i="7" s="1"/>
  <c r="BN14" i="8"/>
  <c r="AV12" i="7" s="1"/>
  <c r="BO14" i="8"/>
  <c r="BP14" i="8"/>
  <c r="AX12" i="7" s="1"/>
  <c r="BQ14" i="8"/>
  <c r="AY12" i="7" s="1"/>
  <c r="BJ15" i="8"/>
  <c r="AR13" i="7" s="1"/>
  <c r="BK15" i="8"/>
  <c r="AS13" i="7" s="1"/>
  <c r="BL15" i="8"/>
  <c r="AT13" i="7" s="1"/>
  <c r="BM15" i="8"/>
  <c r="AU13" i="7" s="1"/>
  <c r="BN15" i="8"/>
  <c r="AV13" i="7" s="1"/>
  <c r="BO15" i="8"/>
  <c r="BP15" i="8"/>
  <c r="AX13" i="7" s="1"/>
  <c r="BQ15" i="8"/>
  <c r="AY13" i="7" s="1"/>
  <c r="BJ16" i="8"/>
  <c r="AR14" i="7" s="1"/>
  <c r="BK16" i="8"/>
  <c r="AS14" i="7" s="1"/>
  <c r="BL16" i="8"/>
  <c r="AT14" i="7" s="1"/>
  <c r="BM16" i="8"/>
  <c r="AU14" i="7" s="1"/>
  <c r="BN16" i="8"/>
  <c r="AV14" i="7" s="1"/>
  <c r="BO16" i="8"/>
  <c r="BP16" i="8"/>
  <c r="AX14" i="7" s="1"/>
  <c r="BQ16" i="8"/>
  <c r="AY14" i="7" s="1"/>
  <c r="BJ17" i="8"/>
  <c r="AR15" i="7" s="1"/>
  <c r="BK17" i="8"/>
  <c r="AS15" i="7" s="1"/>
  <c r="BL17" i="8"/>
  <c r="AT15" i="7" s="1"/>
  <c r="BM17" i="8"/>
  <c r="AU15" i="7" s="1"/>
  <c r="BN17" i="8"/>
  <c r="AV15" i="7" s="1"/>
  <c r="BO17" i="8"/>
  <c r="BP17" i="8"/>
  <c r="AX15" i="7" s="1"/>
  <c r="BQ17" i="8"/>
  <c r="AY15" i="7" s="1"/>
  <c r="BJ18" i="8"/>
  <c r="AR16" i="7" s="1"/>
  <c r="BK18" i="8"/>
  <c r="AS16" i="7" s="1"/>
  <c r="BL18" i="8"/>
  <c r="AT16" i="7" s="1"/>
  <c r="BM18" i="8"/>
  <c r="AU16" i="7" s="1"/>
  <c r="BN18" i="8"/>
  <c r="AV16" i="7" s="1"/>
  <c r="BO18" i="8"/>
  <c r="BP18" i="8"/>
  <c r="AX16" i="7" s="1"/>
  <c r="BQ18" i="8"/>
  <c r="AY16" i="7" s="1"/>
  <c r="BQ6" i="8"/>
  <c r="AY4" i="7" s="1"/>
  <c r="BP6" i="8"/>
  <c r="AX4" i="7" s="1"/>
  <c r="BO6" i="8"/>
  <c r="BN6" i="8"/>
  <c r="AV4" i="7" s="1"/>
  <c r="BM6" i="8"/>
  <c r="AU4" i="7" s="1"/>
  <c r="BL6" i="8"/>
  <c r="AT4" i="7" s="1"/>
  <c r="BK6" i="8"/>
  <c r="AS4" i="7" s="1"/>
  <c r="BJ6" i="8"/>
  <c r="AR4" i="7" s="1"/>
  <c r="BA18" i="8"/>
  <c r="AH16" i="7" s="1"/>
  <c r="BB18" i="8"/>
  <c r="AI16" i="7" s="1"/>
  <c r="BC18" i="8"/>
  <c r="AJ16" i="7" s="1"/>
  <c r="BD18" i="8"/>
  <c r="AK16" i="7" s="1"/>
  <c r="BE18" i="8"/>
  <c r="AL16" i="7" s="1"/>
  <c r="BF18" i="8"/>
  <c r="BG18" i="8"/>
  <c r="AN16" i="7" s="1"/>
  <c r="BH18" i="8"/>
  <c r="AO16" i="7" s="1"/>
  <c r="BA7" i="8"/>
  <c r="AH5" i="7" s="1"/>
  <c r="BB7" i="8"/>
  <c r="AI5" i="7" s="1"/>
  <c r="BC7" i="8"/>
  <c r="AJ5" i="7" s="1"/>
  <c r="BD7" i="8"/>
  <c r="AK5" i="7" s="1"/>
  <c r="BE7" i="8"/>
  <c r="AL5" i="7" s="1"/>
  <c r="BF7" i="8"/>
  <c r="BG7" i="8"/>
  <c r="AN5" i="7" s="1"/>
  <c r="BH7" i="8"/>
  <c r="AO5" i="7" s="1"/>
  <c r="BA8" i="8"/>
  <c r="AH6" i="7" s="1"/>
  <c r="BB8" i="8"/>
  <c r="AI6" i="7" s="1"/>
  <c r="BC8" i="8"/>
  <c r="AJ6" i="7" s="1"/>
  <c r="BD8" i="8"/>
  <c r="AK6" i="7" s="1"/>
  <c r="BE8" i="8"/>
  <c r="AL6" i="7" s="1"/>
  <c r="BF8" i="8"/>
  <c r="BG8" i="8"/>
  <c r="AN6" i="7" s="1"/>
  <c r="BH8" i="8"/>
  <c r="AO6" i="7" s="1"/>
  <c r="BA9" i="8"/>
  <c r="AH7" i="7" s="1"/>
  <c r="BB9" i="8"/>
  <c r="AI7" i="7" s="1"/>
  <c r="BC9" i="8"/>
  <c r="AJ7" i="7" s="1"/>
  <c r="BD9" i="8"/>
  <c r="AK7" i="7" s="1"/>
  <c r="BE9" i="8"/>
  <c r="AL7" i="7" s="1"/>
  <c r="BF9" i="8"/>
  <c r="BG9" i="8"/>
  <c r="AN7" i="7" s="1"/>
  <c r="BH9" i="8"/>
  <c r="AO7" i="7" s="1"/>
  <c r="BA10" i="8"/>
  <c r="AH8" i="7" s="1"/>
  <c r="BB10" i="8"/>
  <c r="AI8" i="7" s="1"/>
  <c r="BC10" i="8"/>
  <c r="AJ8" i="7" s="1"/>
  <c r="BD10" i="8"/>
  <c r="AK8" i="7" s="1"/>
  <c r="BE10" i="8"/>
  <c r="AL8" i="7" s="1"/>
  <c r="BF10" i="8"/>
  <c r="BG10" i="8"/>
  <c r="AN8" i="7" s="1"/>
  <c r="BH10" i="8"/>
  <c r="AO8" i="7" s="1"/>
  <c r="BA11" i="8"/>
  <c r="AH9" i="7" s="1"/>
  <c r="BB11" i="8"/>
  <c r="AI9" i="7" s="1"/>
  <c r="BC11" i="8"/>
  <c r="AJ9" i="7" s="1"/>
  <c r="BD11" i="8"/>
  <c r="AK9" i="7" s="1"/>
  <c r="BE11" i="8"/>
  <c r="AL9" i="7" s="1"/>
  <c r="BF11" i="8"/>
  <c r="BG11" i="8"/>
  <c r="AN9" i="7" s="1"/>
  <c r="BH11" i="8"/>
  <c r="AO9" i="7" s="1"/>
  <c r="BA12" i="8"/>
  <c r="AH10" i="7" s="1"/>
  <c r="BB12" i="8"/>
  <c r="AI10" i="7" s="1"/>
  <c r="BC12" i="8"/>
  <c r="AJ10" i="7" s="1"/>
  <c r="BD12" i="8"/>
  <c r="AK10" i="7" s="1"/>
  <c r="BE12" i="8"/>
  <c r="AL10" i="7" s="1"/>
  <c r="BF12" i="8"/>
  <c r="BG12" i="8"/>
  <c r="AN10" i="7" s="1"/>
  <c r="BH12" i="8"/>
  <c r="AO10" i="7" s="1"/>
  <c r="BA13" i="8"/>
  <c r="AH11" i="7" s="1"/>
  <c r="BB13" i="8"/>
  <c r="AI11" i="7" s="1"/>
  <c r="BC13" i="8"/>
  <c r="AJ11" i="7" s="1"/>
  <c r="BD13" i="8"/>
  <c r="AK11" i="7" s="1"/>
  <c r="BE13" i="8"/>
  <c r="AL11" i="7" s="1"/>
  <c r="BF13" i="8"/>
  <c r="BG13" i="8"/>
  <c r="AN11" i="7" s="1"/>
  <c r="BH13" i="8"/>
  <c r="AO11" i="7" s="1"/>
  <c r="BA14" i="8"/>
  <c r="AH12" i="7" s="1"/>
  <c r="BB14" i="8"/>
  <c r="AI12" i="7" s="1"/>
  <c r="BC14" i="8"/>
  <c r="AJ12" i="7" s="1"/>
  <c r="BD14" i="8"/>
  <c r="AK12" i="7" s="1"/>
  <c r="BE14" i="8"/>
  <c r="AL12" i="7" s="1"/>
  <c r="BF14" i="8"/>
  <c r="BG14" i="8"/>
  <c r="AN12" i="7" s="1"/>
  <c r="BH14" i="8"/>
  <c r="AO12" i="7" s="1"/>
  <c r="BA15" i="8"/>
  <c r="AH13" i="7" s="1"/>
  <c r="BB15" i="8"/>
  <c r="AI13" i="7" s="1"/>
  <c r="BC15" i="8"/>
  <c r="AJ13" i="7" s="1"/>
  <c r="BD15" i="8"/>
  <c r="AK13" i="7" s="1"/>
  <c r="BE15" i="8"/>
  <c r="AL13" i="7" s="1"/>
  <c r="BF15" i="8"/>
  <c r="BG15" i="8"/>
  <c r="AN13" i="7" s="1"/>
  <c r="BH15" i="8"/>
  <c r="AO13" i="7" s="1"/>
  <c r="BA16" i="8"/>
  <c r="AH14" i="7" s="1"/>
  <c r="BB16" i="8"/>
  <c r="AI14" i="7" s="1"/>
  <c r="BC16" i="8"/>
  <c r="AJ14" i="7" s="1"/>
  <c r="BD16" i="8"/>
  <c r="AK14" i="7" s="1"/>
  <c r="BE16" i="8"/>
  <c r="AL14" i="7" s="1"/>
  <c r="BF16" i="8"/>
  <c r="BG16" i="8"/>
  <c r="AN14" i="7" s="1"/>
  <c r="BH16" i="8"/>
  <c r="AO14" i="7" s="1"/>
  <c r="BA17" i="8"/>
  <c r="AH15" i="7" s="1"/>
  <c r="BB17" i="8"/>
  <c r="AI15" i="7" s="1"/>
  <c r="BC17" i="8"/>
  <c r="AJ15" i="7" s="1"/>
  <c r="BD17" i="8"/>
  <c r="AK15" i="7" s="1"/>
  <c r="BE17" i="8"/>
  <c r="AL15" i="7" s="1"/>
  <c r="BF17" i="8"/>
  <c r="BG17" i="8"/>
  <c r="AN15" i="7" s="1"/>
  <c r="BH17" i="8"/>
  <c r="AO15" i="7" s="1"/>
  <c r="BH6" i="8"/>
  <c r="AO4" i="7" s="1"/>
  <c r="BG6" i="8"/>
  <c r="AN4" i="7" s="1"/>
  <c r="BF6" i="8"/>
  <c r="BE6" i="8"/>
  <c r="AL4" i="7" s="1"/>
  <c r="BD6" i="8"/>
  <c r="AK4" i="7" s="1"/>
  <c r="BC6" i="8"/>
  <c r="AJ4" i="7" s="1"/>
  <c r="BB6" i="8"/>
  <c r="AI4" i="7" s="1"/>
  <c r="BA6" i="8"/>
  <c r="AH4" i="7" s="1"/>
  <c r="AR7" i="8"/>
  <c r="X5" i="7" s="1"/>
  <c r="AS7" i="8"/>
  <c r="Y5" i="7" s="1"/>
  <c r="AT7" i="8"/>
  <c r="Z5" i="7" s="1"/>
  <c r="AU7" i="8"/>
  <c r="AA5" i="7" s="1"/>
  <c r="AV7" i="8"/>
  <c r="AB5" i="7" s="1"/>
  <c r="AW7" i="8"/>
  <c r="AX7" i="8"/>
  <c r="AD5" i="7" s="1"/>
  <c r="AY7" i="8"/>
  <c r="AE5" i="7" s="1"/>
  <c r="AR8" i="8"/>
  <c r="X6" i="7" s="1"/>
  <c r="AS8" i="8"/>
  <c r="Y6" i="7" s="1"/>
  <c r="AT8" i="8"/>
  <c r="Z6" i="7" s="1"/>
  <c r="AU8" i="8"/>
  <c r="AA6" i="7" s="1"/>
  <c r="AV8" i="8"/>
  <c r="AB6" i="7" s="1"/>
  <c r="AW8" i="8"/>
  <c r="AX8" i="8"/>
  <c r="AD6" i="7" s="1"/>
  <c r="AY8" i="8"/>
  <c r="AE6" i="7" s="1"/>
  <c r="AR9" i="8"/>
  <c r="X7" i="7" s="1"/>
  <c r="AS9" i="8"/>
  <c r="Y7" i="7" s="1"/>
  <c r="AT9" i="8"/>
  <c r="Z7" i="7" s="1"/>
  <c r="AU9" i="8"/>
  <c r="AA7" i="7" s="1"/>
  <c r="AV9" i="8"/>
  <c r="AB7" i="7" s="1"/>
  <c r="AW9" i="8"/>
  <c r="AX9" i="8"/>
  <c r="AD7" i="7" s="1"/>
  <c r="AY9" i="8"/>
  <c r="AE7" i="7" s="1"/>
  <c r="AR10" i="8"/>
  <c r="X8" i="7" s="1"/>
  <c r="AS10" i="8"/>
  <c r="Y8" i="7" s="1"/>
  <c r="AT10" i="8"/>
  <c r="Z8" i="7" s="1"/>
  <c r="AU10" i="8"/>
  <c r="AA8" i="7" s="1"/>
  <c r="AV10" i="8"/>
  <c r="AB8" i="7" s="1"/>
  <c r="AW10" i="8"/>
  <c r="AX10" i="8"/>
  <c r="AD8" i="7" s="1"/>
  <c r="AY10" i="8"/>
  <c r="AE8" i="7" s="1"/>
  <c r="AR11" i="8"/>
  <c r="X9" i="7" s="1"/>
  <c r="AS11" i="8"/>
  <c r="Y9" i="7" s="1"/>
  <c r="AT11" i="8"/>
  <c r="Z9" i="7" s="1"/>
  <c r="AU11" i="8"/>
  <c r="AA9" i="7" s="1"/>
  <c r="AV11" i="8"/>
  <c r="AB9" i="7" s="1"/>
  <c r="AW11" i="8"/>
  <c r="AX11" i="8"/>
  <c r="AD9" i="7" s="1"/>
  <c r="AY11" i="8"/>
  <c r="AE9" i="7" s="1"/>
  <c r="AR12" i="8"/>
  <c r="X10" i="7" s="1"/>
  <c r="AS12" i="8"/>
  <c r="Y10" i="7" s="1"/>
  <c r="AT12" i="8"/>
  <c r="Z10" i="7" s="1"/>
  <c r="AU12" i="8"/>
  <c r="AA10" i="7" s="1"/>
  <c r="AV12" i="8"/>
  <c r="AB10" i="7" s="1"/>
  <c r="AW12" i="8"/>
  <c r="AX12" i="8"/>
  <c r="AD10" i="7" s="1"/>
  <c r="AY12" i="8"/>
  <c r="AE10" i="7" s="1"/>
  <c r="AR13" i="8"/>
  <c r="X11" i="7" s="1"/>
  <c r="AS13" i="8"/>
  <c r="Y11" i="7" s="1"/>
  <c r="AT13" i="8"/>
  <c r="Z11" i="7" s="1"/>
  <c r="AU13" i="8"/>
  <c r="AA11" i="7" s="1"/>
  <c r="AV13" i="8"/>
  <c r="AB11" i="7" s="1"/>
  <c r="AW13" i="8"/>
  <c r="AX13" i="8"/>
  <c r="AD11" i="7" s="1"/>
  <c r="AY13" i="8"/>
  <c r="AE11" i="7" s="1"/>
  <c r="AR14" i="8"/>
  <c r="X12" i="7" s="1"/>
  <c r="AS14" i="8"/>
  <c r="Y12" i="7" s="1"/>
  <c r="AT14" i="8"/>
  <c r="Z12" i="7" s="1"/>
  <c r="AU14" i="8"/>
  <c r="AA12" i="7" s="1"/>
  <c r="AV14" i="8"/>
  <c r="AB12" i="7" s="1"/>
  <c r="AW14" i="8"/>
  <c r="AX14" i="8"/>
  <c r="AD12" i="7" s="1"/>
  <c r="AY14" i="8"/>
  <c r="AE12" i="7" s="1"/>
  <c r="AR15" i="8"/>
  <c r="X13" i="7" s="1"/>
  <c r="AS15" i="8"/>
  <c r="Y13" i="7" s="1"/>
  <c r="AT15" i="8"/>
  <c r="Z13" i="7" s="1"/>
  <c r="AU15" i="8"/>
  <c r="AA13" i="7" s="1"/>
  <c r="AV15" i="8"/>
  <c r="AB13" i="7" s="1"/>
  <c r="AW15" i="8"/>
  <c r="AX15" i="8"/>
  <c r="AD13" i="7" s="1"/>
  <c r="AY15" i="8"/>
  <c r="AE13" i="7" s="1"/>
  <c r="AR16" i="8"/>
  <c r="X14" i="7" s="1"/>
  <c r="AS16" i="8"/>
  <c r="Y14" i="7" s="1"/>
  <c r="AT16" i="8"/>
  <c r="Z14" i="7" s="1"/>
  <c r="AU16" i="8"/>
  <c r="AA14" i="7" s="1"/>
  <c r="AV16" i="8"/>
  <c r="AB14" i="7" s="1"/>
  <c r="AW16" i="8"/>
  <c r="AX16" i="8"/>
  <c r="AD14" i="7" s="1"/>
  <c r="AY16" i="8"/>
  <c r="AE14" i="7" s="1"/>
  <c r="AR17" i="8"/>
  <c r="X15" i="7" s="1"/>
  <c r="AS17" i="8"/>
  <c r="Y15" i="7" s="1"/>
  <c r="AT17" i="8"/>
  <c r="Z15" i="7" s="1"/>
  <c r="AU17" i="8"/>
  <c r="AA15" i="7" s="1"/>
  <c r="AV17" i="8"/>
  <c r="AB15" i="7" s="1"/>
  <c r="AW17" i="8"/>
  <c r="AX17" i="8"/>
  <c r="AD15" i="7" s="1"/>
  <c r="AY17" i="8"/>
  <c r="AE15" i="7" s="1"/>
  <c r="AR18" i="8"/>
  <c r="X16" i="7" s="1"/>
  <c r="AS18" i="8"/>
  <c r="Y16" i="7" s="1"/>
  <c r="AT18" i="8"/>
  <c r="Z16" i="7" s="1"/>
  <c r="AU18" i="8"/>
  <c r="AA16" i="7" s="1"/>
  <c r="AV18" i="8"/>
  <c r="AB16" i="7" s="1"/>
  <c r="AW18" i="8"/>
  <c r="AX18" i="8"/>
  <c r="AD16" i="7" s="1"/>
  <c r="AY18" i="8"/>
  <c r="AE16" i="7" s="1"/>
  <c r="AY6" i="8"/>
  <c r="AE4" i="7" s="1"/>
  <c r="AX6" i="8"/>
  <c r="AD4" i="7" s="1"/>
  <c r="AW6" i="8"/>
  <c r="AV6" i="8"/>
  <c r="AB4" i="7" s="1"/>
  <c r="AU6" i="8"/>
  <c r="AA4" i="7" s="1"/>
  <c r="AR6" i="8"/>
  <c r="X4" i="7" s="1"/>
  <c r="AT6" i="8"/>
  <c r="Z4" i="7" s="1"/>
  <c r="AS6" i="8"/>
  <c r="Y4" i="7" s="1"/>
  <c r="AI6" i="8"/>
  <c r="N4" i="7" s="1"/>
  <c r="AI7" i="8"/>
  <c r="N5" i="7" s="1"/>
  <c r="AJ7" i="8"/>
  <c r="O5" i="7" s="1"/>
  <c r="AK7" i="8"/>
  <c r="P5" i="7" s="1"/>
  <c r="AL7" i="8"/>
  <c r="Q5" i="7" s="1"/>
  <c r="AM7" i="8"/>
  <c r="R5" i="7" s="1"/>
  <c r="AN7" i="8"/>
  <c r="AO7" i="8"/>
  <c r="T5" i="7" s="1"/>
  <c r="AP7" i="8"/>
  <c r="U5" i="7" s="1"/>
  <c r="AI8" i="8"/>
  <c r="N6" i="7" s="1"/>
  <c r="AJ8" i="8"/>
  <c r="O6" i="7" s="1"/>
  <c r="AK8" i="8"/>
  <c r="P6" i="7" s="1"/>
  <c r="AL8" i="8"/>
  <c r="Q6" i="7" s="1"/>
  <c r="AM8" i="8"/>
  <c r="R6" i="7" s="1"/>
  <c r="AN8" i="8"/>
  <c r="AO8" i="8"/>
  <c r="T6" i="7" s="1"/>
  <c r="AP8" i="8"/>
  <c r="U6" i="7" s="1"/>
  <c r="AI9" i="8"/>
  <c r="N7" i="7" s="1"/>
  <c r="AJ9" i="8"/>
  <c r="O7" i="7" s="1"/>
  <c r="AK9" i="8"/>
  <c r="P7" i="7" s="1"/>
  <c r="AL9" i="8"/>
  <c r="Q7" i="7" s="1"/>
  <c r="AM9" i="8"/>
  <c r="R7" i="7" s="1"/>
  <c r="AN9" i="8"/>
  <c r="AO9" i="8"/>
  <c r="T7" i="7" s="1"/>
  <c r="AP9" i="8"/>
  <c r="U7" i="7" s="1"/>
  <c r="AI10" i="8"/>
  <c r="N8" i="7" s="1"/>
  <c r="AJ10" i="8"/>
  <c r="O8" i="7" s="1"/>
  <c r="AK10" i="8"/>
  <c r="P8" i="7" s="1"/>
  <c r="AL10" i="8"/>
  <c r="Q8" i="7" s="1"/>
  <c r="AM10" i="8"/>
  <c r="R8" i="7" s="1"/>
  <c r="AN10" i="8"/>
  <c r="AO10" i="8"/>
  <c r="T8" i="7" s="1"/>
  <c r="AP10" i="8"/>
  <c r="U8" i="7" s="1"/>
  <c r="AI11" i="8"/>
  <c r="N9" i="7" s="1"/>
  <c r="AJ11" i="8"/>
  <c r="O9" i="7" s="1"/>
  <c r="AK11" i="8"/>
  <c r="P9" i="7" s="1"/>
  <c r="AL11" i="8"/>
  <c r="Q9" i="7" s="1"/>
  <c r="AM11" i="8"/>
  <c r="R9" i="7" s="1"/>
  <c r="AN11" i="8"/>
  <c r="AO11" i="8"/>
  <c r="T9" i="7" s="1"/>
  <c r="AP11" i="8"/>
  <c r="U9" i="7" s="1"/>
  <c r="AI12" i="8"/>
  <c r="N10" i="7" s="1"/>
  <c r="AJ12" i="8"/>
  <c r="O10" i="7" s="1"/>
  <c r="AK12" i="8"/>
  <c r="P10" i="7" s="1"/>
  <c r="AL12" i="8"/>
  <c r="Q10" i="7" s="1"/>
  <c r="AM12" i="8"/>
  <c r="R10" i="7" s="1"/>
  <c r="AN12" i="8"/>
  <c r="AO12" i="8"/>
  <c r="T10" i="7" s="1"/>
  <c r="AP12" i="8"/>
  <c r="U10" i="7" s="1"/>
  <c r="AI13" i="8"/>
  <c r="N11" i="7" s="1"/>
  <c r="AJ13" i="8"/>
  <c r="O11" i="7" s="1"/>
  <c r="AK13" i="8"/>
  <c r="P11" i="7" s="1"/>
  <c r="AL13" i="8"/>
  <c r="Q11" i="7" s="1"/>
  <c r="AM13" i="8"/>
  <c r="R11" i="7" s="1"/>
  <c r="AN13" i="8"/>
  <c r="AO13" i="8"/>
  <c r="T11" i="7" s="1"/>
  <c r="AP13" i="8"/>
  <c r="U11" i="7" s="1"/>
  <c r="AI14" i="8"/>
  <c r="N12" i="7" s="1"/>
  <c r="AJ14" i="8"/>
  <c r="O12" i="7" s="1"/>
  <c r="AK14" i="8"/>
  <c r="P12" i="7" s="1"/>
  <c r="AL14" i="8"/>
  <c r="Q12" i="7" s="1"/>
  <c r="AM14" i="8"/>
  <c r="R12" i="7" s="1"/>
  <c r="AN14" i="8"/>
  <c r="AO14" i="8"/>
  <c r="T12" i="7" s="1"/>
  <c r="AP14" i="8"/>
  <c r="U12" i="7" s="1"/>
  <c r="AI15" i="8"/>
  <c r="N13" i="7" s="1"/>
  <c r="AJ15" i="8"/>
  <c r="O13" i="7" s="1"/>
  <c r="AK15" i="8"/>
  <c r="P13" i="7" s="1"/>
  <c r="AL15" i="8"/>
  <c r="Q13" i="7" s="1"/>
  <c r="AM15" i="8"/>
  <c r="R13" i="7" s="1"/>
  <c r="AN15" i="8"/>
  <c r="AO15" i="8"/>
  <c r="T13" i="7" s="1"/>
  <c r="AP15" i="8"/>
  <c r="U13" i="7" s="1"/>
  <c r="AI16" i="8"/>
  <c r="N14" i="7" s="1"/>
  <c r="AJ16" i="8"/>
  <c r="O14" i="7" s="1"/>
  <c r="AK16" i="8"/>
  <c r="P14" i="7" s="1"/>
  <c r="AL16" i="8"/>
  <c r="Q14" i="7" s="1"/>
  <c r="AM16" i="8"/>
  <c r="R14" i="7" s="1"/>
  <c r="AN16" i="8"/>
  <c r="AO16" i="8"/>
  <c r="T14" i="7" s="1"/>
  <c r="AP16" i="8"/>
  <c r="U14" i="7" s="1"/>
  <c r="AI17" i="8"/>
  <c r="N15" i="7" s="1"/>
  <c r="AJ17" i="8"/>
  <c r="O15" i="7" s="1"/>
  <c r="AK17" i="8"/>
  <c r="P15" i="7" s="1"/>
  <c r="AL17" i="8"/>
  <c r="Q15" i="7" s="1"/>
  <c r="AM17" i="8"/>
  <c r="R15" i="7" s="1"/>
  <c r="AN17" i="8"/>
  <c r="AO17" i="8"/>
  <c r="T15" i="7" s="1"/>
  <c r="AP17" i="8"/>
  <c r="U15" i="7" s="1"/>
  <c r="AI18" i="8"/>
  <c r="N16" i="7" s="1"/>
  <c r="AJ18" i="8"/>
  <c r="O16" i="7" s="1"/>
  <c r="AK18" i="8"/>
  <c r="P16" i="7" s="1"/>
  <c r="AL18" i="8"/>
  <c r="Q16" i="7" s="1"/>
  <c r="AM18" i="8"/>
  <c r="R16" i="7" s="1"/>
  <c r="AN18" i="8"/>
  <c r="AO18" i="8"/>
  <c r="T16" i="7" s="1"/>
  <c r="AP18" i="8"/>
  <c r="U16" i="7" s="1"/>
  <c r="AP6" i="8"/>
  <c r="U4" i="7" s="1"/>
  <c r="AO6" i="8"/>
  <c r="T4" i="7" s="1"/>
  <c r="AN6" i="8"/>
  <c r="AM6" i="8"/>
  <c r="R4" i="7" s="1"/>
  <c r="AL6" i="8"/>
  <c r="Q4" i="7" s="1"/>
  <c r="AK6" i="8"/>
  <c r="P4" i="7" s="1"/>
  <c r="AJ6" i="8"/>
  <c r="O4" i="7" s="1"/>
  <c r="AG18" i="8"/>
  <c r="K16" i="7" s="1"/>
  <c r="AF18" i="8"/>
  <c r="J16" i="7" s="1"/>
  <c r="AE18" i="8"/>
  <c r="AD18" i="8"/>
  <c r="H16" i="7" s="1"/>
  <c r="AC18" i="8"/>
  <c r="G16" i="7" s="1"/>
  <c r="AB18" i="8"/>
  <c r="F16" i="7" s="1"/>
  <c r="AA18" i="8"/>
  <c r="E16" i="7" s="1"/>
  <c r="Z18" i="8"/>
  <c r="D16" i="7" s="1"/>
  <c r="AG17" i="8"/>
  <c r="K15" i="7" s="1"/>
  <c r="AF17" i="8"/>
  <c r="J15" i="7" s="1"/>
  <c r="AE17" i="8"/>
  <c r="AD17" i="8"/>
  <c r="H15" i="7" s="1"/>
  <c r="AC17" i="8"/>
  <c r="G15" i="7" s="1"/>
  <c r="AB17" i="8"/>
  <c r="F15" i="7" s="1"/>
  <c r="AA17" i="8"/>
  <c r="E15" i="7" s="1"/>
  <c r="Z17" i="8"/>
  <c r="D15" i="7" s="1"/>
  <c r="AG16" i="8"/>
  <c r="K14" i="7" s="1"/>
  <c r="AF16" i="8"/>
  <c r="J14" i="7" s="1"/>
  <c r="AE16" i="8"/>
  <c r="AD16" i="8"/>
  <c r="H14" i="7" s="1"/>
  <c r="AC16" i="8"/>
  <c r="G14" i="7" s="1"/>
  <c r="AB16" i="8"/>
  <c r="F14" i="7" s="1"/>
  <c r="AA16" i="8"/>
  <c r="E14" i="7" s="1"/>
  <c r="Z16" i="8"/>
  <c r="D14" i="7" s="1"/>
  <c r="AG15" i="8"/>
  <c r="K13" i="7" s="1"/>
  <c r="AF15" i="8"/>
  <c r="J13" i="7" s="1"/>
  <c r="AE15" i="8"/>
  <c r="AD15" i="8"/>
  <c r="H13" i="7" s="1"/>
  <c r="AC15" i="8"/>
  <c r="G13" i="7" s="1"/>
  <c r="AB15" i="8"/>
  <c r="F13" i="7" s="1"/>
  <c r="AA15" i="8"/>
  <c r="E13" i="7" s="1"/>
  <c r="Z15" i="8"/>
  <c r="D13" i="7" s="1"/>
  <c r="AG14" i="8"/>
  <c r="K12" i="7" s="1"/>
  <c r="AF14" i="8"/>
  <c r="J12" i="7" s="1"/>
  <c r="AE14" i="8"/>
  <c r="AD14" i="8"/>
  <c r="H12" i="7" s="1"/>
  <c r="AC14" i="8"/>
  <c r="G12" i="7" s="1"/>
  <c r="AB14" i="8"/>
  <c r="F12" i="7" s="1"/>
  <c r="AA14" i="8"/>
  <c r="E12" i="7" s="1"/>
  <c r="Z14" i="8"/>
  <c r="D12" i="7" s="1"/>
  <c r="AG13" i="8"/>
  <c r="K11" i="7" s="1"/>
  <c r="AF13" i="8"/>
  <c r="J11" i="7" s="1"/>
  <c r="AE13" i="8"/>
  <c r="AD13" i="8"/>
  <c r="H11" i="7" s="1"/>
  <c r="AC13" i="8"/>
  <c r="G11" i="7" s="1"/>
  <c r="AB13" i="8"/>
  <c r="F11" i="7" s="1"/>
  <c r="AA13" i="8"/>
  <c r="E11" i="7" s="1"/>
  <c r="Z13" i="8"/>
  <c r="D11" i="7" s="1"/>
  <c r="Z7" i="8"/>
  <c r="D5" i="7" s="1"/>
  <c r="AA7" i="8"/>
  <c r="E5" i="7" s="1"/>
  <c r="AB7" i="8"/>
  <c r="F5" i="7" s="1"/>
  <c r="AC7" i="8"/>
  <c r="G5" i="7" s="1"/>
  <c r="AD7" i="8"/>
  <c r="H5" i="7" s="1"/>
  <c r="AE7" i="8"/>
  <c r="AF7" i="8"/>
  <c r="J5" i="7" s="1"/>
  <c r="AG7" i="8"/>
  <c r="K5" i="7" s="1"/>
  <c r="Z8" i="8"/>
  <c r="D6" i="7" s="1"/>
  <c r="AA8" i="8"/>
  <c r="E6" i="7" s="1"/>
  <c r="AB8" i="8"/>
  <c r="F6" i="7" s="1"/>
  <c r="AC8" i="8"/>
  <c r="G6" i="7" s="1"/>
  <c r="AD8" i="8"/>
  <c r="H6" i="7" s="1"/>
  <c r="AE8" i="8"/>
  <c r="AF8" i="8"/>
  <c r="J6" i="7" s="1"/>
  <c r="AG8" i="8"/>
  <c r="K6" i="7" s="1"/>
  <c r="Z9" i="8"/>
  <c r="D7" i="7" s="1"/>
  <c r="AA9" i="8"/>
  <c r="E7" i="7" s="1"/>
  <c r="AB9" i="8"/>
  <c r="F7" i="7" s="1"/>
  <c r="AC9" i="8"/>
  <c r="G7" i="7" s="1"/>
  <c r="AD9" i="8"/>
  <c r="H7" i="7" s="1"/>
  <c r="AE9" i="8"/>
  <c r="AF9" i="8"/>
  <c r="J7" i="7" s="1"/>
  <c r="AG9" i="8"/>
  <c r="K7" i="7" s="1"/>
  <c r="Z10" i="8"/>
  <c r="D8" i="7" s="1"/>
  <c r="AA10" i="8"/>
  <c r="E8" i="7" s="1"/>
  <c r="AB10" i="8"/>
  <c r="F8" i="7" s="1"/>
  <c r="AC10" i="8"/>
  <c r="G8" i="7" s="1"/>
  <c r="AD10" i="8"/>
  <c r="H8" i="7" s="1"/>
  <c r="AE10" i="8"/>
  <c r="AF10" i="8"/>
  <c r="J8" i="7" s="1"/>
  <c r="AG10" i="8"/>
  <c r="K8" i="7" s="1"/>
  <c r="Z11" i="8"/>
  <c r="D9" i="7" s="1"/>
  <c r="AA11" i="8"/>
  <c r="E9" i="7" s="1"/>
  <c r="AB11" i="8"/>
  <c r="F9" i="7" s="1"/>
  <c r="AC11" i="8"/>
  <c r="G9" i="7" s="1"/>
  <c r="AD11" i="8"/>
  <c r="H9" i="7" s="1"/>
  <c r="AE11" i="8"/>
  <c r="AF11" i="8"/>
  <c r="J9" i="7" s="1"/>
  <c r="AG11" i="8"/>
  <c r="K9" i="7" s="1"/>
  <c r="Z12" i="8"/>
  <c r="D10" i="7" s="1"/>
  <c r="AA12" i="8"/>
  <c r="E10" i="7" s="1"/>
  <c r="AB12" i="8"/>
  <c r="F10" i="7" s="1"/>
  <c r="AC12" i="8"/>
  <c r="G10" i="7" s="1"/>
  <c r="AD12" i="8"/>
  <c r="H10" i="7" s="1"/>
  <c r="AE12" i="8"/>
  <c r="AF12" i="8"/>
  <c r="J10" i="7" s="1"/>
  <c r="AG12" i="8"/>
  <c r="K10" i="7" s="1"/>
  <c r="AG6" i="8"/>
  <c r="K4" i="7" s="1"/>
  <c r="AF6" i="8"/>
  <c r="J4" i="7" s="1"/>
  <c r="AE6" i="8"/>
  <c r="AD6" i="8"/>
  <c r="H4" i="7" s="1"/>
  <c r="AC6" i="8"/>
  <c r="G4" i="7" s="1"/>
  <c r="AB6" i="8"/>
  <c r="F4" i="7" s="1"/>
  <c r="E4" i="7"/>
  <c r="Z6" i="8"/>
  <c r="D4" i="7" s="1"/>
  <c r="G5" i="8"/>
  <c r="DT87" i="7" l="1"/>
  <c r="D155" i="7" a="1"/>
  <c r="D155" i="7" s="1"/>
  <c r="C155" i="7" s="1"/>
  <c r="GB87" i="7"/>
  <c r="D185" i="7" a="1"/>
  <c r="D185" i="7" s="1"/>
  <c r="EN87" i="7"/>
  <c r="D165" i="7" a="1"/>
  <c r="D165" i="7" s="1"/>
  <c r="GL87" i="7"/>
  <c r="D190" i="7" a="1"/>
  <c r="D190" i="7" s="1"/>
  <c r="C190" i="7" s="1"/>
  <c r="D160" i="7" a="1"/>
  <c r="D160" i="7" s="1"/>
  <c r="FH87" i="7"/>
  <c r="D175" i="7" a="1"/>
  <c r="D175" i="7" s="1"/>
  <c r="C175" i="7" s="1"/>
  <c r="FR87" i="7"/>
  <c r="D180" i="7" a="1"/>
  <c r="D180" i="7" s="1"/>
  <c r="EX87" i="7"/>
  <c r="D170" i="7" a="1"/>
  <c r="D170" i="7" s="1"/>
  <c r="CZ84" i="7"/>
  <c r="D144" i="7" a="1"/>
  <c r="D144" i="7" s="1"/>
  <c r="C145" i="7"/>
  <c r="ED87" i="7"/>
  <c r="O5" i="8"/>
  <c r="DJ2" i="7" s="1"/>
  <c r="DJ81" i="7" s="1"/>
  <c r="C151" i="7" s="1"/>
  <c r="N5" i="8"/>
  <c r="CZ2" i="7" s="1"/>
  <c r="CZ81" i="7" s="1"/>
  <c r="C146" i="7" s="1"/>
  <c r="M5" i="8"/>
  <c r="CP2" i="7" s="1"/>
  <c r="CP81" i="7" s="1"/>
  <c r="E5" i="8"/>
  <c r="N2" i="7" s="1"/>
  <c r="N81" i="7" s="1"/>
  <c r="L5" i="8"/>
  <c r="CF2" i="7" s="1"/>
  <c r="CF81" i="7" s="1"/>
  <c r="K5" i="8"/>
  <c r="BV2" i="7" s="1"/>
  <c r="BV81" i="7" s="1"/>
  <c r="J5" i="8"/>
  <c r="BL2" i="7" s="1"/>
  <c r="BL81" i="7" s="1"/>
  <c r="CW89" i="7"/>
  <c r="CW90" i="7" s="1"/>
  <c r="CT89" i="7"/>
  <c r="CT90" i="7" s="1"/>
  <c r="T89" i="7"/>
  <c r="T90" i="7" s="1"/>
  <c r="AX89" i="7"/>
  <c r="AX90" i="7" s="1"/>
  <c r="BV89" i="7"/>
  <c r="BF89" i="7"/>
  <c r="BF90" i="7" s="1"/>
  <c r="BP89" i="7"/>
  <c r="BP90" i="7" s="1"/>
  <c r="CF89" i="7"/>
  <c r="Q89" i="7"/>
  <c r="Q90" i="7" s="1"/>
  <c r="CG89" i="7"/>
  <c r="CG90" i="7" s="1"/>
  <c r="P89" i="7"/>
  <c r="P90" i="7" s="1"/>
  <c r="CP89" i="7"/>
  <c r="BQ89" i="7"/>
  <c r="BQ90" i="7" s="1"/>
  <c r="BG89" i="7"/>
  <c r="BG90" i="7" s="1"/>
  <c r="AI89" i="7"/>
  <c r="AI90" i="7" s="1"/>
  <c r="U89" i="7"/>
  <c r="U90" i="7" s="1"/>
  <c r="AJ89" i="7"/>
  <c r="AJ90" i="7" s="1"/>
  <c r="AY89" i="7"/>
  <c r="AY90" i="7" s="1"/>
  <c r="X89" i="7"/>
  <c r="BB89" i="7"/>
  <c r="BM89" i="7"/>
  <c r="BM90" i="7" s="1"/>
  <c r="CK89" i="7"/>
  <c r="CK90" i="7" s="1"/>
  <c r="CV89" i="7"/>
  <c r="CV90" i="7" s="1"/>
  <c r="BC89" i="7"/>
  <c r="BC90" i="7" s="1"/>
  <c r="CA89" i="7"/>
  <c r="CA90" i="7" s="1"/>
  <c r="AA89" i="7"/>
  <c r="AA90" i="7" s="1"/>
  <c r="AN89" i="7"/>
  <c r="AN90" i="7" s="1"/>
  <c r="BE89" i="7"/>
  <c r="BE90" i="7" s="1"/>
  <c r="AE89" i="7"/>
  <c r="AE90" i="7" s="1"/>
  <c r="AH89" i="7"/>
  <c r="CS89" i="7"/>
  <c r="CS90" i="7" s="1"/>
  <c r="AK89" i="7"/>
  <c r="AK90" i="7" s="1"/>
  <c r="BL89" i="7"/>
  <c r="CJ89" i="7"/>
  <c r="CJ90" i="7" s="1"/>
  <c r="CU89" i="7"/>
  <c r="CU90" i="7" s="1"/>
  <c r="N89" i="7"/>
  <c r="Y89" i="7"/>
  <c r="Y90" i="7" s="1"/>
  <c r="BN89" i="7"/>
  <c r="BN90" i="7" s="1"/>
  <c r="CL89" i="7"/>
  <c r="CL90" i="7" s="1"/>
  <c r="O89" i="7"/>
  <c r="O90" i="7" s="1"/>
  <c r="BO89" i="7"/>
  <c r="BO90" i="7" s="1"/>
  <c r="CC89" i="7"/>
  <c r="CC90" i="7" s="1"/>
  <c r="CM89" i="7"/>
  <c r="CM90" i="7" s="1"/>
  <c r="E89" i="7"/>
  <c r="E90" i="7" s="1"/>
  <c r="AO89" i="7"/>
  <c r="AO90" i="7" s="1"/>
  <c r="AR89" i="7"/>
  <c r="AD89" i="7"/>
  <c r="AD90" i="7" s="1"/>
  <c r="AS89" i="7"/>
  <c r="AS90" i="7" s="1"/>
  <c r="CQ89" i="7"/>
  <c r="CQ90" i="7" s="1"/>
  <c r="R89" i="7"/>
  <c r="R90" i="7" s="1"/>
  <c r="AU89" i="7"/>
  <c r="AU90" i="7" s="1"/>
  <c r="BH89" i="7"/>
  <c r="BH90" i="7" s="1"/>
  <c r="BR89" i="7"/>
  <c r="BR90" i="7" s="1"/>
  <c r="CH89" i="7"/>
  <c r="CH90" i="7" s="1"/>
  <c r="BY89" i="7"/>
  <c r="BY90" i="7" s="1"/>
  <c r="BI89" i="7"/>
  <c r="BI90" i="7" s="1"/>
  <c r="BS89" i="7"/>
  <c r="BS90" i="7" s="1"/>
  <c r="CI89" i="7"/>
  <c r="CI90" i="7" s="1"/>
  <c r="I89" i="7"/>
  <c r="I90" i="7" s="1"/>
  <c r="K89" i="7"/>
  <c r="K90" i="7" s="1"/>
  <c r="F89" i="7"/>
  <c r="F90" i="7" s="1"/>
  <c r="H89" i="7"/>
  <c r="H90" i="7" s="1"/>
  <c r="J89" i="7"/>
  <c r="J90" i="7" s="1"/>
  <c r="I5" i="8"/>
  <c r="BB2" i="7" s="1"/>
  <c r="BB81" i="7" s="1"/>
  <c r="H5" i="8"/>
  <c r="AR2" i="7" s="1"/>
  <c r="AR81" i="7" s="1"/>
  <c r="F5" i="8"/>
  <c r="X2" i="7" s="1"/>
  <c r="X81" i="7" s="1"/>
  <c r="AH2" i="7"/>
  <c r="AH81" i="7" s="1"/>
  <c r="FH2" i="7"/>
  <c r="FH81" i="7" s="1"/>
  <c r="C176" i="7" s="1"/>
  <c r="ED2" i="7"/>
  <c r="ED81" i="7" s="1"/>
  <c r="C161" i="7" s="1"/>
  <c r="EX2" i="7"/>
  <c r="EX81" i="7" s="1"/>
  <c r="C171" i="7" s="1"/>
  <c r="EN2" i="7"/>
  <c r="EN81" i="7" s="1"/>
  <c r="C166" i="7" s="1"/>
  <c r="DT2" i="7"/>
  <c r="DT81" i="7" s="1"/>
  <c r="C156" i="7" s="1"/>
  <c r="GB2" i="7"/>
  <c r="GB81" i="7" s="1"/>
  <c r="C186" i="7" s="1"/>
  <c r="FR2" i="7"/>
  <c r="FR81" i="7" s="1"/>
  <c r="C181" i="7" s="1"/>
  <c r="GL2" i="7"/>
  <c r="GL81" i="7" s="1"/>
  <c r="C191" i="7" s="1"/>
  <c r="S4" i="7"/>
  <c r="I11" i="7"/>
  <c r="S12" i="7"/>
  <c r="AW4" i="7"/>
  <c r="AM7" i="7"/>
  <c r="AW6" i="7"/>
  <c r="BG13" i="7"/>
  <c r="BG10" i="7"/>
  <c r="BG7" i="7"/>
  <c r="CA12" i="7"/>
  <c r="CA9" i="7"/>
  <c r="CA6" i="7"/>
  <c r="CK13" i="7"/>
  <c r="I13" i="7"/>
  <c r="S10" i="7"/>
  <c r="S7" i="7"/>
  <c r="CU4" i="7"/>
  <c r="I9" i="7"/>
  <c r="I6" i="7"/>
  <c r="AC8" i="7"/>
  <c r="AC5" i="7"/>
  <c r="AM8" i="7"/>
  <c r="BG5" i="7"/>
  <c r="BQ12" i="7"/>
  <c r="BQ9" i="7"/>
  <c r="BQ6" i="7"/>
  <c r="CK11" i="7"/>
  <c r="CK8" i="7"/>
  <c r="CU9" i="7"/>
  <c r="CU6" i="7"/>
  <c r="S9" i="7"/>
  <c r="CA4" i="7"/>
  <c r="I8" i="7"/>
  <c r="I5" i="7"/>
  <c r="AC7" i="7"/>
  <c r="I4" i="7"/>
  <c r="S13" i="7"/>
  <c r="AM4" i="7"/>
  <c r="BQ4" i="7"/>
  <c r="AC11" i="7"/>
  <c r="AM11" i="7"/>
  <c r="AM5" i="7"/>
  <c r="AW13" i="7"/>
  <c r="AW10" i="7"/>
  <c r="AW7" i="7"/>
  <c r="BG11" i="7"/>
  <c r="BG8" i="7"/>
  <c r="CA13" i="7"/>
  <c r="CA10" i="7"/>
  <c r="CA7" i="7"/>
  <c r="CK5" i="7"/>
  <c r="CU12" i="7"/>
  <c r="AC10" i="7"/>
  <c r="AM13" i="7"/>
  <c r="AM10" i="7"/>
  <c r="AW9" i="7"/>
  <c r="BQ11" i="7"/>
  <c r="CK10" i="7"/>
  <c r="CK7" i="7"/>
  <c r="CU11" i="7"/>
  <c r="CU8" i="7"/>
  <c r="CU5" i="7"/>
  <c r="S6" i="7"/>
  <c r="AC13" i="7"/>
  <c r="AW12" i="7"/>
  <c r="BQ8" i="7"/>
  <c r="BQ5" i="7"/>
  <c r="I12" i="7"/>
  <c r="S11" i="7"/>
  <c r="S8" i="7"/>
  <c r="S5" i="7"/>
  <c r="AC4" i="7"/>
  <c r="BG4" i="7"/>
  <c r="CK4" i="7"/>
  <c r="I10" i="7"/>
  <c r="I7" i="7"/>
  <c r="AC12" i="7"/>
  <c r="AC9" i="7"/>
  <c r="AC6" i="7"/>
  <c r="AM12" i="7"/>
  <c r="AM9" i="7"/>
  <c r="AM6" i="7"/>
  <c r="AW11" i="7"/>
  <c r="AW8" i="7"/>
  <c r="AW5" i="7"/>
  <c r="BG12" i="7"/>
  <c r="BG9" i="7"/>
  <c r="BG6" i="7"/>
  <c r="BQ13" i="7"/>
  <c r="BQ10" i="7"/>
  <c r="BQ7" i="7"/>
  <c r="CA11" i="7"/>
  <c r="CA8" i="7"/>
  <c r="CA5" i="7"/>
  <c r="CK12" i="7"/>
  <c r="CK9" i="7"/>
  <c r="CK6" i="7"/>
  <c r="CU13" i="7"/>
  <c r="CU10" i="7"/>
  <c r="CU7" i="7"/>
  <c r="AC17" i="7"/>
  <c r="BG17" i="7"/>
  <c r="CK17" i="7"/>
  <c r="S18" i="7"/>
  <c r="AW18" i="7"/>
  <c r="CA18" i="7"/>
  <c r="I19" i="7"/>
  <c r="AM19" i="7"/>
  <c r="BQ19" i="7"/>
  <c r="CU19" i="7"/>
  <c r="AC20" i="7"/>
  <c r="BG20" i="7"/>
  <c r="EX20" i="7"/>
  <c r="EX83" i="7" s="1"/>
  <c r="D169" i="7" s="1" a="1"/>
  <c r="D169" i="7" s="1"/>
  <c r="CK20" i="7"/>
  <c r="GB20" i="7"/>
  <c r="GB83" i="7" s="1"/>
  <c r="D184" i="7" s="1" a="1"/>
  <c r="D184" i="7" s="1"/>
  <c r="S21" i="7"/>
  <c r="AW21" i="7"/>
  <c r="CA21" i="7"/>
  <c r="I22" i="7"/>
  <c r="AM22" i="7"/>
  <c r="BQ22" i="7"/>
  <c r="CU22" i="7"/>
  <c r="AC23" i="7"/>
  <c r="BG23" i="7"/>
  <c r="CK23" i="7"/>
  <c r="I15" i="7"/>
  <c r="S14" i="7"/>
  <c r="AC15" i="7"/>
  <c r="AM15" i="7"/>
  <c r="AW14" i="7"/>
  <c r="BG15" i="7"/>
  <c r="BQ16" i="7"/>
  <c r="CA14" i="7"/>
  <c r="CK15" i="7"/>
  <c r="CU16" i="7"/>
  <c r="S24" i="7"/>
  <c r="AW24" i="7"/>
  <c r="CA24" i="7"/>
  <c r="I25" i="7"/>
  <c r="AM25" i="7"/>
  <c r="BQ25" i="7"/>
  <c r="CU25" i="7"/>
  <c r="AC26" i="7"/>
  <c r="BG26" i="7"/>
  <c r="CK26" i="7"/>
  <c r="S27" i="7"/>
  <c r="AW27" i="7"/>
  <c r="CA27" i="7"/>
  <c r="AC29" i="7"/>
  <c r="BG29" i="7"/>
  <c r="CK29" i="7"/>
  <c r="S30" i="7"/>
  <c r="AW30" i="7"/>
  <c r="CA30" i="7"/>
  <c r="I31" i="7"/>
  <c r="AM31" i="7"/>
  <c r="BQ31" i="7"/>
  <c r="CU31" i="7"/>
  <c r="AC32" i="7"/>
  <c r="BG32" i="7"/>
  <c r="CK32" i="7"/>
  <c r="S33" i="7"/>
  <c r="AW33" i="7"/>
  <c r="CA33" i="7"/>
  <c r="AM16" i="7"/>
  <c r="AM24" i="7"/>
  <c r="AC25" i="7"/>
  <c r="BG25" i="7"/>
  <c r="CK25" i="7"/>
  <c r="S26" i="7"/>
  <c r="CA26" i="7"/>
  <c r="AM27" i="7"/>
  <c r="CU27" i="7"/>
  <c r="S29" i="7"/>
  <c r="AM30" i="7"/>
  <c r="CK31" i="7"/>
  <c r="S32" i="7"/>
  <c r="AW32" i="7"/>
  <c r="I33" i="7"/>
  <c r="AM33" i="7"/>
  <c r="AM17" i="7"/>
  <c r="CU17" i="7"/>
  <c r="AC18" i="7"/>
  <c r="CK18" i="7"/>
  <c r="BQ20" i="7"/>
  <c r="FH20" i="7"/>
  <c r="FH83" i="7" s="1"/>
  <c r="D174" i="7" s="1" a="1"/>
  <c r="D174" i="7" s="1"/>
  <c r="CU20" i="7"/>
  <c r="GL20" i="7"/>
  <c r="GL83" i="7" s="1"/>
  <c r="D189" i="7" s="1" a="1"/>
  <c r="D189" i="7" s="1"/>
  <c r="AC21" i="7"/>
  <c r="S22" i="7"/>
  <c r="AW22" i="7"/>
  <c r="I23" i="7"/>
  <c r="CU23" i="7"/>
  <c r="AC16" i="7"/>
  <c r="AW15" i="7"/>
  <c r="BG16" i="7"/>
  <c r="BQ14" i="7"/>
  <c r="CA15" i="7"/>
  <c r="CK16" i="7"/>
  <c r="CU14" i="7"/>
  <c r="I24" i="7"/>
  <c r="BQ24" i="7"/>
  <c r="CU24" i="7"/>
  <c r="AW26" i="7"/>
  <c r="I27" i="7"/>
  <c r="BQ27" i="7"/>
  <c r="AW29" i="7"/>
  <c r="CA29" i="7"/>
  <c r="I30" i="7"/>
  <c r="BQ30" i="7"/>
  <c r="CU30" i="7"/>
  <c r="AC31" i="7"/>
  <c r="BG31" i="7"/>
  <c r="CA32" i="7"/>
  <c r="BQ33" i="7"/>
  <c r="CU33" i="7"/>
  <c r="I17" i="7"/>
  <c r="BQ17" i="7"/>
  <c r="BG18" i="7"/>
  <c r="S19" i="7"/>
  <c r="AW19" i="7"/>
  <c r="CA19" i="7"/>
  <c r="I20" i="7"/>
  <c r="AM20" i="7"/>
  <c r="BG21" i="7"/>
  <c r="CK21" i="7"/>
  <c r="CA22" i="7"/>
  <c r="AM23" i="7"/>
  <c r="BQ23" i="7"/>
  <c r="I16" i="7"/>
  <c r="S16" i="7"/>
  <c r="AC14" i="7"/>
  <c r="AM14" i="7"/>
  <c r="AW16" i="7"/>
  <c r="BG14" i="7"/>
  <c r="BQ15" i="7"/>
  <c r="CA16" i="7"/>
  <c r="CK14" i="7"/>
  <c r="CU15" i="7"/>
  <c r="AC24" i="7"/>
  <c r="BG24" i="7"/>
  <c r="CK24" i="7"/>
  <c r="S25" i="7"/>
  <c r="AW25" i="7"/>
  <c r="CA25" i="7"/>
  <c r="I26" i="7"/>
  <c r="AM26" i="7"/>
  <c r="BQ26" i="7"/>
  <c r="CU26" i="7"/>
  <c r="AC27" i="7"/>
  <c r="BG27" i="7"/>
  <c r="CK27" i="7"/>
  <c r="I29" i="7"/>
  <c r="AM29" i="7"/>
  <c r="BQ29" i="7"/>
  <c r="CU29" i="7"/>
  <c r="AC30" i="7"/>
  <c r="BG30" i="7"/>
  <c r="CK30" i="7"/>
  <c r="S31" i="7"/>
  <c r="AW31" i="7"/>
  <c r="CA31" i="7"/>
  <c r="I32" i="7"/>
  <c r="AM32" i="7"/>
  <c r="BQ32" i="7"/>
  <c r="CU32" i="7"/>
  <c r="AC33" i="7"/>
  <c r="BG33" i="7"/>
  <c r="CK33" i="7"/>
  <c r="S17" i="7"/>
  <c r="AW17" i="7"/>
  <c r="CA17" i="7"/>
  <c r="I18" i="7"/>
  <c r="AM18" i="7"/>
  <c r="BQ18" i="7"/>
  <c r="CU18" i="7"/>
  <c r="AC19" i="7"/>
  <c r="BG19" i="7"/>
  <c r="CK19" i="7"/>
  <c r="S20" i="7"/>
  <c r="AW20" i="7"/>
  <c r="CA20" i="7"/>
  <c r="FR20" i="7"/>
  <c r="FR83" i="7" s="1"/>
  <c r="D179" i="7" s="1" a="1"/>
  <c r="D179" i="7" s="1"/>
  <c r="I21" i="7"/>
  <c r="AM21" i="7"/>
  <c r="BQ21" i="7"/>
  <c r="CU21" i="7"/>
  <c r="AC22" i="7"/>
  <c r="BG22" i="7"/>
  <c r="CK22" i="7"/>
  <c r="S23" i="7"/>
  <c r="AW23" i="7"/>
  <c r="CA23" i="7"/>
  <c r="I14" i="7"/>
  <c r="S15" i="7"/>
  <c r="D66" i="7"/>
  <c r="D89" i="7" s="1"/>
  <c r="Z81" i="8"/>
  <c r="J46" i="7"/>
  <c r="AF67" i="8"/>
  <c r="Z46" i="7"/>
  <c r="Z86" i="7" s="1"/>
  <c r="Z87" i="7" s="1"/>
  <c r="AT67" i="8"/>
  <c r="Y46" i="7"/>
  <c r="AS67" i="8"/>
  <c r="AM46" i="7"/>
  <c r="AM86" i="7" s="1"/>
  <c r="AM87" i="7" s="1"/>
  <c r="BF67" i="8"/>
  <c r="BC46" i="7"/>
  <c r="BC86" i="7" s="1"/>
  <c r="BC87" i="7" s="1"/>
  <c r="BT67" i="8"/>
  <c r="BQ46" i="7"/>
  <c r="BQ86" i="7" s="1"/>
  <c r="BQ87" i="7" s="1"/>
  <c r="CG67" i="8"/>
  <c r="CG46" i="7"/>
  <c r="CU67" i="8"/>
  <c r="CU46" i="7"/>
  <c r="CU86" i="7" s="1"/>
  <c r="CU87" i="7" s="1"/>
  <c r="DH67" i="8"/>
  <c r="H46" i="7"/>
  <c r="H86" i="7" s="1"/>
  <c r="H87" i="7" s="1"/>
  <c r="AD67" i="8"/>
  <c r="X46" i="7"/>
  <c r="X86" i="7" s="1"/>
  <c r="AR67" i="8"/>
  <c r="G46" i="7"/>
  <c r="G86" i="7" s="1"/>
  <c r="G87" i="7" s="1"/>
  <c r="AC67" i="8"/>
  <c r="CS46" i="7"/>
  <c r="CS86" i="7" s="1"/>
  <c r="CS87" i="7" s="1"/>
  <c r="DF67" i="8"/>
  <c r="BX46" i="7"/>
  <c r="BX86" i="7" s="1"/>
  <c r="BX87" i="7" s="1"/>
  <c r="CM67" i="8"/>
  <c r="CL46" i="7"/>
  <c r="CL86" i="7" s="1"/>
  <c r="CL87" i="7" s="1"/>
  <c r="CZ67" i="8"/>
  <c r="BD46" i="7"/>
  <c r="BU67" i="8"/>
  <c r="BR46" i="7"/>
  <c r="BR86" i="7" s="1"/>
  <c r="BR87" i="7" s="1"/>
  <c r="CH67" i="8"/>
  <c r="CH46" i="7"/>
  <c r="CH86" i="7" s="1"/>
  <c r="CH87" i="7" s="1"/>
  <c r="CV67" i="8"/>
  <c r="CV46" i="7"/>
  <c r="CV86" i="7" s="1"/>
  <c r="CV87" i="7" s="1"/>
  <c r="DI67" i="8"/>
  <c r="AL46" i="7"/>
  <c r="AL86" i="7" s="1"/>
  <c r="AL87" i="7" s="1"/>
  <c r="BE67" i="8"/>
  <c r="BB46" i="7"/>
  <c r="BB86" i="7" s="1"/>
  <c r="BS67" i="8"/>
  <c r="BP46" i="7"/>
  <c r="BP86" i="7" s="1"/>
  <c r="BP87" i="7" s="1"/>
  <c r="CF67" i="8"/>
  <c r="CF46" i="7"/>
  <c r="CF86" i="7" s="1"/>
  <c r="CT67" i="8"/>
  <c r="CT46" i="7"/>
  <c r="CT86" i="7" s="1"/>
  <c r="CT87" i="7" s="1"/>
  <c r="DG67" i="8"/>
  <c r="AX46" i="7"/>
  <c r="AX86" i="7" s="1"/>
  <c r="AX87" i="7" s="1"/>
  <c r="BP67" i="8"/>
  <c r="CB46" i="7"/>
  <c r="CB86" i="7" s="1"/>
  <c r="CB87" i="7" s="1"/>
  <c r="CQ67" i="8"/>
  <c r="CR46" i="7"/>
  <c r="CR86" i="7" s="1"/>
  <c r="CR87" i="7" s="1"/>
  <c r="DE67" i="8"/>
  <c r="E46" i="7"/>
  <c r="E86" i="7" s="1"/>
  <c r="E87" i="7" s="1"/>
  <c r="AA67" i="8"/>
  <c r="S46" i="7"/>
  <c r="S86" i="7" s="1"/>
  <c r="S87" i="7" s="1"/>
  <c r="AN67" i="8"/>
  <c r="AI46" i="7"/>
  <c r="BB67" i="8"/>
  <c r="CQ46" i="7"/>
  <c r="DD67" i="8"/>
  <c r="D46" i="7"/>
  <c r="Z67" i="8"/>
  <c r="R46" i="7"/>
  <c r="R86" i="7" s="1"/>
  <c r="R87" i="7" s="1"/>
  <c r="AM67" i="8"/>
  <c r="AV46" i="7"/>
  <c r="AV86" i="7" s="1"/>
  <c r="AV87" i="7" s="1"/>
  <c r="BN67" i="8"/>
  <c r="AT46" i="7"/>
  <c r="AT86" i="7" s="1"/>
  <c r="AT87" i="7" s="1"/>
  <c r="BL67" i="8"/>
  <c r="O46" i="7"/>
  <c r="AJ67" i="8"/>
  <c r="AN46" i="7"/>
  <c r="AN86" i="7" s="1"/>
  <c r="AN87" i="7" s="1"/>
  <c r="BG67" i="8"/>
  <c r="I46" i="7"/>
  <c r="AE67" i="8"/>
  <c r="CC46" i="7"/>
  <c r="CC86" i="7" s="1"/>
  <c r="CC87" i="7" s="1"/>
  <c r="CR67" i="8"/>
  <c r="F46" i="7"/>
  <c r="F86" i="7" s="1"/>
  <c r="F87" i="7" s="1"/>
  <c r="AB67" i="8"/>
  <c r="AH46" i="7"/>
  <c r="AH86" i="7" s="1"/>
  <c r="BA67" i="8"/>
  <c r="AU46" i="7"/>
  <c r="AU86" i="7" s="1"/>
  <c r="AU87" i="7" s="1"/>
  <c r="BM67" i="8"/>
  <c r="BI46" i="7"/>
  <c r="BI86" i="7" s="1"/>
  <c r="BI87" i="7" s="1"/>
  <c r="BZ67" i="8"/>
  <c r="BY46" i="7"/>
  <c r="BY86" i="7" s="1"/>
  <c r="BY87" i="7" s="1"/>
  <c r="CN67" i="8"/>
  <c r="CM46" i="7"/>
  <c r="CM86" i="7" s="1"/>
  <c r="CM87" i="7" s="1"/>
  <c r="DA67" i="8"/>
  <c r="AC46" i="7"/>
  <c r="AC86" i="7" s="1"/>
  <c r="AC87" i="7" s="1"/>
  <c r="AW67" i="8"/>
  <c r="BW46" i="7"/>
  <c r="BW86" i="7" s="1"/>
  <c r="BW87" i="7" s="1"/>
  <c r="CL67" i="8"/>
  <c r="CK46" i="7"/>
  <c r="CK86" i="7" s="1"/>
  <c r="CK87" i="7" s="1"/>
  <c r="CY67" i="8"/>
  <c r="N46" i="7"/>
  <c r="N86" i="7" s="1"/>
  <c r="AI67" i="8"/>
  <c r="AB46" i="7"/>
  <c r="AB86" i="7" s="1"/>
  <c r="AB87" i="7" s="1"/>
  <c r="AV67" i="8"/>
  <c r="AR46" i="7"/>
  <c r="AR86" i="7" s="1"/>
  <c r="BJ67" i="8"/>
  <c r="BF46" i="7"/>
  <c r="BF86" i="7" s="1"/>
  <c r="BF87" i="7" s="1"/>
  <c r="BW67" i="8"/>
  <c r="BV46" i="7"/>
  <c r="BV86" i="7" s="1"/>
  <c r="CK67" i="8"/>
  <c r="CJ46" i="7"/>
  <c r="CJ86" i="7" s="1"/>
  <c r="CJ87" i="7" s="1"/>
  <c r="CX67" i="8"/>
  <c r="U46" i="7"/>
  <c r="U86" i="7" s="1"/>
  <c r="U87" i="7" s="1"/>
  <c r="AP67" i="8"/>
  <c r="AK46" i="7"/>
  <c r="AK86" i="7" s="1"/>
  <c r="AK87" i="7" s="1"/>
  <c r="BD67" i="8"/>
  <c r="AY46" i="7"/>
  <c r="AY86" i="7" s="1"/>
  <c r="AY87" i="7" s="1"/>
  <c r="BQ67" i="8"/>
  <c r="BO46" i="7"/>
  <c r="BO86" i="7" s="1"/>
  <c r="BO87" i="7" s="1"/>
  <c r="CE67" i="8"/>
  <c r="T46" i="7"/>
  <c r="T86" i="7" s="1"/>
  <c r="T87" i="7" s="1"/>
  <c r="AO67" i="8"/>
  <c r="AJ46" i="7"/>
  <c r="AJ86" i="7" s="1"/>
  <c r="AJ87" i="7" s="1"/>
  <c r="BC67" i="8"/>
  <c r="BN46" i="7"/>
  <c r="BN86" i="7" s="1"/>
  <c r="BN87" i="7" s="1"/>
  <c r="CD67" i="8"/>
  <c r="AW46" i="7"/>
  <c r="AW86" i="7" s="1"/>
  <c r="AW87" i="7" s="1"/>
  <c r="BO67" i="8"/>
  <c r="BM46" i="7"/>
  <c r="BM86" i="7" s="1"/>
  <c r="BM87" i="7" s="1"/>
  <c r="CC67" i="8"/>
  <c r="CA46" i="7"/>
  <c r="CA86" i="7" s="1"/>
  <c r="CA87" i="7" s="1"/>
  <c r="CP67" i="8"/>
  <c r="BL46" i="7"/>
  <c r="BL86" i="7" s="1"/>
  <c r="CB67" i="8"/>
  <c r="BZ46" i="7"/>
  <c r="BZ86" i="7" s="1"/>
  <c r="BZ87" i="7" s="1"/>
  <c r="CO67" i="8"/>
  <c r="CP46" i="7"/>
  <c r="CP86" i="7" s="1"/>
  <c r="DC67" i="8"/>
  <c r="Q46" i="7"/>
  <c r="Q86" i="7" s="1"/>
  <c r="Q87" i="7" s="1"/>
  <c r="AL67" i="8"/>
  <c r="AE46" i="7"/>
  <c r="AE86" i="7" s="1"/>
  <c r="AE87" i="7" s="1"/>
  <c r="AY67" i="8"/>
  <c r="P46" i="7"/>
  <c r="P86" i="7" s="1"/>
  <c r="P87" i="7" s="1"/>
  <c r="AK67" i="8"/>
  <c r="AD46" i="7"/>
  <c r="AD86" i="7" s="1"/>
  <c r="AD87" i="7" s="1"/>
  <c r="AX67" i="8"/>
  <c r="BH46" i="7"/>
  <c r="BH86" i="7" s="1"/>
  <c r="BH87" i="7" s="1"/>
  <c r="BY67" i="8"/>
  <c r="AS46" i="7"/>
  <c r="BK67" i="8"/>
  <c r="BG46" i="7"/>
  <c r="BG86" i="7" s="1"/>
  <c r="BG87" i="7" s="1"/>
  <c r="BX67" i="8"/>
  <c r="K46" i="7"/>
  <c r="K86" i="7" s="1"/>
  <c r="K87" i="7" s="1"/>
  <c r="AG67" i="8"/>
  <c r="AA46" i="7"/>
  <c r="AA86" i="7" s="1"/>
  <c r="AA87" i="7" s="1"/>
  <c r="AU67" i="8"/>
  <c r="AO46" i="7"/>
  <c r="AO86" i="7" s="1"/>
  <c r="AO87" i="7" s="1"/>
  <c r="BH67" i="8"/>
  <c r="BE46" i="7"/>
  <c r="BE86" i="7" s="1"/>
  <c r="BE87" i="7" s="1"/>
  <c r="BV67" i="8"/>
  <c r="BS46" i="7"/>
  <c r="BS86" i="7" s="1"/>
  <c r="BS87" i="7" s="1"/>
  <c r="CI67" i="8"/>
  <c r="CI46" i="7"/>
  <c r="CI86" i="7" s="1"/>
  <c r="CI87" i="7" s="1"/>
  <c r="CW67" i="8"/>
  <c r="CW46" i="7"/>
  <c r="CW86" i="7" s="1"/>
  <c r="CW87" i="7" s="1"/>
  <c r="DJ67" i="8"/>
  <c r="E28" i="7"/>
  <c r="E83" i="7" s="1"/>
  <c r="E84" i="7" s="1"/>
  <c r="AA36" i="8"/>
  <c r="S28" i="7"/>
  <c r="AN36" i="8"/>
  <c r="AI28" i="7"/>
  <c r="AI83" i="7" s="1"/>
  <c r="AI84" i="7" s="1"/>
  <c r="BB36" i="8"/>
  <c r="AW28" i="7"/>
  <c r="BO36" i="8"/>
  <c r="BM28" i="7"/>
  <c r="BM83" i="7" s="1"/>
  <c r="BM84" i="7" s="1"/>
  <c r="CC36" i="8"/>
  <c r="CA28" i="7"/>
  <c r="CP36" i="8"/>
  <c r="CQ28" i="7"/>
  <c r="CQ83" i="7" s="1"/>
  <c r="CQ84" i="7" s="1"/>
  <c r="DD36" i="8"/>
  <c r="H28" i="7"/>
  <c r="H83" i="7" s="1"/>
  <c r="H84" i="7" s="1"/>
  <c r="AD36" i="8"/>
  <c r="X28" i="7"/>
  <c r="X83" i="7" s="1"/>
  <c r="AR36" i="8"/>
  <c r="AL28" i="7"/>
  <c r="AL83" i="7" s="1"/>
  <c r="AL84" i="7" s="1"/>
  <c r="BE36" i="8"/>
  <c r="BB28" i="7"/>
  <c r="BB83" i="7" s="1"/>
  <c r="BS36" i="8"/>
  <c r="BP28" i="7"/>
  <c r="CF36" i="8"/>
  <c r="CF28" i="7"/>
  <c r="CF83" i="7" s="1"/>
  <c r="CT36" i="8"/>
  <c r="CT28" i="7"/>
  <c r="CT83" i="7" s="1"/>
  <c r="CT84" i="7" s="1"/>
  <c r="DG36" i="8"/>
  <c r="I28" i="7"/>
  <c r="AE36" i="8"/>
  <c r="Y28" i="7"/>
  <c r="Y83" i="7" s="1"/>
  <c r="Y84" i="7" s="1"/>
  <c r="AS36" i="8"/>
  <c r="AM28" i="7"/>
  <c r="BF36" i="8"/>
  <c r="BC28" i="7"/>
  <c r="BC83" i="7" s="1"/>
  <c r="BC84" i="7" s="1"/>
  <c r="BT36" i="8"/>
  <c r="BQ28" i="7"/>
  <c r="CG36" i="8"/>
  <c r="CG28" i="7"/>
  <c r="CG83" i="7" s="1"/>
  <c r="CG84" i="7" s="1"/>
  <c r="CU36" i="8"/>
  <c r="CU28" i="7"/>
  <c r="DH36" i="8"/>
  <c r="J28" i="7"/>
  <c r="J83" i="7" s="1"/>
  <c r="J84" i="7" s="1"/>
  <c r="AF36" i="8"/>
  <c r="Z28" i="7"/>
  <c r="Z83" i="7" s="1"/>
  <c r="Z84" i="7" s="1"/>
  <c r="AT36" i="8"/>
  <c r="AN28" i="7"/>
  <c r="AN83" i="7" s="1"/>
  <c r="AN84" i="7" s="1"/>
  <c r="BG36" i="8"/>
  <c r="BD28" i="7"/>
  <c r="BD83" i="7" s="1"/>
  <c r="BD84" i="7" s="1"/>
  <c r="BU36" i="8"/>
  <c r="BR28" i="7"/>
  <c r="BR83" i="7" s="1"/>
  <c r="BR84" i="7" s="1"/>
  <c r="CH36" i="8"/>
  <c r="CH28" i="7"/>
  <c r="CH83" i="7" s="1"/>
  <c r="CH84" i="7" s="1"/>
  <c r="CV36" i="8"/>
  <c r="CV28" i="7"/>
  <c r="CV83" i="7" s="1"/>
  <c r="CV84" i="7" s="1"/>
  <c r="DI36" i="8"/>
  <c r="K28" i="7"/>
  <c r="K83" i="7" s="1"/>
  <c r="K84" i="7" s="1"/>
  <c r="AG36" i="8"/>
  <c r="AA28" i="7"/>
  <c r="AA83" i="7" s="1"/>
  <c r="AA84" i="7" s="1"/>
  <c r="AU36" i="8"/>
  <c r="AO28" i="7"/>
  <c r="AO83" i="7" s="1"/>
  <c r="AO84" i="7" s="1"/>
  <c r="BH36" i="8"/>
  <c r="BE28" i="7"/>
  <c r="BV36" i="8"/>
  <c r="BS28" i="7"/>
  <c r="BS83" i="7" s="1"/>
  <c r="BS84" i="7" s="1"/>
  <c r="CI36" i="8"/>
  <c r="CI28" i="7"/>
  <c r="CI83" i="7" s="1"/>
  <c r="CI84" i="7" s="1"/>
  <c r="CW36" i="8"/>
  <c r="CW28" i="7"/>
  <c r="CW83" i="7" s="1"/>
  <c r="CW84" i="7" s="1"/>
  <c r="DJ36" i="8"/>
  <c r="N28" i="7"/>
  <c r="N83" i="7" s="1"/>
  <c r="AI36" i="8"/>
  <c r="AB28" i="7"/>
  <c r="AB83" i="7" s="1"/>
  <c r="AB84" i="7" s="1"/>
  <c r="AV36" i="8"/>
  <c r="AR28" i="7"/>
  <c r="AR83" i="7" s="1"/>
  <c r="BJ36" i="8"/>
  <c r="BF28" i="7"/>
  <c r="BW36" i="8"/>
  <c r="BV28" i="7"/>
  <c r="BV83" i="7" s="1"/>
  <c r="CK36" i="8"/>
  <c r="CJ28" i="7"/>
  <c r="CJ83" i="7" s="1"/>
  <c r="CJ84" i="7" s="1"/>
  <c r="CX36" i="8"/>
  <c r="O28" i="7"/>
  <c r="O83" i="7" s="1"/>
  <c r="O84" i="7" s="1"/>
  <c r="AJ36" i="8"/>
  <c r="AC28" i="7"/>
  <c r="AW36" i="8"/>
  <c r="AS28" i="7"/>
  <c r="AS83" i="7" s="1"/>
  <c r="AS84" i="7" s="1"/>
  <c r="BK36" i="8"/>
  <c r="BG28" i="7"/>
  <c r="BX36" i="8"/>
  <c r="BW28" i="7"/>
  <c r="BW83" i="7" s="1"/>
  <c r="BW84" i="7" s="1"/>
  <c r="CL36" i="8"/>
  <c r="CK28" i="7"/>
  <c r="CY36" i="8"/>
  <c r="P28" i="7"/>
  <c r="P83" i="7" s="1"/>
  <c r="P84" i="7" s="1"/>
  <c r="AK36" i="8"/>
  <c r="AD28" i="7"/>
  <c r="AD83" i="7" s="1"/>
  <c r="AD84" i="7" s="1"/>
  <c r="AX36" i="8"/>
  <c r="AT28" i="7"/>
  <c r="AT83" i="7" s="1"/>
  <c r="AT84" i="7" s="1"/>
  <c r="BL36" i="8"/>
  <c r="BH28" i="7"/>
  <c r="BY36" i="8"/>
  <c r="BX28" i="7"/>
  <c r="BX83" i="7" s="1"/>
  <c r="BX84" i="7" s="1"/>
  <c r="CM36" i="8"/>
  <c r="CL28" i="7"/>
  <c r="CL83" i="7" s="1"/>
  <c r="CL84" i="7" s="1"/>
  <c r="CZ36" i="8"/>
  <c r="Q28" i="7"/>
  <c r="Q83" i="7" s="1"/>
  <c r="Q84" i="7" s="1"/>
  <c r="AL36" i="8"/>
  <c r="AE28" i="7"/>
  <c r="AE83" i="7" s="1"/>
  <c r="AE84" i="7" s="1"/>
  <c r="AY36" i="8"/>
  <c r="AU28" i="7"/>
  <c r="AU83" i="7" s="1"/>
  <c r="AU84" i="7" s="1"/>
  <c r="BM36" i="8"/>
  <c r="BI28" i="7"/>
  <c r="BI83" i="7" s="1"/>
  <c r="BI84" i="7" s="1"/>
  <c r="BZ36" i="8"/>
  <c r="BY28" i="7"/>
  <c r="BY83" i="7" s="1"/>
  <c r="BY84" i="7" s="1"/>
  <c r="CN36" i="8"/>
  <c r="CM28" i="7"/>
  <c r="CM83" i="7" s="1"/>
  <c r="CM84" i="7" s="1"/>
  <c r="DA36" i="8"/>
  <c r="D28" i="7"/>
  <c r="D83" i="7" s="1"/>
  <c r="Z36" i="8"/>
  <c r="R28" i="7"/>
  <c r="R83" i="7" s="1"/>
  <c r="R84" i="7" s="1"/>
  <c r="AM36" i="8"/>
  <c r="AH28" i="7"/>
  <c r="AH83" i="7" s="1"/>
  <c r="BA36" i="8"/>
  <c r="AV28" i="7"/>
  <c r="AV83" i="7" s="1"/>
  <c r="AV84" i="7" s="1"/>
  <c r="BN36" i="8"/>
  <c r="BL28" i="7"/>
  <c r="BL83" i="7" s="1"/>
  <c r="CB36" i="8"/>
  <c r="BZ28" i="7"/>
  <c r="CO36" i="8"/>
  <c r="CP28" i="7"/>
  <c r="CP83" i="7" s="1"/>
  <c r="DC36" i="8"/>
  <c r="F28" i="7"/>
  <c r="F83" i="7" s="1"/>
  <c r="F84" i="7" s="1"/>
  <c r="AB36" i="8"/>
  <c r="T28" i="7"/>
  <c r="T83" i="7" s="1"/>
  <c r="T84" i="7" s="1"/>
  <c r="AO36" i="8"/>
  <c r="AJ28" i="7"/>
  <c r="AJ83" i="7" s="1"/>
  <c r="AJ84" i="7" s="1"/>
  <c r="BC36" i="8"/>
  <c r="AX28" i="7"/>
  <c r="AX83" i="7" s="1"/>
  <c r="AX84" i="7" s="1"/>
  <c r="BP36" i="8"/>
  <c r="BN28" i="7"/>
  <c r="BN83" i="7" s="1"/>
  <c r="BN84" i="7" s="1"/>
  <c r="CD36" i="8"/>
  <c r="CB28" i="7"/>
  <c r="CB83" i="7" s="1"/>
  <c r="CB84" i="7" s="1"/>
  <c r="CQ36" i="8"/>
  <c r="CR28" i="7"/>
  <c r="CR83" i="7" s="1"/>
  <c r="CR84" i="7" s="1"/>
  <c r="DE36" i="8"/>
  <c r="G28" i="7"/>
  <c r="G83" i="7" s="1"/>
  <c r="G84" i="7" s="1"/>
  <c r="AC36" i="8"/>
  <c r="U28" i="7"/>
  <c r="U83" i="7" s="1"/>
  <c r="U84" i="7" s="1"/>
  <c r="AP36" i="8"/>
  <c r="AK28" i="7"/>
  <c r="AK83" i="7" s="1"/>
  <c r="AK84" i="7" s="1"/>
  <c r="BD36" i="8"/>
  <c r="AY28" i="7"/>
  <c r="AY83" i="7" s="1"/>
  <c r="AY84" i="7" s="1"/>
  <c r="BQ36" i="8"/>
  <c r="BO28" i="7"/>
  <c r="CE36" i="8"/>
  <c r="CC28" i="7"/>
  <c r="CC83" i="7" s="1"/>
  <c r="CC84" i="7" s="1"/>
  <c r="CR36" i="8"/>
  <c r="CS28" i="7"/>
  <c r="CS83" i="7" s="1"/>
  <c r="CS84" i="7" s="1"/>
  <c r="DF36" i="8"/>
  <c r="CX81" i="8"/>
  <c r="BZ66" i="7"/>
  <c r="BZ89" i="7" s="1"/>
  <c r="BZ90" i="7" s="1"/>
  <c r="CO81" i="8"/>
  <c r="CW81" i="8"/>
  <c r="AB66" i="7"/>
  <c r="AB89" i="7" s="1"/>
  <c r="AB90" i="7" s="1"/>
  <c r="AV81" i="8"/>
  <c r="AV66" i="7"/>
  <c r="AV89" i="7" s="1"/>
  <c r="AV90" i="7" s="1"/>
  <c r="BN81" i="8"/>
  <c r="AL66" i="7"/>
  <c r="AL89" i="7" s="1"/>
  <c r="AL90" i="7" s="1"/>
  <c r="BE81" i="8"/>
  <c r="DF81" i="8"/>
  <c r="DG81" i="8"/>
  <c r="CQ81" i="8"/>
  <c r="BW81" i="8"/>
  <c r="CF81" i="8"/>
  <c r="CN81" i="8"/>
  <c r="CD81" i="8"/>
  <c r="CE81" i="8"/>
  <c r="AT81" i="8"/>
  <c r="BL81" i="8"/>
  <c r="BU81" i="8"/>
  <c r="CM81" i="8"/>
  <c r="AL81" i="8"/>
  <c r="AM81" i="8"/>
  <c r="AN81" i="8"/>
  <c r="AW81" i="8"/>
  <c r="BF81" i="8"/>
  <c r="BO81" i="8"/>
  <c r="BX81" i="8"/>
  <c r="AU81" i="8"/>
  <c r="BQ81" i="8"/>
  <c r="BZ81" i="8"/>
  <c r="CI81" i="8"/>
  <c r="CR81" i="8"/>
  <c r="DA81" i="8"/>
  <c r="DJ81" i="8"/>
  <c r="CB66" i="7"/>
  <c r="CB89" i="7" s="1"/>
  <c r="CB90" i="7" s="1"/>
  <c r="AW67" i="7"/>
  <c r="AW89" i="7" s="1"/>
  <c r="AW90" i="7" s="1"/>
  <c r="AM67" i="7"/>
  <c r="AM89" i="7" s="1"/>
  <c r="AM90" i="7" s="1"/>
  <c r="AC67" i="7"/>
  <c r="AC89" i="7" s="1"/>
  <c r="AC90" i="7" s="1"/>
  <c r="S67" i="7"/>
  <c r="S89" i="7" s="1"/>
  <c r="S90" i="7" s="1"/>
  <c r="AC81" i="8"/>
  <c r="AO81" i="8"/>
  <c r="AX81" i="8"/>
  <c r="BG81" i="8"/>
  <c r="BP81" i="8"/>
  <c r="BY81" i="8"/>
  <c r="CH81" i="8"/>
  <c r="CL81" i="8"/>
  <c r="CZ81" i="8"/>
  <c r="DI81" i="8"/>
  <c r="CG81" i="8"/>
  <c r="CY81" i="8"/>
  <c r="DE81" i="8"/>
  <c r="DH81" i="8"/>
  <c r="G66" i="7"/>
  <c r="G89" i="7" s="1"/>
  <c r="G90" i="7" s="1"/>
  <c r="CR66" i="7"/>
  <c r="CR89" i="7" s="1"/>
  <c r="CR90" i="7" s="1"/>
  <c r="BX66" i="7"/>
  <c r="BX89" i="7" s="1"/>
  <c r="BX90" i="7" s="1"/>
  <c r="BD66" i="7"/>
  <c r="BD89" i="7" s="1"/>
  <c r="BD90" i="7" s="1"/>
  <c r="AT66" i="7"/>
  <c r="AT89" i="7" s="1"/>
  <c r="AT90" i="7" s="1"/>
  <c r="Z66" i="7"/>
  <c r="Z89" i="7" s="1"/>
  <c r="Z90" i="7" s="1"/>
  <c r="BC81" i="8"/>
  <c r="BW66" i="7"/>
  <c r="BW89" i="7" s="1"/>
  <c r="BW90" i="7" s="1"/>
  <c r="BO5" i="7"/>
  <c r="BE5" i="7"/>
  <c r="BZ4" i="7"/>
  <c r="BP4" i="7"/>
  <c r="BF4" i="7"/>
  <c r="BH5" i="7"/>
  <c r="BD35" i="7"/>
  <c r="CQ35" i="7"/>
  <c r="CG35" i="7"/>
  <c r="AS35" i="7"/>
  <c r="AI35" i="7"/>
  <c r="Y35" i="7"/>
  <c r="O35" i="7"/>
  <c r="D35" i="7"/>
  <c r="D86" i="7" s="1"/>
  <c r="J36" i="7"/>
  <c r="I37" i="7"/>
  <c r="AD81" i="8"/>
  <c r="BD81" i="8"/>
  <c r="BM81" i="8"/>
  <c r="BV81" i="8"/>
  <c r="AK81" i="8"/>
  <c r="CP81" i="8"/>
  <c r="CV81" i="8"/>
  <c r="AI81" i="8"/>
  <c r="AR81" i="8"/>
  <c r="AB81" i="8"/>
  <c r="AY81" i="8"/>
  <c r="CB81" i="8"/>
  <c r="CK81" i="8"/>
  <c r="CT81" i="8"/>
  <c r="DD81" i="8"/>
  <c r="BJ81" i="8"/>
  <c r="BS81" i="8"/>
  <c r="BB81" i="8"/>
  <c r="BK81" i="8"/>
  <c r="BT81" i="8"/>
  <c r="CC81" i="8"/>
  <c r="CU81" i="8"/>
  <c r="AP81" i="8"/>
  <c r="BH81" i="8"/>
  <c r="AJ81" i="8"/>
  <c r="AS81" i="8"/>
  <c r="AF81" i="8"/>
  <c r="BA81" i="8"/>
  <c r="DC81" i="8"/>
  <c r="AA81" i="8"/>
  <c r="AE81" i="8"/>
  <c r="AG81" i="8"/>
  <c r="D5" i="8"/>
  <c r="K15" i="3"/>
  <c r="J15" i="3"/>
  <c r="I15" i="3"/>
  <c r="K12" i="3"/>
  <c r="J12" i="3"/>
  <c r="I12" i="3"/>
  <c r="H15" i="3"/>
  <c r="G15" i="3"/>
  <c r="F15" i="3"/>
  <c r="E15" i="3"/>
  <c r="D15" i="3"/>
  <c r="M14" i="3"/>
  <c r="M11" i="3"/>
  <c r="BB87" i="7" l="1"/>
  <c r="AR87" i="7"/>
  <c r="CP87" i="7"/>
  <c r="N87" i="7"/>
  <c r="BL87" i="7"/>
  <c r="D125" i="7" a="1"/>
  <c r="D125" i="7" s="1"/>
  <c r="C125" i="7" s="1"/>
  <c r="BV87" i="7"/>
  <c r="D130" i="7" a="1"/>
  <c r="D130" i="7" s="1"/>
  <c r="AH87" i="7"/>
  <c r="D110" i="7" a="1"/>
  <c r="D110" i="7" s="1"/>
  <c r="CF87" i="7"/>
  <c r="X87" i="7"/>
  <c r="BB90" i="7"/>
  <c r="D121" i="7" a="1"/>
  <c r="D121" i="7" s="1"/>
  <c r="C121" i="7" s="1"/>
  <c r="AH90" i="7"/>
  <c r="D111" i="7" a="1"/>
  <c r="D111" i="7" s="1"/>
  <c r="C111" i="7" s="1"/>
  <c r="AR90" i="7"/>
  <c r="D116" i="7" a="1"/>
  <c r="D116" i="7" s="1"/>
  <c r="C116" i="7" s="1"/>
  <c r="BL90" i="7"/>
  <c r="D126" i="7" a="1"/>
  <c r="D126" i="7" s="1"/>
  <c r="C126" i="7" s="1"/>
  <c r="BV90" i="7"/>
  <c r="D131" i="7" a="1"/>
  <c r="D131" i="7" s="1"/>
  <c r="C131" i="7" s="1"/>
  <c r="CF90" i="7"/>
  <c r="D136" i="7" a="1"/>
  <c r="D136" i="7" s="1"/>
  <c r="C136" i="7" s="1"/>
  <c r="X90" i="7"/>
  <c r="D106" i="7" a="1"/>
  <c r="D106" i="7" s="1"/>
  <c r="C106" i="7" s="1"/>
  <c r="D90" i="7"/>
  <c r="D96" i="7" a="1"/>
  <c r="D96" i="7" s="1"/>
  <c r="N90" i="7"/>
  <c r="D101" i="7" a="1"/>
  <c r="D101" i="7" s="1"/>
  <c r="C101" i="7" s="1"/>
  <c r="CP90" i="7"/>
  <c r="D141" i="7" a="1"/>
  <c r="D141" i="7" s="1"/>
  <c r="C141" i="7" s="1"/>
  <c r="X84" i="7"/>
  <c r="AH84" i="7"/>
  <c r="AR84" i="7"/>
  <c r="CF84" i="7"/>
  <c r="CP84" i="7"/>
  <c r="N84" i="7"/>
  <c r="BV84" i="7"/>
  <c r="BB84" i="7"/>
  <c r="BL84" i="7"/>
  <c r="C154" i="7"/>
  <c r="C144" i="7"/>
  <c r="C149" i="7"/>
  <c r="C150" i="7"/>
  <c r="C165" i="7"/>
  <c r="C160" i="7"/>
  <c r="D84" i="7"/>
  <c r="C185" i="7"/>
  <c r="C159" i="7"/>
  <c r="D87" i="7"/>
  <c r="C170" i="7"/>
  <c r="C180" i="7"/>
  <c r="C164" i="7"/>
  <c r="C184" i="7"/>
  <c r="GB84" i="7"/>
  <c r="FH84" i="7"/>
  <c r="C174" i="7" s="1"/>
  <c r="EX84" i="7"/>
  <c r="C169" i="7" s="1"/>
  <c r="GL84" i="7"/>
  <c r="C189" i="7" s="1"/>
  <c r="FR84" i="7"/>
  <c r="C179" i="7" s="1"/>
  <c r="K2" i="3"/>
  <c r="BH83" i="7"/>
  <c r="BH84" i="7" s="1"/>
  <c r="Y86" i="7"/>
  <c r="Y87" i="7" s="1"/>
  <c r="B1" i="7" a="1"/>
  <c r="B1" i="7" s="1"/>
  <c r="I86" i="7"/>
  <c r="I87" i="7" s="1"/>
  <c r="CG86" i="7"/>
  <c r="CG87" i="7" s="1"/>
  <c r="CQ86" i="7"/>
  <c r="CQ87" i="7" s="1"/>
  <c r="BD86" i="7"/>
  <c r="BD87" i="7" s="1"/>
  <c r="O86" i="7"/>
  <c r="O87" i="7" s="1"/>
  <c r="BE83" i="7"/>
  <c r="BE84" i="7" s="1"/>
  <c r="AI86" i="7"/>
  <c r="AI87" i="7" s="1"/>
  <c r="BO83" i="7"/>
  <c r="BO84" i="7" s="1"/>
  <c r="AC83" i="7"/>
  <c r="AC84" i="7" s="1"/>
  <c r="J86" i="7"/>
  <c r="J87" i="7" s="1"/>
  <c r="BQ83" i="7"/>
  <c r="BQ84" i="7" s="1"/>
  <c r="AM83" i="7"/>
  <c r="AM84" i="7" s="1"/>
  <c r="CA83" i="7"/>
  <c r="CA84" i="7" s="1"/>
  <c r="BF83" i="7"/>
  <c r="BF84" i="7" s="1"/>
  <c r="BP83" i="7"/>
  <c r="BP84" i="7" s="1"/>
  <c r="AW83" i="7"/>
  <c r="AW84" i="7" s="1"/>
  <c r="BZ83" i="7"/>
  <c r="BZ84" i="7" s="1"/>
  <c r="AS86" i="7"/>
  <c r="AS87" i="7" s="1"/>
  <c r="CK83" i="7"/>
  <c r="CK84" i="7" s="1"/>
  <c r="BG83" i="7"/>
  <c r="BG84" i="7" s="1"/>
  <c r="CU83" i="7"/>
  <c r="CU84" i="7" s="1"/>
  <c r="S83" i="7"/>
  <c r="S84" i="7" s="1"/>
  <c r="M89" i="7"/>
  <c r="I83" i="7"/>
  <c r="I84" i="7" s="1"/>
  <c r="G8" i="3"/>
  <c r="D2" i="7"/>
  <c r="D81" i="7" s="1"/>
  <c r="H8" i="3"/>
  <c r="K8" i="3"/>
  <c r="I8" i="3"/>
  <c r="E8" i="3"/>
  <c r="J8" i="3"/>
  <c r="F8" i="3"/>
  <c r="J5" i="3"/>
  <c r="D5" i="3"/>
  <c r="K5" i="3"/>
  <c r="G5" i="3"/>
  <c r="F5" i="3"/>
  <c r="H5" i="3"/>
  <c r="I5" i="3"/>
  <c r="E5" i="3"/>
  <c r="D8" i="3"/>
  <c r="J2" i="3"/>
  <c r="I2" i="3"/>
  <c r="H2" i="3"/>
  <c r="E2" i="3"/>
  <c r="G2" i="3"/>
  <c r="F2" i="3"/>
  <c r="FE36" i="8"/>
  <c r="FN36" i="8"/>
  <c r="GF36" i="8"/>
  <c r="ED36" i="8"/>
  <c r="GO36" i="8"/>
  <c r="EV36" i="8"/>
  <c r="EM36" i="8"/>
  <c r="FW36" i="8"/>
  <c r="DU36" i="8"/>
  <c r="M15" i="3"/>
  <c r="D105" i="7" l="1" a="1"/>
  <c r="D105" i="7" s="1"/>
  <c r="D99" i="7" a="1"/>
  <c r="D99" i="7" s="1"/>
  <c r="C99" i="7" s="1"/>
  <c r="D109" i="7" a="1"/>
  <c r="D109" i="7" s="1"/>
  <c r="C109" i="7" s="1"/>
  <c r="D140" i="7" a="1"/>
  <c r="D140" i="7" s="1"/>
  <c r="C140" i="7" s="1"/>
  <c r="D135" i="7" a="1"/>
  <c r="D135" i="7" s="1"/>
  <c r="C135" i="7" s="1"/>
  <c r="D120" i="7" a="1"/>
  <c r="D120" i="7" s="1"/>
  <c r="D100" i="7" a="1"/>
  <c r="D100" i="7" s="1"/>
  <c r="C100" i="7" s="1"/>
  <c r="D115" i="7" a="1"/>
  <c r="D115" i="7" s="1"/>
  <c r="C115" i="7" s="1"/>
  <c r="E17" i="3"/>
  <c r="D139" i="7" a="1"/>
  <c r="D139" i="7" s="1"/>
  <c r="C139" i="7" s="1"/>
  <c r="D134" i="7" a="1"/>
  <c r="D134" i="7" s="1"/>
  <c r="C134" i="7" s="1"/>
  <c r="D124" i="7" a="1"/>
  <c r="D124" i="7" s="1"/>
  <c r="C124" i="7" s="1"/>
  <c r="D119" i="7" a="1"/>
  <c r="D119" i="7" s="1"/>
  <c r="C119" i="7" s="1"/>
  <c r="D104" i="7" a="1"/>
  <c r="D104" i="7" s="1"/>
  <c r="C104" i="7" s="1"/>
  <c r="D114" i="7" a="1"/>
  <c r="D114" i="7" s="1"/>
  <c r="C114" i="7" s="1"/>
  <c r="D129" i="7" a="1"/>
  <c r="D129" i="7" s="1"/>
  <c r="C129" i="7" s="1"/>
  <c r="D95" i="7" a="1"/>
  <c r="D95" i="7" s="1"/>
  <c r="D94" i="7" a="1"/>
  <c r="D94" i="7" s="1"/>
  <c r="C94" i="7" s="1"/>
  <c r="B28" i="3"/>
  <c r="F17" i="3"/>
  <c r="C110" i="7"/>
  <c r="C105" i="7"/>
  <c r="C120" i="7"/>
  <c r="C130" i="7"/>
  <c r="M5" i="3"/>
  <c r="C96" i="7"/>
  <c r="D2" i="3"/>
  <c r="H12" i="3"/>
  <c r="G12" i="3"/>
  <c r="F12" i="3"/>
  <c r="E12" i="3"/>
  <c r="D12" i="3"/>
  <c r="B27" i="3" l="1"/>
  <c r="D17" i="3"/>
  <c r="D24" i="3" s="1"/>
  <c r="C95" i="7"/>
  <c r="M12" i="3"/>
  <c r="K9" i="3" l="1"/>
  <c r="I9" i="3"/>
  <c r="J9" i="3"/>
  <c r="K6" i="3"/>
  <c r="K17" i="3" l="1"/>
  <c r="K23" i="3" s="1"/>
  <c r="K20" i="3"/>
  <c r="J20" i="3"/>
  <c r="J6" i="3"/>
  <c r="J17" i="3"/>
  <c r="J23" i="3" s="1"/>
  <c r="I6" i="3"/>
  <c r="I17" i="3"/>
  <c r="I20" i="3"/>
  <c r="G9" i="3"/>
  <c r="H9" i="3"/>
  <c r="F9" i="3"/>
  <c r="E9" i="3"/>
  <c r="A115" i="6"/>
  <c r="A114" i="6"/>
  <c r="A113" i="6"/>
  <c r="A112" i="6"/>
  <c r="A111" i="6"/>
  <c r="A110" i="6"/>
  <c r="A109" i="6"/>
  <c r="A108" i="6"/>
  <c r="A107" i="6"/>
  <c r="A106" i="6"/>
  <c r="A105" i="6"/>
  <c r="A104" i="6"/>
  <c r="A101" i="6"/>
  <c r="A98" i="6"/>
  <c r="A97" i="6"/>
  <c r="A96" i="6"/>
  <c r="A95" i="6"/>
  <c r="A94" i="6"/>
  <c r="A93" i="6"/>
  <c r="I23" i="3" l="1"/>
  <c r="I24" i="3"/>
  <c r="D9" i="3"/>
  <c r="M9" i="3" s="1"/>
  <c r="M8" i="3"/>
  <c r="H6" i="3" l="1"/>
  <c r="G6" i="3"/>
  <c r="E6" i="3"/>
  <c r="D6" i="3"/>
  <c r="K3" i="3"/>
  <c r="I3" i="3"/>
  <c r="F6" i="3"/>
  <c r="G17" i="3"/>
  <c r="H20" i="3"/>
  <c r="F23" i="3" l="1"/>
  <c r="F24" i="3"/>
  <c r="E23" i="3"/>
  <c r="E24" i="3"/>
  <c r="G23" i="3"/>
  <c r="G24" i="3"/>
  <c r="D23" i="3"/>
  <c r="H17" i="3"/>
  <c r="G20" i="3"/>
  <c r="F20" i="3"/>
  <c r="I21" i="3"/>
  <c r="I18" i="3"/>
  <c r="D20" i="3"/>
  <c r="K21" i="3"/>
  <c r="K18" i="3"/>
  <c r="K24" i="3" s="1"/>
  <c r="E20" i="3"/>
  <c r="M6" i="3"/>
  <c r="J3" i="3"/>
  <c r="D3" i="3"/>
  <c r="D21" i="3" s="1"/>
  <c r="G3" i="3"/>
  <c r="G18" i="3" s="1"/>
  <c r="F3" i="3"/>
  <c r="F21" i="3" s="1"/>
  <c r="H3" i="3"/>
  <c r="H18" i="3" s="1"/>
  <c r="E3" i="3"/>
  <c r="E21" i="3" s="1"/>
  <c r="M2" i="3"/>
  <c r="A146" i="1"/>
  <c r="A145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6" i="1"/>
  <c r="A115" i="1"/>
  <c r="A114" i="1"/>
  <c r="A113" i="1"/>
  <c r="A112" i="1"/>
  <c r="A111" i="1"/>
  <c r="A110" i="1"/>
  <c r="A48" i="1"/>
  <c r="A49" i="1"/>
  <c r="A50" i="1"/>
  <c r="A51" i="1"/>
  <c r="A52" i="1"/>
  <c r="A53" i="1"/>
  <c r="A54" i="1"/>
  <c r="A55" i="1"/>
  <c r="A57" i="1"/>
  <c r="A58" i="1"/>
  <c r="A59" i="1"/>
  <c r="A60" i="1"/>
  <c r="A61" i="1"/>
  <c r="A62" i="1"/>
  <c r="A63" i="1"/>
  <c r="A64" i="1"/>
  <c r="A65" i="1"/>
  <c r="A47" i="1"/>
  <c r="C23" i="3" l="1"/>
  <c r="B26" i="3"/>
  <c r="B29" i="3"/>
  <c r="H24" i="3"/>
  <c r="M17" i="3"/>
  <c r="H23" i="3"/>
  <c r="M20" i="3"/>
  <c r="G21" i="3"/>
  <c r="E18" i="3"/>
  <c r="F18" i="3"/>
  <c r="J18" i="3"/>
  <c r="J24" i="3" s="1"/>
  <c r="J21" i="3"/>
  <c r="H21" i="3"/>
  <c r="D18" i="3"/>
  <c r="M3" i="3"/>
  <c r="M23" i="3" l="1"/>
  <c r="M24" i="3"/>
  <c r="N18" i="3"/>
  <c r="B30" i="3" s="1"/>
  <c r="M18" i="3"/>
  <c r="M21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<sst xmlns="http://schemas.openxmlformats.org/spreadsheetml/2006/main" count="1898" uniqueCount="238">
  <si>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</si>
  <si>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</si>
  <si>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</si>
  <si>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</si>
  <si>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</si>
  <si>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</si>
  <si>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</si>
  <si>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</si>
  <si>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</si>
  <si>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</si>
  <si>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</si>
  <si>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</si>
  <si>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</si>
  <si>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</si>
  <si>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</si>
  <si>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</si>
  <si>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</si>
  <si>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</si>
  <si>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</si>
  <si>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</si>
  <si>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Start Date</t>
  </si>
  <si>
    <t>No. of weeks</t>
  </si>
  <si>
    <t>Market</t>
  </si>
  <si>
    <t>Asset</t>
  </si>
  <si>
    <t>8-sheet</t>
  </si>
  <si>
    <t>6-sheet</t>
  </si>
  <si>
    <t>4-sheet</t>
  </si>
  <si>
    <t>2-sheet</t>
  </si>
  <si>
    <t>QA0</t>
  </si>
  <si>
    <t>Mega</t>
  </si>
  <si>
    <t>DOT M</t>
  </si>
  <si>
    <t>MP</t>
  </si>
  <si>
    <t>FF</t>
  </si>
  <si>
    <t>Sydney</t>
  </si>
  <si>
    <t>Total</t>
  </si>
  <si>
    <t>Melbourne</t>
  </si>
  <si>
    <t>Brisbane</t>
  </si>
  <si>
    <t>Quads</t>
  </si>
  <si>
    <t>Triples</t>
  </si>
  <si>
    <t>Doubles</t>
  </si>
  <si>
    <t>Singles</t>
  </si>
  <si>
    <t>Megasite</t>
  </si>
  <si>
    <t>DOT Megasite</t>
  </si>
  <si>
    <t>Mega Portrait</t>
  </si>
  <si>
    <t>Ferro Film</t>
  </si>
  <si>
    <t>Posters</t>
  </si>
  <si>
    <t>Frames</t>
  </si>
  <si>
    <t>Adelaide</t>
  </si>
  <si>
    <t>Perth</t>
  </si>
  <si>
    <t>Grand Total</t>
  </si>
  <si>
    <t>Grand Total (excl. WA)</t>
  </si>
  <si>
    <t>Print Order</t>
  </si>
  <si>
    <t>Standard</t>
  </si>
  <si>
    <t>A0</t>
  </si>
  <si>
    <t>Megas</t>
  </si>
  <si>
    <t>State</t>
  </si>
  <si>
    <t>Q</t>
  </si>
  <si>
    <t>T</t>
  </si>
  <si>
    <t>D</t>
  </si>
  <si>
    <t>S</t>
  </si>
  <si>
    <t>DOT</t>
  </si>
  <si>
    <t>NSW</t>
  </si>
  <si>
    <t>VIC</t>
  </si>
  <si>
    <t>QLD</t>
  </si>
  <si>
    <t>Size</t>
  </si>
  <si>
    <t>w/c</t>
  </si>
  <si>
    <t>Install summary</t>
  </si>
  <si>
    <t>NSW Asset</t>
  </si>
  <si>
    <t>VIC Asset</t>
  </si>
  <si>
    <t>QLD Asset</t>
  </si>
  <si>
    <t>FOCUS-A</t>
  </si>
  <si>
    <t>FOCUS-A (maintenance)</t>
  </si>
  <si>
    <t>FOCUS-B</t>
  </si>
  <si>
    <t>FOCUS-B (maintenance)</t>
  </si>
  <si>
    <t>FOCUS-C</t>
  </si>
  <si>
    <t>FOCUS-C (maintenance)</t>
  </si>
  <si>
    <t>FOCUS-D</t>
  </si>
  <si>
    <t>FOCUS-D (maintenance)</t>
  </si>
  <si>
    <t>FOCUS-E</t>
  </si>
  <si>
    <t>FOCUS-E (maintenance)</t>
  </si>
  <si>
    <t>FOCUS-F</t>
  </si>
  <si>
    <t>FOCUS-F (maintenance)</t>
  </si>
  <si>
    <t>FOCUS-G</t>
  </si>
  <si>
    <t>FOCUS-G (maintenance)</t>
  </si>
  <si>
    <t>FOCUS-H</t>
  </si>
  <si>
    <t>FOCUS-H (maintenance)</t>
  </si>
  <si>
    <t>FOCUS-I</t>
  </si>
  <si>
    <t>HAND SELECT</t>
  </si>
  <si>
    <t>FOCUS-I (maintenance)</t>
  </si>
  <si>
    <t>MEGASITE - Abbotsford Rd</t>
  </si>
  <si>
    <t>FOCUS-J</t>
  </si>
  <si>
    <t>MEGASITE - Brunswick St</t>
  </si>
  <si>
    <t>FOCUS-J (maintenance)</t>
  </si>
  <si>
    <t>MEGASITE - Brookes St</t>
  </si>
  <si>
    <t>FOCUS-K</t>
  </si>
  <si>
    <t>MEGASITE - Petrie Tce</t>
  </si>
  <si>
    <t>FOCUS-K (maintenance)</t>
  </si>
  <si>
    <t>MEGASITE - Gympie Rd</t>
  </si>
  <si>
    <t>FOCUS-L</t>
  </si>
  <si>
    <t>MEGASITE - 667 Stanley St</t>
  </si>
  <si>
    <t>FOCUS-L (maintenance)</t>
  </si>
  <si>
    <t>MEGASITE - Wickham St</t>
  </si>
  <si>
    <t>FOCUS-M</t>
  </si>
  <si>
    <t>MEGASITE - Hardgrave Rd</t>
  </si>
  <si>
    <t>FOCUS-M (maintenance)</t>
  </si>
  <si>
    <t>DOM - Ann St</t>
  </si>
  <si>
    <t>ROCKSTAR-A</t>
  </si>
  <si>
    <t>DOM - Warner St</t>
  </si>
  <si>
    <t>ROCKSTAR-A (maintenance)</t>
  </si>
  <si>
    <t>DOM - 949 Ann St</t>
  </si>
  <si>
    <t>ROCKSTAR-B</t>
  </si>
  <si>
    <t>MEGA PORTRAIT</t>
  </si>
  <si>
    <t>ROCKSTAR-B (maintenance)</t>
  </si>
  <si>
    <t>ROCKSTAR-C</t>
  </si>
  <si>
    <t>ROCKSTAR-C (maintenance)</t>
  </si>
  <si>
    <t>DOM - Ultimo Rd</t>
  </si>
  <si>
    <t>DOM - Swan St</t>
  </si>
  <si>
    <t>DOM - Enmore Rd</t>
  </si>
  <si>
    <t>DOM - Brunton Ave</t>
  </si>
  <si>
    <t>DOM - New South Head Rd</t>
  </si>
  <si>
    <t>DOM - King &amp; Flinders St</t>
  </si>
  <si>
    <t>DOM - Regent St</t>
  </si>
  <si>
    <t>DOM - Punt Rd, Richmond</t>
  </si>
  <si>
    <t>DOM - Cleveland St</t>
  </si>
  <si>
    <t>DOM - Punt Rd, Cremorne</t>
  </si>
  <si>
    <t>DOM - Harris St</t>
  </si>
  <si>
    <t>DOM - Eastern Freeway</t>
  </si>
  <si>
    <t>DOM - Help St</t>
  </si>
  <si>
    <t>DOM - Wurundjeri Way</t>
  </si>
  <si>
    <t>DOM - Marsden &amp; Argyle St</t>
  </si>
  <si>
    <t>DOM - 344 Chapel St</t>
  </si>
  <si>
    <t>DOM - Catherine St, Lilyfield</t>
  </si>
  <si>
    <t>DOM - Swan &amp; Cremorne</t>
  </si>
  <si>
    <t>DOM - The Crescent</t>
  </si>
  <si>
    <t>DOM - Pyrmont Bridge Rd</t>
  </si>
  <si>
    <t>HAND SELECT - Hoddle St</t>
  </si>
  <si>
    <t>MEGASITE - Flemington Rd - A</t>
  </si>
  <si>
    <t>HS - Catherine St &amp; Brennan St</t>
  </si>
  <si>
    <t>MEGASITE - Flemington Rd - B</t>
  </si>
  <si>
    <t>HS - Catherine St &amp; Lilyfield St</t>
  </si>
  <si>
    <t>MEGASITE - Flemington Rd - C</t>
  </si>
  <si>
    <t>HS - Longport St</t>
  </si>
  <si>
    <t>MEGASITE - Inkerman &amp; Barkley - A</t>
  </si>
  <si>
    <t>HS - New Canterbury Rd</t>
  </si>
  <si>
    <t>MEGASITE - Inkerman &amp; Barkley - B</t>
  </si>
  <si>
    <t>HS - Glenmore Rd</t>
  </si>
  <si>
    <t>MEGASITE - Swan &amp; Stewart</t>
  </si>
  <si>
    <t>HS - King St</t>
  </si>
  <si>
    <t>MEGASITE - Toorak Rd - North</t>
  </si>
  <si>
    <t>HS - West St</t>
  </si>
  <si>
    <t>MEGASITE - Toorak Rd - South</t>
  </si>
  <si>
    <t>MEGASITE - Victoria Rd</t>
  </si>
  <si>
    <t>MEGASITE - Armstrong St</t>
  </si>
  <si>
    <t>MEGASITE - Oxford St</t>
  </si>
  <si>
    <t>MEGASITE - King St</t>
  </si>
  <si>
    <t>MEGASITE - Anzac Pde</t>
  </si>
  <si>
    <t>MEGASITE - 394 Chapel St</t>
  </si>
  <si>
    <t>MEGASITE - Penshurst St</t>
  </si>
  <si>
    <t>DOT MEGA</t>
  </si>
  <si>
    <t>FULL RUN</t>
  </si>
  <si>
    <t>MAINTENANCE</t>
  </si>
  <si>
    <t>PACK</t>
  </si>
  <si>
    <t>STATE</t>
  </si>
  <si>
    <t>TOTAL</t>
  </si>
  <si>
    <t>Pack</t>
  </si>
  <si>
    <t>HS</t>
  </si>
  <si>
    <t>Dom</t>
  </si>
  <si>
    <t>BROADCAST-A</t>
  </si>
  <si>
    <t>BROADCAST-B</t>
  </si>
  <si>
    <t>BROADCAST-C</t>
  </si>
  <si>
    <t>BROADCAST-D</t>
  </si>
  <si>
    <t>PREMIUM 1</t>
  </si>
  <si>
    <t>PREMIUM 2</t>
  </si>
  <si>
    <t>PREMIUM 3</t>
  </si>
  <si>
    <t>DOM</t>
  </si>
  <si>
    <t>Ultimo Rd</t>
  </si>
  <si>
    <t>Enmore Rd</t>
  </si>
  <si>
    <t>New South Head Rd</t>
  </si>
  <si>
    <t>Regent St</t>
  </si>
  <si>
    <t>Cleveland St</t>
  </si>
  <si>
    <t>Harris St</t>
  </si>
  <si>
    <t>Help St</t>
  </si>
  <si>
    <t>Marsden &amp; Argyle St</t>
  </si>
  <si>
    <t>The Crescent Mega/Dom</t>
  </si>
  <si>
    <t>Hand Select</t>
  </si>
  <si>
    <t>Catherine St &amp; Brennan St</t>
  </si>
  <si>
    <t>Catherine St &amp; Lilyfield St</t>
  </si>
  <si>
    <t>Longport St</t>
  </si>
  <si>
    <t>New Canterbury Rd</t>
  </si>
  <si>
    <t>Glenmore Rd</t>
  </si>
  <si>
    <t>King St</t>
  </si>
  <si>
    <t>West St</t>
  </si>
  <si>
    <t>MEGASITE</t>
  </si>
  <si>
    <t>Victoria Rd</t>
  </si>
  <si>
    <t>Physical: 3,000H x 8,000W</t>
  </si>
  <si>
    <t>The Crescent</t>
  </si>
  <si>
    <t>Physical: 2,900H x 6,300W</t>
  </si>
  <si>
    <t>Swan St</t>
  </si>
  <si>
    <t>Richmond</t>
  </si>
  <si>
    <t>Brunton Ave</t>
  </si>
  <si>
    <t>King &amp; Flinders St</t>
  </si>
  <si>
    <t>Punt Rd</t>
  </si>
  <si>
    <t>Punt Rd (DOT)</t>
  </si>
  <si>
    <t>Cremorne</t>
  </si>
  <si>
    <t>Eastern Freeway</t>
  </si>
  <si>
    <t>Fitzroy</t>
  </si>
  <si>
    <t>Wurundjeri Way</t>
  </si>
  <si>
    <t>Docklands</t>
  </si>
  <si>
    <t>Egan St</t>
  </si>
  <si>
    <t>Racecourse Rd</t>
  </si>
  <si>
    <t>Normanby Rd</t>
  </si>
  <si>
    <t>Flemington Rd - A</t>
  </si>
  <si>
    <t>Physical: 3,000H x 6,000W</t>
  </si>
  <si>
    <t>Flemington Rd - B</t>
  </si>
  <si>
    <t>Flemington Rd - C</t>
  </si>
  <si>
    <t>Inkerman &amp; Barkley - A</t>
  </si>
  <si>
    <t>Physical: 3,000H x 12,600W</t>
  </si>
  <si>
    <t>Inkerman &amp; Barkley - B</t>
  </si>
  <si>
    <t>Swan &amp; Cremorne</t>
  </si>
  <si>
    <t>Physical: 2,700H x 7,000W</t>
  </si>
  <si>
    <t>Swan &amp; Stewart</t>
  </si>
  <si>
    <t>Physical: 2,860H x 6,200W</t>
  </si>
  <si>
    <t>Toorak Rd - North</t>
  </si>
  <si>
    <t>Physical: 2,900H x 10,650W</t>
  </si>
  <si>
    <t>DOT Megas</t>
  </si>
  <si>
    <t>Physical: 2,378H x 3,364W</t>
  </si>
  <si>
    <t>Mega Portraits</t>
  </si>
  <si>
    <t>Physical: 2,900H x 2,100W</t>
  </si>
  <si>
    <t>Abbotsford Rd</t>
  </si>
  <si>
    <t>Bowen Hills</t>
  </si>
  <si>
    <t>Brunswick St</t>
  </si>
  <si>
    <t>Fortitude Valley</t>
  </si>
  <si>
    <t>Various</t>
  </si>
  <si>
    <t>South Yarra</t>
  </si>
  <si>
    <t>HS - Egan St</t>
  </si>
  <si>
    <t>HS - Racecourse Rd</t>
  </si>
  <si>
    <t>HS - Normanby Rd</t>
  </si>
  <si>
    <t>MEGASITE - Swan &amp; Cremorne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</si>
</sst>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75717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1"/>
      <name val="Bookshelf Symbol 7"/>
      <family val="2"/>
      <charset val="2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 tint="0.499984740745262"/>
      </left>
      <right style="thin">
        <color theme="0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/>
      <diagonal/>
    </border>
  </borders>
  <cellStyleXfs count="2">
    <xf numFmtId="0" fontId="0" fillId="0" borderId="0"/>
    <xf numFmtId="0" fontId="1" fillId="18" borderId="30" applyNumberFormat="0" applyAlignment="0" applyProtection="0"/>
  </cellStyleXfs>
  <cellXfs count="27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4" borderId="3" xfId="0" applyFont="1" applyFill="1" applyBorder="1"/>
    <xf numFmtId="0" fontId="0" fillId="4" borderId="3" xfId="0" applyFill="1" applyBorder="1"/>
    <xf numFmtId="0" fontId="0" fillId="5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1" fontId="2" fillId="0" borderId="6" xfId="0" applyNumberFormat="1" applyFont="1" applyBorder="1" applyAlignment="1">
      <alignment horizontal="center"/>
    </xf>
    <xf numFmtId="0" fontId="0" fillId="4" borderId="0" xfId="0" applyFill="1"/>
    <xf numFmtId="0" fontId="2" fillId="0" borderId="6" xfId="0" applyFont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" fontId="5" fillId="6" borderId="7" xfId="0" applyNumberFormat="1" applyFont="1" applyFill="1" applyBorder="1" applyAlignment="1">
      <alignment horizontal="center"/>
    </xf>
    <xf numFmtId="1" fontId="4" fillId="5" borderId="0" xfId="0" applyNumberFormat="1" applyFont="1" applyFill="1" applyAlignment="1">
      <alignment horizont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5" fillId="6" borderId="0" xfId="0" applyNumberFormat="1" applyFont="1" applyFill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0" fontId="2" fillId="7" borderId="0" xfId="0" applyFont="1" applyFill="1"/>
    <xf numFmtId="0" fontId="0" fillId="7" borderId="0" xfId="0" applyFill="1"/>
    <xf numFmtId="1" fontId="4" fillId="5" borderId="7" xfId="0" applyNumberFormat="1" applyFont="1" applyFill="1" applyBorder="1" applyAlignment="1">
      <alignment horizontal="center"/>
    </xf>
    <xf numFmtId="0" fontId="0" fillId="7" borderId="9" xfId="0" applyFill="1" applyBorder="1"/>
    <xf numFmtId="0" fontId="3" fillId="6" borderId="9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1" fontId="5" fillId="6" borderId="11" xfId="0" applyNumberFormat="1" applyFont="1" applyFill="1" applyBorder="1" applyAlignment="1">
      <alignment horizontal="center"/>
    </xf>
    <xf numFmtId="1" fontId="5" fillId="6" borderId="9" xfId="0" applyNumberFormat="1" applyFont="1" applyFill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2" fillId="4" borderId="13" xfId="0" applyFont="1" applyFill="1" applyBorder="1"/>
    <xf numFmtId="0" fontId="2" fillId="5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/>
    <xf numFmtId="1" fontId="3" fillId="6" borderId="7" xfId="0" applyNumberFormat="1" applyFont="1" applyFill="1" applyBorder="1" applyAlignment="1">
      <alignment horizontal="center"/>
    </xf>
    <xf numFmtId="0" fontId="2" fillId="0" borderId="1" xfId="0" applyFont="1" applyBorder="1"/>
    <xf numFmtId="0" fontId="4" fillId="5" borderId="9" xfId="0" applyFont="1" applyFill="1" applyBorder="1" applyAlignment="1">
      <alignment horizontal="center"/>
    </xf>
    <xf numFmtId="1" fontId="6" fillId="6" borderId="2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" fontId="6" fillId="6" borderId="0" xfId="0" applyNumberFormat="1" applyFont="1" applyFill="1" applyAlignment="1">
      <alignment horizontal="center"/>
    </xf>
    <xf numFmtId="1" fontId="7" fillId="6" borderId="7" xfId="0" applyNumberFormat="1" applyFont="1" applyFill="1" applyBorder="1" applyAlignment="1">
      <alignment horizontal="center"/>
    </xf>
    <xf numFmtId="1" fontId="7" fillId="6" borderId="0" xfId="0" applyNumberFormat="1" applyFont="1" applyFill="1" applyAlignment="1">
      <alignment horizontal="center"/>
    </xf>
    <xf numFmtId="0" fontId="2" fillId="0" borderId="9" xfId="0" applyFont="1" applyBorder="1"/>
    <xf numFmtId="0" fontId="0" fillId="0" borderId="9" xfId="0" applyBorder="1"/>
    <xf numFmtId="1" fontId="7" fillId="6" borderId="11" xfId="0" applyNumberFormat="1" applyFont="1" applyFill="1" applyBorder="1" applyAlignment="1">
      <alignment horizontal="center"/>
    </xf>
    <xf numFmtId="1" fontId="7" fillId="6" borderId="9" xfId="0" applyNumberFormat="1" applyFont="1" applyFill="1" applyBorder="1" applyAlignment="1">
      <alignment horizontal="center"/>
    </xf>
    <xf numFmtId="1" fontId="4" fillId="5" borderId="9" xfId="0" applyNumberFormat="1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2" fillId="4" borderId="15" xfId="0" applyFont="1" applyFill="1" applyBorder="1"/>
    <xf numFmtId="1" fontId="0" fillId="5" borderId="2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5" borderId="11" xfId="0" applyNumberForma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/>
    </xf>
    <xf numFmtId="0" fontId="2" fillId="12" borderId="18" xfId="0" applyFont="1" applyFill="1" applyBorder="1" applyAlignment="1">
      <alignment horizontal="left" vertical="center"/>
    </xf>
    <xf numFmtId="0" fontId="0" fillId="12" borderId="18" xfId="0" applyFill="1" applyBorder="1" applyAlignment="1">
      <alignment horizontal="left" vertical="center"/>
    </xf>
    <xf numFmtId="0" fontId="0" fillId="5" borderId="18" xfId="0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3" fillId="6" borderId="20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8" borderId="21" xfId="0" applyFont="1" applyFill="1" applyBorder="1" applyAlignment="1">
      <alignment horizontal="left" vertical="center"/>
    </xf>
    <xf numFmtId="0" fontId="10" fillId="8" borderId="21" xfId="0" applyFont="1" applyFill="1" applyBorder="1" applyAlignment="1">
      <alignment horizontal="left" vertical="center"/>
    </xf>
    <xf numFmtId="0" fontId="10" fillId="9" borderId="21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/>
    </xf>
    <xf numFmtId="0" fontId="2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10" fillId="9" borderId="24" xfId="0" applyFon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9" borderId="2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2" fillId="4" borderId="9" xfId="0" applyFont="1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10" fillId="9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" fillId="2" borderId="0" xfId="0" applyFont="1" applyFill="1"/>
    <xf numFmtId="0" fontId="0" fillId="12" borderId="1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12" borderId="3" xfId="0" applyFont="1" applyFill="1" applyBorder="1" applyAlignment="1">
      <alignment horizontal="left" vertical="center"/>
    </xf>
    <xf numFmtId="0" fontId="0" fillId="12" borderId="3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27" xfId="0" applyFont="1" applyFill="1" applyBorder="1" applyAlignment="1">
      <alignment horizontal="left" vertical="center"/>
    </xf>
    <xf numFmtId="0" fontId="12" fillId="12" borderId="18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2" fillId="4" borderId="15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5" borderId="13" xfId="0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2" fillId="14" borderId="3" xfId="0" applyFont="1" applyFill="1" applyBorder="1" applyAlignment="1">
      <alignment horizontal="left" vertical="center"/>
    </xf>
    <xf numFmtId="0" fontId="0" fillId="14" borderId="3" xfId="0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0" fillId="17" borderId="17" xfId="0" applyFill="1" applyBorder="1" applyAlignment="1">
      <alignment horizontal="center" vertical="center"/>
    </xf>
    <xf numFmtId="0" fontId="2" fillId="17" borderId="17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0" fillId="0" borderId="17" xfId="0" applyBorder="1"/>
    <xf numFmtId="1" fontId="0" fillId="0" borderId="17" xfId="0" applyNumberForma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0" fillId="11" borderId="29" xfId="0" applyFill="1" applyBorder="1" applyAlignment="1">
      <alignment horizontal="center" vertical="center"/>
    </xf>
    <xf numFmtId="0" fontId="0" fillId="16" borderId="32" xfId="0" applyFill="1" applyBorder="1"/>
    <xf numFmtId="0" fontId="0" fillId="16" borderId="32" xfId="0" applyFill="1" applyBorder="1" applyAlignment="1">
      <alignment horizontal="center" vertical="center"/>
    </xf>
    <xf numFmtId="0" fontId="0" fillId="0" borderId="28" xfId="0" applyBorder="1"/>
    <xf numFmtId="0" fontId="1" fillId="2" borderId="29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21" fillId="20" borderId="17" xfId="0" applyNumberFormat="1" applyFont="1" applyFill="1" applyBorder="1" applyAlignment="1">
      <alignment horizontal="center" vertical="center"/>
    </xf>
    <xf numFmtId="1" fontId="21" fillId="20" borderId="29" xfId="0" applyNumberFormat="1" applyFont="1" applyFill="1" applyBorder="1" applyAlignment="1">
      <alignment horizontal="center" vertical="center"/>
    </xf>
    <xf numFmtId="1" fontId="21" fillId="16" borderId="32" xfId="0" applyNumberFormat="1" applyFont="1" applyFill="1" applyBorder="1" applyAlignment="1">
      <alignment horizontal="center" vertical="center"/>
    </xf>
    <xf numFmtId="1" fontId="21" fillId="16" borderId="35" xfId="0" applyNumberFormat="1" applyFont="1" applyFill="1" applyBorder="1" applyAlignment="1">
      <alignment horizontal="center" vertical="center"/>
    </xf>
    <xf numFmtId="1" fontId="21" fillId="16" borderId="37" xfId="0" applyNumberFormat="1" applyFont="1" applyFill="1" applyBorder="1" applyAlignment="1">
      <alignment horizontal="center" vertical="center"/>
    </xf>
    <xf numFmtId="1" fontId="21" fillId="20" borderId="33" xfId="0" applyNumberFormat="1" applyFont="1" applyFill="1" applyBorder="1" applyAlignment="1">
      <alignment horizontal="center" vertical="center"/>
    </xf>
    <xf numFmtId="1" fontId="21" fillId="20" borderId="36" xfId="0" applyNumberFormat="1" applyFont="1" applyFill="1" applyBorder="1" applyAlignment="1">
      <alignment horizontal="center" vertical="center"/>
    </xf>
    <xf numFmtId="1" fontId="21" fillId="20" borderId="34" xfId="0" applyNumberFormat="1" applyFont="1" applyFill="1" applyBorder="1" applyAlignment="1">
      <alignment horizontal="center" vertical="center"/>
    </xf>
    <xf numFmtId="1" fontId="21" fillId="20" borderId="38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0" fontId="1" fillId="16" borderId="44" xfId="0" applyFont="1" applyFill="1" applyBorder="1" applyAlignment="1">
      <alignment horizontal="center" vertical="center"/>
    </xf>
    <xf numFmtId="0" fontId="17" fillId="16" borderId="45" xfId="0" applyFont="1" applyFill="1" applyBorder="1" applyAlignment="1">
      <alignment horizontal="center"/>
    </xf>
    <xf numFmtId="14" fontId="17" fillId="16" borderId="39" xfId="0" applyNumberFormat="1" applyFont="1" applyFill="1" applyBorder="1" applyAlignment="1">
      <alignment horizontal="center" vertical="center"/>
    </xf>
    <xf numFmtId="0" fontId="17" fillId="16" borderId="40" xfId="0" applyFont="1" applyFill="1" applyBorder="1" applyAlignment="1">
      <alignment horizontal="center" vertical="center"/>
    </xf>
    <xf numFmtId="0" fontId="0" fillId="11" borderId="17" xfId="0" applyFill="1" applyBorder="1"/>
    <xf numFmtId="1" fontId="2" fillId="0" borderId="17" xfId="0" applyNumberFormat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4" fontId="18" fillId="0" borderId="17" xfId="0" applyNumberFormat="1" applyFont="1" applyBorder="1"/>
    <xf numFmtId="0" fontId="0" fillId="0" borderId="17" xfId="0" applyBorder="1" applyAlignment="1">
      <alignment horizontal="center"/>
    </xf>
    <xf numFmtId="14" fontId="18" fillId="0" borderId="33" xfId="0" applyNumberFormat="1" applyFont="1" applyBorder="1"/>
    <xf numFmtId="14" fontId="19" fillId="2" borderId="34" xfId="0" applyNumberFormat="1" applyFont="1" applyFill="1" applyBorder="1" applyAlignment="1">
      <alignment horizontal="center" vertical="center"/>
    </xf>
    <xf numFmtId="14" fontId="19" fillId="2" borderId="17" xfId="0" applyNumberFormat="1" applyFont="1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7" xfId="0" applyFont="1" applyFill="1" applyBorder="1" applyAlignment="1">
      <alignment horizontal="center"/>
    </xf>
    <xf numFmtId="0" fontId="1" fillId="18" borderId="30" xfId="1" applyAlignment="1" applyProtection="1">
      <alignment horizontal="center" vertical="center"/>
    </xf>
    <xf numFmtId="0" fontId="13" fillId="11" borderId="29" xfId="0" applyFont="1" applyFill="1" applyBorder="1" applyProtection="1">
      <protection locked="0"/>
    </xf>
    <xf numFmtId="0" fontId="20" fillId="11" borderId="17" xfId="0" applyFont="1" applyFill="1" applyBorder="1" applyAlignment="1" applyProtection="1">
      <alignment horizontal="center" vertical="center"/>
      <protection locked="0"/>
    </xf>
    <xf numFmtId="0" fontId="13" fillId="11" borderId="17" xfId="0" applyFont="1" applyFill="1" applyBorder="1" applyProtection="1">
      <protection locked="0"/>
    </xf>
    <xf numFmtId="14" fontId="1" fillId="19" borderId="30" xfId="1" applyNumberFormat="1" applyFill="1" applyAlignment="1" applyProtection="1">
      <alignment horizontal="center" vertical="center"/>
      <protection locked="0"/>
    </xf>
    <xf numFmtId="0" fontId="1" fillId="19" borderId="30" xfId="1" applyFill="1" applyAlignment="1" applyProtection="1">
      <alignment horizontal="center" vertical="center"/>
      <protection locked="0"/>
    </xf>
    <xf numFmtId="0" fontId="0" fillId="11" borderId="17" xfId="0" applyFill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6" fillId="0" borderId="17" xfId="0" applyFont="1" applyBorder="1"/>
    <xf numFmtId="0" fontId="0" fillId="21" borderId="49" xfId="0" applyFill="1" applyBorder="1"/>
    <xf numFmtId="0" fontId="0" fillId="11" borderId="17" xfId="0" applyFill="1" applyBorder="1" applyAlignment="1">
      <alignment horizontal="center"/>
    </xf>
    <xf numFmtId="1" fontId="4" fillId="11" borderId="17" xfId="0" applyNumberFormat="1" applyFont="1" applyFill="1" applyBorder="1" applyAlignment="1">
      <alignment horizontal="center"/>
    </xf>
    <xf numFmtId="1" fontId="4" fillId="11" borderId="17" xfId="0" applyNumberFormat="1" applyFont="1" applyFill="1" applyBorder="1" applyAlignment="1">
      <alignment horizontal="center" vertical="center"/>
    </xf>
    <xf numFmtId="0" fontId="22" fillId="11" borderId="17" xfId="0" applyFont="1" applyFill="1" applyBorder="1"/>
    <xf numFmtId="0" fontId="22" fillId="0" borderId="17" xfId="0" applyFont="1" applyBorder="1"/>
    <xf numFmtId="0" fontId="23" fillId="2" borderId="17" xfId="0" applyFont="1" applyFill="1" applyBorder="1"/>
    <xf numFmtId="0" fontId="23" fillId="2" borderId="17" xfId="0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21" fillId="0" borderId="17" xfId="0" applyFont="1" applyBorder="1"/>
    <xf numFmtId="0" fontId="0" fillId="0" borderId="29" xfId="0" applyBorder="1" applyAlignment="1">
      <alignment horizontal="center" vertical="center"/>
    </xf>
    <xf numFmtId="0" fontId="0" fillId="0" borderId="29" xfId="0" applyBorder="1"/>
    <xf numFmtId="0" fontId="0" fillId="0" borderId="51" xfId="0" applyBorder="1"/>
    <xf numFmtId="0" fontId="0" fillId="0" borderId="53" xfId="0" applyBorder="1"/>
    <xf numFmtId="0" fontId="0" fillId="0" borderId="52" xfId="0" applyBorder="1"/>
    <xf numFmtId="1" fontId="0" fillId="0" borderId="17" xfId="0" applyNumberFormat="1" applyBorder="1"/>
    <xf numFmtId="0" fontId="0" fillId="0" borderId="51" xfId="0" applyBorder="1" applyAlignment="1">
      <alignment horizontal="center" vertical="center"/>
    </xf>
    <xf numFmtId="14" fontId="0" fillId="0" borderId="51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7" fillId="16" borderId="41" xfId="0" applyFont="1" applyFill="1" applyBorder="1" applyAlignment="1">
      <alignment horizontal="center" vertical="center"/>
    </xf>
    <xf numFmtId="1" fontId="2" fillId="17" borderId="17" xfId="0" applyNumberFormat="1" applyFont="1" applyFill="1" applyBorder="1" applyAlignment="1">
      <alignment horizontal="center" vertical="center"/>
    </xf>
    <xf numFmtId="0" fontId="0" fillId="0" borderId="49" xfId="0" applyBorder="1"/>
    <xf numFmtId="0" fontId="25" fillId="0" borderId="0" xfId="0" applyFont="1"/>
    <xf numFmtId="0" fontId="26" fillId="4" borderId="15" xfId="0" applyFont="1" applyFill="1" applyBorder="1" applyAlignment="1">
      <alignment horizontal="left" vertical="center"/>
    </xf>
    <xf numFmtId="0" fontId="26" fillId="0" borderId="18" xfId="0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/>
    </xf>
    <xf numFmtId="0" fontId="17" fillId="16" borderId="42" xfId="0" applyFont="1" applyFill="1" applyBorder="1" applyAlignment="1">
      <alignment horizontal="center"/>
    </xf>
    <xf numFmtId="0" fontId="17" fillId="16" borderId="0" xfId="0" applyFont="1" applyFill="1" applyAlignment="1">
      <alignment horizontal="left" vertical="center"/>
    </xf>
    <xf numFmtId="0" fontId="15" fillId="16" borderId="33" xfId="0" applyFont="1" applyFill="1" applyBorder="1" applyAlignment="1">
      <alignment horizontal="center" vertical="center"/>
    </xf>
    <xf numFmtId="0" fontId="15" fillId="16" borderId="50" xfId="0" applyFont="1" applyFill="1" applyBorder="1" applyAlignment="1">
      <alignment horizontal="center" vertical="center"/>
    </xf>
    <xf numFmtId="0" fontId="15" fillId="16" borderId="34" xfId="0" applyFont="1" applyFill="1" applyBorder="1" applyAlignment="1">
      <alignment horizontal="center" vertical="center"/>
    </xf>
    <xf numFmtId="0" fontId="15" fillId="11" borderId="28" xfId="0" applyFont="1" applyFill="1" applyBorder="1" applyAlignment="1" applyProtection="1">
      <alignment horizontal="center" vertical="center"/>
      <protection locked="0"/>
    </xf>
    <xf numFmtId="0" fontId="15" fillId="11" borderId="31" xfId="0" applyFont="1" applyFill="1" applyBorder="1" applyAlignment="1" applyProtection="1">
      <alignment horizontal="center" vertical="center"/>
      <protection locked="0"/>
    </xf>
    <xf numFmtId="0" fontId="15" fillId="11" borderId="29" xfId="0" applyFont="1" applyFill="1" applyBorder="1" applyAlignment="1" applyProtection="1">
      <alignment horizontal="center" vertical="center"/>
      <protection locked="0"/>
    </xf>
    <xf numFmtId="0" fontId="15" fillId="16" borderId="33" xfId="0" applyFont="1" applyFill="1" applyBorder="1" applyAlignment="1" applyProtection="1">
      <alignment horizontal="center" vertical="center"/>
      <protection locked="0"/>
    </xf>
    <xf numFmtId="0" fontId="15" fillId="16" borderId="50" xfId="0" applyFont="1" applyFill="1" applyBorder="1" applyAlignment="1" applyProtection="1">
      <alignment horizontal="center" vertical="center"/>
      <protection locked="0"/>
    </xf>
    <xf numFmtId="0" fontId="15" fillId="16" borderId="34" xfId="0" applyFont="1" applyFill="1" applyBorder="1" applyAlignment="1" applyProtection="1">
      <alignment horizontal="center" vertical="center"/>
      <protection locked="0"/>
    </xf>
    <xf numFmtId="0" fontId="14" fillId="0" borderId="33" xfId="0" applyFont="1" applyBorder="1" applyAlignment="1">
      <alignment horizontal="left"/>
    </xf>
    <xf numFmtId="0" fontId="14" fillId="0" borderId="50" xfId="0" applyFont="1" applyBorder="1" applyAlignment="1">
      <alignment horizontal="left"/>
    </xf>
    <xf numFmtId="0" fontId="14" fillId="0" borderId="34" xfId="0" applyFont="1" applyBorder="1" applyAlignment="1">
      <alignment horizontal="left"/>
    </xf>
    <xf numFmtId="0" fontId="2" fillId="17" borderId="17" xfId="0" applyFont="1" applyFill="1" applyBorder="1" applyAlignment="1">
      <alignment horizontal="center" vertical="center"/>
    </xf>
    <xf numFmtId="14" fontId="17" fillId="16" borderId="54" xfId="0" applyNumberFormat="1" applyFont="1" applyFill="1" applyBorder="1" applyAlignment="1">
      <alignment horizontal="center"/>
    </xf>
    <xf numFmtId="14" fontId="17" fillId="16" borderId="42" xfId="0" applyNumberFormat="1" applyFont="1" applyFill="1" applyBorder="1" applyAlignment="1">
      <alignment horizontal="center"/>
    </xf>
    <xf numFmtId="14" fontId="17" fillId="16" borderId="56" xfId="0" applyNumberFormat="1" applyFont="1" applyFill="1" applyBorder="1" applyAlignment="1">
      <alignment horizontal="center"/>
    </xf>
    <xf numFmtId="14" fontId="17" fillId="16" borderId="43" xfId="0" applyNumberFormat="1" applyFont="1" applyFill="1" applyBorder="1" applyAlignment="1">
      <alignment horizontal="center"/>
    </xf>
    <xf numFmtId="14" fontId="17" fillId="16" borderId="55" xfId="0" applyNumberFormat="1" applyFont="1" applyFill="1" applyBorder="1" applyAlignment="1">
      <alignment horizontal="center"/>
    </xf>
    <xf numFmtId="14" fontId="17" fillId="16" borderId="57" xfId="0" applyNumberFormat="1" applyFont="1" applyFill="1" applyBorder="1" applyAlignment="1">
      <alignment horizontal="center"/>
    </xf>
    <xf numFmtId="14" fontId="17" fillId="16" borderId="0" xfId="0" applyNumberFormat="1" applyFont="1" applyFill="1" applyAlignment="1">
      <alignment horizontal="center"/>
    </xf>
    <xf numFmtId="14" fontId="17" fillId="16" borderId="39" xfId="0" applyNumberFormat="1" applyFont="1" applyFill="1" applyBorder="1" applyAlignment="1">
      <alignment horizontal="center"/>
    </xf>
    <xf numFmtId="0" fontId="17" fillId="16" borderId="40" xfId="0" applyFont="1" applyFill="1" applyBorder="1" applyAlignment="1">
      <alignment horizontal="center"/>
    </xf>
    <xf numFmtId="0" fontId="17" fillId="16" borderId="41" xfId="0" applyFont="1" applyFill="1" applyBorder="1" applyAlignment="1">
      <alignment horizontal="center"/>
    </xf>
    <xf numFmtId="0" fontId="17" fillId="16" borderId="54" xfId="0" applyFont="1" applyFill="1" applyBorder="1" applyAlignment="1">
      <alignment horizontal="left" vertical="center"/>
    </xf>
    <xf numFmtId="0" fontId="17" fillId="16" borderId="42" xfId="0" applyFont="1" applyFill="1" applyBorder="1" applyAlignment="1">
      <alignment horizontal="left" vertical="center"/>
    </xf>
    <xf numFmtId="0" fontId="17" fillId="16" borderId="43" xfId="0" applyFont="1" applyFill="1" applyBorder="1" applyAlignment="1">
      <alignment horizontal="left" vertical="center"/>
    </xf>
    <xf numFmtId="14" fontId="17" fillId="16" borderId="58" xfId="0" applyNumberFormat="1" applyFont="1" applyFill="1" applyBorder="1" applyAlignment="1">
      <alignment horizontal="center"/>
    </xf>
    <xf numFmtId="0" fontId="16" fillId="11" borderId="28" xfId="0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/>
    </xf>
    <xf numFmtId="0" fontId="16" fillId="11" borderId="29" xfId="0" applyFont="1" applyFill="1" applyBorder="1" applyAlignment="1">
      <alignment horizontal="center" vertical="center"/>
    </xf>
    <xf numFmtId="0" fontId="16" fillId="11" borderId="46" xfId="0" applyFont="1" applyFill="1" applyBorder="1" applyAlignment="1">
      <alignment horizontal="center" vertical="center"/>
    </xf>
    <xf numFmtId="0" fontId="16" fillId="11" borderId="47" xfId="0" applyFont="1" applyFill="1" applyBorder="1" applyAlignment="1">
      <alignment horizontal="center" vertical="center"/>
    </xf>
    <xf numFmtId="0" fontId="16" fillId="11" borderId="48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9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1" tint="0.499984740745262"/>
      </font>
    </dxf>
    <dxf>
      <font>
        <color theme="1" tint="0.49998474074526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056EC-6715-41A4-BA78-E05440BE118E}" name="Table1" displayName="Table1" ref="B2:B58" totalsRowShown="0">
  <autoFilter ref="B2:B58" xr:uid="{665056EC-6715-41A4-BA78-E05440BE118E}"/>
  <tableColumns count="1">
    <tableColumn id="1" xr3:uid="{40DF7FDC-D401-4939-9CC3-63127E89AF24}" name="NSW Ass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6A9EF-5EA6-47B3-B602-EA022C6EF913}" name="Table2" displayName="Table2" ref="D2:D58" totalsRowShown="0">
  <autoFilter ref="D2:D58" xr:uid="{D826A9EF-5EA6-47B3-B602-EA022C6EF913}"/>
  <tableColumns count="1">
    <tableColumn id="1" xr3:uid="{1AF36206-7F71-4FBA-90F2-7541F85DEF36}" name="VIC As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8D03BD-D0F8-4F3E-B176-0E7B5202BE51}" name="Table3" displayName="Table3" ref="F2:F31" totalsRowShown="0">
  <autoFilter ref="F2:F31" xr:uid="{8C8D03BD-D0F8-4F3E-B176-0E7B5202BE51}"/>
  <tableColumns count="1">
    <tableColumn id="1" xr3:uid="{A1A84CD9-73CD-4746-991D-6AB345516E44}" name="QLD As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F14F-2A6A-4054-8F17-F097B5F6079E}">
  <sheetPr codeName="Sheet1"/>
  <dimension ref="A1:GW81"/>
  <sheetViews>
    <sheetView tabSelected="1" zoomScale="110" zoomScaleNormal="110" workbookViewId="0">
      <pane xSplit="3" ySplit="5" topLeftCell="D6" activePane="bottomRight" state="frozen"/>
      <selection pane="bottomRight" activeCell="P14" sqref="P14"/>
      <selection pane="bottomLeft" activeCell="A6" sqref="A6"/>
      <selection pane="topRight" activeCell="D1" sqref="D1"/>
    </sheetView>
  </sheetViews>
  <sheetFormatPr defaultColWidth="8.7109375" defaultRowHeight="14.45"/>
  <cols>
    <col min="1" max="1" width="3" style="165" customWidth="1"/>
    <col min="2" max="2" width="12.7109375" style="165" customWidth="1"/>
    <col min="3" max="3" width="24.7109375" style="165" customWidth="1"/>
    <col min="4" max="23" width="10" style="165" customWidth="1"/>
    <col min="24" max="24" width="8.7109375" style="165"/>
    <col min="25" max="25" width="8.7109375" style="165" hidden="1" customWidth="1"/>
    <col min="26" max="43" width="6.7109375" style="165" hidden="1" customWidth="1"/>
    <col min="44" max="48" width="8.7109375" style="165" hidden="1" customWidth="1"/>
    <col min="49" max="52" width="6.7109375" style="165" hidden="1" customWidth="1"/>
    <col min="53" max="57" width="8.7109375" style="165" hidden="1" customWidth="1"/>
    <col min="58" max="61" width="6.7109375" style="165" hidden="1" customWidth="1"/>
    <col min="62" max="66" width="8.7109375" style="165" hidden="1" customWidth="1"/>
    <col min="67" max="70" width="6.7109375" style="165" hidden="1" customWidth="1"/>
    <col min="71" max="75" width="8.7109375" style="165" hidden="1" customWidth="1"/>
    <col min="76" max="79" width="6.7109375" style="165" hidden="1" customWidth="1"/>
    <col min="80" max="84" width="8.7109375" style="165" hidden="1" customWidth="1"/>
    <col min="85" max="88" width="6.7109375" style="165" hidden="1" customWidth="1"/>
    <col min="89" max="93" width="8.7109375" style="165" hidden="1" customWidth="1"/>
    <col min="94" max="97" width="6.7109375" style="165" hidden="1" customWidth="1"/>
    <col min="98" max="102" width="8.7109375" style="165" hidden="1" customWidth="1"/>
    <col min="103" max="106" width="6.7109375" style="165" hidden="1" customWidth="1"/>
    <col min="107" max="111" width="8.7109375" style="165" hidden="1" customWidth="1"/>
    <col min="112" max="115" width="6.7109375" style="165" hidden="1" customWidth="1"/>
    <col min="116" max="120" width="8.7109375" style="165" hidden="1" customWidth="1"/>
    <col min="121" max="124" width="6.7109375" style="165" hidden="1" customWidth="1"/>
    <col min="125" max="129" width="8.7109375" style="165" hidden="1" customWidth="1"/>
    <col min="130" max="133" width="6.7109375" style="165" hidden="1" customWidth="1"/>
    <col min="134" max="138" width="8.7109375" style="165" hidden="1" customWidth="1"/>
    <col min="139" max="142" width="6.7109375" style="165" hidden="1" customWidth="1"/>
    <col min="143" max="147" width="8.7109375" style="165" hidden="1" customWidth="1"/>
    <col min="148" max="151" width="6.7109375" style="165" hidden="1" customWidth="1"/>
    <col min="152" max="156" width="8.7109375" style="165" hidden="1" customWidth="1"/>
    <col min="157" max="160" width="6.7109375" style="165" hidden="1" customWidth="1"/>
    <col min="161" max="165" width="8.7109375" style="165" hidden="1" customWidth="1"/>
    <col min="166" max="169" width="6.7109375" style="165" hidden="1" customWidth="1"/>
    <col min="170" max="174" width="8.7109375" style="165" hidden="1" customWidth="1"/>
    <col min="175" max="178" width="6.7109375" style="165" hidden="1" customWidth="1"/>
    <col min="179" max="183" width="8.7109375" style="165" hidden="1" customWidth="1"/>
    <col min="184" max="187" width="6.7109375" style="165" hidden="1" customWidth="1"/>
    <col min="188" max="192" width="8.7109375" style="165" hidden="1" customWidth="1"/>
    <col min="193" max="196" width="6.7109375" style="165" hidden="1" customWidth="1"/>
    <col min="197" max="201" width="8.7109375" style="165" hidden="1" customWidth="1"/>
    <col min="202" max="205" width="6.7109375" style="165" hidden="1" customWidth="1"/>
    <col min="206" max="16384" width="8.7109375" style="165"/>
  </cols>
  <sheetData>
    <row r="1" spans="1:205" ht="15" thickBot="1">
      <c r="Z1" s="190" t="s">
        <v>0</v>
      </c>
      <c r="AI1" s="190" t="s">
        <v>1</v>
      </c>
      <c r="AR1" s="190" t="s">
        <v>2</v>
      </c>
      <c r="BA1" s="190" t="s">
        <v>3</v>
      </c>
      <c r="BJ1" s="190" t="s">
        <v>4</v>
      </c>
      <c r="BS1" s="190" t="s">
        <v>5</v>
      </c>
      <c r="CB1" s="190" t="s">
        <v>6</v>
      </c>
      <c r="CK1" s="190" t="s">
        <v>7</v>
      </c>
      <c r="CT1" s="190" t="s">
        <v>8</v>
      </c>
      <c r="DC1" s="190" t="s">
        <v>9</v>
      </c>
      <c r="DL1" s="190" t="s">
        <v>10</v>
      </c>
      <c r="DU1" s="214" t="s">
        <v>11</v>
      </c>
      <c r="DV1" s="215"/>
      <c r="DW1" s="215"/>
      <c r="DX1" s="215"/>
      <c r="DY1" s="215"/>
      <c r="DZ1" s="215"/>
      <c r="EA1" s="215"/>
      <c r="EB1" s="215"/>
      <c r="ED1" s="214" t="s">
        <v>12</v>
      </c>
      <c r="EE1" s="215"/>
      <c r="EF1" s="215"/>
      <c r="EG1" s="215"/>
      <c r="EH1" s="215"/>
      <c r="EI1" s="215"/>
      <c r="EJ1" s="215"/>
      <c r="EK1" s="215"/>
      <c r="EM1" s="214" t="s">
        <v>13</v>
      </c>
      <c r="EN1" s="215"/>
      <c r="EO1" s="215"/>
      <c r="EP1" s="215"/>
      <c r="EQ1" s="215"/>
      <c r="ER1" s="215"/>
      <c r="ES1" s="215"/>
      <c r="ET1" s="215"/>
      <c r="EV1" s="214" t="s">
        <v>14</v>
      </c>
      <c r="EW1" s="215"/>
      <c r="EX1" s="215"/>
      <c r="EY1" s="215"/>
      <c r="EZ1" s="215"/>
      <c r="FA1" s="215"/>
      <c r="FB1" s="215"/>
      <c r="FC1" s="215"/>
      <c r="FE1" s="214" t="s">
        <v>15</v>
      </c>
      <c r="FF1" s="215"/>
      <c r="FG1" s="215"/>
      <c r="FH1" s="215"/>
      <c r="FI1" s="215"/>
      <c r="FJ1" s="215"/>
      <c r="FK1" s="215"/>
      <c r="FL1" s="215"/>
      <c r="FN1" s="214" t="s">
        <v>16</v>
      </c>
      <c r="FO1" s="215"/>
      <c r="FP1" s="215"/>
      <c r="FQ1" s="215"/>
      <c r="FR1" s="215"/>
      <c r="FS1" s="215"/>
      <c r="FT1" s="215"/>
      <c r="FU1" s="215"/>
      <c r="FW1" s="214" t="s">
        <v>17</v>
      </c>
      <c r="FX1" s="215"/>
      <c r="FY1" s="215"/>
      <c r="FZ1" s="215"/>
      <c r="GA1" s="215"/>
      <c r="GB1" s="215"/>
      <c r="GC1" s="215"/>
      <c r="GD1" s="215"/>
      <c r="GF1" s="214" t="s">
        <v>18</v>
      </c>
      <c r="GG1" s="215"/>
      <c r="GH1" s="215"/>
      <c r="GI1" s="215"/>
      <c r="GJ1" s="215"/>
      <c r="GK1" s="215"/>
      <c r="GL1" s="215"/>
      <c r="GM1" s="215"/>
      <c r="GO1" s="214" t="s">
        <v>19</v>
      </c>
      <c r="GP1" s="215"/>
      <c r="GQ1" s="215"/>
      <c r="GR1" s="215"/>
      <c r="GS1" s="215"/>
      <c r="GT1" s="215"/>
      <c r="GU1" s="215"/>
      <c r="GV1" s="215"/>
    </row>
    <row r="2" spans="1:205" ht="15.6" thickTop="1" thickBot="1">
      <c r="B2" s="200" t="s">
        <v>20</v>
      </c>
      <c r="C2" s="204"/>
      <c r="Z2" s="190"/>
      <c r="AI2" s="190"/>
      <c r="AR2" s="190"/>
      <c r="BA2" s="190"/>
      <c r="BJ2" s="190"/>
      <c r="BS2" s="190"/>
      <c r="CB2" s="190"/>
      <c r="CK2" s="190"/>
      <c r="CT2" s="190"/>
      <c r="DC2" s="190"/>
      <c r="DL2" s="190"/>
      <c r="DU2" s="214"/>
      <c r="DV2" s="215"/>
      <c r="DW2" s="215"/>
      <c r="DX2" s="215"/>
      <c r="DY2" s="215"/>
      <c r="DZ2" s="215"/>
      <c r="EA2" s="215"/>
      <c r="EB2" s="215"/>
      <c r="ED2" s="214"/>
      <c r="EE2" s="215"/>
      <c r="EF2" s="215"/>
      <c r="EG2" s="215"/>
      <c r="EH2" s="215"/>
      <c r="EI2" s="215"/>
      <c r="EJ2" s="215"/>
      <c r="EK2" s="215"/>
      <c r="EM2" s="214"/>
      <c r="EN2" s="215"/>
      <c r="EO2" s="215"/>
      <c r="EP2" s="215"/>
      <c r="EQ2" s="215"/>
      <c r="ER2" s="215"/>
      <c r="ES2" s="215"/>
      <c r="ET2" s="215"/>
      <c r="EV2" s="214"/>
      <c r="EW2" s="215"/>
      <c r="EX2" s="215"/>
      <c r="EY2" s="215"/>
      <c r="EZ2" s="215"/>
      <c r="FA2" s="215"/>
      <c r="FB2" s="215"/>
      <c r="FC2" s="215"/>
      <c r="FE2" s="214"/>
      <c r="FF2" s="215"/>
      <c r="FG2" s="215"/>
      <c r="FH2" s="215"/>
      <c r="FI2" s="215"/>
      <c r="FJ2" s="215"/>
      <c r="FK2" s="215"/>
      <c r="FL2" s="215"/>
      <c r="FN2" s="214"/>
      <c r="FO2" s="215"/>
      <c r="FP2" s="215"/>
      <c r="FQ2" s="215"/>
      <c r="FR2" s="215"/>
      <c r="FS2" s="215"/>
      <c r="FT2" s="215"/>
      <c r="FU2" s="215"/>
      <c r="FW2" s="214"/>
      <c r="FX2" s="215"/>
      <c r="FY2" s="215"/>
      <c r="FZ2" s="215"/>
      <c r="GA2" s="215"/>
      <c r="GB2" s="215"/>
      <c r="GC2" s="215"/>
      <c r="GD2" s="215"/>
      <c r="GF2" s="214"/>
      <c r="GG2" s="215"/>
      <c r="GH2" s="215"/>
      <c r="GI2" s="215"/>
      <c r="GJ2" s="215"/>
      <c r="GK2" s="215"/>
      <c r="GL2" s="215"/>
      <c r="GM2" s="215"/>
      <c r="GO2" s="214"/>
      <c r="GP2" s="215"/>
      <c r="GQ2" s="215"/>
      <c r="GR2" s="215"/>
      <c r="GS2" s="215"/>
      <c r="GT2" s="215"/>
      <c r="GU2" s="215"/>
      <c r="GV2" s="215"/>
    </row>
    <row r="3" spans="1:205" ht="15.6" thickTop="1" thickBot="1">
      <c r="B3" s="200" t="s">
        <v>21</v>
      </c>
      <c r="C3" s="205"/>
      <c r="Z3" s="190"/>
      <c r="AI3" s="190"/>
      <c r="AR3" s="190"/>
      <c r="BA3" s="190"/>
      <c r="BJ3" s="190"/>
      <c r="BS3" s="190"/>
      <c r="CB3" s="190"/>
      <c r="CK3" s="190"/>
      <c r="CT3" s="190"/>
      <c r="DC3" s="190"/>
      <c r="DL3" s="190"/>
      <c r="DU3" s="214"/>
      <c r="DV3" s="215"/>
      <c r="DW3" s="215"/>
      <c r="DX3" s="215"/>
      <c r="DY3" s="215"/>
      <c r="DZ3" s="215"/>
      <c r="EA3" s="215"/>
      <c r="EB3" s="215"/>
      <c r="ED3" s="214"/>
      <c r="EE3" s="215"/>
      <c r="EF3" s="215"/>
      <c r="EG3" s="215"/>
      <c r="EH3" s="215"/>
      <c r="EI3" s="215"/>
      <c r="EJ3" s="215"/>
      <c r="EK3" s="215"/>
      <c r="EM3" s="214"/>
      <c r="EN3" s="215"/>
      <c r="EO3" s="215"/>
      <c r="EP3" s="215"/>
      <c r="EQ3" s="215"/>
      <c r="ER3" s="215"/>
      <c r="ES3" s="215"/>
      <c r="ET3" s="215"/>
      <c r="EV3" s="214"/>
      <c r="EW3" s="215"/>
      <c r="EX3" s="215"/>
      <c r="EY3" s="215"/>
      <c r="EZ3" s="215"/>
      <c r="FA3" s="215"/>
      <c r="FB3" s="215"/>
      <c r="FC3" s="215"/>
      <c r="FE3" s="214"/>
      <c r="FF3" s="215"/>
      <c r="FG3" s="215"/>
      <c r="FH3" s="215"/>
      <c r="FI3" s="215"/>
      <c r="FJ3" s="215"/>
      <c r="FK3" s="215"/>
      <c r="FL3" s="215"/>
      <c r="FN3" s="214"/>
      <c r="FO3" s="215"/>
      <c r="FP3" s="215"/>
      <c r="FQ3" s="215"/>
      <c r="FR3" s="215"/>
      <c r="FS3" s="215"/>
      <c r="FT3" s="215"/>
      <c r="FU3" s="215"/>
      <c r="FW3" s="214"/>
      <c r="FX3" s="215"/>
      <c r="FY3" s="215"/>
      <c r="FZ3" s="215"/>
      <c r="GA3" s="215"/>
      <c r="GB3" s="215"/>
      <c r="GC3" s="215"/>
      <c r="GD3" s="215"/>
      <c r="GF3" s="214"/>
      <c r="GG3" s="215"/>
      <c r="GH3" s="215"/>
      <c r="GI3" s="215"/>
      <c r="GJ3" s="215"/>
      <c r="GK3" s="215"/>
      <c r="GL3" s="215"/>
      <c r="GM3" s="215"/>
      <c r="GO3" s="214"/>
      <c r="GP3" s="215"/>
      <c r="GQ3" s="215"/>
      <c r="GR3" s="215"/>
      <c r="GS3" s="215"/>
      <c r="GT3" s="215"/>
      <c r="GU3" s="215"/>
      <c r="GV3" s="215"/>
    </row>
    <row r="4" spans="1:205" ht="15" thickTop="1">
      <c r="A4" s="193" t="e" cm="1" vm="1">
        <f t="array" ref="A4">_xlfn.SEQUENCE(C3,1,C2,7)</f>
        <v>#VALUE!</v>
      </c>
      <c r="B4" s="172"/>
      <c r="C4" s="172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Z4" s="190"/>
      <c r="AI4" s="190"/>
      <c r="AR4" s="190"/>
      <c r="BA4" s="190"/>
      <c r="BJ4" s="190"/>
      <c r="BS4" s="190"/>
      <c r="CB4" s="190"/>
      <c r="CK4" s="190"/>
      <c r="CT4" s="190"/>
      <c r="DC4" s="190"/>
      <c r="DL4" s="190"/>
      <c r="DU4" s="214"/>
      <c r="DV4" s="215"/>
      <c r="DW4" s="215"/>
      <c r="DX4" s="215"/>
      <c r="DY4" s="215"/>
      <c r="DZ4" s="215"/>
      <c r="EA4" s="215"/>
      <c r="EB4" s="215"/>
      <c r="ED4" s="214"/>
      <c r="EE4" s="215"/>
      <c r="EF4" s="215"/>
      <c r="EG4" s="215"/>
      <c r="EH4" s="215"/>
      <c r="EI4" s="215"/>
      <c r="EJ4" s="215"/>
      <c r="EK4" s="215"/>
      <c r="EM4" s="214"/>
      <c r="EN4" s="215"/>
      <c r="EO4" s="215"/>
      <c r="EP4" s="215"/>
      <c r="EQ4" s="215"/>
      <c r="ER4" s="215"/>
      <c r="ES4" s="215"/>
      <c r="ET4" s="215"/>
      <c r="EV4" s="214"/>
      <c r="EW4" s="215"/>
      <c r="EX4" s="215"/>
      <c r="EY4" s="215"/>
      <c r="EZ4" s="215"/>
      <c r="FA4" s="215"/>
      <c r="FB4" s="215"/>
      <c r="FC4" s="215"/>
      <c r="FE4" s="214"/>
      <c r="FF4" s="215"/>
      <c r="FG4" s="215"/>
      <c r="FH4" s="215"/>
      <c r="FI4" s="215"/>
      <c r="FJ4" s="215"/>
      <c r="FK4" s="215"/>
      <c r="FL4" s="215"/>
      <c r="FN4" s="214"/>
      <c r="FO4" s="215"/>
      <c r="FP4" s="215"/>
      <c r="FQ4" s="215"/>
      <c r="FR4" s="215"/>
      <c r="FS4" s="215"/>
      <c r="FT4" s="215"/>
      <c r="FU4" s="215"/>
      <c r="FW4" s="214"/>
      <c r="FX4" s="215"/>
      <c r="FY4" s="215"/>
      <c r="FZ4" s="215"/>
      <c r="GA4" s="215"/>
      <c r="GB4" s="215"/>
      <c r="GC4" s="215"/>
      <c r="GD4" s="215"/>
      <c r="GF4" s="214"/>
      <c r="GG4" s="215"/>
      <c r="GH4" s="215"/>
      <c r="GI4" s="215"/>
      <c r="GJ4" s="215"/>
      <c r="GK4" s="215"/>
      <c r="GL4" s="215"/>
      <c r="GM4" s="215"/>
      <c r="GO4" s="214"/>
      <c r="GP4" s="215"/>
      <c r="GQ4" s="215"/>
      <c r="GR4" s="215"/>
      <c r="GS4" s="215"/>
      <c r="GT4" s="215"/>
      <c r="GU4" s="215"/>
      <c r="GV4" s="215"/>
    </row>
    <row r="5" spans="1:205">
      <c r="A5" s="195"/>
      <c r="B5" s="196" t="s">
        <v>22</v>
      </c>
      <c r="C5" s="196" t="s">
        <v>23</v>
      </c>
      <c r="D5" s="196" t="e" vm="2">
        <f>A4</f>
        <v>#VALUE!</v>
      </c>
      <c r="E5" s="197">
        <f>A5</f>
        <v>0</v>
      </c>
      <c r="F5" s="197">
        <f>A6</f>
        <v>0</v>
      </c>
      <c r="G5" s="197">
        <f>A7</f>
        <v>0</v>
      </c>
      <c r="H5" s="197">
        <f>A8</f>
        <v>0</v>
      </c>
      <c r="I5" s="197">
        <f>A9</f>
        <v>0</v>
      </c>
      <c r="J5" s="197">
        <f>A10</f>
        <v>0</v>
      </c>
      <c r="K5" s="197">
        <f>A11</f>
        <v>0</v>
      </c>
      <c r="L5" s="197">
        <f>A12</f>
        <v>0</v>
      </c>
      <c r="M5" s="197">
        <f>A13</f>
        <v>0</v>
      </c>
      <c r="N5" s="197">
        <f>A14</f>
        <v>0</v>
      </c>
      <c r="O5" s="197">
        <f>A15</f>
        <v>0</v>
      </c>
      <c r="P5" s="197">
        <f>A16</f>
        <v>0</v>
      </c>
      <c r="Q5" s="197">
        <f>A17</f>
        <v>0</v>
      </c>
      <c r="R5" s="197">
        <f>A18</f>
        <v>0</v>
      </c>
      <c r="S5" s="197">
        <f>A19</f>
        <v>0</v>
      </c>
      <c r="T5" s="197">
        <f>A20</f>
        <v>0</v>
      </c>
      <c r="U5" s="197">
        <f>A21</f>
        <v>0</v>
      </c>
      <c r="V5" s="197">
        <f>A22</f>
        <v>0</v>
      </c>
      <c r="W5" s="197">
        <f>A23</f>
        <v>0</v>
      </c>
      <c r="Z5" s="198" t="s">
        <v>24</v>
      </c>
      <c r="AA5" s="199" t="s">
        <v>25</v>
      </c>
      <c r="AB5" s="199" t="s">
        <v>26</v>
      </c>
      <c r="AC5" s="199" t="s">
        <v>27</v>
      </c>
      <c r="AD5" s="199" t="s">
        <v>28</v>
      </c>
      <c r="AE5" s="199" t="s">
        <v>29</v>
      </c>
      <c r="AF5" s="199" t="s">
        <v>30</v>
      </c>
      <c r="AG5" s="199" t="s">
        <v>31</v>
      </c>
      <c r="AH5" s="199" t="s">
        <v>32</v>
      </c>
      <c r="AI5" s="198" t="s">
        <v>24</v>
      </c>
      <c r="AJ5" s="199" t="s">
        <v>25</v>
      </c>
      <c r="AK5" s="199" t="s">
        <v>26</v>
      </c>
      <c r="AL5" s="199" t="s">
        <v>27</v>
      </c>
      <c r="AM5" s="199" t="s">
        <v>28</v>
      </c>
      <c r="AN5" s="199" t="s">
        <v>29</v>
      </c>
      <c r="AO5" s="199" t="s">
        <v>30</v>
      </c>
      <c r="AP5" s="199" t="s">
        <v>31</v>
      </c>
      <c r="AQ5" s="199" t="s">
        <v>32</v>
      </c>
      <c r="AR5" s="198" t="s">
        <v>24</v>
      </c>
      <c r="AS5" s="199" t="s">
        <v>25</v>
      </c>
      <c r="AT5" s="199" t="s">
        <v>26</v>
      </c>
      <c r="AU5" s="199" t="s">
        <v>27</v>
      </c>
      <c r="AV5" s="199" t="s">
        <v>28</v>
      </c>
      <c r="AW5" s="199" t="s">
        <v>29</v>
      </c>
      <c r="AX5" s="199" t="s">
        <v>30</v>
      </c>
      <c r="AY5" s="199" t="s">
        <v>31</v>
      </c>
      <c r="AZ5" s="199" t="s">
        <v>32</v>
      </c>
      <c r="BA5" s="198" t="s">
        <v>24</v>
      </c>
      <c r="BB5" s="199" t="s">
        <v>25</v>
      </c>
      <c r="BC5" s="199" t="s">
        <v>26</v>
      </c>
      <c r="BD5" s="199" t="s">
        <v>27</v>
      </c>
      <c r="BE5" s="199" t="s">
        <v>28</v>
      </c>
      <c r="BF5" s="199" t="s">
        <v>29</v>
      </c>
      <c r="BG5" s="199" t="s">
        <v>30</v>
      </c>
      <c r="BH5" s="199" t="s">
        <v>31</v>
      </c>
      <c r="BI5" s="199" t="s">
        <v>32</v>
      </c>
      <c r="BJ5" s="198" t="s">
        <v>24</v>
      </c>
      <c r="BK5" s="199" t="s">
        <v>25</v>
      </c>
      <c r="BL5" s="199" t="s">
        <v>26</v>
      </c>
      <c r="BM5" s="199" t="s">
        <v>27</v>
      </c>
      <c r="BN5" s="199" t="s">
        <v>28</v>
      </c>
      <c r="BO5" s="199" t="s">
        <v>29</v>
      </c>
      <c r="BP5" s="199" t="s">
        <v>30</v>
      </c>
      <c r="BQ5" s="199" t="s">
        <v>31</v>
      </c>
      <c r="BR5" s="199" t="s">
        <v>32</v>
      </c>
      <c r="BS5" s="198" t="s">
        <v>24</v>
      </c>
      <c r="BT5" s="199" t="s">
        <v>25</v>
      </c>
      <c r="BU5" s="199" t="s">
        <v>26</v>
      </c>
      <c r="BV5" s="199" t="s">
        <v>27</v>
      </c>
      <c r="BW5" s="199" t="s">
        <v>28</v>
      </c>
      <c r="BX5" s="199" t="s">
        <v>29</v>
      </c>
      <c r="BY5" s="199" t="s">
        <v>30</v>
      </c>
      <c r="BZ5" s="199" t="s">
        <v>31</v>
      </c>
      <c r="CA5" s="199" t="s">
        <v>32</v>
      </c>
      <c r="CB5" s="198" t="s">
        <v>24</v>
      </c>
      <c r="CC5" s="199" t="s">
        <v>25</v>
      </c>
      <c r="CD5" s="199" t="s">
        <v>26</v>
      </c>
      <c r="CE5" s="199" t="s">
        <v>27</v>
      </c>
      <c r="CF5" s="199" t="s">
        <v>28</v>
      </c>
      <c r="CG5" s="199" t="s">
        <v>29</v>
      </c>
      <c r="CH5" s="199" t="s">
        <v>30</v>
      </c>
      <c r="CI5" s="199" t="s">
        <v>31</v>
      </c>
      <c r="CJ5" s="199" t="s">
        <v>32</v>
      </c>
      <c r="CK5" s="198" t="s">
        <v>24</v>
      </c>
      <c r="CL5" s="199" t="s">
        <v>25</v>
      </c>
      <c r="CM5" s="199" t="s">
        <v>26</v>
      </c>
      <c r="CN5" s="199" t="s">
        <v>27</v>
      </c>
      <c r="CO5" s="199" t="s">
        <v>28</v>
      </c>
      <c r="CP5" s="199" t="s">
        <v>29</v>
      </c>
      <c r="CQ5" s="199" t="s">
        <v>30</v>
      </c>
      <c r="CR5" s="199" t="s">
        <v>31</v>
      </c>
      <c r="CS5" s="199" t="s">
        <v>32</v>
      </c>
      <c r="CT5" s="198" t="s">
        <v>24</v>
      </c>
      <c r="CU5" s="199" t="s">
        <v>25</v>
      </c>
      <c r="CV5" s="199" t="s">
        <v>26</v>
      </c>
      <c r="CW5" s="199" t="s">
        <v>27</v>
      </c>
      <c r="CX5" s="199" t="s">
        <v>28</v>
      </c>
      <c r="CY5" s="199" t="s">
        <v>29</v>
      </c>
      <c r="CZ5" s="199" t="s">
        <v>30</v>
      </c>
      <c r="DA5" s="199" t="s">
        <v>31</v>
      </c>
      <c r="DB5" s="199" t="s">
        <v>32</v>
      </c>
      <c r="DC5" s="198" t="s">
        <v>24</v>
      </c>
      <c r="DD5" s="199" t="s">
        <v>25</v>
      </c>
      <c r="DE5" s="199" t="s">
        <v>26</v>
      </c>
      <c r="DF5" s="199" t="s">
        <v>27</v>
      </c>
      <c r="DG5" s="199" t="s">
        <v>28</v>
      </c>
      <c r="DH5" s="199" t="s">
        <v>29</v>
      </c>
      <c r="DI5" s="199" t="s">
        <v>30</v>
      </c>
      <c r="DJ5" s="199" t="s">
        <v>31</v>
      </c>
      <c r="DK5" s="199" t="s">
        <v>32</v>
      </c>
      <c r="DL5" s="198" t="s">
        <v>24</v>
      </c>
      <c r="DM5" s="199" t="s">
        <v>25</v>
      </c>
      <c r="DN5" s="199" t="s">
        <v>26</v>
      </c>
      <c r="DO5" s="199" t="s">
        <v>27</v>
      </c>
      <c r="DP5" s="199" t="s">
        <v>28</v>
      </c>
      <c r="DQ5" s="199" t="s">
        <v>29</v>
      </c>
      <c r="DR5" s="199" t="s">
        <v>30</v>
      </c>
      <c r="DS5" s="199" t="s">
        <v>31</v>
      </c>
      <c r="DT5" s="199" t="s">
        <v>32</v>
      </c>
      <c r="DU5" s="216" t="s">
        <v>24</v>
      </c>
      <c r="DV5" s="217" t="s">
        <v>25</v>
      </c>
      <c r="DW5" s="217" t="s">
        <v>26</v>
      </c>
      <c r="DX5" s="217" t="s">
        <v>27</v>
      </c>
      <c r="DY5" s="217" t="s">
        <v>28</v>
      </c>
      <c r="DZ5" s="217" t="s">
        <v>29</v>
      </c>
      <c r="EA5" s="217" t="s">
        <v>30</v>
      </c>
      <c r="EB5" s="217" t="s">
        <v>31</v>
      </c>
      <c r="EC5" s="199" t="s">
        <v>32</v>
      </c>
      <c r="ED5" s="216" t="s">
        <v>24</v>
      </c>
      <c r="EE5" s="217" t="s">
        <v>25</v>
      </c>
      <c r="EF5" s="217" t="s">
        <v>26</v>
      </c>
      <c r="EG5" s="217" t="s">
        <v>27</v>
      </c>
      <c r="EH5" s="217" t="s">
        <v>28</v>
      </c>
      <c r="EI5" s="217" t="s">
        <v>29</v>
      </c>
      <c r="EJ5" s="217" t="s">
        <v>30</v>
      </c>
      <c r="EK5" s="217" t="s">
        <v>31</v>
      </c>
      <c r="EL5" s="199" t="s">
        <v>32</v>
      </c>
      <c r="EM5" s="216" t="s">
        <v>24</v>
      </c>
      <c r="EN5" s="217" t="s">
        <v>25</v>
      </c>
      <c r="EO5" s="217" t="s">
        <v>26</v>
      </c>
      <c r="EP5" s="217" t="s">
        <v>27</v>
      </c>
      <c r="EQ5" s="217" t="s">
        <v>28</v>
      </c>
      <c r="ER5" s="217" t="s">
        <v>29</v>
      </c>
      <c r="ES5" s="217" t="s">
        <v>30</v>
      </c>
      <c r="ET5" s="217" t="s">
        <v>31</v>
      </c>
      <c r="EU5" s="199" t="s">
        <v>32</v>
      </c>
      <c r="EV5" s="216" t="s">
        <v>24</v>
      </c>
      <c r="EW5" s="217" t="s">
        <v>25</v>
      </c>
      <c r="EX5" s="217" t="s">
        <v>26</v>
      </c>
      <c r="EY5" s="217" t="s">
        <v>27</v>
      </c>
      <c r="EZ5" s="217" t="s">
        <v>28</v>
      </c>
      <c r="FA5" s="217" t="s">
        <v>29</v>
      </c>
      <c r="FB5" s="217" t="s">
        <v>30</v>
      </c>
      <c r="FC5" s="217" t="s">
        <v>31</v>
      </c>
      <c r="FD5" s="199" t="s">
        <v>32</v>
      </c>
      <c r="FE5" s="216" t="s">
        <v>24</v>
      </c>
      <c r="FF5" s="217" t="s">
        <v>25</v>
      </c>
      <c r="FG5" s="217" t="s">
        <v>26</v>
      </c>
      <c r="FH5" s="217" t="s">
        <v>27</v>
      </c>
      <c r="FI5" s="217" t="s">
        <v>28</v>
      </c>
      <c r="FJ5" s="217" t="s">
        <v>29</v>
      </c>
      <c r="FK5" s="217" t="s">
        <v>30</v>
      </c>
      <c r="FL5" s="217" t="s">
        <v>31</v>
      </c>
      <c r="FM5" s="199" t="s">
        <v>32</v>
      </c>
      <c r="FN5" s="216" t="s">
        <v>24</v>
      </c>
      <c r="FO5" s="217" t="s">
        <v>25</v>
      </c>
      <c r="FP5" s="217" t="s">
        <v>26</v>
      </c>
      <c r="FQ5" s="217" t="s">
        <v>27</v>
      </c>
      <c r="FR5" s="217" t="s">
        <v>28</v>
      </c>
      <c r="FS5" s="217" t="s">
        <v>29</v>
      </c>
      <c r="FT5" s="217" t="s">
        <v>30</v>
      </c>
      <c r="FU5" s="217" t="s">
        <v>31</v>
      </c>
      <c r="FV5" s="199" t="s">
        <v>32</v>
      </c>
      <c r="FW5" s="216" t="s">
        <v>24</v>
      </c>
      <c r="FX5" s="217" t="s">
        <v>25</v>
      </c>
      <c r="FY5" s="217" t="s">
        <v>26</v>
      </c>
      <c r="FZ5" s="217" t="s">
        <v>27</v>
      </c>
      <c r="GA5" s="217" t="s">
        <v>28</v>
      </c>
      <c r="GB5" s="217" t="s">
        <v>29</v>
      </c>
      <c r="GC5" s="217" t="s">
        <v>30</v>
      </c>
      <c r="GD5" s="217" t="s">
        <v>31</v>
      </c>
      <c r="GE5" s="199" t="s">
        <v>32</v>
      </c>
      <c r="GF5" s="216" t="s">
        <v>24</v>
      </c>
      <c r="GG5" s="217" t="s">
        <v>25</v>
      </c>
      <c r="GH5" s="217" t="s">
        <v>26</v>
      </c>
      <c r="GI5" s="217" t="s">
        <v>27</v>
      </c>
      <c r="GJ5" s="217" t="s">
        <v>28</v>
      </c>
      <c r="GK5" s="217" t="s">
        <v>29</v>
      </c>
      <c r="GL5" s="217" t="s">
        <v>30</v>
      </c>
      <c r="GM5" s="217" t="s">
        <v>31</v>
      </c>
      <c r="GN5" s="199" t="s">
        <v>32</v>
      </c>
      <c r="GO5" s="216" t="s">
        <v>24</v>
      </c>
      <c r="GP5" s="217" t="s">
        <v>25</v>
      </c>
      <c r="GQ5" s="217" t="s">
        <v>26</v>
      </c>
      <c r="GR5" s="217" t="s">
        <v>27</v>
      </c>
      <c r="GS5" s="217" t="s">
        <v>28</v>
      </c>
      <c r="GT5" s="217" t="s">
        <v>29</v>
      </c>
      <c r="GU5" s="217" t="s">
        <v>30</v>
      </c>
      <c r="GV5" s="217" t="s">
        <v>31</v>
      </c>
      <c r="GW5" s="199" t="s">
        <v>32</v>
      </c>
    </row>
    <row r="6" spans="1:205" ht="14.65" customHeight="1">
      <c r="A6" s="193"/>
      <c r="B6" s="244" t="s">
        <v>33</v>
      </c>
      <c r="C6" s="201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Y6" s="190" t="s">
        <v>33</v>
      </c>
      <c r="Z6" s="192" t="str">
        <f>IF(AND($C6&lt;&gt;"",$D6&lt;&gt;""),(VLOOKUP($C6,'V-LOOKUP'!$C$4:$M$59,4,FALSE)),"0")</f>
        <v>0</v>
      </c>
      <c r="AA6" s="192" t="str">
        <f>IF(AND($C6&lt;&gt;"",$D6&lt;&gt;""),(VLOOKUP($C6,'V-LOOKUP'!$C$4:$M$59,5,FALSE)),"0")</f>
        <v>0</v>
      </c>
      <c r="AB6" s="192" t="str">
        <f>IF(AND($C6&lt;&gt;"",$D6&lt;&gt;""),(VLOOKUP($C6,'V-LOOKUP'!$C$4:$M$59,6,FALSE)),"0")</f>
        <v>0</v>
      </c>
      <c r="AC6" s="192" t="str">
        <f>IF(AND($C6&lt;&gt;"",$D6&lt;&gt;""),(VLOOKUP($C6,'V-LOOKUP'!$C$4:$M$59,7,FALSE)),"0")</f>
        <v>0</v>
      </c>
      <c r="AD6" s="192" t="str">
        <f>IF(AND($C6&lt;&gt;"",$D6&lt;&gt;""),(VLOOKUP($C6,'V-LOOKUP'!$C$4:$M$59,8,FALSE)),"0")</f>
        <v>0</v>
      </c>
      <c r="AE6" s="192" t="str">
        <f>IF(AND($C6&lt;&gt;"",$D6&lt;&gt;""),(VLOOKUP($C6,'V-LOOKUP'!$C$4:$M$59,9,FALSE)),"0")</f>
        <v>0</v>
      </c>
      <c r="AF6" s="192" t="str">
        <f>IF(AND($C6&lt;&gt;"",$D6&lt;&gt;""),(VLOOKUP($C6,'V-LOOKUP'!$C$4:$M$59,10,FALSE)),"0")</f>
        <v>0</v>
      </c>
      <c r="AG6" s="192" t="str">
        <f>IF(AND($C6&lt;&gt;"",$D6&lt;&gt;""),(VLOOKUP($C6,'V-LOOKUP'!$C$4:$M$59,11,FALSE)),"0")</f>
        <v>0</v>
      </c>
      <c r="AH6" s="192" t="str">
        <f>IF(AND($C6&lt;&gt;"",$D6&lt;&gt;""),(VLOOKUP($C6,'V-LOOKUP'!$C$4:$N$59,12,FALSE)),"0")</f>
        <v>0</v>
      </c>
      <c r="AI6" s="192" t="str">
        <f>IF(AND($C6&lt;&gt;"",E6&lt;&gt;""),(VLOOKUP($C6,'V-LOOKUP'!$C$4:$M$59,4,FALSE)),"0")</f>
        <v>0</v>
      </c>
      <c r="AJ6" s="192" t="str">
        <f>IF(AND($C6&lt;&gt;"",$E6&lt;&gt;""),(VLOOKUP($C6,'V-LOOKUP'!$C$4:$M$59,5,FALSE)),"0")</f>
        <v>0</v>
      </c>
      <c r="AK6" s="192" t="str">
        <f>IF(AND($C6&lt;&gt;"",$E6&lt;&gt;""),(VLOOKUP($C6,'V-LOOKUP'!$C$4:$M$59,6,FALSE)),"0")</f>
        <v>0</v>
      </c>
      <c r="AL6" s="192" t="str">
        <f>IF(AND($C6&lt;&gt;"",$E6&lt;&gt;""),(VLOOKUP($C6,'V-LOOKUP'!$C$4:$M$59,7,FALSE)),"0")</f>
        <v>0</v>
      </c>
      <c r="AM6" s="192" t="str">
        <f>IF(AND($C6&lt;&gt;"",$E6&lt;&gt;""),(VLOOKUP($C6,'V-LOOKUP'!$C$4:$M$59,8,FALSE)),"0")</f>
        <v>0</v>
      </c>
      <c r="AN6" s="192" t="str">
        <f>IF(AND($C6&lt;&gt;"",$E6&lt;&gt;""),(VLOOKUP($C6,'V-LOOKUP'!$C$4:$M$59,9,FALSE)),"0")</f>
        <v>0</v>
      </c>
      <c r="AO6" s="192" t="str">
        <f>IF(AND($C6&lt;&gt;"",$E6&lt;&gt;""),(VLOOKUP($C6,'V-LOOKUP'!$C$4:$M$59,10,FALSE)),"0")</f>
        <v>0</v>
      </c>
      <c r="AP6" s="192" t="str">
        <f>IF(AND($C6&lt;&gt;"",$E6&lt;&gt;""),(VLOOKUP($C6,'V-LOOKUP'!$C$4:$M$59,11,FALSE)),"0")</f>
        <v>0</v>
      </c>
      <c r="AQ6" s="192" t="str">
        <f>IF(AND($C6&lt;&gt;"",$E6&lt;&gt;""),(VLOOKUP($C6,'V-LOOKUP'!$C$4:$N$59,12,FALSE)),"0")</f>
        <v>0</v>
      </c>
      <c r="AR6" s="192" t="str">
        <f>IF(AND($C6&lt;&gt;"",$F6&lt;&gt;""),(VLOOKUP($C6,'V-LOOKUP'!$C$4:$M$59,4,FALSE)),"0")</f>
        <v>0</v>
      </c>
      <c r="AS6" s="192" t="str">
        <f>IF(AND($C6&lt;&gt;"",$F6&lt;&gt;""),(VLOOKUP($C6,'V-LOOKUP'!$C$4:$M$59,5,FALSE)),"0")</f>
        <v>0</v>
      </c>
      <c r="AT6" s="192" t="str">
        <f>IF(AND($C6&lt;&gt;"",$F6&lt;&gt;""),(VLOOKUP($C6,'V-LOOKUP'!$C$4:$M$59,6,FALSE)),"0")</f>
        <v>0</v>
      </c>
      <c r="AU6" s="192" t="str">
        <f>IF(AND($C6&lt;&gt;"",$F6&lt;&gt;""),(VLOOKUP($C6,'V-LOOKUP'!$C$4:$M$59,7,FALSE)),"0")</f>
        <v>0</v>
      </c>
      <c r="AV6" s="192" t="str">
        <f>IF(AND($C6&lt;&gt;"",$F6&lt;&gt;""),(VLOOKUP($C6,'V-LOOKUP'!$C$4:$M$59,8,FALSE)),"0")</f>
        <v>0</v>
      </c>
      <c r="AW6" s="192" t="str">
        <f>IF(AND($C6&lt;&gt;"",$F6&lt;&gt;""),(VLOOKUP($C6,'V-LOOKUP'!$C$4:$M$59,9,FALSE)),"0")</f>
        <v>0</v>
      </c>
      <c r="AX6" s="192" t="str">
        <f>IF(AND($C6&lt;&gt;"",$F6&lt;&gt;""),(VLOOKUP($C6,'V-LOOKUP'!$C$4:$M$59,10,FALSE)),"0")</f>
        <v>0</v>
      </c>
      <c r="AY6" s="192" t="str">
        <f>IF(AND($C6&lt;&gt;"",$F6&lt;&gt;""),(VLOOKUP($C6,'V-LOOKUP'!$C$4:$M$59,11,FALSE)),"0")</f>
        <v>0</v>
      </c>
      <c r="AZ6" s="192" t="str">
        <f>IF(AND($C6&lt;&gt;"",$F6&lt;&gt;""),(VLOOKUP($C6,'V-LOOKUP'!$C$4:$N$59,12,FALSE)),"0")</f>
        <v>0</v>
      </c>
      <c r="BA6" s="192" t="str">
        <f>IF(AND($C6&lt;&gt;"",G6&lt;&gt;""),(VLOOKUP($C6,'V-LOOKUP'!$C$4:$M$59,4,FALSE)),"0")</f>
        <v>0</v>
      </c>
      <c r="BB6" s="192" t="str">
        <f>IF(AND($C6&lt;&gt;"",$G6&lt;&gt;""),(VLOOKUP($C6,'V-LOOKUP'!$C$4:$M$59,5,FALSE)),"0")</f>
        <v>0</v>
      </c>
      <c r="BC6" s="192" t="str">
        <f>IF(AND($C6&lt;&gt;"",$G6&lt;&gt;""),(VLOOKUP($C6,'V-LOOKUP'!$C$4:$M$59,6,FALSE)),"0")</f>
        <v>0</v>
      </c>
      <c r="BD6" s="192" t="str">
        <f>IF(AND($C6&lt;&gt;"",$G6&lt;&gt;""),(VLOOKUP($C6,'V-LOOKUP'!$C$4:$M$59,7,FALSE)),"0")</f>
        <v>0</v>
      </c>
      <c r="BE6" s="192" t="str">
        <f>IF(AND($C6&lt;&gt;"",$G6&lt;&gt;""),(VLOOKUP($C6,'V-LOOKUP'!$C$4:$M$59,8,FALSE)),"0")</f>
        <v>0</v>
      </c>
      <c r="BF6" s="192" t="str">
        <f>IF(AND($C6&lt;&gt;"",$G6&lt;&gt;""),(VLOOKUP($C6,'V-LOOKUP'!$C$4:$M$59,9,FALSE)),"0")</f>
        <v>0</v>
      </c>
      <c r="BG6" s="192" t="str">
        <f>IF(AND($C6&lt;&gt;"",$G6&lt;&gt;""),(VLOOKUP($C6,'V-LOOKUP'!$C$4:$M$59,10,FALSE)),"0")</f>
        <v>0</v>
      </c>
      <c r="BH6" s="192" t="str">
        <f>IF(AND($C6&lt;&gt;"",$G6&lt;&gt;""),(VLOOKUP($C6,'V-LOOKUP'!$C$4:$M$59,11,FALSE)),"0")</f>
        <v>0</v>
      </c>
      <c r="BI6" s="192" t="str">
        <f>IF(AND($C6&lt;&gt;"",$G6&lt;&gt;""),(VLOOKUP($C6,'V-LOOKUP'!$C$4:$N$59,12,FALSE)),"0")</f>
        <v>0</v>
      </c>
      <c r="BJ6" s="192" t="str">
        <f>IF(AND($C6&lt;&gt;"",H6&lt;&gt;""),(VLOOKUP($C6,'V-LOOKUP'!$C$4:$M$59,4,FALSE)),"0")</f>
        <v>0</v>
      </c>
      <c r="BK6" s="192" t="str">
        <f>IF(AND($C6&lt;&gt;"",$G6&lt;&gt;""),(VLOOKUP($C6,'V-LOOKUP'!$C$4:$M$59,5,FALSE)),"0")</f>
        <v>0</v>
      </c>
      <c r="BL6" s="192" t="str">
        <f>IF(AND($C6&lt;&gt;"",$H6&lt;&gt;""),(VLOOKUP($C6,'V-LOOKUP'!$C$4:$M$59,6,FALSE)),"0")</f>
        <v>0</v>
      </c>
      <c r="BM6" s="192" t="str">
        <f>IF(AND($C6&lt;&gt;"",$H6&lt;&gt;""),(VLOOKUP($C6,'V-LOOKUP'!$C$4:$M$59,7,FALSE)),"0")</f>
        <v>0</v>
      </c>
      <c r="BN6" s="192" t="str">
        <f>IF(AND($C6&lt;&gt;"",$H6&lt;&gt;""),(VLOOKUP($C6,'V-LOOKUP'!$C$4:$M$59,8,FALSE)),"0")</f>
        <v>0</v>
      </c>
      <c r="BO6" s="192" t="str">
        <f>IF(AND($C6&lt;&gt;"",$H6&lt;&gt;""),(VLOOKUP($C6,'V-LOOKUP'!$C$4:$M$59,9,FALSE)),"0")</f>
        <v>0</v>
      </c>
      <c r="BP6" s="192" t="str">
        <f>IF(AND($C6&lt;&gt;"",$H6&lt;&gt;""),(VLOOKUP($C6,'V-LOOKUP'!$C$4:$M$59,10,FALSE)),"0")</f>
        <v>0</v>
      </c>
      <c r="BQ6" s="192" t="str">
        <f>IF(AND($C6&lt;&gt;"",$H6&lt;&gt;""),(VLOOKUP($C6,'V-LOOKUP'!$C$4:$M$59,11,FALSE)),"0")</f>
        <v>0</v>
      </c>
      <c r="BR6" s="192" t="str">
        <f>IF(AND($C6&lt;&gt;"",$H6&lt;&gt;""),(VLOOKUP($C6,'V-LOOKUP'!$C$4:$N$59,12,FALSE)),"0")</f>
        <v>0</v>
      </c>
      <c r="BS6" s="192" t="str">
        <f>IF(AND($C6&lt;&gt;"",I6&lt;&gt;""),(VLOOKUP($C6,'V-LOOKUP'!$C$4:$M$59,4,FALSE)),"0")</f>
        <v>0</v>
      </c>
      <c r="BT6" s="192" t="str">
        <f>IF(AND($C6&lt;&gt;"",$I6&lt;&gt;""),(VLOOKUP($C6,'V-LOOKUP'!$C$4:$M$59,5,FALSE)),"0")</f>
        <v>0</v>
      </c>
      <c r="BU6" s="192" t="str">
        <f>IF(AND($C6&lt;&gt;"",$I6&lt;&gt;""),(VLOOKUP($C6,'V-LOOKUP'!$C$4:$M$59,6,FALSE)),"0")</f>
        <v>0</v>
      </c>
      <c r="BV6" s="192" t="str">
        <f>IF(AND($C6&lt;&gt;"",$I6&lt;&gt;""),(VLOOKUP($C6,'V-LOOKUP'!$C$4:$M$59,7,FALSE)),"0")</f>
        <v>0</v>
      </c>
      <c r="BW6" s="192" t="str">
        <f>IF(AND($C6&lt;&gt;"",$I6&lt;&gt;""),(VLOOKUP($C6,'V-LOOKUP'!$C$4:$M$59,8,FALSE)),"0")</f>
        <v>0</v>
      </c>
      <c r="BX6" s="192" t="str">
        <f>IF(AND($C6&lt;&gt;"",$I6&lt;&gt;""),(VLOOKUP($C6,'V-LOOKUP'!$C$4:$M$59,9,FALSE)),"0")</f>
        <v>0</v>
      </c>
      <c r="BY6" s="192" t="str">
        <f>IF(AND($C6&lt;&gt;"",$I6&lt;&gt;""),(VLOOKUP($C6,'V-LOOKUP'!$C$4:$M$59,10,FALSE)),"0")</f>
        <v>0</v>
      </c>
      <c r="BZ6" s="192" t="str">
        <f>IF(AND($C6&lt;&gt;"",$I6&lt;&gt;""),(VLOOKUP($C6,'V-LOOKUP'!$C$4:$M$59,11,FALSE)),"0")</f>
        <v>0</v>
      </c>
      <c r="CA6" s="192" t="str">
        <f>IF(AND($C6&lt;&gt;"",$I6&lt;&gt;""),(VLOOKUP($C6,'V-LOOKUP'!$C$4:$N$59,12,FALSE)),"0")</f>
        <v>0</v>
      </c>
      <c r="CB6" s="192" t="str">
        <f>IF(AND($C6&lt;&gt;"",J6&lt;&gt;""),(VLOOKUP($C6,'V-LOOKUP'!$C$4:$M$59,4,FALSE)),"0")</f>
        <v>0</v>
      </c>
      <c r="CC6" s="192" t="str">
        <f>IF(AND($C6&lt;&gt;"",$J6&lt;&gt;""),(VLOOKUP($C6,'V-LOOKUP'!$C$4:$M$59,5,FALSE)),"0")</f>
        <v>0</v>
      </c>
      <c r="CD6" s="192" t="str">
        <f>IF(AND($C6&lt;&gt;"",$J6&lt;&gt;""),(VLOOKUP($C6,'V-LOOKUP'!$C$4:$M$59,6,FALSE)),"0")</f>
        <v>0</v>
      </c>
      <c r="CE6" s="192" t="str">
        <f>IF(AND($C6&lt;&gt;"",$J6&lt;&gt;""),(VLOOKUP($C6,'V-LOOKUP'!$C$4:$M$59,7,FALSE)),"0")</f>
        <v>0</v>
      </c>
      <c r="CF6" s="192" t="str">
        <f>IF(AND($C6&lt;&gt;"",$J6&lt;&gt;""),(VLOOKUP($C6,'V-LOOKUP'!$C$4:$M$59,8,FALSE)),"0")</f>
        <v>0</v>
      </c>
      <c r="CG6" s="192" t="str">
        <f>IF(AND($C6&lt;&gt;"",$J6&lt;&gt;""),(VLOOKUP($C6,'V-LOOKUP'!$C$4:$M$59,9,FALSE)),"0")</f>
        <v>0</v>
      </c>
      <c r="CH6" s="192" t="str">
        <f>IF(AND($C6&lt;&gt;"",$J6&lt;&gt;""),(VLOOKUP($C6,'V-LOOKUP'!$C$4:$M$59,10,FALSE)),"0")</f>
        <v>0</v>
      </c>
      <c r="CI6" s="192" t="str">
        <f>IF(AND($C6&lt;&gt;"",$J6&lt;&gt;""),(VLOOKUP($C6,'V-LOOKUP'!$C$4:$M$59,11,FALSE)),"0")</f>
        <v>0</v>
      </c>
      <c r="CJ6" s="192" t="str">
        <f>IF(AND($C6&lt;&gt;"",$J6&lt;&gt;""),(VLOOKUP($C6,'V-LOOKUP'!$C$4:$N$59,12,FALSE)),"0")</f>
        <v>0</v>
      </c>
      <c r="CK6" s="192" t="str">
        <f>IF(AND($C6&lt;&gt;"",K6&lt;&gt;""),(VLOOKUP($C6,'V-LOOKUP'!$C$4:$M$59,4,FALSE)),"0")</f>
        <v>0</v>
      </c>
      <c r="CL6" s="192" t="str">
        <f>IF(AND($C6&lt;&gt;"",$K6&lt;&gt;""),(VLOOKUP($C6,'V-LOOKUP'!$C$4:$M$59,5,FALSE)),"0")</f>
        <v>0</v>
      </c>
      <c r="CM6" s="192" t="str">
        <f>IF(AND($C6&lt;&gt;"",$K6&lt;&gt;""),(VLOOKUP($C6,'V-LOOKUP'!$C$4:$M$59,6,FALSE)),"0")</f>
        <v>0</v>
      </c>
      <c r="CN6" s="192" t="str">
        <f>IF(AND($C6&lt;&gt;"",$K6&lt;&gt;""),(VLOOKUP($C6,'V-LOOKUP'!$C$4:$M$59,7,FALSE)),"0")</f>
        <v>0</v>
      </c>
      <c r="CO6" s="192" t="str">
        <f>IF(AND($C6&lt;&gt;"",$K6&lt;&gt;""),(VLOOKUP($C6,'V-LOOKUP'!$C$4:$M$59,8,FALSE)),"0")</f>
        <v>0</v>
      </c>
      <c r="CP6" s="192" t="str">
        <f>IF(AND($C6&lt;&gt;"",$K6&lt;&gt;""),(VLOOKUP($C6,'V-LOOKUP'!$C$4:$M$59,9,FALSE)),"0")</f>
        <v>0</v>
      </c>
      <c r="CQ6" s="192" t="str">
        <f>IF(AND($C6&lt;&gt;"",$K6&lt;&gt;""),(VLOOKUP($C6,'V-LOOKUP'!$C$4:$M$59,10,FALSE)),"0")</f>
        <v>0</v>
      </c>
      <c r="CR6" s="192" t="str">
        <f>IF(AND($C6&lt;&gt;"",$K6&lt;&gt;""),(VLOOKUP($C6,'V-LOOKUP'!$C$4:$M$59,11,FALSE)),"0")</f>
        <v>0</v>
      </c>
      <c r="CS6" s="192" t="str">
        <f>IF(AND($C6&lt;&gt;"",$K6&lt;&gt;""),(VLOOKUP($C6,'V-LOOKUP'!$C$4:$N$59,12,FALSE)),"0")</f>
        <v>0</v>
      </c>
      <c r="CT6" s="192" t="str">
        <f>IF(AND($C6&lt;&gt;"",L6&lt;&gt;""),(VLOOKUP($C6,'V-LOOKUP'!$C$4:$M$59,4,FALSE)),"0")</f>
        <v>0</v>
      </c>
      <c r="CU6" s="192" t="str">
        <f>IF(AND($C6&lt;&gt;"",$L6&lt;&gt;""),(VLOOKUP($C6,'V-LOOKUP'!$C$4:$M$59,5,FALSE)),"0")</f>
        <v>0</v>
      </c>
      <c r="CV6" s="192" t="str">
        <f>IF(AND($C6&lt;&gt;"",$L6&lt;&gt;""),(VLOOKUP($C6,'V-LOOKUP'!$C$4:$M$59,6,FALSE)),"0")</f>
        <v>0</v>
      </c>
      <c r="CW6" s="192" t="str">
        <f>IF(AND($C6&lt;&gt;"",$L6&lt;&gt;""),(VLOOKUP($C6,'V-LOOKUP'!$C$4:$M$59,7,FALSE)),"0")</f>
        <v>0</v>
      </c>
      <c r="CX6" s="192" t="str">
        <f>IF(AND($C6&lt;&gt;"",$L6&lt;&gt;""),(VLOOKUP($C6,'V-LOOKUP'!$C$4:$M$59,8,FALSE)),"0")</f>
        <v>0</v>
      </c>
      <c r="CY6" s="192" t="str">
        <f>IF(AND($C6&lt;&gt;"",$L6&lt;&gt;""),(VLOOKUP($C6,'V-LOOKUP'!$C$4:$M$59,9,FALSE)),"0")</f>
        <v>0</v>
      </c>
      <c r="CZ6" s="192" t="str">
        <f>IF(AND($C6&lt;&gt;"",$L6&lt;&gt;""),(VLOOKUP($C6,'V-LOOKUP'!$C$4:$M$59,10,FALSE)),"0")</f>
        <v>0</v>
      </c>
      <c r="DA6" s="192" t="str">
        <f>IF(AND($C6&lt;&gt;"",$L6&lt;&gt;""),(VLOOKUP($C6,'V-LOOKUP'!$C$4:$M$59,11,FALSE)),"0")</f>
        <v>0</v>
      </c>
      <c r="DB6" s="192" t="str">
        <f>IF(AND($C6&lt;&gt;"",$L6&lt;&gt;""),(VLOOKUP($C6,'V-LOOKUP'!$C$4:$N$59,12,FALSE)),"0")</f>
        <v>0</v>
      </c>
      <c r="DC6" s="192" t="str">
        <f>IF(AND($C6&lt;&gt;"",M6&lt;&gt;""),(VLOOKUP($C6,'V-LOOKUP'!$C$4:$M$59,4,FALSE)),"0")</f>
        <v>0</v>
      </c>
      <c r="DD6" s="192" t="str">
        <f>IF(AND($C6&lt;&gt;"",$M6&lt;&gt;""),(VLOOKUP($C6,'V-LOOKUP'!$C$4:$M$59,5,FALSE)),"0")</f>
        <v>0</v>
      </c>
      <c r="DE6" s="192" t="str">
        <f>IF(AND($C6&lt;&gt;"",$M6&lt;&gt;""),(VLOOKUP($C6,'V-LOOKUP'!$C$4:$M$59,6,FALSE)),"0")</f>
        <v>0</v>
      </c>
      <c r="DF6" s="192" t="str">
        <f>IF(AND($C6&lt;&gt;"",$M6&lt;&gt;""),(VLOOKUP($C6,'V-LOOKUP'!$C$4:$M$59,7,FALSE)),"0")</f>
        <v>0</v>
      </c>
      <c r="DG6" s="192" t="str">
        <f>IF(AND($C6&lt;&gt;"",$M6&lt;&gt;""),(VLOOKUP($C6,'V-LOOKUP'!$C$4:$M$59,8,FALSE)),"0")</f>
        <v>0</v>
      </c>
      <c r="DH6" s="192" t="str">
        <f>IF(AND($C6&lt;&gt;"",$M6&lt;&gt;""),(VLOOKUP($C6,'V-LOOKUP'!$C$4:$M$59,9,FALSE)),"0")</f>
        <v>0</v>
      </c>
      <c r="DI6" s="192" t="str">
        <f>IF(AND($C6&lt;&gt;"",$M6&lt;&gt;""),(VLOOKUP($C6,'V-LOOKUP'!$C$4:$M$59,10,FALSE)),"0")</f>
        <v>0</v>
      </c>
      <c r="DJ6" s="192" t="str">
        <f>IF(AND($C6&lt;&gt;"",$M6&lt;&gt;""),(VLOOKUP($C6,'V-LOOKUP'!$C$4:$M$59,11,FALSE)),"0")</f>
        <v>0</v>
      </c>
      <c r="DK6" s="192" t="str">
        <f>IF(AND($C6&lt;&gt;"",$M6&lt;&gt;""),(VLOOKUP($C6,'V-LOOKUP'!$C$4:$N$59,12,FALSE)),"0")</f>
        <v>0</v>
      </c>
      <c r="DL6" s="192" t="str">
        <f>IF(AND($C6&lt;&gt;"",$N6&lt;&gt;""),(VLOOKUP($C6,'V-LOOKUP'!$C$4:$M$59,4,FALSE)),"0")</f>
        <v>0</v>
      </c>
      <c r="DM6" s="192" t="str">
        <f>IF(AND($C6&lt;&gt;"",$N6&lt;&gt;""),(VLOOKUP($C6,'V-LOOKUP'!$C$4:$M$59,5,FALSE)),"0")</f>
        <v>0</v>
      </c>
      <c r="DN6" s="192" t="str">
        <f>IF(AND($C6&lt;&gt;"",$N6&lt;&gt;""),(VLOOKUP($C6,'V-LOOKUP'!$C$4:$M$59,6,FALSE)),"0")</f>
        <v>0</v>
      </c>
      <c r="DO6" s="192" t="str">
        <f>IF(AND($C6&lt;&gt;"",$N6&lt;&gt;""),(VLOOKUP($C6,'V-LOOKUP'!$C$4:$M$59,7,FALSE)),"0")</f>
        <v>0</v>
      </c>
      <c r="DP6" s="192" t="str">
        <f>IF(AND($C6&lt;&gt;"",$N6&lt;&gt;""),(VLOOKUP($C6,'V-LOOKUP'!$C$4:$M$59,8,FALSE)),"0")</f>
        <v>0</v>
      </c>
      <c r="DQ6" s="192" t="str">
        <f>IF(AND($C6&lt;&gt;"",$N6&lt;&gt;""),(VLOOKUP($C6,'V-LOOKUP'!$C$4:$M$59,9,FALSE)),"0")</f>
        <v>0</v>
      </c>
      <c r="DR6" s="192" t="str">
        <f>IF(AND($C6&lt;&gt;"",$N6&lt;&gt;""),(VLOOKUP($C6,'V-LOOKUP'!$C$4:$M$59,10,FALSE)),"0")</f>
        <v>0</v>
      </c>
      <c r="DS6" s="192" t="str">
        <f>IF(AND($C6&lt;&gt;"",$N6&lt;&gt;""),(VLOOKUP($C6,'V-LOOKUP'!$C$4:$M$59,11,FALSE)),"0")</f>
        <v>0</v>
      </c>
      <c r="DT6" s="192" t="str">
        <f>IF(AND($C6&lt;&gt;"",$N6&lt;&gt;""),(VLOOKUP($C6,'V-LOOKUP'!$C$4:$N$59,12,FALSE)),"0")</f>
        <v>0</v>
      </c>
      <c r="DU6" s="192" t="str">
        <f>IF(AND($C6&lt;&gt;"",O6&lt;&gt;""),(VLOOKUP($C6,'V-LOOKUP'!$C$4:$M$59,4,FALSE)),"0")</f>
        <v>0</v>
      </c>
      <c r="DV6" s="192" t="str">
        <f>IF(AND($C6&lt;&gt;"",$O6&lt;&gt;""),(VLOOKUP($C6,'V-LOOKUP'!$C$4:$M$59,5,FALSE)),"0")</f>
        <v>0</v>
      </c>
      <c r="DW6" s="192" t="str">
        <f>IF(AND($C6&lt;&gt;"",$O6&lt;&gt;""),(VLOOKUP($C6,'V-LOOKUP'!$C$4:$M$59,6,FALSE)),"0")</f>
        <v>0</v>
      </c>
      <c r="DX6" s="192" t="str">
        <f>IF(AND($C6&lt;&gt;"",$O6&lt;&gt;""),(VLOOKUP($C6,'V-LOOKUP'!$C$4:$M$59,7,FALSE)),"0")</f>
        <v>0</v>
      </c>
      <c r="DY6" s="192" t="str">
        <f>IF(AND($C6&lt;&gt;"",$O6&lt;&gt;""),(VLOOKUP($C6,'V-LOOKUP'!$C$4:$M$59,8,FALSE)),"0")</f>
        <v>0</v>
      </c>
      <c r="DZ6" s="192" t="str">
        <f>IF(AND($C6&lt;&gt;"",$O6&lt;&gt;""),(VLOOKUP($C6,'V-LOOKUP'!$C$4:$M$59,9,FALSE)),"0")</f>
        <v>0</v>
      </c>
      <c r="EA6" s="192" t="str">
        <f>IF(AND($C6&lt;&gt;"",$O6&lt;&gt;""),(VLOOKUP($C6,'V-LOOKUP'!$C$4:$M$59,10,FALSE)),"0")</f>
        <v>0</v>
      </c>
      <c r="EB6" s="192" t="str">
        <f>IF(AND($C6&lt;&gt;"",$O6&lt;&gt;""),(VLOOKUP($C6,'V-LOOKUP'!$C$4:$M$59,11,FALSE)),"0")</f>
        <v>0</v>
      </c>
      <c r="EC6" s="192" t="str">
        <f>IF(AND($C6&lt;&gt;"",$O6&lt;&gt;""),(VLOOKUP($C6,'V-LOOKUP'!$C$4:$N$59,12,FALSE)),"0")</f>
        <v>0</v>
      </c>
      <c r="ED6" s="192" t="str">
        <f>IF(AND($C6&lt;&gt;"",P6&lt;&gt;""),(VLOOKUP($C6,'V-LOOKUP'!$C$4:$M$59,4,FALSE)),"0")</f>
        <v>0</v>
      </c>
      <c r="EE6" s="192" t="str">
        <f>IF(AND($C6&lt;&gt;"",$P6&lt;&gt;""),(VLOOKUP($C6,'V-LOOKUP'!$C$4:$M$59,5,FALSE)),"0")</f>
        <v>0</v>
      </c>
      <c r="EF6" s="192" t="str">
        <f>IF(AND($C6&lt;&gt;"",$P6&lt;&gt;""),(VLOOKUP($C6,'V-LOOKUP'!$C$4:$M$59,6,FALSE)),"0")</f>
        <v>0</v>
      </c>
      <c r="EG6" s="192" t="str">
        <f>IF(AND($C6&lt;&gt;"",$P6&lt;&gt;""),(VLOOKUP($C6,'V-LOOKUP'!$C$4:$M$59,7,FALSE)),"0")</f>
        <v>0</v>
      </c>
      <c r="EH6" s="192" t="str">
        <f>IF(AND($C6&lt;&gt;"",$P6&lt;&gt;""),(VLOOKUP($C6,'V-LOOKUP'!$C$4:$M$59,8,FALSE)),"0")</f>
        <v>0</v>
      </c>
      <c r="EI6" s="192" t="str">
        <f>IF(AND($C6&lt;&gt;"",$P6&lt;&gt;""),(VLOOKUP($C6,'V-LOOKUP'!$C$4:$M$59,9,FALSE)),"0")</f>
        <v>0</v>
      </c>
      <c r="EJ6" s="192" t="str">
        <f>IF(AND($C6&lt;&gt;"",$P6&lt;&gt;""),(VLOOKUP($C6,'V-LOOKUP'!$C$4:$M$59,10,FALSE)),"0")</f>
        <v>0</v>
      </c>
      <c r="EK6" s="192" t="str">
        <f>IF(AND($C6&lt;&gt;"",$P6&lt;&gt;""),(VLOOKUP($C6,'V-LOOKUP'!$C$4:$M$59,11,FALSE)),"0")</f>
        <v>0</v>
      </c>
      <c r="EL6" s="192" t="str">
        <f>IF(AND($C6&lt;&gt;"",$P6&lt;&gt;""),(VLOOKUP($C6,'V-LOOKUP'!$C$4:$N$59,12,FALSE)),"0")</f>
        <v>0</v>
      </c>
      <c r="EM6" s="192" t="str">
        <f>IF(AND($C6&lt;&gt;"",Q6&lt;&gt;""),(VLOOKUP($C6,'V-LOOKUP'!$C$4:$M$59,4,FALSE)),"0")</f>
        <v>0</v>
      </c>
      <c r="EN6" s="192" t="str">
        <f>IF(AND($C6&lt;&gt;"",$Q6&lt;&gt;""),(VLOOKUP($C6,'V-LOOKUP'!$C$4:$M$59,5,FALSE)),"0")</f>
        <v>0</v>
      </c>
      <c r="EO6" s="192" t="str">
        <f>IF(AND($C6&lt;&gt;"",$Q6&lt;&gt;""),(VLOOKUP($C6,'V-LOOKUP'!$C$4:$M$59,6,FALSE)),"0")</f>
        <v>0</v>
      </c>
      <c r="EP6" s="192" t="str">
        <f>IF(AND($C6&lt;&gt;"",$Q6&lt;&gt;""),(VLOOKUP($C6,'V-LOOKUP'!$C$4:$M$59,7,FALSE)),"0")</f>
        <v>0</v>
      </c>
      <c r="EQ6" s="192" t="str">
        <f>IF(AND($C6&lt;&gt;"",$Q6&lt;&gt;""),(VLOOKUP($C6,'V-LOOKUP'!$C$4:$M$59,8,FALSE)),"0")</f>
        <v>0</v>
      </c>
      <c r="ER6" s="192" t="str">
        <f>IF(AND($C6&lt;&gt;"",$Q6&lt;&gt;""),(VLOOKUP($C6,'V-LOOKUP'!$C$4:$M$59,9,FALSE)),"0")</f>
        <v>0</v>
      </c>
      <c r="ES6" s="192" t="str">
        <f>IF(AND($C6&lt;&gt;"",$Q6&lt;&gt;""),(VLOOKUP($C6,'V-LOOKUP'!$C$4:$M$59,10,FALSE)),"0")</f>
        <v>0</v>
      </c>
      <c r="ET6" s="192" t="str">
        <f>IF(AND($C6&lt;&gt;"",$Q6&lt;&gt;""),(VLOOKUP($C6,'V-LOOKUP'!$C$4:$M$59,11,FALSE)),"0")</f>
        <v>0</v>
      </c>
      <c r="EU6" s="192" t="str">
        <f>IF(AND($C6&lt;&gt;"",$Q6&lt;&gt;""),(VLOOKUP($C6,'V-LOOKUP'!$C$4:$N$59,12,FALSE)),"0")</f>
        <v>0</v>
      </c>
      <c r="EV6" s="192" t="str">
        <f>IF(AND($C6&lt;&gt;"",R6&lt;&gt;""),(VLOOKUP($C6,'V-LOOKUP'!$C$4:$M$59,4,FALSE)),"0")</f>
        <v>0</v>
      </c>
      <c r="EW6" s="192" t="str">
        <f>IF(AND($C6&lt;&gt;"",$R6&lt;&gt;""),(VLOOKUP($C6,'V-LOOKUP'!$C$4:$M$59,5,FALSE)),"0")</f>
        <v>0</v>
      </c>
      <c r="EX6" s="192" t="str">
        <f>IF(AND($C6&lt;&gt;"",$R6&lt;&gt;""),(VLOOKUP($C6,'V-LOOKUP'!$C$4:$M$59,6,FALSE)),"0")</f>
        <v>0</v>
      </c>
      <c r="EY6" s="192" t="str">
        <f>IF(AND($C6&lt;&gt;"",$R6&lt;&gt;""),(VLOOKUP($C6,'V-LOOKUP'!$C$4:$M$59,7,FALSE)),"0")</f>
        <v>0</v>
      </c>
      <c r="EZ6" s="192" t="str">
        <f>IF(AND($C6&lt;&gt;"",$R6&lt;&gt;""),(VLOOKUP($C6,'V-LOOKUP'!$C$4:$M$59,8,FALSE)),"0")</f>
        <v>0</v>
      </c>
      <c r="FA6" s="192" t="str">
        <f>IF(AND($C6&lt;&gt;"",$R6&lt;&gt;""),(VLOOKUP($C6,'V-LOOKUP'!$C$4:$M$59,9,FALSE)),"0")</f>
        <v>0</v>
      </c>
      <c r="FB6" s="192" t="str">
        <f>IF(AND($C6&lt;&gt;"",$R6&lt;&gt;""),(VLOOKUP($C6,'V-LOOKUP'!$C$4:$M$59,10,FALSE)),"0")</f>
        <v>0</v>
      </c>
      <c r="FC6" s="192" t="str">
        <f>IF(AND($C6&lt;&gt;"",$R6&lt;&gt;""),(VLOOKUP($C6,'V-LOOKUP'!$C$4:$M$59,11,FALSE)),"0")</f>
        <v>0</v>
      </c>
      <c r="FD6" s="192" t="str">
        <f>IF(AND($C6&lt;&gt;"",$R6&lt;&gt;""),(VLOOKUP($C6,'V-LOOKUP'!$C$4:$N$59,12,FALSE)),"0")</f>
        <v>0</v>
      </c>
      <c r="FE6" s="192" t="str">
        <f>IF(AND($C6&lt;&gt;"",S6&lt;&gt;""),(VLOOKUP($C6,'V-LOOKUP'!$C$4:$M$59,4,FALSE)),"0")</f>
        <v>0</v>
      </c>
      <c r="FF6" s="192" t="str">
        <f>IF(AND($C6&lt;&gt;"",$S6&lt;&gt;""),(VLOOKUP($C6,'V-LOOKUP'!$C$4:$M$59,5,FALSE)),"0")</f>
        <v>0</v>
      </c>
      <c r="FG6" s="192" t="str">
        <f>IF(AND($C6&lt;&gt;"",$S6&lt;&gt;""),(VLOOKUP($C6,'V-LOOKUP'!$C$4:$M$59,6,FALSE)),"0")</f>
        <v>0</v>
      </c>
      <c r="FH6" s="192" t="str">
        <f>IF(AND($C6&lt;&gt;"",$S6&lt;&gt;""),(VLOOKUP($C6,'V-LOOKUP'!$C$4:$M$59,7,FALSE)),"0")</f>
        <v>0</v>
      </c>
      <c r="FI6" s="192" t="str">
        <f>IF(AND($C6&lt;&gt;"",$S6&lt;&gt;""),(VLOOKUP($C6,'V-LOOKUP'!$C$4:$M$59,8,FALSE)),"0")</f>
        <v>0</v>
      </c>
      <c r="FJ6" s="192" t="str">
        <f>IF(AND($C6&lt;&gt;"",$S6&lt;&gt;""),(VLOOKUP($C6,'V-LOOKUP'!$C$4:$M$59,9,FALSE)),"0")</f>
        <v>0</v>
      </c>
      <c r="FK6" s="192" t="str">
        <f>IF(AND($C6&lt;&gt;"",$S6&lt;&gt;""),(VLOOKUP($C6,'V-LOOKUP'!$C$4:$M$59,10,FALSE)),"0")</f>
        <v>0</v>
      </c>
      <c r="FL6" s="192" t="str">
        <f>IF(AND($C6&lt;&gt;"",$S6&lt;&gt;""),(VLOOKUP($C6,'V-LOOKUP'!$C$4:$M$59,11,FALSE)),"0")</f>
        <v>0</v>
      </c>
      <c r="FM6" s="192" t="str">
        <f>IF(AND($C6&lt;&gt;"",$S6&lt;&gt;""),(VLOOKUP($C6,'V-LOOKUP'!$C$4:$N$59,12,FALSE)),"0")</f>
        <v>0</v>
      </c>
      <c r="FN6" s="192" t="str">
        <f>IF(AND($C6&lt;&gt;"",T6&lt;&gt;""),(VLOOKUP($C6,'V-LOOKUP'!$C$4:$M$59,4,FALSE)),"0")</f>
        <v>0</v>
      </c>
      <c r="FO6" s="192" t="str">
        <f>IF(AND($C6&lt;&gt;"",$T6&lt;&gt;""),(VLOOKUP($C6,'V-LOOKUP'!$C$4:$M$59,5,FALSE)),"0")</f>
        <v>0</v>
      </c>
      <c r="FP6" s="192" t="str">
        <f>IF(AND($C6&lt;&gt;"",$T6&lt;&gt;""),(VLOOKUP($C6,'V-LOOKUP'!$C$4:$M$59,6,FALSE)),"0")</f>
        <v>0</v>
      </c>
      <c r="FQ6" s="192" t="str">
        <f>IF(AND($C6&lt;&gt;"",$T6&lt;&gt;""),(VLOOKUP($C6,'V-LOOKUP'!$C$4:$M$59,7,FALSE)),"0")</f>
        <v>0</v>
      </c>
      <c r="FR6" s="192" t="str">
        <f>IF(AND($C6&lt;&gt;"",$T6&lt;&gt;""),(VLOOKUP($C6,'V-LOOKUP'!$C$4:$M$59,8,FALSE)),"0")</f>
        <v>0</v>
      </c>
      <c r="FS6" s="192" t="str">
        <f>IF(AND($C6&lt;&gt;"",$T6&lt;&gt;""),(VLOOKUP($C6,'V-LOOKUP'!$C$4:$M$59,9,FALSE)),"0")</f>
        <v>0</v>
      </c>
      <c r="FT6" s="192" t="str">
        <f>IF(AND($C6&lt;&gt;"",$T6&lt;&gt;""),(VLOOKUP($C6,'V-LOOKUP'!$C$4:$M$59,10,FALSE)),"0")</f>
        <v>0</v>
      </c>
      <c r="FU6" s="192" t="str">
        <f>IF(AND($C6&lt;&gt;"",$T6&lt;&gt;""),(VLOOKUP($C6,'V-LOOKUP'!$C$4:$M$59,11,FALSE)),"0")</f>
        <v>0</v>
      </c>
      <c r="FV6" s="192" t="str">
        <f>IF(AND($C6&lt;&gt;"",$T6&lt;&gt;""),(VLOOKUP($C6,'V-LOOKUP'!$C$4:$N$59,12,FALSE)),"0")</f>
        <v>0</v>
      </c>
      <c r="FW6" s="192" t="str">
        <f>IF(AND($C6&lt;&gt;"",U6&lt;&gt;""),(VLOOKUP($C6,'V-LOOKUP'!$C$4:$M$59,4,FALSE)),"0")</f>
        <v>0</v>
      </c>
      <c r="FX6" s="192" t="str">
        <f>IF(AND($C6&lt;&gt;"",$U6&lt;&gt;""),(VLOOKUP($C6,'V-LOOKUP'!$C$4:$M$59,5,FALSE)),"0")</f>
        <v>0</v>
      </c>
      <c r="FY6" s="192" t="str">
        <f>IF(AND($C6&lt;&gt;"",$U6&lt;&gt;""),(VLOOKUP($C6,'V-LOOKUP'!$C$4:$M$59,6,FALSE)),"0")</f>
        <v>0</v>
      </c>
      <c r="FZ6" s="192" t="str">
        <f>IF(AND($C6&lt;&gt;"",$U6&lt;&gt;""),(VLOOKUP($C6,'V-LOOKUP'!$C$4:$M$59,7,FALSE)),"0")</f>
        <v>0</v>
      </c>
      <c r="GA6" s="192" t="str">
        <f>IF(AND($C6&lt;&gt;"",$U6&lt;&gt;""),(VLOOKUP($C6,'V-LOOKUP'!$C$4:$M$59,8,FALSE)),"0")</f>
        <v>0</v>
      </c>
      <c r="GB6" s="192" t="str">
        <f>IF(AND($C6&lt;&gt;"",$U6&lt;&gt;""),(VLOOKUP($C6,'V-LOOKUP'!$C$4:$M$59,9,FALSE)),"0")</f>
        <v>0</v>
      </c>
      <c r="GC6" s="192" t="str">
        <f>IF(AND($C6&lt;&gt;"",$U6&lt;&gt;""),(VLOOKUP($C6,'V-LOOKUP'!$C$4:$M$59,10,FALSE)),"0")</f>
        <v>0</v>
      </c>
      <c r="GD6" s="192" t="str">
        <f>IF(AND($C6&lt;&gt;"",$U6&lt;&gt;""),(VLOOKUP($C6,'V-LOOKUP'!$C$4:$M$59,11,FALSE)),"0")</f>
        <v>0</v>
      </c>
      <c r="GE6" s="192" t="str">
        <f>IF(AND($C6&lt;&gt;"",$U6&lt;&gt;""),(VLOOKUP($C6,'V-LOOKUP'!$C$4:$N$59,12,FALSE)),"0")</f>
        <v>0</v>
      </c>
      <c r="GF6" s="192" t="str">
        <f>IF(AND($C6&lt;&gt;"",V6&lt;&gt;""),(VLOOKUP($C6,'V-LOOKUP'!$C$4:$M$59,4,FALSE)),"0")</f>
        <v>0</v>
      </c>
      <c r="GG6" s="192" t="str">
        <f>IF(AND($C6&lt;&gt;"",$V6&lt;&gt;""),(VLOOKUP($C6,'V-LOOKUP'!$C$4:$M$59,5,FALSE)),"0")</f>
        <v>0</v>
      </c>
      <c r="GH6" s="192" t="str">
        <f>IF(AND($C6&lt;&gt;"",$V6&lt;&gt;""),(VLOOKUP($C6,'V-LOOKUP'!$C$4:$M$59,6,FALSE)),"0")</f>
        <v>0</v>
      </c>
      <c r="GI6" s="192" t="str">
        <f>IF(AND($C6&lt;&gt;"",$V6&lt;&gt;""),(VLOOKUP($C6,'V-LOOKUP'!$C$4:$M$59,7,FALSE)),"0")</f>
        <v>0</v>
      </c>
      <c r="GJ6" s="192" t="str">
        <f>IF(AND($C6&lt;&gt;"",$V6&lt;&gt;""),(VLOOKUP($C6,'V-LOOKUP'!$C$4:$M$59,8,FALSE)),"0")</f>
        <v>0</v>
      </c>
      <c r="GK6" s="192" t="str">
        <f>IF(AND($C6&lt;&gt;"",$V6&lt;&gt;""),(VLOOKUP($C6,'V-LOOKUP'!$C$4:$M$59,9,FALSE)),"0")</f>
        <v>0</v>
      </c>
      <c r="GL6" s="192" t="str">
        <f>IF(AND($C6&lt;&gt;"",$V6&lt;&gt;""),(VLOOKUP($C6,'V-LOOKUP'!$C$4:$M$59,10,FALSE)),"0")</f>
        <v>0</v>
      </c>
      <c r="GM6" s="192" t="str">
        <f>IF(AND($C6&lt;&gt;"",$V6&lt;&gt;""),(VLOOKUP($C6,'V-LOOKUP'!$C$4:$M$59,11,FALSE)),"0")</f>
        <v>0</v>
      </c>
      <c r="GN6" s="192" t="str">
        <f>IF(AND($C6&lt;&gt;"",$V6&lt;&gt;""),(VLOOKUP($C6,'V-LOOKUP'!$C$4:$N$59,12,FALSE)),"0")</f>
        <v>0</v>
      </c>
      <c r="GO6" s="192" t="str">
        <f>IF(AND($C6&lt;&gt;"",W6&lt;&gt;""),(VLOOKUP($C6,'V-LOOKUP'!$C$4:$M$59,4,FALSE)),"0")</f>
        <v>0</v>
      </c>
      <c r="GP6" s="192" t="str">
        <f>IF(AND($C6&lt;&gt;"",$W6&lt;&gt;""),(VLOOKUP($C6,'V-LOOKUP'!$C$4:$M$59,5,FALSE)),"0")</f>
        <v>0</v>
      </c>
      <c r="GQ6" s="192" t="str">
        <f>IF(AND($C6&lt;&gt;"",$W6&lt;&gt;""),(VLOOKUP($C6,'V-LOOKUP'!$C$4:$M$59,6,FALSE)),"0")</f>
        <v>0</v>
      </c>
      <c r="GR6" s="192" t="str">
        <f>IF(AND($C6&lt;&gt;"",$W6&lt;&gt;""),(VLOOKUP($C6,'V-LOOKUP'!$C$4:$M$59,7,FALSE)),"0")</f>
        <v>0</v>
      </c>
      <c r="GS6" s="192" t="str">
        <f>IF(AND($C6&lt;&gt;"",$W6&lt;&gt;""),(VLOOKUP($C6,'V-LOOKUP'!$C$4:$M$59,8,FALSE)),"0")</f>
        <v>0</v>
      </c>
      <c r="GT6" s="192" t="str">
        <f>IF(AND($C6&lt;&gt;"",$W6&lt;&gt;""),(VLOOKUP($C6,'V-LOOKUP'!$C$4:$M$59,9,FALSE)),"0")</f>
        <v>0</v>
      </c>
      <c r="GU6" s="192" t="str">
        <f>IF(AND($C6&lt;&gt;"",$W6&lt;&gt;""),(VLOOKUP($C6,'V-LOOKUP'!$C$4:$M$59,10,FALSE)),"0")</f>
        <v>0</v>
      </c>
      <c r="GV6" s="192" t="str">
        <f>IF(AND($C6&lt;&gt;"",$W6&lt;&gt;""),(VLOOKUP($C6,'V-LOOKUP'!$C$4:$M$59,11,FALSE)),"0")</f>
        <v>0</v>
      </c>
      <c r="GW6" s="192" t="str">
        <f>IF(AND($C6&lt;&gt;"",$W6&lt;&gt;""),(VLOOKUP($C6,'V-LOOKUP'!$C$4:$N$59,12,FALSE)),"0")</f>
        <v>0</v>
      </c>
    </row>
    <row r="7" spans="1:205" ht="14.65" customHeight="1">
      <c r="A7" s="193"/>
      <c r="B7" s="245"/>
      <c r="C7" s="201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Y7" s="190"/>
      <c r="Z7" s="192" t="str">
        <f>IF(AND($C7&lt;&gt;"",$D7&lt;&gt;""),(VLOOKUP($C7,'V-LOOKUP'!$C$4:$M$59,4,FALSE)),"0")</f>
        <v>0</v>
      </c>
      <c r="AA7" s="192" t="str">
        <f>IF(AND($C7&lt;&gt;"",$D7&lt;&gt;""),(VLOOKUP($C7,'V-LOOKUP'!$C$4:$M$59,5,FALSE)),"0")</f>
        <v>0</v>
      </c>
      <c r="AB7" s="192" t="str">
        <f>IF(AND($C7&lt;&gt;"",$D7&lt;&gt;""),(VLOOKUP($C7,'V-LOOKUP'!$C$4:$M$59,6,FALSE)),"0")</f>
        <v>0</v>
      </c>
      <c r="AC7" s="192" t="str">
        <f>IF(AND($C7&lt;&gt;"",$D7&lt;&gt;""),(VLOOKUP($C7,'V-LOOKUP'!$C$4:$M$59,7,FALSE)),"0")</f>
        <v>0</v>
      </c>
      <c r="AD7" s="192" t="str">
        <f>IF(AND($C7&lt;&gt;"",$D7&lt;&gt;""),(VLOOKUP($C7,'V-LOOKUP'!$C$4:$M$59,8,FALSE)),"0")</f>
        <v>0</v>
      </c>
      <c r="AE7" s="192" t="str">
        <f>IF(AND($C7&lt;&gt;"",$D7&lt;&gt;""),(VLOOKUP($C7,'V-LOOKUP'!$C$4:$M$59,9,FALSE)),"0")</f>
        <v>0</v>
      </c>
      <c r="AF7" s="192" t="str">
        <f>IF(AND($C7&lt;&gt;"",$D7&lt;&gt;""),(VLOOKUP($C7,'V-LOOKUP'!$C$4:$M$59,10,FALSE)),"0")</f>
        <v>0</v>
      </c>
      <c r="AG7" s="192" t="str">
        <f>IF(AND($C7&lt;&gt;"",$D7&lt;&gt;""),(VLOOKUP($C7,'V-LOOKUP'!$C$4:$M$59,11,FALSE)),"0")</f>
        <v>0</v>
      </c>
      <c r="AH7" s="192" t="str">
        <f>IF(AND($C7&lt;&gt;"",$D7&lt;&gt;""),(VLOOKUP($C7,'V-LOOKUP'!$C$4:$N$59,12,FALSE)),"0")</f>
        <v>0</v>
      </c>
      <c r="AI7" s="192" t="str">
        <f>IF(AND($C7&lt;&gt;"",E7&lt;&gt;""),(VLOOKUP($C7,'V-LOOKUP'!$C$4:$M$59,4,FALSE)),"0")</f>
        <v>0</v>
      </c>
      <c r="AJ7" s="192" t="str">
        <f>IF(AND($C7&lt;&gt;"",$E7&lt;&gt;""),(VLOOKUP($C7,'V-LOOKUP'!$C$4:$M$59,5,FALSE)),"0")</f>
        <v>0</v>
      </c>
      <c r="AK7" s="192" t="str">
        <f>IF(AND($C7&lt;&gt;"",$E7&lt;&gt;""),(VLOOKUP($C7,'V-LOOKUP'!$C$4:$M$59,6,FALSE)),"0")</f>
        <v>0</v>
      </c>
      <c r="AL7" s="192" t="str">
        <f>IF(AND($C7&lt;&gt;"",$E7&lt;&gt;""),(VLOOKUP($C7,'V-LOOKUP'!$C$4:$M$59,7,FALSE)),"0")</f>
        <v>0</v>
      </c>
      <c r="AM7" s="192" t="str">
        <f>IF(AND($C7&lt;&gt;"",$E7&lt;&gt;""),(VLOOKUP($C7,'V-LOOKUP'!$C$4:$M$59,8,FALSE)),"0")</f>
        <v>0</v>
      </c>
      <c r="AN7" s="192" t="str">
        <f>IF(AND($C7&lt;&gt;"",$E7&lt;&gt;""),(VLOOKUP($C7,'V-LOOKUP'!$C$4:$M$59,9,FALSE)),"0")</f>
        <v>0</v>
      </c>
      <c r="AO7" s="192" t="str">
        <f>IF(AND($C7&lt;&gt;"",$E7&lt;&gt;""),(VLOOKUP($C7,'V-LOOKUP'!$C$4:$M$59,10,FALSE)),"0")</f>
        <v>0</v>
      </c>
      <c r="AP7" s="192" t="str">
        <f>IF(AND($C7&lt;&gt;"",$E7&lt;&gt;""),(VLOOKUP($C7,'V-LOOKUP'!$C$4:$M$59,11,FALSE)),"0")</f>
        <v>0</v>
      </c>
      <c r="AQ7" s="192" t="str">
        <f>IF(AND($C7&lt;&gt;"",$E7&lt;&gt;""),(VLOOKUP($C7,'V-LOOKUP'!$C$4:$N$59,12,FALSE)),"0")</f>
        <v>0</v>
      </c>
      <c r="AR7" s="192" t="str">
        <f>IF(AND($C7&lt;&gt;"",$F7&lt;&gt;""),(VLOOKUP($C7,'V-LOOKUP'!$C$4:$M$59,4,FALSE)),"0")</f>
        <v>0</v>
      </c>
      <c r="AS7" s="192" t="str">
        <f>IF(AND($C7&lt;&gt;"",$F7&lt;&gt;""),(VLOOKUP($C7,'V-LOOKUP'!$C$4:$M$59,5,FALSE)),"0")</f>
        <v>0</v>
      </c>
      <c r="AT7" s="192" t="str">
        <f>IF(AND($C7&lt;&gt;"",$F7&lt;&gt;""),(VLOOKUP($C7,'V-LOOKUP'!$C$4:$M$59,6,FALSE)),"0")</f>
        <v>0</v>
      </c>
      <c r="AU7" s="192" t="str">
        <f>IF(AND($C7&lt;&gt;"",$F7&lt;&gt;""),(VLOOKUP($C7,'V-LOOKUP'!$C$4:$M$59,7,FALSE)),"0")</f>
        <v>0</v>
      </c>
      <c r="AV7" s="192" t="str">
        <f>IF(AND($C7&lt;&gt;"",$F7&lt;&gt;""),(VLOOKUP($C7,'V-LOOKUP'!$C$4:$M$59,8,FALSE)),"0")</f>
        <v>0</v>
      </c>
      <c r="AW7" s="192" t="str">
        <f>IF(AND($C7&lt;&gt;"",$F7&lt;&gt;""),(VLOOKUP($C7,'V-LOOKUP'!$C$4:$M$59,9,FALSE)),"0")</f>
        <v>0</v>
      </c>
      <c r="AX7" s="192" t="str">
        <f>IF(AND($C7&lt;&gt;"",$F7&lt;&gt;""),(VLOOKUP($C7,'V-LOOKUP'!$C$4:$M$59,10,FALSE)),"0")</f>
        <v>0</v>
      </c>
      <c r="AY7" s="192" t="str">
        <f>IF(AND($C7&lt;&gt;"",$F7&lt;&gt;""),(VLOOKUP($C7,'V-LOOKUP'!$C$4:$M$59,11,FALSE)),"0")</f>
        <v>0</v>
      </c>
      <c r="AZ7" s="192" t="str">
        <f>IF(AND($C7&lt;&gt;"",$F7&lt;&gt;""),(VLOOKUP($C7,'V-LOOKUP'!$C$4:$N$59,12,FALSE)),"0")</f>
        <v>0</v>
      </c>
      <c r="BA7" s="192" t="str">
        <f>IF(AND($C7&lt;&gt;"",G7&lt;&gt;""),(VLOOKUP($C7,'V-LOOKUP'!$C$4:$M$59,4,FALSE)),"0")</f>
        <v>0</v>
      </c>
      <c r="BB7" s="192" t="str">
        <f>IF(AND($C7&lt;&gt;"",$G7&lt;&gt;""),(VLOOKUP($C7,'V-LOOKUP'!$C$4:$M$59,5,FALSE)),"0")</f>
        <v>0</v>
      </c>
      <c r="BC7" s="192" t="str">
        <f>IF(AND($C7&lt;&gt;"",$G7&lt;&gt;""),(VLOOKUP($C7,'V-LOOKUP'!$C$4:$M$59,6,FALSE)),"0")</f>
        <v>0</v>
      </c>
      <c r="BD7" s="192" t="str">
        <f>IF(AND($C7&lt;&gt;"",$G7&lt;&gt;""),(VLOOKUP($C7,'V-LOOKUP'!$C$4:$M$59,7,FALSE)),"0")</f>
        <v>0</v>
      </c>
      <c r="BE7" s="192" t="str">
        <f>IF(AND($C7&lt;&gt;"",$G7&lt;&gt;""),(VLOOKUP($C7,'V-LOOKUP'!$C$4:$M$59,8,FALSE)),"0")</f>
        <v>0</v>
      </c>
      <c r="BF7" s="192" t="str">
        <f>IF(AND($C7&lt;&gt;"",$G7&lt;&gt;""),(VLOOKUP($C7,'V-LOOKUP'!$C$4:$M$59,9,FALSE)),"0")</f>
        <v>0</v>
      </c>
      <c r="BG7" s="192" t="str">
        <f>IF(AND($C7&lt;&gt;"",$G7&lt;&gt;""),(VLOOKUP($C7,'V-LOOKUP'!$C$4:$M$59,10,FALSE)),"0")</f>
        <v>0</v>
      </c>
      <c r="BH7" s="192" t="str">
        <f>IF(AND($C7&lt;&gt;"",$G7&lt;&gt;""),(VLOOKUP($C7,'V-LOOKUP'!$C$4:$M$59,11,FALSE)),"0")</f>
        <v>0</v>
      </c>
      <c r="BI7" s="192" t="str">
        <f>IF(AND($C7&lt;&gt;"",$G7&lt;&gt;""),(VLOOKUP($C7,'V-LOOKUP'!$C$4:$N$59,12,FALSE)),"0")</f>
        <v>0</v>
      </c>
      <c r="BJ7" s="192" t="str">
        <f>IF(AND($C7&lt;&gt;"",H7&lt;&gt;""),(VLOOKUP($C7,'V-LOOKUP'!$C$4:$M$59,4,FALSE)),"0")</f>
        <v>0</v>
      </c>
      <c r="BK7" s="192" t="str">
        <f>IF(AND($C7&lt;&gt;"",$G7&lt;&gt;""),(VLOOKUP($C7,'V-LOOKUP'!$C$4:$M$59,5,FALSE)),"0")</f>
        <v>0</v>
      </c>
      <c r="BL7" s="192" t="str">
        <f>IF(AND($C7&lt;&gt;"",$H7&lt;&gt;""),(VLOOKUP($C7,'V-LOOKUP'!$C$4:$M$59,6,FALSE)),"0")</f>
        <v>0</v>
      </c>
      <c r="BM7" s="192" t="str">
        <f>IF(AND($C7&lt;&gt;"",$H7&lt;&gt;""),(VLOOKUP($C7,'V-LOOKUP'!$C$4:$M$59,7,FALSE)),"0")</f>
        <v>0</v>
      </c>
      <c r="BN7" s="192" t="str">
        <f>IF(AND($C7&lt;&gt;"",$H7&lt;&gt;""),(VLOOKUP($C7,'V-LOOKUP'!$C$4:$M$59,8,FALSE)),"0")</f>
        <v>0</v>
      </c>
      <c r="BO7" s="192" t="str">
        <f>IF(AND($C7&lt;&gt;"",$H7&lt;&gt;""),(VLOOKUP($C7,'V-LOOKUP'!$C$4:$M$59,9,FALSE)),"0")</f>
        <v>0</v>
      </c>
      <c r="BP7" s="192" t="str">
        <f>IF(AND($C7&lt;&gt;"",$H7&lt;&gt;""),(VLOOKUP($C7,'V-LOOKUP'!$C$4:$M$59,10,FALSE)),"0")</f>
        <v>0</v>
      </c>
      <c r="BQ7" s="192" t="str">
        <f>IF(AND($C7&lt;&gt;"",$H7&lt;&gt;""),(VLOOKUP($C7,'V-LOOKUP'!$C$4:$M$59,11,FALSE)),"0")</f>
        <v>0</v>
      </c>
      <c r="BR7" s="192" t="str">
        <f>IF(AND($C7&lt;&gt;"",$H7&lt;&gt;""),(VLOOKUP($C7,'V-LOOKUP'!$C$4:$N$59,12,FALSE)),"0")</f>
        <v>0</v>
      </c>
      <c r="BS7" s="192" t="str">
        <f>IF(AND($C7&lt;&gt;"",I7&lt;&gt;""),(VLOOKUP($C7,'V-LOOKUP'!$C$4:$M$59,4,FALSE)),"0")</f>
        <v>0</v>
      </c>
      <c r="BT7" s="192" t="str">
        <f>IF(AND($C7&lt;&gt;"",$I7&lt;&gt;""),(VLOOKUP($C7,'V-LOOKUP'!$C$4:$M$59,5,FALSE)),"0")</f>
        <v>0</v>
      </c>
      <c r="BU7" s="192" t="str">
        <f>IF(AND($C7&lt;&gt;"",$I7&lt;&gt;""),(VLOOKUP($C7,'V-LOOKUP'!$C$4:$M$59,6,FALSE)),"0")</f>
        <v>0</v>
      </c>
      <c r="BV7" s="192" t="str">
        <f>IF(AND($C7&lt;&gt;"",$I7&lt;&gt;""),(VLOOKUP($C7,'V-LOOKUP'!$C$4:$M$59,7,FALSE)),"0")</f>
        <v>0</v>
      </c>
      <c r="BW7" s="192" t="str">
        <f>IF(AND($C7&lt;&gt;"",$I7&lt;&gt;""),(VLOOKUP($C7,'V-LOOKUP'!$C$4:$M$59,8,FALSE)),"0")</f>
        <v>0</v>
      </c>
      <c r="BX7" s="192" t="str">
        <f>IF(AND($C7&lt;&gt;"",$I7&lt;&gt;""),(VLOOKUP($C7,'V-LOOKUP'!$C$4:$M$59,9,FALSE)),"0")</f>
        <v>0</v>
      </c>
      <c r="BY7" s="192" t="str">
        <f>IF(AND($C7&lt;&gt;"",$I7&lt;&gt;""),(VLOOKUP($C7,'V-LOOKUP'!$C$4:$M$59,10,FALSE)),"0")</f>
        <v>0</v>
      </c>
      <c r="BZ7" s="192" t="str">
        <f>IF(AND($C7&lt;&gt;"",$I7&lt;&gt;""),(VLOOKUP($C7,'V-LOOKUP'!$C$4:$M$59,11,FALSE)),"0")</f>
        <v>0</v>
      </c>
      <c r="CA7" s="192" t="str">
        <f>IF(AND($C7&lt;&gt;"",$I7&lt;&gt;""),(VLOOKUP($C7,'V-LOOKUP'!$C$4:$N$59,12,FALSE)),"0")</f>
        <v>0</v>
      </c>
      <c r="CB7" s="192" t="str">
        <f>IF(AND($C7&lt;&gt;"",J7&lt;&gt;""),(VLOOKUP($C7,'V-LOOKUP'!$C$4:$M$59,4,FALSE)),"0")</f>
        <v>0</v>
      </c>
      <c r="CC7" s="192" t="str">
        <f>IF(AND($C7&lt;&gt;"",$J7&lt;&gt;""),(VLOOKUP($C7,'V-LOOKUP'!$C$4:$M$59,5,FALSE)),"0")</f>
        <v>0</v>
      </c>
      <c r="CD7" s="192" t="str">
        <f>IF(AND($C7&lt;&gt;"",$J7&lt;&gt;""),(VLOOKUP($C7,'V-LOOKUP'!$C$4:$M$59,6,FALSE)),"0")</f>
        <v>0</v>
      </c>
      <c r="CE7" s="192" t="str">
        <f>IF(AND($C7&lt;&gt;"",$J7&lt;&gt;""),(VLOOKUP($C7,'V-LOOKUP'!$C$4:$M$59,7,FALSE)),"0")</f>
        <v>0</v>
      </c>
      <c r="CF7" s="192" t="str">
        <f>IF(AND($C7&lt;&gt;"",$J7&lt;&gt;""),(VLOOKUP($C7,'V-LOOKUP'!$C$4:$M$59,8,FALSE)),"0")</f>
        <v>0</v>
      </c>
      <c r="CG7" s="192" t="str">
        <f>IF(AND($C7&lt;&gt;"",$J7&lt;&gt;""),(VLOOKUP($C7,'V-LOOKUP'!$C$4:$M$59,9,FALSE)),"0")</f>
        <v>0</v>
      </c>
      <c r="CH7" s="192" t="str">
        <f>IF(AND($C7&lt;&gt;"",$J7&lt;&gt;""),(VLOOKUP($C7,'V-LOOKUP'!$C$4:$M$59,10,FALSE)),"0")</f>
        <v>0</v>
      </c>
      <c r="CI7" s="192" t="str">
        <f>IF(AND($C7&lt;&gt;"",$J7&lt;&gt;""),(VLOOKUP($C7,'V-LOOKUP'!$C$4:$M$59,11,FALSE)),"0")</f>
        <v>0</v>
      </c>
      <c r="CJ7" s="192" t="str">
        <f>IF(AND($C7&lt;&gt;"",$J7&lt;&gt;""),(VLOOKUP($C7,'V-LOOKUP'!$C$4:$N$59,12,FALSE)),"0")</f>
        <v>0</v>
      </c>
      <c r="CK7" s="192" t="str">
        <f>IF(AND($C7&lt;&gt;"",K7&lt;&gt;""),(VLOOKUP($C7,'V-LOOKUP'!$C$4:$M$59,4,FALSE)),"0")</f>
        <v>0</v>
      </c>
      <c r="CL7" s="192" t="str">
        <f>IF(AND($C7&lt;&gt;"",$K7&lt;&gt;""),(VLOOKUP($C7,'V-LOOKUP'!$C$4:$M$59,5,FALSE)),"0")</f>
        <v>0</v>
      </c>
      <c r="CM7" s="192" t="str">
        <f>IF(AND($C7&lt;&gt;"",$K7&lt;&gt;""),(VLOOKUP($C7,'V-LOOKUP'!$C$4:$M$59,6,FALSE)),"0")</f>
        <v>0</v>
      </c>
      <c r="CN7" s="192" t="str">
        <f>IF(AND($C7&lt;&gt;"",$K7&lt;&gt;""),(VLOOKUP($C7,'V-LOOKUP'!$C$4:$M$59,7,FALSE)),"0")</f>
        <v>0</v>
      </c>
      <c r="CO7" s="192" t="str">
        <f>IF(AND($C7&lt;&gt;"",$K7&lt;&gt;""),(VLOOKUP($C7,'V-LOOKUP'!$C$4:$M$59,8,FALSE)),"0")</f>
        <v>0</v>
      </c>
      <c r="CP7" s="192" t="str">
        <f>IF(AND($C7&lt;&gt;"",$K7&lt;&gt;""),(VLOOKUP($C7,'V-LOOKUP'!$C$4:$M$59,9,FALSE)),"0")</f>
        <v>0</v>
      </c>
      <c r="CQ7" s="192" t="str">
        <f>IF(AND($C7&lt;&gt;"",$K7&lt;&gt;""),(VLOOKUP($C7,'V-LOOKUP'!$C$4:$M$59,10,FALSE)),"0")</f>
        <v>0</v>
      </c>
      <c r="CR7" s="192" t="str">
        <f>IF(AND($C7&lt;&gt;"",$K7&lt;&gt;""),(VLOOKUP($C7,'V-LOOKUP'!$C$4:$M$59,11,FALSE)),"0")</f>
        <v>0</v>
      </c>
      <c r="CS7" s="192" t="str">
        <f>IF(AND($C7&lt;&gt;"",$K7&lt;&gt;""),(VLOOKUP($C7,'V-LOOKUP'!$C$4:$N$59,12,FALSE)),"0")</f>
        <v>0</v>
      </c>
      <c r="CT7" s="192" t="str">
        <f>IF(AND($C7&lt;&gt;"",L7&lt;&gt;""),(VLOOKUP($C7,'V-LOOKUP'!$C$4:$M$59,4,FALSE)),"0")</f>
        <v>0</v>
      </c>
      <c r="CU7" s="192" t="str">
        <f>IF(AND($C7&lt;&gt;"",$L7&lt;&gt;""),(VLOOKUP($C7,'V-LOOKUP'!$C$4:$M$59,5,FALSE)),"0")</f>
        <v>0</v>
      </c>
      <c r="CV7" s="192" t="str">
        <f>IF(AND($C7&lt;&gt;"",$L7&lt;&gt;""),(VLOOKUP($C7,'V-LOOKUP'!$C$4:$M$59,6,FALSE)),"0")</f>
        <v>0</v>
      </c>
      <c r="CW7" s="192" t="str">
        <f>IF(AND($C7&lt;&gt;"",$L7&lt;&gt;""),(VLOOKUP($C7,'V-LOOKUP'!$C$4:$M$59,7,FALSE)),"0")</f>
        <v>0</v>
      </c>
      <c r="CX7" s="192" t="str">
        <f>IF(AND($C7&lt;&gt;"",$L7&lt;&gt;""),(VLOOKUP($C7,'V-LOOKUP'!$C$4:$M$59,8,FALSE)),"0")</f>
        <v>0</v>
      </c>
      <c r="CY7" s="192" t="str">
        <f>IF(AND($C7&lt;&gt;"",$L7&lt;&gt;""),(VLOOKUP($C7,'V-LOOKUP'!$C$4:$M$59,9,FALSE)),"0")</f>
        <v>0</v>
      </c>
      <c r="CZ7" s="192" t="str">
        <f>IF(AND($C7&lt;&gt;"",$L7&lt;&gt;""),(VLOOKUP($C7,'V-LOOKUP'!$C$4:$M$59,10,FALSE)),"0")</f>
        <v>0</v>
      </c>
      <c r="DA7" s="192" t="str">
        <f>IF(AND($C7&lt;&gt;"",$L7&lt;&gt;""),(VLOOKUP($C7,'V-LOOKUP'!$C$4:$M$59,11,FALSE)),"0")</f>
        <v>0</v>
      </c>
      <c r="DB7" s="192" t="str">
        <f>IF(AND($C7&lt;&gt;"",$L7&lt;&gt;""),(VLOOKUP($C7,'V-LOOKUP'!$C$4:$N$59,12,FALSE)),"0")</f>
        <v>0</v>
      </c>
      <c r="DC7" s="192" t="str">
        <f>IF(AND($C7&lt;&gt;"",M7&lt;&gt;""),(VLOOKUP($C7,'V-LOOKUP'!$C$4:$M$59,4,FALSE)),"0")</f>
        <v>0</v>
      </c>
      <c r="DD7" s="192" t="str">
        <f>IF(AND($C7&lt;&gt;"",$M7&lt;&gt;""),(VLOOKUP($C7,'V-LOOKUP'!$C$4:$M$59,5,FALSE)),"0")</f>
        <v>0</v>
      </c>
      <c r="DE7" s="192" t="str">
        <f>IF(AND($C7&lt;&gt;"",$M7&lt;&gt;""),(VLOOKUP($C7,'V-LOOKUP'!$C$4:$M$59,6,FALSE)),"0")</f>
        <v>0</v>
      </c>
      <c r="DF7" s="192" t="str">
        <f>IF(AND($C7&lt;&gt;"",$M7&lt;&gt;""),(VLOOKUP($C7,'V-LOOKUP'!$C$4:$M$59,7,FALSE)),"0")</f>
        <v>0</v>
      </c>
      <c r="DG7" s="192" t="str">
        <f>IF(AND($C7&lt;&gt;"",$M7&lt;&gt;""),(VLOOKUP($C7,'V-LOOKUP'!$C$4:$M$59,8,FALSE)),"0")</f>
        <v>0</v>
      </c>
      <c r="DH7" s="192" t="str">
        <f>IF(AND($C7&lt;&gt;"",$M7&lt;&gt;""),(VLOOKUP($C7,'V-LOOKUP'!$C$4:$M$59,9,FALSE)),"0")</f>
        <v>0</v>
      </c>
      <c r="DI7" s="192" t="str">
        <f>IF(AND($C7&lt;&gt;"",$M7&lt;&gt;""),(VLOOKUP($C7,'V-LOOKUP'!$C$4:$M$59,10,FALSE)),"0")</f>
        <v>0</v>
      </c>
      <c r="DJ7" s="192" t="str">
        <f>IF(AND($C7&lt;&gt;"",$M7&lt;&gt;""),(VLOOKUP($C7,'V-LOOKUP'!$C$4:$M$59,11,FALSE)),"0")</f>
        <v>0</v>
      </c>
      <c r="DK7" s="192" t="str">
        <f>IF(AND($C7&lt;&gt;"",$M7&lt;&gt;""),(VLOOKUP($C7,'V-LOOKUP'!$C$4:$N$59,12,FALSE)),"0")</f>
        <v>0</v>
      </c>
      <c r="DL7" s="192" t="str">
        <f>IF(AND($C7&lt;&gt;"",$N7&lt;&gt;""),(VLOOKUP($C7,'V-LOOKUP'!$C$4:$M$59,4,FALSE)),"0")</f>
        <v>0</v>
      </c>
      <c r="DM7" s="192" t="str">
        <f>IF(AND($C7&lt;&gt;"",$N7&lt;&gt;""),(VLOOKUP($C7,'V-LOOKUP'!$C$4:$M$59,5,FALSE)),"0")</f>
        <v>0</v>
      </c>
      <c r="DN7" s="192" t="str">
        <f>IF(AND($C7&lt;&gt;"",$N7&lt;&gt;""),(VLOOKUP($C7,'V-LOOKUP'!$C$4:$M$59,6,FALSE)),"0")</f>
        <v>0</v>
      </c>
      <c r="DO7" s="192" t="str">
        <f>IF(AND($C7&lt;&gt;"",$N7&lt;&gt;""),(VLOOKUP($C7,'V-LOOKUP'!$C$4:$M$59,7,FALSE)),"0")</f>
        <v>0</v>
      </c>
      <c r="DP7" s="192" t="str">
        <f>IF(AND($C7&lt;&gt;"",$N7&lt;&gt;""),(VLOOKUP($C7,'V-LOOKUP'!$C$4:$M$59,8,FALSE)),"0")</f>
        <v>0</v>
      </c>
      <c r="DQ7" s="192" t="str">
        <f>IF(AND($C7&lt;&gt;"",$N7&lt;&gt;""),(VLOOKUP($C7,'V-LOOKUP'!$C$4:$M$59,9,FALSE)),"0")</f>
        <v>0</v>
      </c>
      <c r="DR7" s="192" t="str">
        <f>IF(AND($C7&lt;&gt;"",$N7&lt;&gt;""),(VLOOKUP($C7,'V-LOOKUP'!$C$4:$M$59,10,FALSE)),"0")</f>
        <v>0</v>
      </c>
      <c r="DS7" s="192" t="str">
        <f>IF(AND($C7&lt;&gt;"",$N7&lt;&gt;""),(VLOOKUP($C7,'V-LOOKUP'!$C$4:$M$59,11,FALSE)),"0")</f>
        <v>0</v>
      </c>
      <c r="DT7" s="192" t="str">
        <f>IF(AND($C7&lt;&gt;"",$N7&lt;&gt;""),(VLOOKUP($C7,'V-LOOKUP'!$C$4:$N$59,12,FALSE)),"0")</f>
        <v>0</v>
      </c>
      <c r="DU7" s="192" t="str">
        <f>IF(AND($C7&lt;&gt;"",O7&lt;&gt;""),(VLOOKUP($C7,'V-LOOKUP'!$C$4:$M$59,4,FALSE)),"0")</f>
        <v>0</v>
      </c>
      <c r="DV7" s="192" t="str">
        <f>IF(AND($C7&lt;&gt;"",$O7&lt;&gt;""),(VLOOKUP($C7,'V-LOOKUP'!$C$4:$M$59,5,FALSE)),"0")</f>
        <v>0</v>
      </c>
      <c r="DW7" s="192" t="str">
        <f>IF(AND($C7&lt;&gt;"",$O7&lt;&gt;""),(VLOOKUP($C7,'V-LOOKUP'!$C$4:$M$59,6,FALSE)),"0")</f>
        <v>0</v>
      </c>
      <c r="DX7" s="192" t="str">
        <f>IF(AND($C7&lt;&gt;"",$O7&lt;&gt;""),(VLOOKUP($C7,'V-LOOKUP'!$C$4:$M$59,7,FALSE)),"0")</f>
        <v>0</v>
      </c>
      <c r="DY7" s="192" t="str">
        <f>IF(AND($C7&lt;&gt;"",$O7&lt;&gt;""),(VLOOKUP($C7,'V-LOOKUP'!$C$4:$M$59,8,FALSE)),"0")</f>
        <v>0</v>
      </c>
      <c r="DZ7" s="192" t="str">
        <f>IF(AND($C7&lt;&gt;"",$O7&lt;&gt;""),(VLOOKUP($C7,'V-LOOKUP'!$C$4:$M$59,9,FALSE)),"0")</f>
        <v>0</v>
      </c>
      <c r="EA7" s="192" t="str">
        <f>IF(AND($C7&lt;&gt;"",$O7&lt;&gt;""),(VLOOKUP($C7,'V-LOOKUP'!$C$4:$M$59,10,FALSE)),"0")</f>
        <v>0</v>
      </c>
      <c r="EB7" s="192" t="str">
        <f>IF(AND($C7&lt;&gt;"",$O7&lt;&gt;""),(VLOOKUP($C7,'V-LOOKUP'!$C$4:$M$59,11,FALSE)),"0")</f>
        <v>0</v>
      </c>
      <c r="EC7" s="192" t="str">
        <f>IF(AND($C7&lt;&gt;"",$O7&lt;&gt;""),(VLOOKUP($C7,'V-LOOKUP'!$C$4:$N$59,12,FALSE)),"0")</f>
        <v>0</v>
      </c>
      <c r="ED7" s="192" t="str">
        <f>IF(AND($C7&lt;&gt;"",P7&lt;&gt;""),(VLOOKUP($C7,'V-LOOKUP'!$C$4:$M$59,4,FALSE)),"0")</f>
        <v>0</v>
      </c>
      <c r="EE7" s="192" t="str">
        <f>IF(AND($C7&lt;&gt;"",$P7&lt;&gt;""),(VLOOKUP($C7,'V-LOOKUP'!$C$4:$M$59,5,FALSE)),"0")</f>
        <v>0</v>
      </c>
      <c r="EF7" s="192" t="str">
        <f>IF(AND($C7&lt;&gt;"",$P7&lt;&gt;""),(VLOOKUP($C7,'V-LOOKUP'!$C$4:$M$59,6,FALSE)),"0")</f>
        <v>0</v>
      </c>
      <c r="EG7" s="192" t="str">
        <f>IF(AND($C7&lt;&gt;"",$P7&lt;&gt;""),(VLOOKUP($C7,'V-LOOKUP'!$C$4:$M$59,7,FALSE)),"0")</f>
        <v>0</v>
      </c>
      <c r="EH7" s="192" t="str">
        <f>IF(AND($C7&lt;&gt;"",$P7&lt;&gt;""),(VLOOKUP($C7,'V-LOOKUP'!$C$4:$M$59,8,FALSE)),"0")</f>
        <v>0</v>
      </c>
      <c r="EI7" s="192" t="str">
        <f>IF(AND($C7&lt;&gt;"",$P7&lt;&gt;""),(VLOOKUP($C7,'V-LOOKUP'!$C$4:$M$59,9,FALSE)),"0")</f>
        <v>0</v>
      </c>
      <c r="EJ7" s="192" t="str">
        <f>IF(AND($C7&lt;&gt;"",$P7&lt;&gt;""),(VLOOKUP($C7,'V-LOOKUP'!$C$4:$M$59,10,FALSE)),"0")</f>
        <v>0</v>
      </c>
      <c r="EK7" s="192" t="str">
        <f>IF(AND($C7&lt;&gt;"",$P7&lt;&gt;""),(VLOOKUP($C7,'V-LOOKUP'!$C$4:$M$59,11,FALSE)),"0")</f>
        <v>0</v>
      </c>
      <c r="EL7" s="192" t="str">
        <f>IF(AND($C7&lt;&gt;"",$P7&lt;&gt;""),(VLOOKUP($C7,'V-LOOKUP'!$C$4:$N$59,12,FALSE)),"0")</f>
        <v>0</v>
      </c>
      <c r="EM7" s="192" t="str">
        <f>IF(AND($C7&lt;&gt;"",Q7&lt;&gt;""),(VLOOKUP($C7,'V-LOOKUP'!$C$4:$M$59,4,FALSE)),"0")</f>
        <v>0</v>
      </c>
      <c r="EN7" s="192" t="str">
        <f>IF(AND($C7&lt;&gt;"",$Q7&lt;&gt;""),(VLOOKUP($C7,'V-LOOKUP'!$C$4:$M$59,5,FALSE)),"0")</f>
        <v>0</v>
      </c>
      <c r="EO7" s="192" t="str">
        <f>IF(AND($C7&lt;&gt;"",$Q7&lt;&gt;""),(VLOOKUP($C7,'V-LOOKUP'!$C$4:$M$59,6,FALSE)),"0")</f>
        <v>0</v>
      </c>
      <c r="EP7" s="192" t="str">
        <f>IF(AND($C7&lt;&gt;"",$Q7&lt;&gt;""),(VLOOKUP($C7,'V-LOOKUP'!$C$4:$M$59,7,FALSE)),"0")</f>
        <v>0</v>
      </c>
      <c r="EQ7" s="192" t="str">
        <f>IF(AND($C7&lt;&gt;"",$Q7&lt;&gt;""),(VLOOKUP($C7,'V-LOOKUP'!$C$4:$M$59,8,FALSE)),"0")</f>
        <v>0</v>
      </c>
      <c r="ER7" s="192" t="str">
        <f>IF(AND($C7&lt;&gt;"",$Q7&lt;&gt;""),(VLOOKUP($C7,'V-LOOKUP'!$C$4:$M$59,9,FALSE)),"0")</f>
        <v>0</v>
      </c>
      <c r="ES7" s="192" t="str">
        <f>IF(AND($C7&lt;&gt;"",$Q7&lt;&gt;""),(VLOOKUP($C7,'V-LOOKUP'!$C$4:$M$59,10,FALSE)),"0")</f>
        <v>0</v>
      </c>
      <c r="ET7" s="192" t="str">
        <f>IF(AND($C7&lt;&gt;"",$Q7&lt;&gt;""),(VLOOKUP($C7,'V-LOOKUP'!$C$4:$M$59,11,FALSE)),"0")</f>
        <v>0</v>
      </c>
      <c r="EU7" s="192" t="str">
        <f>IF(AND($C7&lt;&gt;"",$Q7&lt;&gt;""),(VLOOKUP($C7,'V-LOOKUP'!$C$4:$N$59,12,FALSE)),"0")</f>
        <v>0</v>
      </c>
      <c r="EV7" s="192" t="str">
        <f>IF(AND($C7&lt;&gt;"",R7&lt;&gt;""),(VLOOKUP($C7,'V-LOOKUP'!$C$4:$M$59,4,FALSE)),"0")</f>
        <v>0</v>
      </c>
      <c r="EW7" s="192" t="str">
        <f>IF(AND($C7&lt;&gt;"",$R7&lt;&gt;""),(VLOOKUP($C7,'V-LOOKUP'!$C$4:$M$59,5,FALSE)),"0")</f>
        <v>0</v>
      </c>
      <c r="EX7" s="192" t="str">
        <f>IF(AND($C7&lt;&gt;"",$R7&lt;&gt;""),(VLOOKUP($C7,'V-LOOKUP'!$C$4:$M$59,6,FALSE)),"0")</f>
        <v>0</v>
      </c>
      <c r="EY7" s="192" t="str">
        <f>IF(AND($C7&lt;&gt;"",$R7&lt;&gt;""),(VLOOKUP($C7,'V-LOOKUP'!$C$4:$M$59,7,FALSE)),"0")</f>
        <v>0</v>
      </c>
      <c r="EZ7" s="192" t="str">
        <f>IF(AND($C7&lt;&gt;"",$R7&lt;&gt;""),(VLOOKUP($C7,'V-LOOKUP'!$C$4:$M$59,8,FALSE)),"0")</f>
        <v>0</v>
      </c>
      <c r="FA7" s="192" t="str">
        <f>IF(AND($C7&lt;&gt;"",$R7&lt;&gt;""),(VLOOKUP($C7,'V-LOOKUP'!$C$4:$M$59,9,FALSE)),"0")</f>
        <v>0</v>
      </c>
      <c r="FB7" s="192" t="str">
        <f>IF(AND($C7&lt;&gt;"",$R7&lt;&gt;""),(VLOOKUP($C7,'V-LOOKUP'!$C$4:$M$59,10,FALSE)),"0")</f>
        <v>0</v>
      </c>
      <c r="FC7" s="192" t="str">
        <f>IF(AND($C7&lt;&gt;"",$R7&lt;&gt;""),(VLOOKUP($C7,'V-LOOKUP'!$C$4:$M$59,11,FALSE)),"0")</f>
        <v>0</v>
      </c>
      <c r="FD7" s="192" t="str">
        <f>IF(AND($C7&lt;&gt;"",$R7&lt;&gt;""),(VLOOKUP($C7,'V-LOOKUP'!$C$4:$N$59,12,FALSE)),"0")</f>
        <v>0</v>
      </c>
      <c r="FE7" s="192" t="str">
        <f>IF(AND($C7&lt;&gt;"",S7&lt;&gt;""),(VLOOKUP($C7,'V-LOOKUP'!$C$4:$M$59,4,FALSE)),"0")</f>
        <v>0</v>
      </c>
      <c r="FF7" s="192" t="str">
        <f>IF(AND($C7&lt;&gt;"",$S7&lt;&gt;""),(VLOOKUP($C7,'V-LOOKUP'!$C$4:$M$59,5,FALSE)),"0")</f>
        <v>0</v>
      </c>
      <c r="FG7" s="192" t="str">
        <f>IF(AND($C7&lt;&gt;"",$S7&lt;&gt;""),(VLOOKUP($C7,'V-LOOKUP'!$C$4:$M$59,6,FALSE)),"0")</f>
        <v>0</v>
      </c>
      <c r="FH7" s="192" t="str">
        <f>IF(AND($C7&lt;&gt;"",$S7&lt;&gt;""),(VLOOKUP($C7,'V-LOOKUP'!$C$4:$M$59,7,FALSE)),"0")</f>
        <v>0</v>
      </c>
      <c r="FI7" s="192" t="str">
        <f>IF(AND($C7&lt;&gt;"",$S7&lt;&gt;""),(VLOOKUP($C7,'V-LOOKUP'!$C$4:$M$59,8,FALSE)),"0")</f>
        <v>0</v>
      </c>
      <c r="FJ7" s="192" t="str">
        <f>IF(AND($C7&lt;&gt;"",$S7&lt;&gt;""),(VLOOKUP($C7,'V-LOOKUP'!$C$4:$M$59,9,FALSE)),"0")</f>
        <v>0</v>
      </c>
      <c r="FK7" s="192" t="str">
        <f>IF(AND($C7&lt;&gt;"",$S7&lt;&gt;""),(VLOOKUP($C7,'V-LOOKUP'!$C$4:$M$59,10,FALSE)),"0")</f>
        <v>0</v>
      </c>
      <c r="FL7" s="192" t="str">
        <f>IF(AND($C7&lt;&gt;"",$S7&lt;&gt;""),(VLOOKUP($C7,'V-LOOKUP'!$C$4:$M$59,11,FALSE)),"0")</f>
        <v>0</v>
      </c>
      <c r="FM7" s="192" t="str">
        <f>IF(AND($C7&lt;&gt;"",$S7&lt;&gt;""),(VLOOKUP($C7,'V-LOOKUP'!$C$4:$N$59,12,FALSE)),"0")</f>
        <v>0</v>
      </c>
      <c r="FN7" s="192" t="str">
        <f>IF(AND($C7&lt;&gt;"",T7&lt;&gt;""),(VLOOKUP($C7,'V-LOOKUP'!$C$4:$M$59,4,FALSE)),"0")</f>
        <v>0</v>
      </c>
      <c r="FO7" s="192" t="str">
        <f>IF(AND($C7&lt;&gt;"",$T7&lt;&gt;""),(VLOOKUP($C7,'V-LOOKUP'!$C$4:$M$59,5,FALSE)),"0")</f>
        <v>0</v>
      </c>
      <c r="FP7" s="192" t="str">
        <f>IF(AND($C7&lt;&gt;"",$T7&lt;&gt;""),(VLOOKUP($C7,'V-LOOKUP'!$C$4:$M$59,6,FALSE)),"0")</f>
        <v>0</v>
      </c>
      <c r="FQ7" s="192" t="str">
        <f>IF(AND($C7&lt;&gt;"",$T7&lt;&gt;""),(VLOOKUP($C7,'V-LOOKUP'!$C$4:$M$59,7,FALSE)),"0")</f>
        <v>0</v>
      </c>
      <c r="FR7" s="192" t="str">
        <f>IF(AND($C7&lt;&gt;"",$T7&lt;&gt;""),(VLOOKUP($C7,'V-LOOKUP'!$C$4:$M$59,8,FALSE)),"0")</f>
        <v>0</v>
      </c>
      <c r="FS7" s="192" t="str">
        <f>IF(AND($C7&lt;&gt;"",$T7&lt;&gt;""),(VLOOKUP($C7,'V-LOOKUP'!$C$4:$M$59,9,FALSE)),"0")</f>
        <v>0</v>
      </c>
      <c r="FT7" s="192" t="str">
        <f>IF(AND($C7&lt;&gt;"",$T7&lt;&gt;""),(VLOOKUP($C7,'V-LOOKUP'!$C$4:$M$59,10,FALSE)),"0")</f>
        <v>0</v>
      </c>
      <c r="FU7" s="192" t="str">
        <f>IF(AND($C7&lt;&gt;"",$T7&lt;&gt;""),(VLOOKUP($C7,'V-LOOKUP'!$C$4:$M$59,11,FALSE)),"0")</f>
        <v>0</v>
      </c>
      <c r="FV7" s="192" t="str">
        <f>IF(AND($C7&lt;&gt;"",$T7&lt;&gt;""),(VLOOKUP($C7,'V-LOOKUP'!$C$4:$N$59,12,FALSE)),"0")</f>
        <v>0</v>
      </c>
      <c r="FW7" s="192" t="str">
        <f>IF(AND($C7&lt;&gt;"",U7&lt;&gt;""),(VLOOKUP($C7,'V-LOOKUP'!$C$4:$M$59,4,FALSE)),"0")</f>
        <v>0</v>
      </c>
      <c r="FX7" s="192" t="str">
        <f>IF(AND($C7&lt;&gt;"",$U7&lt;&gt;""),(VLOOKUP($C7,'V-LOOKUP'!$C$4:$M$59,5,FALSE)),"0")</f>
        <v>0</v>
      </c>
      <c r="FY7" s="192" t="str">
        <f>IF(AND($C7&lt;&gt;"",$U7&lt;&gt;""),(VLOOKUP($C7,'V-LOOKUP'!$C$4:$M$59,6,FALSE)),"0")</f>
        <v>0</v>
      </c>
      <c r="FZ7" s="192" t="str">
        <f>IF(AND($C7&lt;&gt;"",$U7&lt;&gt;""),(VLOOKUP($C7,'V-LOOKUP'!$C$4:$M$59,7,FALSE)),"0")</f>
        <v>0</v>
      </c>
      <c r="GA7" s="192" t="str">
        <f>IF(AND($C7&lt;&gt;"",$U7&lt;&gt;""),(VLOOKUP($C7,'V-LOOKUP'!$C$4:$M$59,8,FALSE)),"0")</f>
        <v>0</v>
      </c>
      <c r="GB7" s="192" t="str">
        <f>IF(AND($C7&lt;&gt;"",$U7&lt;&gt;""),(VLOOKUP($C7,'V-LOOKUP'!$C$4:$M$59,9,FALSE)),"0")</f>
        <v>0</v>
      </c>
      <c r="GC7" s="192" t="str">
        <f>IF(AND($C7&lt;&gt;"",$U7&lt;&gt;""),(VLOOKUP($C7,'V-LOOKUP'!$C$4:$M$59,10,FALSE)),"0")</f>
        <v>0</v>
      </c>
      <c r="GD7" s="192" t="str">
        <f>IF(AND($C7&lt;&gt;"",$U7&lt;&gt;""),(VLOOKUP($C7,'V-LOOKUP'!$C$4:$M$59,11,FALSE)),"0")</f>
        <v>0</v>
      </c>
      <c r="GE7" s="192" t="str">
        <f>IF(AND($C7&lt;&gt;"",$U7&lt;&gt;""),(VLOOKUP($C7,'V-LOOKUP'!$C$4:$N$59,12,FALSE)),"0")</f>
        <v>0</v>
      </c>
      <c r="GF7" s="192" t="str">
        <f>IF(AND($C7&lt;&gt;"",V7&lt;&gt;""),(VLOOKUP($C7,'V-LOOKUP'!$C$4:$M$59,4,FALSE)),"0")</f>
        <v>0</v>
      </c>
      <c r="GG7" s="192" t="str">
        <f>IF(AND($C7&lt;&gt;"",$V7&lt;&gt;""),(VLOOKUP($C7,'V-LOOKUP'!$C$4:$M$59,5,FALSE)),"0")</f>
        <v>0</v>
      </c>
      <c r="GH7" s="192" t="str">
        <f>IF(AND($C7&lt;&gt;"",$V7&lt;&gt;""),(VLOOKUP($C7,'V-LOOKUP'!$C$4:$M$59,6,FALSE)),"0")</f>
        <v>0</v>
      </c>
      <c r="GI7" s="192" t="str">
        <f>IF(AND($C7&lt;&gt;"",$V7&lt;&gt;""),(VLOOKUP($C7,'V-LOOKUP'!$C$4:$M$59,7,FALSE)),"0")</f>
        <v>0</v>
      </c>
      <c r="GJ7" s="192" t="str">
        <f>IF(AND($C7&lt;&gt;"",$V7&lt;&gt;""),(VLOOKUP($C7,'V-LOOKUP'!$C$4:$M$59,8,FALSE)),"0")</f>
        <v>0</v>
      </c>
      <c r="GK7" s="192" t="str">
        <f>IF(AND($C7&lt;&gt;"",$V7&lt;&gt;""),(VLOOKUP($C7,'V-LOOKUP'!$C$4:$M$59,9,FALSE)),"0")</f>
        <v>0</v>
      </c>
      <c r="GL7" s="192" t="str">
        <f>IF(AND($C7&lt;&gt;"",$V7&lt;&gt;""),(VLOOKUP($C7,'V-LOOKUP'!$C$4:$M$59,10,FALSE)),"0")</f>
        <v>0</v>
      </c>
      <c r="GM7" s="192" t="str">
        <f>IF(AND($C7&lt;&gt;"",$V7&lt;&gt;""),(VLOOKUP($C7,'V-LOOKUP'!$C$4:$M$59,11,FALSE)),"0")</f>
        <v>0</v>
      </c>
      <c r="GN7" s="192" t="str">
        <f>IF(AND($C7&lt;&gt;"",$V7&lt;&gt;""),(VLOOKUP($C7,'V-LOOKUP'!$C$4:$N$59,12,FALSE)),"0")</f>
        <v>0</v>
      </c>
      <c r="GO7" s="192" t="str">
        <f>IF(AND($C7&lt;&gt;"",W7&lt;&gt;""),(VLOOKUP($C7,'V-LOOKUP'!$C$4:$M$59,4,FALSE)),"0")</f>
        <v>0</v>
      </c>
      <c r="GP7" s="192" t="str">
        <f>IF(AND($C7&lt;&gt;"",$W7&lt;&gt;""),(VLOOKUP($C7,'V-LOOKUP'!$C$4:$M$59,5,FALSE)),"0")</f>
        <v>0</v>
      </c>
      <c r="GQ7" s="192" t="str">
        <f>IF(AND($C7&lt;&gt;"",$W7&lt;&gt;""),(VLOOKUP($C7,'V-LOOKUP'!$C$4:$M$59,6,FALSE)),"0")</f>
        <v>0</v>
      </c>
      <c r="GR7" s="192" t="str">
        <f>IF(AND($C7&lt;&gt;"",$W7&lt;&gt;""),(VLOOKUP($C7,'V-LOOKUP'!$C$4:$M$59,7,FALSE)),"0")</f>
        <v>0</v>
      </c>
      <c r="GS7" s="192" t="str">
        <f>IF(AND($C7&lt;&gt;"",$W7&lt;&gt;""),(VLOOKUP($C7,'V-LOOKUP'!$C$4:$M$59,8,FALSE)),"0")</f>
        <v>0</v>
      </c>
      <c r="GT7" s="192" t="str">
        <f>IF(AND($C7&lt;&gt;"",$W7&lt;&gt;""),(VLOOKUP($C7,'V-LOOKUP'!$C$4:$M$59,9,FALSE)),"0")</f>
        <v>0</v>
      </c>
      <c r="GU7" s="192" t="str">
        <f>IF(AND($C7&lt;&gt;"",$W7&lt;&gt;""),(VLOOKUP($C7,'V-LOOKUP'!$C$4:$M$59,10,FALSE)),"0")</f>
        <v>0</v>
      </c>
      <c r="GV7" s="192" t="str">
        <f>IF(AND($C7&lt;&gt;"",$W7&lt;&gt;""),(VLOOKUP($C7,'V-LOOKUP'!$C$4:$M$59,11,FALSE)),"0")</f>
        <v>0</v>
      </c>
      <c r="GW7" s="192" t="str">
        <f>IF(AND($C7&lt;&gt;"",$W7&lt;&gt;""),(VLOOKUP($C7,'V-LOOKUP'!$C$4:$N$59,12,FALSE)),"0")</f>
        <v>0</v>
      </c>
    </row>
    <row r="8" spans="1:205" ht="14.65" customHeight="1">
      <c r="A8" s="193"/>
      <c r="B8" s="245"/>
      <c r="C8" s="201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Y8" s="190"/>
      <c r="Z8" s="192" t="str">
        <f>IF(AND($C8&lt;&gt;"",$D8&lt;&gt;""),(VLOOKUP($C8,'V-LOOKUP'!$C$4:$M$59,4,FALSE)),"0")</f>
        <v>0</v>
      </c>
      <c r="AA8" s="192" t="str">
        <f>IF(AND($C8&lt;&gt;"",$D8&lt;&gt;""),(VLOOKUP($C8,'V-LOOKUP'!$C$4:$M$59,5,FALSE)),"0")</f>
        <v>0</v>
      </c>
      <c r="AB8" s="192" t="str">
        <f>IF(AND($C8&lt;&gt;"",$D8&lt;&gt;""),(VLOOKUP($C8,'V-LOOKUP'!$C$4:$M$59,6,FALSE)),"0")</f>
        <v>0</v>
      </c>
      <c r="AC8" s="192" t="str">
        <f>IF(AND($C8&lt;&gt;"",$D8&lt;&gt;""),(VLOOKUP($C8,'V-LOOKUP'!$C$4:$M$59,7,FALSE)),"0")</f>
        <v>0</v>
      </c>
      <c r="AD8" s="192" t="str">
        <f>IF(AND($C8&lt;&gt;"",$D8&lt;&gt;""),(VLOOKUP($C8,'V-LOOKUP'!$C$4:$M$59,8,FALSE)),"0")</f>
        <v>0</v>
      </c>
      <c r="AE8" s="192" t="str">
        <f>IF(AND($C8&lt;&gt;"",$D8&lt;&gt;""),(VLOOKUP($C8,'V-LOOKUP'!$C$4:$M$59,9,FALSE)),"0")</f>
        <v>0</v>
      </c>
      <c r="AF8" s="192" t="str">
        <f>IF(AND($C8&lt;&gt;"",$D8&lt;&gt;""),(VLOOKUP($C8,'V-LOOKUP'!$C$4:$M$59,10,FALSE)),"0")</f>
        <v>0</v>
      </c>
      <c r="AG8" s="192" t="str">
        <f>IF(AND($C8&lt;&gt;"",$D8&lt;&gt;""),(VLOOKUP($C8,'V-LOOKUP'!$C$4:$M$59,11,FALSE)),"0")</f>
        <v>0</v>
      </c>
      <c r="AH8" s="192" t="str">
        <f>IF(AND($C8&lt;&gt;"",$D8&lt;&gt;""),(VLOOKUP($C8,'V-LOOKUP'!$C$4:$N$59,12,FALSE)),"0")</f>
        <v>0</v>
      </c>
      <c r="AI8" s="192" t="str">
        <f>IF(AND($C8&lt;&gt;"",E8&lt;&gt;""),(VLOOKUP($C8,'V-LOOKUP'!$C$4:$M$59,4,FALSE)),"0")</f>
        <v>0</v>
      </c>
      <c r="AJ8" s="192" t="str">
        <f>IF(AND($C8&lt;&gt;"",$E8&lt;&gt;""),(VLOOKUP($C8,'V-LOOKUP'!$C$4:$M$59,5,FALSE)),"0")</f>
        <v>0</v>
      </c>
      <c r="AK8" s="192" t="str">
        <f>IF(AND($C8&lt;&gt;"",$E8&lt;&gt;""),(VLOOKUP($C8,'V-LOOKUP'!$C$4:$M$59,6,FALSE)),"0")</f>
        <v>0</v>
      </c>
      <c r="AL8" s="192" t="str">
        <f>IF(AND($C8&lt;&gt;"",$E8&lt;&gt;""),(VLOOKUP($C8,'V-LOOKUP'!$C$4:$M$59,7,FALSE)),"0")</f>
        <v>0</v>
      </c>
      <c r="AM8" s="192" t="str">
        <f>IF(AND($C8&lt;&gt;"",$E8&lt;&gt;""),(VLOOKUP($C8,'V-LOOKUP'!$C$4:$M$59,8,FALSE)),"0")</f>
        <v>0</v>
      </c>
      <c r="AN8" s="192" t="str">
        <f>IF(AND($C8&lt;&gt;"",$E8&lt;&gt;""),(VLOOKUP($C8,'V-LOOKUP'!$C$4:$M$59,9,FALSE)),"0")</f>
        <v>0</v>
      </c>
      <c r="AO8" s="192" t="str">
        <f>IF(AND($C8&lt;&gt;"",$E8&lt;&gt;""),(VLOOKUP($C8,'V-LOOKUP'!$C$4:$M$59,10,FALSE)),"0")</f>
        <v>0</v>
      </c>
      <c r="AP8" s="192" t="str">
        <f>IF(AND($C8&lt;&gt;"",$E8&lt;&gt;""),(VLOOKUP($C8,'V-LOOKUP'!$C$4:$M$59,11,FALSE)),"0")</f>
        <v>0</v>
      </c>
      <c r="AQ8" s="192" t="str">
        <f>IF(AND($C8&lt;&gt;"",$E8&lt;&gt;""),(VLOOKUP($C8,'V-LOOKUP'!$C$4:$N$59,12,FALSE)),"0")</f>
        <v>0</v>
      </c>
      <c r="AR8" s="192" t="str">
        <f>IF(AND($C8&lt;&gt;"",$F8&lt;&gt;""),(VLOOKUP($C8,'V-LOOKUP'!$C$4:$M$59,4,FALSE)),"0")</f>
        <v>0</v>
      </c>
      <c r="AS8" s="192" t="str">
        <f>IF(AND($C8&lt;&gt;"",$F8&lt;&gt;""),(VLOOKUP($C8,'V-LOOKUP'!$C$4:$M$59,5,FALSE)),"0")</f>
        <v>0</v>
      </c>
      <c r="AT8" s="192" t="str">
        <f>IF(AND($C8&lt;&gt;"",$F8&lt;&gt;""),(VLOOKUP($C8,'V-LOOKUP'!$C$4:$M$59,6,FALSE)),"0")</f>
        <v>0</v>
      </c>
      <c r="AU8" s="192" t="str">
        <f>IF(AND($C8&lt;&gt;"",$F8&lt;&gt;""),(VLOOKUP($C8,'V-LOOKUP'!$C$4:$M$59,7,FALSE)),"0")</f>
        <v>0</v>
      </c>
      <c r="AV8" s="192" t="str">
        <f>IF(AND($C8&lt;&gt;"",$F8&lt;&gt;""),(VLOOKUP($C8,'V-LOOKUP'!$C$4:$M$59,8,FALSE)),"0")</f>
        <v>0</v>
      </c>
      <c r="AW8" s="192" t="str">
        <f>IF(AND($C8&lt;&gt;"",$F8&lt;&gt;""),(VLOOKUP($C8,'V-LOOKUP'!$C$4:$M$59,9,FALSE)),"0")</f>
        <v>0</v>
      </c>
      <c r="AX8" s="192" t="str">
        <f>IF(AND($C8&lt;&gt;"",$F8&lt;&gt;""),(VLOOKUP($C8,'V-LOOKUP'!$C$4:$M$59,10,FALSE)),"0")</f>
        <v>0</v>
      </c>
      <c r="AY8" s="192" t="str">
        <f>IF(AND($C8&lt;&gt;"",$F8&lt;&gt;""),(VLOOKUP($C8,'V-LOOKUP'!$C$4:$M$59,11,FALSE)),"0")</f>
        <v>0</v>
      </c>
      <c r="AZ8" s="192" t="str">
        <f>IF(AND($C8&lt;&gt;"",$F8&lt;&gt;""),(VLOOKUP($C8,'V-LOOKUP'!$C$4:$N$59,12,FALSE)),"0")</f>
        <v>0</v>
      </c>
      <c r="BA8" s="192" t="str">
        <f>IF(AND($C8&lt;&gt;"",G8&lt;&gt;""),(VLOOKUP($C8,'V-LOOKUP'!$C$4:$M$59,4,FALSE)),"0")</f>
        <v>0</v>
      </c>
      <c r="BB8" s="192" t="str">
        <f>IF(AND($C8&lt;&gt;"",$G8&lt;&gt;""),(VLOOKUP($C8,'V-LOOKUP'!$C$4:$M$59,5,FALSE)),"0")</f>
        <v>0</v>
      </c>
      <c r="BC8" s="192" t="str">
        <f>IF(AND($C8&lt;&gt;"",$G8&lt;&gt;""),(VLOOKUP($C8,'V-LOOKUP'!$C$4:$M$59,6,FALSE)),"0")</f>
        <v>0</v>
      </c>
      <c r="BD8" s="192" t="str">
        <f>IF(AND($C8&lt;&gt;"",$G8&lt;&gt;""),(VLOOKUP($C8,'V-LOOKUP'!$C$4:$M$59,7,FALSE)),"0")</f>
        <v>0</v>
      </c>
      <c r="BE8" s="192" t="str">
        <f>IF(AND($C8&lt;&gt;"",$G8&lt;&gt;""),(VLOOKUP($C8,'V-LOOKUP'!$C$4:$M$59,8,FALSE)),"0")</f>
        <v>0</v>
      </c>
      <c r="BF8" s="192" t="str">
        <f>IF(AND($C8&lt;&gt;"",$G8&lt;&gt;""),(VLOOKUP($C8,'V-LOOKUP'!$C$4:$M$59,9,FALSE)),"0")</f>
        <v>0</v>
      </c>
      <c r="BG8" s="192" t="str">
        <f>IF(AND($C8&lt;&gt;"",$G8&lt;&gt;""),(VLOOKUP($C8,'V-LOOKUP'!$C$4:$M$59,10,FALSE)),"0")</f>
        <v>0</v>
      </c>
      <c r="BH8" s="192" t="str">
        <f>IF(AND($C8&lt;&gt;"",$G8&lt;&gt;""),(VLOOKUP($C8,'V-LOOKUP'!$C$4:$M$59,11,FALSE)),"0")</f>
        <v>0</v>
      </c>
      <c r="BI8" s="192" t="str">
        <f>IF(AND($C8&lt;&gt;"",$G8&lt;&gt;""),(VLOOKUP($C8,'V-LOOKUP'!$C$4:$N$59,12,FALSE)),"0")</f>
        <v>0</v>
      </c>
      <c r="BJ8" s="192" t="str">
        <f>IF(AND($C8&lt;&gt;"",H8&lt;&gt;""),(VLOOKUP($C8,'V-LOOKUP'!$C$4:$M$59,4,FALSE)),"0")</f>
        <v>0</v>
      </c>
      <c r="BK8" s="192" t="str">
        <f>IF(AND($C8&lt;&gt;"",$G8&lt;&gt;""),(VLOOKUP($C8,'V-LOOKUP'!$C$4:$M$59,5,FALSE)),"0")</f>
        <v>0</v>
      </c>
      <c r="BL8" s="192" t="str">
        <f>IF(AND($C8&lt;&gt;"",$H8&lt;&gt;""),(VLOOKUP($C8,'V-LOOKUP'!$C$4:$M$59,6,FALSE)),"0")</f>
        <v>0</v>
      </c>
      <c r="BM8" s="192" t="str">
        <f>IF(AND($C8&lt;&gt;"",$H8&lt;&gt;""),(VLOOKUP($C8,'V-LOOKUP'!$C$4:$M$59,7,FALSE)),"0")</f>
        <v>0</v>
      </c>
      <c r="BN8" s="192" t="str">
        <f>IF(AND($C8&lt;&gt;"",$H8&lt;&gt;""),(VLOOKUP($C8,'V-LOOKUP'!$C$4:$M$59,8,FALSE)),"0")</f>
        <v>0</v>
      </c>
      <c r="BO8" s="192" t="str">
        <f>IF(AND($C8&lt;&gt;"",$H8&lt;&gt;""),(VLOOKUP($C8,'V-LOOKUP'!$C$4:$M$59,9,FALSE)),"0")</f>
        <v>0</v>
      </c>
      <c r="BP8" s="192" t="str">
        <f>IF(AND($C8&lt;&gt;"",$H8&lt;&gt;""),(VLOOKUP($C8,'V-LOOKUP'!$C$4:$M$59,10,FALSE)),"0")</f>
        <v>0</v>
      </c>
      <c r="BQ8" s="192" t="str">
        <f>IF(AND($C8&lt;&gt;"",$H8&lt;&gt;""),(VLOOKUP($C8,'V-LOOKUP'!$C$4:$M$59,11,FALSE)),"0")</f>
        <v>0</v>
      </c>
      <c r="BR8" s="192" t="str">
        <f>IF(AND($C8&lt;&gt;"",$H8&lt;&gt;""),(VLOOKUP($C8,'V-LOOKUP'!$C$4:$N$59,12,FALSE)),"0")</f>
        <v>0</v>
      </c>
      <c r="BS8" s="192" t="str">
        <f>IF(AND($C8&lt;&gt;"",I8&lt;&gt;""),(VLOOKUP($C8,'V-LOOKUP'!$C$4:$M$59,4,FALSE)),"0")</f>
        <v>0</v>
      </c>
      <c r="BT8" s="192" t="str">
        <f>IF(AND($C8&lt;&gt;"",$I8&lt;&gt;""),(VLOOKUP($C8,'V-LOOKUP'!$C$4:$M$59,5,FALSE)),"0")</f>
        <v>0</v>
      </c>
      <c r="BU8" s="192" t="str">
        <f>IF(AND($C8&lt;&gt;"",$I8&lt;&gt;""),(VLOOKUP($C8,'V-LOOKUP'!$C$4:$M$59,6,FALSE)),"0")</f>
        <v>0</v>
      </c>
      <c r="BV8" s="192" t="str">
        <f>IF(AND($C8&lt;&gt;"",$I8&lt;&gt;""),(VLOOKUP($C8,'V-LOOKUP'!$C$4:$M$59,7,FALSE)),"0")</f>
        <v>0</v>
      </c>
      <c r="BW8" s="192" t="str">
        <f>IF(AND($C8&lt;&gt;"",$I8&lt;&gt;""),(VLOOKUP($C8,'V-LOOKUP'!$C$4:$M$59,8,FALSE)),"0")</f>
        <v>0</v>
      </c>
      <c r="BX8" s="192" t="str">
        <f>IF(AND($C8&lt;&gt;"",$I8&lt;&gt;""),(VLOOKUP($C8,'V-LOOKUP'!$C$4:$M$59,9,FALSE)),"0")</f>
        <v>0</v>
      </c>
      <c r="BY8" s="192" t="str">
        <f>IF(AND($C8&lt;&gt;"",$I8&lt;&gt;""),(VLOOKUP($C8,'V-LOOKUP'!$C$4:$M$59,10,FALSE)),"0")</f>
        <v>0</v>
      </c>
      <c r="BZ8" s="192" t="str">
        <f>IF(AND($C8&lt;&gt;"",$I8&lt;&gt;""),(VLOOKUP($C8,'V-LOOKUP'!$C$4:$M$59,11,FALSE)),"0")</f>
        <v>0</v>
      </c>
      <c r="CA8" s="192" t="str">
        <f>IF(AND($C8&lt;&gt;"",$I8&lt;&gt;""),(VLOOKUP($C8,'V-LOOKUP'!$C$4:$N$59,12,FALSE)),"0")</f>
        <v>0</v>
      </c>
      <c r="CB8" s="192" t="str">
        <f>IF(AND($C8&lt;&gt;"",J8&lt;&gt;""),(VLOOKUP($C8,'V-LOOKUP'!$C$4:$M$59,4,FALSE)),"0")</f>
        <v>0</v>
      </c>
      <c r="CC8" s="192" t="str">
        <f>IF(AND($C8&lt;&gt;"",$J8&lt;&gt;""),(VLOOKUP($C8,'V-LOOKUP'!$C$4:$M$59,5,FALSE)),"0")</f>
        <v>0</v>
      </c>
      <c r="CD8" s="192" t="str">
        <f>IF(AND($C8&lt;&gt;"",$J8&lt;&gt;""),(VLOOKUP($C8,'V-LOOKUP'!$C$4:$M$59,6,FALSE)),"0")</f>
        <v>0</v>
      </c>
      <c r="CE8" s="192" t="str">
        <f>IF(AND($C8&lt;&gt;"",$J8&lt;&gt;""),(VLOOKUP($C8,'V-LOOKUP'!$C$4:$M$59,7,FALSE)),"0")</f>
        <v>0</v>
      </c>
      <c r="CF8" s="192" t="str">
        <f>IF(AND($C8&lt;&gt;"",$J8&lt;&gt;""),(VLOOKUP($C8,'V-LOOKUP'!$C$4:$M$59,8,FALSE)),"0")</f>
        <v>0</v>
      </c>
      <c r="CG8" s="192" t="str">
        <f>IF(AND($C8&lt;&gt;"",$J8&lt;&gt;""),(VLOOKUP($C8,'V-LOOKUP'!$C$4:$M$59,9,FALSE)),"0")</f>
        <v>0</v>
      </c>
      <c r="CH8" s="192" t="str">
        <f>IF(AND($C8&lt;&gt;"",$J8&lt;&gt;""),(VLOOKUP($C8,'V-LOOKUP'!$C$4:$M$59,10,FALSE)),"0")</f>
        <v>0</v>
      </c>
      <c r="CI8" s="192" t="str">
        <f>IF(AND($C8&lt;&gt;"",$J8&lt;&gt;""),(VLOOKUP($C8,'V-LOOKUP'!$C$4:$M$59,11,FALSE)),"0")</f>
        <v>0</v>
      </c>
      <c r="CJ8" s="192" t="str">
        <f>IF(AND($C8&lt;&gt;"",$J8&lt;&gt;""),(VLOOKUP($C8,'V-LOOKUP'!$C$4:$N$59,12,FALSE)),"0")</f>
        <v>0</v>
      </c>
      <c r="CK8" s="192" t="str">
        <f>IF(AND($C8&lt;&gt;"",K8&lt;&gt;""),(VLOOKUP($C8,'V-LOOKUP'!$C$4:$M$59,4,FALSE)),"0")</f>
        <v>0</v>
      </c>
      <c r="CL8" s="192" t="str">
        <f>IF(AND($C8&lt;&gt;"",$K8&lt;&gt;""),(VLOOKUP($C8,'V-LOOKUP'!$C$4:$M$59,5,FALSE)),"0")</f>
        <v>0</v>
      </c>
      <c r="CM8" s="192" t="str">
        <f>IF(AND($C8&lt;&gt;"",$K8&lt;&gt;""),(VLOOKUP($C8,'V-LOOKUP'!$C$4:$M$59,6,FALSE)),"0")</f>
        <v>0</v>
      </c>
      <c r="CN8" s="192" t="str">
        <f>IF(AND($C8&lt;&gt;"",$K8&lt;&gt;""),(VLOOKUP($C8,'V-LOOKUP'!$C$4:$M$59,7,FALSE)),"0")</f>
        <v>0</v>
      </c>
      <c r="CO8" s="192" t="str">
        <f>IF(AND($C8&lt;&gt;"",$K8&lt;&gt;""),(VLOOKUP($C8,'V-LOOKUP'!$C$4:$M$59,8,FALSE)),"0")</f>
        <v>0</v>
      </c>
      <c r="CP8" s="192" t="str">
        <f>IF(AND($C8&lt;&gt;"",$K8&lt;&gt;""),(VLOOKUP($C8,'V-LOOKUP'!$C$4:$M$59,9,FALSE)),"0")</f>
        <v>0</v>
      </c>
      <c r="CQ8" s="192" t="str">
        <f>IF(AND($C8&lt;&gt;"",$K8&lt;&gt;""),(VLOOKUP($C8,'V-LOOKUP'!$C$4:$M$59,10,FALSE)),"0")</f>
        <v>0</v>
      </c>
      <c r="CR8" s="192" t="str">
        <f>IF(AND($C8&lt;&gt;"",$K8&lt;&gt;""),(VLOOKUP($C8,'V-LOOKUP'!$C$4:$M$59,11,FALSE)),"0")</f>
        <v>0</v>
      </c>
      <c r="CS8" s="192" t="str">
        <f>IF(AND($C8&lt;&gt;"",$K8&lt;&gt;""),(VLOOKUP($C8,'V-LOOKUP'!$C$4:$N$59,12,FALSE)),"0")</f>
        <v>0</v>
      </c>
      <c r="CT8" s="192" t="str">
        <f>IF(AND($C8&lt;&gt;"",L8&lt;&gt;""),(VLOOKUP($C8,'V-LOOKUP'!$C$4:$M$59,4,FALSE)),"0")</f>
        <v>0</v>
      </c>
      <c r="CU8" s="192" t="str">
        <f>IF(AND($C8&lt;&gt;"",$L8&lt;&gt;""),(VLOOKUP($C8,'V-LOOKUP'!$C$4:$M$59,5,FALSE)),"0")</f>
        <v>0</v>
      </c>
      <c r="CV8" s="192" t="str">
        <f>IF(AND($C8&lt;&gt;"",$L8&lt;&gt;""),(VLOOKUP($C8,'V-LOOKUP'!$C$4:$M$59,6,FALSE)),"0")</f>
        <v>0</v>
      </c>
      <c r="CW8" s="192" t="str">
        <f>IF(AND($C8&lt;&gt;"",$L8&lt;&gt;""),(VLOOKUP($C8,'V-LOOKUP'!$C$4:$M$59,7,FALSE)),"0")</f>
        <v>0</v>
      </c>
      <c r="CX8" s="192" t="str">
        <f>IF(AND($C8&lt;&gt;"",$L8&lt;&gt;""),(VLOOKUP($C8,'V-LOOKUP'!$C$4:$M$59,8,FALSE)),"0")</f>
        <v>0</v>
      </c>
      <c r="CY8" s="192" t="str">
        <f>IF(AND($C8&lt;&gt;"",$L8&lt;&gt;""),(VLOOKUP($C8,'V-LOOKUP'!$C$4:$M$59,9,FALSE)),"0")</f>
        <v>0</v>
      </c>
      <c r="CZ8" s="192" t="str">
        <f>IF(AND($C8&lt;&gt;"",$L8&lt;&gt;""),(VLOOKUP($C8,'V-LOOKUP'!$C$4:$M$59,10,FALSE)),"0")</f>
        <v>0</v>
      </c>
      <c r="DA8" s="192" t="str">
        <f>IF(AND($C8&lt;&gt;"",$L8&lt;&gt;""),(VLOOKUP($C8,'V-LOOKUP'!$C$4:$M$59,11,FALSE)),"0")</f>
        <v>0</v>
      </c>
      <c r="DB8" s="192" t="str">
        <f>IF(AND($C8&lt;&gt;"",$L8&lt;&gt;""),(VLOOKUP($C8,'V-LOOKUP'!$C$4:$N$59,12,FALSE)),"0")</f>
        <v>0</v>
      </c>
      <c r="DC8" s="192" t="str">
        <f>IF(AND($C8&lt;&gt;"",M8&lt;&gt;""),(VLOOKUP($C8,'V-LOOKUP'!$C$4:$M$59,4,FALSE)),"0")</f>
        <v>0</v>
      </c>
      <c r="DD8" s="192" t="str">
        <f>IF(AND($C8&lt;&gt;"",$M8&lt;&gt;""),(VLOOKUP($C8,'V-LOOKUP'!$C$4:$M$59,5,FALSE)),"0")</f>
        <v>0</v>
      </c>
      <c r="DE8" s="192" t="str">
        <f>IF(AND($C8&lt;&gt;"",$M8&lt;&gt;""),(VLOOKUP($C8,'V-LOOKUP'!$C$4:$M$59,6,FALSE)),"0")</f>
        <v>0</v>
      </c>
      <c r="DF8" s="192" t="str">
        <f>IF(AND($C8&lt;&gt;"",$M8&lt;&gt;""),(VLOOKUP($C8,'V-LOOKUP'!$C$4:$M$59,7,FALSE)),"0")</f>
        <v>0</v>
      </c>
      <c r="DG8" s="192" t="str">
        <f>IF(AND($C8&lt;&gt;"",$M8&lt;&gt;""),(VLOOKUP($C8,'V-LOOKUP'!$C$4:$M$59,8,FALSE)),"0")</f>
        <v>0</v>
      </c>
      <c r="DH8" s="192" t="str">
        <f>IF(AND($C8&lt;&gt;"",$M8&lt;&gt;""),(VLOOKUP($C8,'V-LOOKUP'!$C$4:$M$59,9,FALSE)),"0")</f>
        <v>0</v>
      </c>
      <c r="DI8" s="192" t="str">
        <f>IF(AND($C8&lt;&gt;"",$M8&lt;&gt;""),(VLOOKUP($C8,'V-LOOKUP'!$C$4:$M$59,10,FALSE)),"0")</f>
        <v>0</v>
      </c>
      <c r="DJ8" s="192" t="str">
        <f>IF(AND($C8&lt;&gt;"",$M8&lt;&gt;""),(VLOOKUP($C8,'V-LOOKUP'!$C$4:$M$59,11,FALSE)),"0")</f>
        <v>0</v>
      </c>
      <c r="DK8" s="192" t="str">
        <f>IF(AND($C8&lt;&gt;"",$M8&lt;&gt;""),(VLOOKUP($C8,'V-LOOKUP'!$C$4:$N$59,12,FALSE)),"0")</f>
        <v>0</v>
      </c>
      <c r="DL8" s="192" t="str">
        <f>IF(AND($C8&lt;&gt;"",$N8&lt;&gt;""),(VLOOKUP($C8,'V-LOOKUP'!$C$4:$M$59,4,FALSE)),"0")</f>
        <v>0</v>
      </c>
      <c r="DM8" s="192" t="str">
        <f>IF(AND($C8&lt;&gt;"",$N8&lt;&gt;""),(VLOOKUP($C8,'V-LOOKUP'!$C$4:$M$59,5,FALSE)),"0")</f>
        <v>0</v>
      </c>
      <c r="DN8" s="192" t="str">
        <f>IF(AND($C8&lt;&gt;"",$N8&lt;&gt;""),(VLOOKUP($C8,'V-LOOKUP'!$C$4:$M$59,6,FALSE)),"0")</f>
        <v>0</v>
      </c>
      <c r="DO8" s="192" t="str">
        <f>IF(AND($C8&lt;&gt;"",$N8&lt;&gt;""),(VLOOKUP($C8,'V-LOOKUP'!$C$4:$M$59,7,FALSE)),"0")</f>
        <v>0</v>
      </c>
      <c r="DP8" s="192" t="str">
        <f>IF(AND($C8&lt;&gt;"",$N8&lt;&gt;""),(VLOOKUP($C8,'V-LOOKUP'!$C$4:$M$59,8,FALSE)),"0")</f>
        <v>0</v>
      </c>
      <c r="DQ8" s="192" t="str">
        <f>IF(AND($C8&lt;&gt;"",$N8&lt;&gt;""),(VLOOKUP($C8,'V-LOOKUP'!$C$4:$M$59,9,FALSE)),"0")</f>
        <v>0</v>
      </c>
      <c r="DR8" s="192" t="str">
        <f>IF(AND($C8&lt;&gt;"",$N8&lt;&gt;""),(VLOOKUP($C8,'V-LOOKUP'!$C$4:$M$59,10,FALSE)),"0")</f>
        <v>0</v>
      </c>
      <c r="DS8" s="192" t="str">
        <f>IF(AND($C8&lt;&gt;"",$N8&lt;&gt;""),(VLOOKUP($C8,'V-LOOKUP'!$C$4:$M$59,11,FALSE)),"0")</f>
        <v>0</v>
      </c>
      <c r="DT8" s="192" t="str">
        <f>IF(AND($C8&lt;&gt;"",$N8&lt;&gt;""),(VLOOKUP($C8,'V-LOOKUP'!$C$4:$N$59,12,FALSE)),"0")</f>
        <v>0</v>
      </c>
      <c r="DU8" s="192" t="str">
        <f>IF(AND($C8&lt;&gt;"",O8&lt;&gt;""),(VLOOKUP($C8,'V-LOOKUP'!$C$4:$M$59,4,FALSE)),"0")</f>
        <v>0</v>
      </c>
      <c r="DV8" s="192" t="str">
        <f>IF(AND($C8&lt;&gt;"",$O8&lt;&gt;""),(VLOOKUP($C8,'V-LOOKUP'!$C$4:$M$59,5,FALSE)),"0")</f>
        <v>0</v>
      </c>
      <c r="DW8" s="192" t="str">
        <f>IF(AND($C8&lt;&gt;"",$O8&lt;&gt;""),(VLOOKUP($C8,'V-LOOKUP'!$C$4:$M$59,6,FALSE)),"0")</f>
        <v>0</v>
      </c>
      <c r="DX8" s="192" t="str">
        <f>IF(AND($C8&lt;&gt;"",$O8&lt;&gt;""),(VLOOKUP($C8,'V-LOOKUP'!$C$4:$M$59,7,FALSE)),"0")</f>
        <v>0</v>
      </c>
      <c r="DY8" s="192" t="str">
        <f>IF(AND($C8&lt;&gt;"",$O8&lt;&gt;""),(VLOOKUP($C8,'V-LOOKUP'!$C$4:$M$59,8,FALSE)),"0")</f>
        <v>0</v>
      </c>
      <c r="DZ8" s="192" t="str">
        <f>IF(AND($C8&lt;&gt;"",$O8&lt;&gt;""),(VLOOKUP($C8,'V-LOOKUP'!$C$4:$M$59,9,FALSE)),"0")</f>
        <v>0</v>
      </c>
      <c r="EA8" s="192" t="str">
        <f>IF(AND($C8&lt;&gt;"",$O8&lt;&gt;""),(VLOOKUP($C8,'V-LOOKUP'!$C$4:$M$59,10,FALSE)),"0")</f>
        <v>0</v>
      </c>
      <c r="EB8" s="192" t="str">
        <f>IF(AND($C8&lt;&gt;"",$O8&lt;&gt;""),(VLOOKUP($C8,'V-LOOKUP'!$C$4:$M$59,11,FALSE)),"0")</f>
        <v>0</v>
      </c>
      <c r="EC8" s="192" t="str">
        <f>IF(AND($C8&lt;&gt;"",$O8&lt;&gt;""),(VLOOKUP($C8,'V-LOOKUP'!$C$4:$N$59,12,FALSE)),"0")</f>
        <v>0</v>
      </c>
      <c r="ED8" s="192" t="str">
        <f>IF(AND($C8&lt;&gt;"",P8&lt;&gt;""),(VLOOKUP($C8,'V-LOOKUP'!$C$4:$M$59,4,FALSE)),"0")</f>
        <v>0</v>
      </c>
      <c r="EE8" s="192" t="str">
        <f>IF(AND($C8&lt;&gt;"",$P8&lt;&gt;""),(VLOOKUP($C8,'V-LOOKUP'!$C$4:$M$59,5,FALSE)),"0")</f>
        <v>0</v>
      </c>
      <c r="EF8" s="192" t="str">
        <f>IF(AND($C8&lt;&gt;"",$P8&lt;&gt;""),(VLOOKUP($C8,'V-LOOKUP'!$C$4:$M$59,6,FALSE)),"0")</f>
        <v>0</v>
      </c>
      <c r="EG8" s="192" t="str">
        <f>IF(AND($C8&lt;&gt;"",$P8&lt;&gt;""),(VLOOKUP($C8,'V-LOOKUP'!$C$4:$M$59,7,FALSE)),"0")</f>
        <v>0</v>
      </c>
      <c r="EH8" s="192" t="str">
        <f>IF(AND($C8&lt;&gt;"",$P8&lt;&gt;""),(VLOOKUP($C8,'V-LOOKUP'!$C$4:$M$59,8,FALSE)),"0")</f>
        <v>0</v>
      </c>
      <c r="EI8" s="192" t="str">
        <f>IF(AND($C8&lt;&gt;"",$P8&lt;&gt;""),(VLOOKUP($C8,'V-LOOKUP'!$C$4:$M$59,9,FALSE)),"0")</f>
        <v>0</v>
      </c>
      <c r="EJ8" s="192" t="str">
        <f>IF(AND($C8&lt;&gt;"",$P8&lt;&gt;""),(VLOOKUP($C8,'V-LOOKUP'!$C$4:$M$59,10,FALSE)),"0")</f>
        <v>0</v>
      </c>
      <c r="EK8" s="192" t="str">
        <f>IF(AND($C8&lt;&gt;"",$P8&lt;&gt;""),(VLOOKUP($C8,'V-LOOKUP'!$C$4:$M$59,11,FALSE)),"0")</f>
        <v>0</v>
      </c>
      <c r="EL8" s="192" t="str">
        <f>IF(AND($C8&lt;&gt;"",$P8&lt;&gt;""),(VLOOKUP($C8,'V-LOOKUP'!$C$4:$N$59,12,FALSE)),"0")</f>
        <v>0</v>
      </c>
      <c r="EM8" s="192" t="str">
        <f>IF(AND($C8&lt;&gt;"",Q8&lt;&gt;""),(VLOOKUP($C8,'V-LOOKUP'!$C$4:$M$59,4,FALSE)),"0")</f>
        <v>0</v>
      </c>
      <c r="EN8" s="192" t="str">
        <f>IF(AND($C8&lt;&gt;"",$Q8&lt;&gt;""),(VLOOKUP($C8,'V-LOOKUP'!$C$4:$M$59,5,FALSE)),"0")</f>
        <v>0</v>
      </c>
      <c r="EO8" s="192" t="str">
        <f>IF(AND($C8&lt;&gt;"",$Q8&lt;&gt;""),(VLOOKUP($C8,'V-LOOKUP'!$C$4:$M$59,6,FALSE)),"0")</f>
        <v>0</v>
      </c>
      <c r="EP8" s="192" t="str">
        <f>IF(AND($C8&lt;&gt;"",$Q8&lt;&gt;""),(VLOOKUP($C8,'V-LOOKUP'!$C$4:$M$59,7,FALSE)),"0")</f>
        <v>0</v>
      </c>
      <c r="EQ8" s="192" t="str">
        <f>IF(AND($C8&lt;&gt;"",$Q8&lt;&gt;""),(VLOOKUP($C8,'V-LOOKUP'!$C$4:$M$59,8,FALSE)),"0")</f>
        <v>0</v>
      </c>
      <c r="ER8" s="192" t="str">
        <f>IF(AND($C8&lt;&gt;"",$Q8&lt;&gt;""),(VLOOKUP($C8,'V-LOOKUP'!$C$4:$M$59,9,FALSE)),"0")</f>
        <v>0</v>
      </c>
      <c r="ES8" s="192" t="str">
        <f>IF(AND($C8&lt;&gt;"",$Q8&lt;&gt;""),(VLOOKUP($C8,'V-LOOKUP'!$C$4:$M$59,10,FALSE)),"0")</f>
        <v>0</v>
      </c>
      <c r="ET8" s="192" t="str">
        <f>IF(AND($C8&lt;&gt;"",$Q8&lt;&gt;""),(VLOOKUP($C8,'V-LOOKUP'!$C$4:$M$59,11,FALSE)),"0")</f>
        <v>0</v>
      </c>
      <c r="EU8" s="192" t="str">
        <f>IF(AND($C8&lt;&gt;"",$Q8&lt;&gt;""),(VLOOKUP($C8,'V-LOOKUP'!$C$4:$N$59,12,FALSE)),"0")</f>
        <v>0</v>
      </c>
      <c r="EV8" s="192" t="str">
        <f>IF(AND($C8&lt;&gt;"",R8&lt;&gt;""),(VLOOKUP($C8,'V-LOOKUP'!$C$4:$M$59,4,FALSE)),"0")</f>
        <v>0</v>
      </c>
      <c r="EW8" s="192" t="str">
        <f>IF(AND($C8&lt;&gt;"",$R8&lt;&gt;""),(VLOOKUP($C8,'V-LOOKUP'!$C$4:$M$59,5,FALSE)),"0")</f>
        <v>0</v>
      </c>
      <c r="EX8" s="192" t="str">
        <f>IF(AND($C8&lt;&gt;"",$R8&lt;&gt;""),(VLOOKUP($C8,'V-LOOKUP'!$C$4:$M$59,6,FALSE)),"0")</f>
        <v>0</v>
      </c>
      <c r="EY8" s="192" t="str">
        <f>IF(AND($C8&lt;&gt;"",$R8&lt;&gt;""),(VLOOKUP($C8,'V-LOOKUP'!$C$4:$M$59,7,FALSE)),"0")</f>
        <v>0</v>
      </c>
      <c r="EZ8" s="192" t="str">
        <f>IF(AND($C8&lt;&gt;"",$R8&lt;&gt;""),(VLOOKUP($C8,'V-LOOKUP'!$C$4:$M$59,8,FALSE)),"0")</f>
        <v>0</v>
      </c>
      <c r="FA8" s="192" t="str">
        <f>IF(AND($C8&lt;&gt;"",$R8&lt;&gt;""),(VLOOKUP($C8,'V-LOOKUP'!$C$4:$M$59,9,FALSE)),"0")</f>
        <v>0</v>
      </c>
      <c r="FB8" s="192" t="str">
        <f>IF(AND($C8&lt;&gt;"",$R8&lt;&gt;""),(VLOOKUP($C8,'V-LOOKUP'!$C$4:$M$59,10,FALSE)),"0")</f>
        <v>0</v>
      </c>
      <c r="FC8" s="192" t="str">
        <f>IF(AND($C8&lt;&gt;"",$R8&lt;&gt;""),(VLOOKUP($C8,'V-LOOKUP'!$C$4:$M$59,11,FALSE)),"0")</f>
        <v>0</v>
      </c>
      <c r="FD8" s="192" t="str">
        <f>IF(AND($C8&lt;&gt;"",$R8&lt;&gt;""),(VLOOKUP($C8,'V-LOOKUP'!$C$4:$N$59,12,FALSE)),"0")</f>
        <v>0</v>
      </c>
      <c r="FE8" s="192" t="str">
        <f>IF(AND($C8&lt;&gt;"",S8&lt;&gt;""),(VLOOKUP($C8,'V-LOOKUP'!$C$4:$M$59,4,FALSE)),"0")</f>
        <v>0</v>
      </c>
      <c r="FF8" s="192" t="str">
        <f>IF(AND($C8&lt;&gt;"",$S8&lt;&gt;""),(VLOOKUP($C8,'V-LOOKUP'!$C$4:$M$59,5,FALSE)),"0")</f>
        <v>0</v>
      </c>
      <c r="FG8" s="192" t="str">
        <f>IF(AND($C8&lt;&gt;"",$S8&lt;&gt;""),(VLOOKUP($C8,'V-LOOKUP'!$C$4:$M$59,6,FALSE)),"0")</f>
        <v>0</v>
      </c>
      <c r="FH8" s="192" t="str">
        <f>IF(AND($C8&lt;&gt;"",$S8&lt;&gt;""),(VLOOKUP($C8,'V-LOOKUP'!$C$4:$M$59,7,FALSE)),"0")</f>
        <v>0</v>
      </c>
      <c r="FI8" s="192" t="str">
        <f>IF(AND($C8&lt;&gt;"",$S8&lt;&gt;""),(VLOOKUP($C8,'V-LOOKUP'!$C$4:$M$59,8,FALSE)),"0")</f>
        <v>0</v>
      </c>
      <c r="FJ8" s="192" t="str">
        <f>IF(AND($C8&lt;&gt;"",$S8&lt;&gt;""),(VLOOKUP($C8,'V-LOOKUP'!$C$4:$M$59,9,FALSE)),"0")</f>
        <v>0</v>
      </c>
      <c r="FK8" s="192" t="str">
        <f>IF(AND($C8&lt;&gt;"",$S8&lt;&gt;""),(VLOOKUP($C8,'V-LOOKUP'!$C$4:$M$59,10,FALSE)),"0")</f>
        <v>0</v>
      </c>
      <c r="FL8" s="192" t="str">
        <f>IF(AND($C8&lt;&gt;"",$S8&lt;&gt;""),(VLOOKUP($C8,'V-LOOKUP'!$C$4:$M$59,11,FALSE)),"0")</f>
        <v>0</v>
      </c>
      <c r="FM8" s="192" t="str">
        <f>IF(AND($C8&lt;&gt;"",$S8&lt;&gt;""),(VLOOKUP($C8,'V-LOOKUP'!$C$4:$N$59,12,FALSE)),"0")</f>
        <v>0</v>
      </c>
      <c r="FN8" s="192" t="str">
        <f>IF(AND($C8&lt;&gt;"",T8&lt;&gt;""),(VLOOKUP($C8,'V-LOOKUP'!$C$4:$M$59,4,FALSE)),"0")</f>
        <v>0</v>
      </c>
      <c r="FO8" s="192" t="str">
        <f>IF(AND($C8&lt;&gt;"",$T8&lt;&gt;""),(VLOOKUP($C8,'V-LOOKUP'!$C$4:$M$59,5,FALSE)),"0")</f>
        <v>0</v>
      </c>
      <c r="FP8" s="192" t="str">
        <f>IF(AND($C8&lt;&gt;"",$T8&lt;&gt;""),(VLOOKUP($C8,'V-LOOKUP'!$C$4:$M$59,6,FALSE)),"0")</f>
        <v>0</v>
      </c>
      <c r="FQ8" s="192" t="str">
        <f>IF(AND($C8&lt;&gt;"",$T8&lt;&gt;""),(VLOOKUP($C8,'V-LOOKUP'!$C$4:$M$59,7,FALSE)),"0")</f>
        <v>0</v>
      </c>
      <c r="FR8" s="192" t="str">
        <f>IF(AND($C8&lt;&gt;"",$T8&lt;&gt;""),(VLOOKUP($C8,'V-LOOKUP'!$C$4:$M$59,8,FALSE)),"0")</f>
        <v>0</v>
      </c>
      <c r="FS8" s="192" t="str">
        <f>IF(AND($C8&lt;&gt;"",$T8&lt;&gt;""),(VLOOKUP($C8,'V-LOOKUP'!$C$4:$M$59,9,FALSE)),"0")</f>
        <v>0</v>
      </c>
      <c r="FT8" s="192" t="str">
        <f>IF(AND($C8&lt;&gt;"",$T8&lt;&gt;""),(VLOOKUP($C8,'V-LOOKUP'!$C$4:$M$59,10,FALSE)),"0")</f>
        <v>0</v>
      </c>
      <c r="FU8" s="192" t="str">
        <f>IF(AND($C8&lt;&gt;"",$T8&lt;&gt;""),(VLOOKUP($C8,'V-LOOKUP'!$C$4:$M$59,11,FALSE)),"0")</f>
        <v>0</v>
      </c>
      <c r="FV8" s="192" t="str">
        <f>IF(AND($C8&lt;&gt;"",$T8&lt;&gt;""),(VLOOKUP($C8,'V-LOOKUP'!$C$4:$N$59,12,FALSE)),"0")</f>
        <v>0</v>
      </c>
      <c r="FW8" s="192" t="str">
        <f>IF(AND($C8&lt;&gt;"",U8&lt;&gt;""),(VLOOKUP($C8,'V-LOOKUP'!$C$4:$M$59,4,FALSE)),"0")</f>
        <v>0</v>
      </c>
      <c r="FX8" s="192" t="str">
        <f>IF(AND($C8&lt;&gt;"",$U8&lt;&gt;""),(VLOOKUP($C8,'V-LOOKUP'!$C$4:$M$59,5,FALSE)),"0")</f>
        <v>0</v>
      </c>
      <c r="FY8" s="192" t="str">
        <f>IF(AND($C8&lt;&gt;"",$U8&lt;&gt;""),(VLOOKUP($C8,'V-LOOKUP'!$C$4:$M$59,6,FALSE)),"0")</f>
        <v>0</v>
      </c>
      <c r="FZ8" s="192" t="str">
        <f>IF(AND($C8&lt;&gt;"",$U8&lt;&gt;""),(VLOOKUP($C8,'V-LOOKUP'!$C$4:$M$59,7,FALSE)),"0")</f>
        <v>0</v>
      </c>
      <c r="GA8" s="192" t="str">
        <f>IF(AND($C8&lt;&gt;"",$U8&lt;&gt;""),(VLOOKUP($C8,'V-LOOKUP'!$C$4:$M$59,8,FALSE)),"0")</f>
        <v>0</v>
      </c>
      <c r="GB8" s="192" t="str">
        <f>IF(AND($C8&lt;&gt;"",$U8&lt;&gt;""),(VLOOKUP($C8,'V-LOOKUP'!$C$4:$M$59,9,FALSE)),"0")</f>
        <v>0</v>
      </c>
      <c r="GC8" s="192" t="str">
        <f>IF(AND($C8&lt;&gt;"",$U8&lt;&gt;""),(VLOOKUP($C8,'V-LOOKUP'!$C$4:$M$59,10,FALSE)),"0")</f>
        <v>0</v>
      </c>
      <c r="GD8" s="192" t="str">
        <f>IF(AND($C8&lt;&gt;"",$U8&lt;&gt;""),(VLOOKUP($C8,'V-LOOKUP'!$C$4:$M$59,11,FALSE)),"0")</f>
        <v>0</v>
      </c>
      <c r="GE8" s="192" t="str">
        <f>IF(AND($C8&lt;&gt;"",$U8&lt;&gt;""),(VLOOKUP($C8,'V-LOOKUP'!$C$4:$N$59,12,FALSE)),"0")</f>
        <v>0</v>
      </c>
      <c r="GF8" s="192" t="str">
        <f>IF(AND($C8&lt;&gt;"",V8&lt;&gt;""),(VLOOKUP($C8,'V-LOOKUP'!$C$4:$M$59,4,FALSE)),"0")</f>
        <v>0</v>
      </c>
      <c r="GG8" s="192" t="str">
        <f>IF(AND($C8&lt;&gt;"",$V8&lt;&gt;""),(VLOOKUP($C8,'V-LOOKUP'!$C$4:$M$59,5,FALSE)),"0")</f>
        <v>0</v>
      </c>
      <c r="GH8" s="192" t="str">
        <f>IF(AND($C8&lt;&gt;"",$V8&lt;&gt;""),(VLOOKUP($C8,'V-LOOKUP'!$C$4:$M$59,6,FALSE)),"0")</f>
        <v>0</v>
      </c>
      <c r="GI8" s="192" t="str">
        <f>IF(AND($C8&lt;&gt;"",$V8&lt;&gt;""),(VLOOKUP($C8,'V-LOOKUP'!$C$4:$M$59,7,FALSE)),"0")</f>
        <v>0</v>
      </c>
      <c r="GJ8" s="192" t="str">
        <f>IF(AND($C8&lt;&gt;"",$V8&lt;&gt;""),(VLOOKUP($C8,'V-LOOKUP'!$C$4:$M$59,8,FALSE)),"0")</f>
        <v>0</v>
      </c>
      <c r="GK8" s="192" t="str">
        <f>IF(AND($C8&lt;&gt;"",$V8&lt;&gt;""),(VLOOKUP($C8,'V-LOOKUP'!$C$4:$M$59,9,FALSE)),"0")</f>
        <v>0</v>
      </c>
      <c r="GL8" s="192" t="str">
        <f>IF(AND($C8&lt;&gt;"",$V8&lt;&gt;""),(VLOOKUP($C8,'V-LOOKUP'!$C$4:$M$59,10,FALSE)),"0")</f>
        <v>0</v>
      </c>
      <c r="GM8" s="192" t="str">
        <f>IF(AND($C8&lt;&gt;"",$V8&lt;&gt;""),(VLOOKUP($C8,'V-LOOKUP'!$C$4:$M$59,11,FALSE)),"0")</f>
        <v>0</v>
      </c>
      <c r="GN8" s="192" t="str">
        <f>IF(AND($C8&lt;&gt;"",$V8&lt;&gt;""),(VLOOKUP($C8,'V-LOOKUP'!$C$4:$N$59,12,FALSE)),"0")</f>
        <v>0</v>
      </c>
      <c r="GO8" s="192" t="str">
        <f>IF(AND($C8&lt;&gt;"",W8&lt;&gt;""),(VLOOKUP($C8,'V-LOOKUP'!$C$4:$M$59,4,FALSE)),"0")</f>
        <v>0</v>
      </c>
      <c r="GP8" s="192" t="str">
        <f>IF(AND($C8&lt;&gt;"",$W8&lt;&gt;""),(VLOOKUP($C8,'V-LOOKUP'!$C$4:$M$59,5,FALSE)),"0")</f>
        <v>0</v>
      </c>
      <c r="GQ8" s="192" t="str">
        <f>IF(AND($C8&lt;&gt;"",$W8&lt;&gt;""),(VLOOKUP($C8,'V-LOOKUP'!$C$4:$M$59,6,FALSE)),"0")</f>
        <v>0</v>
      </c>
      <c r="GR8" s="192" t="str">
        <f>IF(AND($C8&lt;&gt;"",$W8&lt;&gt;""),(VLOOKUP($C8,'V-LOOKUP'!$C$4:$M$59,7,FALSE)),"0")</f>
        <v>0</v>
      </c>
      <c r="GS8" s="192" t="str">
        <f>IF(AND($C8&lt;&gt;"",$W8&lt;&gt;""),(VLOOKUP($C8,'V-LOOKUP'!$C$4:$M$59,8,FALSE)),"0")</f>
        <v>0</v>
      </c>
      <c r="GT8" s="192" t="str">
        <f>IF(AND($C8&lt;&gt;"",$W8&lt;&gt;""),(VLOOKUP($C8,'V-LOOKUP'!$C$4:$M$59,9,FALSE)),"0")</f>
        <v>0</v>
      </c>
      <c r="GU8" s="192" t="str">
        <f>IF(AND($C8&lt;&gt;"",$W8&lt;&gt;""),(VLOOKUP($C8,'V-LOOKUP'!$C$4:$M$59,10,FALSE)),"0")</f>
        <v>0</v>
      </c>
      <c r="GV8" s="192" t="str">
        <f>IF(AND($C8&lt;&gt;"",$W8&lt;&gt;""),(VLOOKUP($C8,'V-LOOKUP'!$C$4:$M$59,11,FALSE)),"0")</f>
        <v>0</v>
      </c>
      <c r="GW8" s="192" t="str">
        <f>IF(AND($C8&lt;&gt;"",$W8&lt;&gt;""),(VLOOKUP($C8,'V-LOOKUP'!$C$4:$N$59,12,FALSE)),"0")</f>
        <v>0</v>
      </c>
    </row>
    <row r="9" spans="1:205" ht="14.65" customHeight="1">
      <c r="A9" s="193"/>
      <c r="B9" s="245"/>
      <c r="C9" s="201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Y9" s="190"/>
      <c r="Z9" s="192" t="str">
        <f>IF(AND($C9&lt;&gt;"",$D9&lt;&gt;""),(VLOOKUP($C9,'V-LOOKUP'!$C$4:$M$59,4,FALSE)),"0")</f>
        <v>0</v>
      </c>
      <c r="AA9" s="192" t="str">
        <f>IF(AND($C9&lt;&gt;"",$D9&lt;&gt;""),(VLOOKUP($C9,'V-LOOKUP'!$C$4:$M$59,5,FALSE)),"0")</f>
        <v>0</v>
      </c>
      <c r="AB9" s="192" t="str">
        <f>IF(AND($C9&lt;&gt;"",$D9&lt;&gt;""),(VLOOKUP($C9,'V-LOOKUP'!$C$4:$M$59,6,FALSE)),"0")</f>
        <v>0</v>
      </c>
      <c r="AC9" s="192" t="str">
        <f>IF(AND($C9&lt;&gt;"",$D9&lt;&gt;""),(VLOOKUP($C9,'V-LOOKUP'!$C$4:$M$59,7,FALSE)),"0")</f>
        <v>0</v>
      </c>
      <c r="AD9" s="192" t="str">
        <f>IF(AND($C9&lt;&gt;"",$D9&lt;&gt;""),(VLOOKUP($C9,'V-LOOKUP'!$C$4:$M$59,8,FALSE)),"0")</f>
        <v>0</v>
      </c>
      <c r="AE9" s="192" t="str">
        <f>IF(AND($C9&lt;&gt;"",$D9&lt;&gt;""),(VLOOKUP($C9,'V-LOOKUP'!$C$4:$M$59,9,FALSE)),"0")</f>
        <v>0</v>
      </c>
      <c r="AF9" s="192" t="str">
        <f>IF(AND($C9&lt;&gt;"",$D9&lt;&gt;""),(VLOOKUP($C9,'V-LOOKUP'!$C$4:$M$59,10,FALSE)),"0")</f>
        <v>0</v>
      </c>
      <c r="AG9" s="192" t="str">
        <f>IF(AND($C9&lt;&gt;"",$D9&lt;&gt;""),(VLOOKUP($C9,'V-LOOKUP'!$C$4:$M$59,11,FALSE)),"0")</f>
        <v>0</v>
      </c>
      <c r="AH9" s="192" t="str">
        <f>IF(AND($C9&lt;&gt;"",$D9&lt;&gt;""),(VLOOKUP($C9,'V-LOOKUP'!$C$4:$N$59,12,FALSE)),"0")</f>
        <v>0</v>
      </c>
      <c r="AI9" s="192" t="str">
        <f>IF(AND($C9&lt;&gt;"",E9&lt;&gt;""),(VLOOKUP($C9,'V-LOOKUP'!$C$4:$M$59,4,FALSE)),"0")</f>
        <v>0</v>
      </c>
      <c r="AJ9" s="192" t="str">
        <f>IF(AND($C9&lt;&gt;"",$E9&lt;&gt;""),(VLOOKUP($C9,'V-LOOKUP'!$C$4:$M$59,5,FALSE)),"0")</f>
        <v>0</v>
      </c>
      <c r="AK9" s="192" t="str">
        <f>IF(AND($C9&lt;&gt;"",$E9&lt;&gt;""),(VLOOKUP($C9,'V-LOOKUP'!$C$4:$M$59,6,FALSE)),"0")</f>
        <v>0</v>
      </c>
      <c r="AL9" s="192" t="str">
        <f>IF(AND($C9&lt;&gt;"",$E9&lt;&gt;""),(VLOOKUP($C9,'V-LOOKUP'!$C$4:$M$59,7,FALSE)),"0")</f>
        <v>0</v>
      </c>
      <c r="AM9" s="192" t="str">
        <f>IF(AND($C9&lt;&gt;"",$E9&lt;&gt;""),(VLOOKUP($C9,'V-LOOKUP'!$C$4:$M$59,8,FALSE)),"0")</f>
        <v>0</v>
      </c>
      <c r="AN9" s="192" t="str">
        <f>IF(AND($C9&lt;&gt;"",$E9&lt;&gt;""),(VLOOKUP($C9,'V-LOOKUP'!$C$4:$M$59,9,FALSE)),"0")</f>
        <v>0</v>
      </c>
      <c r="AO9" s="192" t="str">
        <f>IF(AND($C9&lt;&gt;"",$E9&lt;&gt;""),(VLOOKUP($C9,'V-LOOKUP'!$C$4:$M$59,10,FALSE)),"0")</f>
        <v>0</v>
      </c>
      <c r="AP9" s="192" t="str">
        <f>IF(AND($C9&lt;&gt;"",$E9&lt;&gt;""),(VLOOKUP($C9,'V-LOOKUP'!$C$4:$M$59,11,FALSE)),"0")</f>
        <v>0</v>
      </c>
      <c r="AQ9" s="192" t="str">
        <f>IF(AND($C9&lt;&gt;"",$E9&lt;&gt;""),(VLOOKUP($C9,'V-LOOKUP'!$C$4:$N$59,12,FALSE)),"0")</f>
        <v>0</v>
      </c>
      <c r="AR9" s="192" t="str">
        <f>IF(AND($C9&lt;&gt;"",$F9&lt;&gt;""),(VLOOKUP($C9,'V-LOOKUP'!$C$4:$M$59,4,FALSE)),"0")</f>
        <v>0</v>
      </c>
      <c r="AS9" s="192" t="str">
        <f>IF(AND($C9&lt;&gt;"",$F9&lt;&gt;""),(VLOOKUP($C9,'V-LOOKUP'!$C$4:$M$59,5,FALSE)),"0")</f>
        <v>0</v>
      </c>
      <c r="AT9" s="192" t="str">
        <f>IF(AND($C9&lt;&gt;"",$F9&lt;&gt;""),(VLOOKUP($C9,'V-LOOKUP'!$C$4:$M$59,6,FALSE)),"0")</f>
        <v>0</v>
      </c>
      <c r="AU9" s="192" t="str">
        <f>IF(AND($C9&lt;&gt;"",$F9&lt;&gt;""),(VLOOKUP($C9,'V-LOOKUP'!$C$4:$M$59,7,FALSE)),"0")</f>
        <v>0</v>
      </c>
      <c r="AV9" s="192" t="str">
        <f>IF(AND($C9&lt;&gt;"",$F9&lt;&gt;""),(VLOOKUP($C9,'V-LOOKUP'!$C$4:$M$59,8,FALSE)),"0")</f>
        <v>0</v>
      </c>
      <c r="AW9" s="192" t="str">
        <f>IF(AND($C9&lt;&gt;"",$F9&lt;&gt;""),(VLOOKUP($C9,'V-LOOKUP'!$C$4:$M$59,9,FALSE)),"0")</f>
        <v>0</v>
      </c>
      <c r="AX9" s="192" t="str">
        <f>IF(AND($C9&lt;&gt;"",$F9&lt;&gt;""),(VLOOKUP($C9,'V-LOOKUP'!$C$4:$M$59,10,FALSE)),"0")</f>
        <v>0</v>
      </c>
      <c r="AY9" s="192" t="str">
        <f>IF(AND($C9&lt;&gt;"",$F9&lt;&gt;""),(VLOOKUP($C9,'V-LOOKUP'!$C$4:$M$59,11,FALSE)),"0")</f>
        <v>0</v>
      </c>
      <c r="AZ9" s="192" t="str">
        <f>IF(AND($C9&lt;&gt;"",$F9&lt;&gt;""),(VLOOKUP($C9,'V-LOOKUP'!$C$4:$N$59,12,FALSE)),"0")</f>
        <v>0</v>
      </c>
      <c r="BA9" s="192" t="str">
        <f>IF(AND($C9&lt;&gt;"",G9&lt;&gt;""),(VLOOKUP($C9,'V-LOOKUP'!$C$4:$M$59,4,FALSE)),"0")</f>
        <v>0</v>
      </c>
      <c r="BB9" s="192" t="str">
        <f>IF(AND($C9&lt;&gt;"",$G9&lt;&gt;""),(VLOOKUP($C9,'V-LOOKUP'!$C$4:$M$59,5,FALSE)),"0")</f>
        <v>0</v>
      </c>
      <c r="BC9" s="192" t="str">
        <f>IF(AND($C9&lt;&gt;"",$G9&lt;&gt;""),(VLOOKUP($C9,'V-LOOKUP'!$C$4:$M$59,6,FALSE)),"0")</f>
        <v>0</v>
      </c>
      <c r="BD9" s="192" t="str">
        <f>IF(AND($C9&lt;&gt;"",$G9&lt;&gt;""),(VLOOKUP($C9,'V-LOOKUP'!$C$4:$M$59,7,FALSE)),"0")</f>
        <v>0</v>
      </c>
      <c r="BE9" s="192" t="str">
        <f>IF(AND($C9&lt;&gt;"",$G9&lt;&gt;""),(VLOOKUP($C9,'V-LOOKUP'!$C$4:$M$59,8,FALSE)),"0")</f>
        <v>0</v>
      </c>
      <c r="BF9" s="192" t="str">
        <f>IF(AND($C9&lt;&gt;"",$G9&lt;&gt;""),(VLOOKUP($C9,'V-LOOKUP'!$C$4:$M$59,9,FALSE)),"0")</f>
        <v>0</v>
      </c>
      <c r="BG9" s="192" t="str">
        <f>IF(AND($C9&lt;&gt;"",$G9&lt;&gt;""),(VLOOKUP($C9,'V-LOOKUP'!$C$4:$M$59,10,FALSE)),"0")</f>
        <v>0</v>
      </c>
      <c r="BH9" s="192" t="str">
        <f>IF(AND($C9&lt;&gt;"",$G9&lt;&gt;""),(VLOOKUP($C9,'V-LOOKUP'!$C$4:$M$59,11,FALSE)),"0")</f>
        <v>0</v>
      </c>
      <c r="BI9" s="192" t="str">
        <f>IF(AND($C9&lt;&gt;"",$G9&lt;&gt;""),(VLOOKUP($C9,'V-LOOKUP'!$C$4:$N$59,12,FALSE)),"0")</f>
        <v>0</v>
      </c>
      <c r="BJ9" s="192" t="str">
        <f>IF(AND($C9&lt;&gt;"",H9&lt;&gt;""),(VLOOKUP($C9,'V-LOOKUP'!$C$4:$M$59,4,FALSE)),"0")</f>
        <v>0</v>
      </c>
      <c r="BK9" s="192" t="str">
        <f>IF(AND($C9&lt;&gt;"",$G9&lt;&gt;""),(VLOOKUP($C9,'V-LOOKUP'!$C$4:$M$59,5,FALSE)),"0")</f>
        <v>0</v>
      </c>
      <c r="BL9" s="192" t="str">
        <f>IF(AND($C9&lt;&gt;"",$H9&lt;&gt;""),(VLOOKUP($C9,'V-LOOKUP'!$C$4:$M$59,6,FALSE)),"0")</f>
        <v>0</v>
      </c>
      <c r="BM9" s="192" t="str">
        <f>IF(AND($C9&lt;&gt;"",$H9&lt;&gt;""),(VLOOKUP($C9,'V-LOOKUP'!$C$4:$M$59,7,FALSE)),"0")</f>
        <v>0</v>
      </c>
      <c r="BN9" s="192" t="str">
        <f>IF(AND($C9&lt;&gt;"",$H9&lt;&gt;""),(VLOOKUP($C9,'V-LOOKUP'!$C$4:$M$59,8,FALSE)),"0")</f>
        <v>0</v>
      </c>
      <c r="BO9" s="192" t="str">
        <f>IF(AND($C9&lt;&gt;"",$H9&lt;&gt;""),(VLOOKUP($C9,'V-LOOKUP'!$C$4:$M$59,9,FALSE)),"0")</f>
        <v>0</v>
      </c>
      <c r="BP9" s="192" t="str">
        <f>IF(AND($C9&lt;&gt;"",$H9&lt;&gt;""),(VLOOKUP($C9,'V-LOOKUP'!$C$4:$M$59,10,FALSE)),"0")</f>
        <v>0</v>
      </c>
      <c r="BQ9" s="192" t="str">
        <f>IF(AND($C9&lt;&gt;"",$H9&lt;&gt;""),(VLOOKUP($C9,'V-LOOKUP'!$C$4:$M$59,11,FALSE)),"0")</f>
        <v>0</v>
      </c>
      <c r="BR9" s="192" t="str">
        <f>IF(AND($C9&lt;&gt;"",$H9&lt;&gt;""),(VLOOKUP($C9,'V-LOOKUP'!$C$4:$N$59,12,FALSE)),"0")</f>
        <v>0</v>
      </c>
      <c r="BS9" s="192" t="str">
        <f>IF(AND($C9&lt;&gt;"",I9&lt;&gt;""),(VLOOKUP($C9,'V-LOOKUP'!$C$4:$M$59,4,FALSE)),"0")</f>
        <v>0</v>
      </c>
      <c r="BT9" s="192" t="str">
        <f>IF(AND($C9&lt;&gt;"",$I9&lt;&gt;""),(VLOOKUP($C9,'V-LOOKUP'!$C$4:$M$59,5,FALSE)),"0")</f>
        <v>0</v>
      </c>
      <c r="BU9" s="192" t="str">
        <f>IF(AND($C9&lt;&gt;"",$I9&lt;&gt;""),(VLOOKUP($C9,'V-LOOKUP'!$C$4:$M$59,6,FALSE)),"0")</f>
        <v>0</v>
      </c>
      <c r="BV9" s="192" t="str">
        <f>IF(AND($C9&lt;&gt;"",$I9&lt;&gt;""),(VLOOKUP($C9,'V-LOOKUP'!$C$4:$M$59,7,FALSE)),"0")</f>
        <v>0</v>
      </c>
      <c r="BW9" s="192" t="str">
        <f>IF(AND($C9&lt;&gt;"",$I9&lt;&gt;""),(VLOOKUP($C9,'V-LOOKUP'!$C$4:$M$59,8,FALSE)),"0")</f>
        <v>0</v>
      </c>
      <c r="BX9" s="192" t="str">
        <f>IF(AND($C9&lt;&gt;"",$I9&lt;&gt;""),(VLOOKUP($C9,'V-LOOKUP'!$C$4:$M$59,9,FALSE)),"0")</f>
        <v>0</v>
      </c>
      <c r="BY9" s="192" t="str">
        <f>IF(AND($C9&lt;&gt;"",$I9&lt;&gt;""),(VLOOKUP($C9,'V-LOOKUP'!$C$4:$M$59,10,FALSE)),"0")</f>
        <v>0</v>
      </c>
      <c r="BZ9" s="192" t="str">
        <f>IF(AND($C9&lt;&gt;"",$I9&lt;&gt;""),(VLOOKUP($C9,'V-LOOKUP'!$C$4:$M$59,11,FALSE)),"0")</f>
        <v>0</v>
      </c>
      <c r="CA9" s="192" t="str">
        <f>IF(AND($C9&lt;&gt;"",$I9&lt;&gt;""),(VLOOKUP($C9,'V-LOOKUP'!$C$4:$N$59,12,FALSE)),"0")</f>
        <v>0</v>
      </c>
      <c r="CB9" s="192" t="str">
        <f>IF(AND($C9&lt;&gt;"",J9&lt;&gt;""),(VLOOKUP($C9,'V-LOOKUP'!$C$4:$M$59,4,FALSE)),"0")</f>
        <v>0</v>
      </c>
      <c r="CC9" s="192" t="str">
        <f>IF(AND($C9&lt;&gt;"",$J9&lt;&gt;""),(VLOOKUP($C9,'V-LOOKUP'!$C$4:$M$59,5,FALSE)),"0")</f>
        <v>0</v>
      </c>
      <c r="CD9" s="192" t="str">
        <f>IF(AND($C9&lt;&gt;"",$J9&lt;&gt;""),(VLOOKUP($C9,'V-LOOKUP'!$C$4:$M$59,6,FALSE)),"0")</f>
        <v>0</v>
      </c>
      <c r="CE9" s="192" t="str">
        <f>IF(AND($C9&lt;&gt;"",$J9&lt;&gt;""),(VLOOKUP($C9,'V-LOOKUP'!$C$4:$M$59,7,FALSE)),"0")</f>
        <v>0</v>
      </c>
      <c r="CF9" s="192" t="str">
        <f>IF(AND($C9&lt;&gt;"",$J9&lt;&gt;""),(VLOOKUP($C9,'V-LOOKUP'!$C$4:$M$59,8,FALSE)),"0")</f>
        <v>0</v>
      </c>
      <c r="CG9" s="192" t="str">
        <f>IF(AND($C9&lt;&gt;"",$J9&lt;&gt;""),(VLOOKUP($C9,'V-LOOKUP'!$C$4:$M$59,9,FALSE)),"0")</f>
        <v>0</v>
      </c>
      <c r="CH9" s="192" t="str">
        <f>IF(AND($C9&lt;&gt;"",$J9&lt;&gt;""),(VLOOKUP($C9,'V-LOOKUP'!$C$4:$M$59,10,FALSE)),"0")</f>
        <v>0</v>
      </c>
      <c r="CI9" s="192" t="str">
        <f>IF(AND($C9&lt;&gt;"",$J9&lt;&gt;""),(VLOOKUP($C9,'V-LOOKUP'!$C$4:$M$59,11,FALSE)),"0")</f>
        <v>0</v>
      </c>
      <c r="CJ9" s="192" t="str">
        <f>IF(AND($C9&lt;&gt;"",$J9&lt;&gt;""),(VLOOKUP($C9,'V-LOOKUP'!$C$4:$N$59,12,FALSE)),"0")</f>
        <v>0</v>
      </c>
      <c r="CK9" s="192" t="str">
        <f>IF(AND($C9&lt;&gt;"",K9&lt;&gt;""),(VLOOKUP($C9,'V-LOOKUP'!$C$4:$M$59,4,FALSE)),"0")</f>
        <v>0</v>
      </c>
      <c r="CL9" s="192" t="str">
        <f>IF(AND($C9&lt;&gt;"",$K9&lt;&gt;""),(VLOOKUP($C9,'V-LOOKUP'!$C$4:$M$59,5,FALSE)),"0")</f>
        <v>0</v>
      </c>
      <c r="CM9" s="192" t="str">
        <f>IF(AND($C9&lt;&gt;"",$K9&lt;&gt;""),(VLOOKUP($C9,'V-LOOKUP'!$C$4:$M$59,6,FALSE)),"0")</f>
        <v>0</v>
      </c>
      <c r="CN9" s="192" t="str">
        <f>IF(AND($C9&lt;&gt;"",$K9&lt;&gt;""),(VLOOKUP($C9,'V-LOOKUP'!$C$4:$M$59,7,FALSE)),"0")</f>
        <v>0</v>
      </c>
      <c r="CO9" s="192" t="str">
        <f>IF(AND($C9&lt;&gt;"",$K9&lt;&gt;""),(VLOOKUP($C9,'V-LOOKUP'!$C$4:$M$59,8,FALSE)),"0")</f>
        <v>0</v>
      </c>
      <c r="CP9" s="192" t="str">
        <f>IF(AND($C9&lt;&gt;"",$K9&lt;&gt;""),(VLOOKUP($C9,'V-LOOKUP'!$C$4:$M$59,9,FALSE)),"0")</f>
        <v>0</v>
      </c>
      <c r="CQ9" s="192" t="str">
        <f>IF(AND($C9&lt;&gt;"",$K9&lt;&gt;""),(VLOOKUP($C9,'V-LOOKUP'!$C$4:$M$59,10,FALSE)),"0")</f>
        <v>0</v>
      </c>
      <c r="CR9" s="192" t="str">
        <f>IF(AND($C9&lt;&gt;"",$K9&lt;&gt;""),(VLOOKUP($C9,'V-LOOKUP'!$C$4:$M$59,11,FALSE)),"0")</f>
        <v>0</v>
      </c>
      <c r="CS9" s="192" t="str">
        <f>IF(AND($C9&lt;&gt;"",$K9&lt;&gt;""),(VLOOKUP($C9,'V-LOOKUP'!$C$4:$N$59,12,FALSE)),"0")</f>
        <v>0</v>
      </c>
      <c r="CT9" s="192" t="str">
        <f>IF(AND($C9&lt;&gt;"",L9&lt;&gt;""),(VLOOKUP($C9,'V-LOOKUP'!$C$4:$M$59,4,FALSE)),"0")</f>
        <v>0</v>
      </c>
      <c r="CU9" s="192" t="str">
        <f>IF(AND($C9&lt;&gt;"",$L9&lt;&gt;""),(VLOOKUP($C9,'V-LOOKUP'!$C$4:$M$59,5,FALSE)),"0")</f>
        <v>0</v>
      </c>
      <c r="CV9" s="192" t="str">
        <f>IF(AND($C9&lt;&gt;"",$L9&lt;&gt;""),(VLOOKUP($C9,'V-LOOKUP'!$C$4:$M$59,6,FALSE)),"0")</f>
        <v>0</v>
      </c>
      <c r="CW9" s="192" t="str">
        <f>IF(AND($C9&lt;&gt;"",$L9&lt;&gt;""),(VLOOKUP($C9,'V-LOOKUP'!$C$4:$M$59,7,FALSE)),"0")</f>
        <v>0</v>
      </c>
      <c r="CX9" s="192" t="str">
        <f>IF(AND($C9&lt;&gt;"",$L9&lt;&gt;""),(VLOOKUP($C9,'V-LOOKUP'!$C$4:$M$59,8,FALSE)),"0")</f>
        <v>0</v>
      </c>
      <c r="CY9" s="192" t="str">
        <f>IF(AND($C9&lt;&gt;"",$L9&lt;&gt;""),(VLOOKUP($C9,'V-LOOKUP'!$C$4:$M$59,9,FALSE)),"0")</f>
        <v>0</v>
      </c>
      <c r="CZ9" s="192" t="str">
        <f>IF(AND($C9&lt;&gt;"",$L9&lt;&gt;""),(VLOOKUP($C9,'V-LOOKUP'!$C$4:$M$59,10,FALSE)),"0")</f>
        <v>0</v>
      </c>
      <c r="DA9" s="192" t="str">
        <f>IF(AND($C9&lt;&gt;"",$L9&lt;&gt;""),(VLOOKUP($C9,'V-LOOKUP'!$C$4:$M$59,11,FALSE)),"0")</f>
        <v>0</v>
      </c>
      <c r="DB9" s="192" t="str">
        <f>IF(AND($C9&lt;&gt;"",$L9&lt;&gt;""),(VLOOKUP($C9,'V-LOOKUP'!$C$4:$N$59,12,FALSE)),"0")</f>
        <v>0</v>
      </c>
      <c r="DC9" s="192" t="str">
        <f>IF(AND($C9&lt;&gt;"",M9&lt;&gt;""),(VLOOKUP($C9,'V-LOOKUP'!$C$4:$M$59,4,FALSE)),"0")</f>
        <v>0</v>
      </c>
      <c r="DD9" s="192" t="str">
        <f>IF(AND($C9&lt;&gt;"",$M9&lt;&gt;""),(VLOOKUP($C9,'V-LOOKUP'!$C$4:$M$59,5,FALSE)),"0")</f>
        <v>0</v>
      </c>
      <c r="DE9" s="192" t="str">
        <f>IF(AND($C9&lt;&gt;"",$M9&lt;&gt;""),(VLOOKUP($C9,'V-LOOKUP'!$C$4:$M$59,6,FALSE)),"0")</f>
        <v>0</v>
      </c>
      <c r="DF9" s="192" t="str">
        <f>IF(AND($C9&lt;&gt;"",$M9&lt;&gt;""),(VLOOKUP($C9,'V-LOOKUP'!$C$4:$M$59,7,FALSE)),"0")</f>
        <v>0</v>
      </c>
      <c r="DG9" s="192" t="str">
        <f>IF(AND($C9&lt;&gt;"",$M9&lt;&gt;""),(VLOOKUP($C9,'V-LOOKUP'!$C$4:$M$59,8,FALSE)),"0")</f>
        <v>0</v>
      </c>
      <c r="DH9" s="192" t="str">
        <f>IF(AND($C9&lt;&gt;"",$M9&lt;&gt;""),(VLOOKUP($C9,'V-LOOKUP'!$C$4:$M$59,9,FALSE)),"0")</f>
        <v>0</v>
      </c>
      <c r="DI9" s="192" t="str">
        <f>IF(AND($C9&lt;&gt;"",$M9&lt;&gt;""),(VLOOKUP($C9,'V-LOOKUP'!$C$4:$M$59,10,FALSE)),"0")</f>
        <v>0</v>
      </c>
      <c r="DJ9" s="192" t="str">
        <f>IF(AND($C9&lt;&gt;"",$M9&lt;&gt;""),(VLOOKUP($C9,'V-LOOKUP'!$C$4:$M$59,11,FALSE)),"0")</f>
        <v>0</v>
      </c>
      <c r="DK9" s="192" t="str">
        <f>IF(AND($C9&lt;&gt;"",$M9&lt;&gt;""),(VLOOKUP($C9,'V-LOOKUP'!$C$4:$N$59,12,FALSE)),"0")</f>
        <v>0</v>
      </c>
      <c r="DL9" s="192" t="str">
        <f>IF(AND($C9&lt;&gt;"",$N9&lt;&gt;""),(VLOOKUP($C9,'V-LOOKUP'!$C$4:$M$59,4,FALSE)),"0")</f>
        <v>0</v>
      </c>
      <c r="DM9" s="192" t="str">
        <f>IF(AND($C9&lt;&gt;"",$N9&lt;&gt;""),(VLOOKUP($C9,'V-LOOKUP'!$C$4:$M$59,5,FALSE)),"0")</f>
        <v>0</v>
      </c>
      <c r="DN9" s="192" t="str">
        <f>IF(AND($C9&lt;&gt;"",$N9&lt;&gt;""),(VLOOKUP($C9,'V-LOOKUP'!$C$4:$M$59,6,FALSE)),"0")</f>
        <v>0</v>
      </c>
      <c r="DO9" s="192" t="str">
        <f>IF(AND($C9&lt;&gt;"",$N9&lt;&gt;""),(VLOOKUP($C9,'V-LOOKUP'!$C$4:$M$59,7,FALSE)),"0")</f>
        <v>0</v>
      </c>
      <c r="DP9" s="192" t="str">
        <f>IF(AND($C9&lt;&gt;"",$N9&lt;&gt;""),(VLOOKUP($C9,'V-LOOKUP'!$C$4:$M$59,8,FALSE)),"0")</f>
        <v>0</v>
      </c>
      <c r="DQ9" s="192" t="str">
        <f>IF(AND($C9&lt;&gt;"",$N9&lt;&gt;""),(VLOOKUP($C9,'V-LOOKUP'!$C$4:$M$59,9,FALSE)),"0")</f>
        <v>0</v>
      </c>
      <c r="DR9" s="192" t="str">
        <f>IF(AND($C9&lt;&gt;"",$N9&lt;&gt;""),(VLOOKUP($C9,'V-LOOKUP'!$C$4:$M$59,10,FALSE)),"0")</f>
        <v>0</v>
      </c>
      <c r="DS9" s="192" t="str">
        <f>IF(AND($C9&lt;&gt;"",$N9&lt;&gt;""),(VLOOKUP($C9,'V-LOOKUP'!$C$4:$M$59,11,FALSE)),"0")</f>
        <v>0</v>
      </c>
      <c r="DT9" s="192" t="str">
        <f>IF(AND($C9&lt;&gt;"",$N9&lt;&gt;""),(VLOOKUP($C9,'V-LOOKUP'!$C$4:$N$59,12,FALSE)),"0")</f>
        <v>0</v>
      </c>
      <c r="DU9" s="192" t="str">
        <f>IF(AND($C9&lt;&gt;"",O9&lt;&gt;""),(VLOOKUP($C9,'V-LOOKUP'!$C$4:$M$59,4,FALSE)),"0")</f>
        <v>0</v>
      </c>
      <c r="DV9" s="192" t="str">
        <f>IF(AND($C9&lt;&gt;"",$O9&lt;&gt;""),(VLOOKUP($C9,'V-LOOKUP'!$C$4:$M$59,5,FALSE)),"0")</f>
        <v>0</v>
      </c>
      <c r="DW9" s="192" t="str">
        <f>IF(AND($C9&lt;&gt;"",$O9&lt;&gt;""),(VLOOKUP($C9,'V-LOOKUP'!$C$4:$M$59,6,FALSE)),"0")</f>
        <v>0</v>
      </c>
      <c r="DX9" s="192" t="str">
        <f>IF(AND($C9&lt;&gt;"",$O9&lt;&gt;""),(VLOOKUP($C9,'V-LOOKUP'!$C$4:$M$59,7,FALSE)),"0")</f>
        <v>0</v>
      </c>
      <c r="DY9" s="192" t="str">
        <f>IF(AND($C9&lt;&gt;"",$O9&lt;&gt;""),(VLOOKUP($C9,'V-LOOKUP'!$C$4:$M$59,8,FALSE)),"0")</f>
        <v>0</v>
      </c>
      <c r="DZ9" s="192" t="str">
        <f>IF(AND($C9&lt;&gt;"",$O9&lt;&gt;""),(VLOOKUP($C9,'V-LOOKUP'!$C$4:$M$59,9,FALSE)),"0")</f>
        <v>0</v>
      </c>
      <c r="EA9" s="192" t="str">
        <f>IF(AND($C9&lt;&gt;"",$O9&lt;&gt;""),(VLOOKUP($C9,'V-LOOKUP'!$C$4:$M$59,10,FALSE)),"0")</f>
        <v>0</v>
      </c>
      <c r="EB9" s="192" t="str">
        <f>IF(AND($C9&lt;&gt;"",$O9&lt;&gt;""),(VLOOKUP($C9,'V-LOOKUP'!$C$4:$M$59,11,FALSE)),"0")</f>
        <v>0</v>
      </c>
      <c r="EC9" s="192" t="str">
        <f>IF(AND($C9&lt;&gt;"",$O9&lt;&gt;""),(VLOOKUP($C9,'V-LOOKUP'!$C$4:$N$59,12,FALSE)),"0")</f>
        <v>0</v>
      </c>
      <c r="ED9" s="192" t="str">
        <f>IF(AND($C9&lt;&gt;"",P9&lt;&gt;""),(VLOOKUP($C9,'V-LOOKUP'!$C$4:$M$59,4,FALSE)),"0")</f>
        <v>0</v>
      </c>
      <c r="EE9" s="192" t="str">
        <f>IF(AND($C9&lt;&gt;"",$P9&lt;&gt;""),(VLOOKUP($C9,'V-LOOKUP'!$C$4:$M$59,5,FALSE)),"0")</f>
        <v>0</v>
      </c>
      <c r="EF9" s="192" t="str">
        <f>IF(AND($C9&lt;&gt;"",$P9&lt;&gt;""),(VLOOKUP($C9,'V-LOOKUP'!$C$4:$M$59,6,FALSE)),"0")</f>
        <v>0</v>
      </c>
      <c r="EG9" s="192" t="str">
        <f>IF(AND($C9&lt;&gt;"",$P9&lt;&gt;""),(VLOOKUP($C9,'V-LOOKUP'!$C$4:$M$59,7,FALSE)),"0")</f>
        <v>0</v>
      </c>
      <c r="EH9" s="192" t="str">
        <f>IF(AND($C9&lt;&gt;"",$P9&lt;&gt;""),(VLOOKUP($C9,'V-LOOKUP'!$C$4:$M$59,8,FALSE)),"0")</f>
        <v>0</v>
      </c>
      <c r="EI9" s="192" t="str">
        <f>IF(AND($C9&lt;&gt;"",$P9&lt;&gt;""),(VLOOKUP($C9,'V-LOOKUP'!$C$4:$M$59,9,FALSE)),"0")</f>
        <v>0</v>
      </c>
      <c r="EJ9" s="192" t="str">
        <f>IF(AND($C9&lt;&gt;"",$P9&lt;&gt;""),(VLOOKUP($C9,'V-LOOKUP'!$C$4:$M$59,10,FALSE)),"0")</f>
        <v>0</v>
      </c>
      <c r="EK9" s="192" t="str">
        <f>IF(AND($C9&lt;&gt;"",$P9&lt;&gt;""),(VLOOKUP($C9,'V-LOOKUP'!$C$4:$M$59,11,FALSE)),"0")</f>
        <v>0</v>
      </c>
      <c r="EL9" s="192" t="str">
        <f>IF(AND($C9&lt;&gt;"",$P9&lt;&gt;""),(VLOOKUP($C9,'V-LOOKUP'!$C$4:$N$59,12,FALSE)),"0")</f>
        <v>0</v>
      </c>
      <c r="EM9" s="192" t="str">
        <f>IF(AND($C9&lt;&gt;"",Q9&lt;&gt;""),(VLOOKUP($C9,'V-LOOKUP'!$C$4:$M$59,4,FALSE)),"0")</f>
        <v>0</v>
      </c>
      <c r="EN9" s="192" t="str">
        <f>IF(AND($C9&lt;&gt;"",$Q9&lt;&gt;""),(VLOOKUP($C9,'V-LOOKUP'!$C$4:$M$59,5,FALSE)),"0")</f>
        <v>0</v>
      </c>
      <c r="EO9" s="192" t="str">
        <f>IF(AND($C9&lt;&gt;"",$Q9&lt;&gt;""),(VLOOKUP($C9,'V-LOOKUP'!$C$4:$M$59,6,FALSE)),"0")</f>
        <v>0</v>
      </c>
      <c r="EP9" s="192" t="str">
        <f>IF(AND($C9&lt;&gt;"",$Q9&lt;&gt;""),(VLOOKUP($C9,'V-LOOKUP'!$C$4:$M$59,7,FALSE)),"0")</f>
        <v>0</v>
      </c>
      <c r="EQ9" s="192" t="str">
        <f>IF(AND($C9&lt;&gt;"",$Q9&lt;&gt;""),(VLOOKUP($C9,'V-LOOKUP'!$C$4:$M$59,8,FALSE)),"0")</f>
        <v>0</v>
      </c>
      <c r="ER9" s="192" t="str">
        <f>IF(AND($C9&lt;&gt;"",$Q9&lt;&gt;""),(VLOOKUP($C9,'V-LOOKUP'!$C$4:$M$59,9,FALSE)),"0")</f>
        <v>0</v>
      </c>
      <c r="ES9" s="192" t="str">
        <f>IF(AND($C9&lt;&gt;"",$Q9&lt;&gt;""),(VLOOKUP($C9,'V-LOOKUP'!$C$4:$M$59,10,FALSE)),"0")</f>
        <v>0</v>
      </c>
      <c r="ET9" s="192" t="str">
        <f>IF(AND($C9&lt;&gt;"",$Q9&lt;&gt;""),(VLOOKUP($C9,'V-LOOKUP'!$C$4:$M$59,11,FALSE)),"0")</f>
        <v>0</v>
      </c>
      <c r="EU9" s="192" t="str">
        <f>IF(AND($C9&lt;&gt;"",$Q9&lt;&gt;""),(VLOOKUP($C9,'V-LOOKUP'!$C$4:$N$59,12,FALSE)),"0")</f>
        <v>0</v>
      </c>
      <c r="EV9" s="192" t="str">
        <f>IF(AND($C9&lt;&gt;"",R9&lt;&gt;""),(VLOOKUP($C9,'V-LOOKUP'!$C$4:$M$59,4,FALSE)),"0")</f>
        <v>0</v>
      </c>
      <c r="EW9" s="192" t="str">
        <f>IF(AND($C9&lt;&gt;"",$R9&lt;&gt;""),(VLOOKUP($C9,'V-LOOKUP'!$C$4:$M$59,5,FALSE)),"0")</f>
        <v>0</v>
      </c>
      <c r="EX9" s="192" t="str">
        <f>IF(AND($C9&lt;&gt;"",$R9&lt;&gt;""),(VLOOKUP($C9,'V-LOOKUP'!$C$4:$M$59,6,FALSE)),"0")</f>
        <v>0</v>
      </c>
      <c r="EY9" s="192" t="str">
        <f>IF(AND($C9&lt;&gt;"",$R9&lt;&gt;""),(VLOOKUP($C9,'V-LOOKUP'!$C$4:$M$59,7,FALSE)),"0")</f>
        <v>0</v>
      </c>
      <c r="EZ9" s="192" t="str">
        <f>IF(AND($C9&lt;&gt;"",$R9&lt;&gt;""),(VLOOKUP($C9,'V-LOOKUP'!$C$4:$M$59,8,FALSE)),"0")</f>
        <v>0</v>
      </c>
      <c r="FA9" s="192" t="str">
        <f>IF(AND($C9&lt;&gt;"",$R9&lt;&gt;""),(VLOOKUP($C9,'V-LOOKUP'!$C$4:$M$59,9,FALSE)),"0")</f>
        <v>0</v>
      </c>
      <c r="FB9" s="192" t="str">
        <f>IF(AND($C9&lt;&gt;"",$R9&lt;&gt;""),(VLOOKUP($C9,'V-LOOKUP'!$C$4:$M$59,10,FALSE)),"0")</f>
        <v>0</v>
      </c>
      <c r="FC9" s="192" t="str">
        <f>IF(AND($C9&lt;&gt;"",$R9&lt;&gt;""),(VLOOKUP($C9,'V-LOOKUP'!$C$4:$M$59,11,FALSE)),"0")</f>
        <v>0</v>
      </c>
      <c r="FD9" s="192" t="str">
        <f>IF(AND($C9&lt;&gt;"",$R9&lt;&gt;""),(VLOOKUP($C9,'V-LOOKUP'!$C$4:$N$59,12,FALSE)),"0")</f>
        <v>0</v>
      </c>
      <c r="FE9" s="192" t="str">
        <f>IF(AND($C9&lt;&gt;"",S9&lt;&gt;""),(VLOOKUP($C9,'V-LOOKUP'!$C$4:$M$59,4,FALSE)),"0")</f>
        <v>0</v>
      </c>
      <c r="FF9" s="192" t="str">
        <f>IF(AND($C9&lt;&gt;"",$S9&lt;&gt;""),(VLOOKUP($C9,'V-LOOKUP'!$C$4:$M$59,5,FALSE)),"0")</f>
        <v>0</v>
      </c>
      <c r="FG9" s="192" t="str">
        <f>IF(AND($C9&lt;&gt;"",$S9&lt;&gt;""),(VLOOKUP($C9,'V-LOOKUP'!$C$4:$M$59,6,FALSE)),"0")</f>
        <v>0</v>
      </c>
      <c r="FH9" s="192" t="str">
        <f>IF(AND($C9&lt;&gt;"",$S9&lt;&gt;""),(VLOOKUP($C9,'V-LOOKUP'!$C$4:$M$59,7,FALSE)),"0")</f>
        <v>0</v>
      </c>
      <c r="FI9" s="192" t="str">
        <f>IF(AND($C9&lt;&gt;"",$S9&lt;&gt;""),(VLOOKUP($C9,'V-LOOKUP'!$C$4:$M$59,8,FALSE)),"0")</f>
        <v>0</v>
      </c>
      <c r="FJ9" s="192" t="str">
        <f>IF(AND($C9&lt;&gt;"",$S9&lt;&gt;""),(VLOOKUP($C9,'V-LOOKUP'!$C$4:$M$59,9,FALSE)),"0")</f>
        <v>0</v>
      </c>
      <c r="FK9" s="192" t="str">
        <f>IF(AND($C9&lt;&gt;"",$S9&lt;&gt;""),(VLOOKUP($C9,'V-LOOKUP'!$C$4:$M$59,10,FALSE)),"0")</f>
        <v>0</v>
      </c>
      <c r="FL9" s="192" t="str">
        <f>IF(AND($C9&lt;&gt;"",$S9&lt;&gt;""),(VLOOKUP($C9,'V-LOOKUP'!$C$4:$M$59,11,FALSE)),"0")</f>
        <v>0</v>
      </c>
      <c r="FM9" s="192" t="str">
        <f>IF(AND($C9&lt;&gt;"",$S9&lt;&gt;""),(VLOOKUP($C9,'V-LOOKUP'!$C$4:$N$59,12,FALSE)),"0")</f>
        <v>0</v>
      </c>
      <c r="FN9" s="192" t="str">
        <f>IF(AND($C9&lt;&gt;"",T9&lt;&gt;""),(VLOOKUP($C9,'V-LOOKUP'!$C$4:$M$59,4,FALSE)),"0")</f>
        <v>0</v>
      </c>
      <c r="FO9" s="192" t="str">
        <f>IF(AND($C9&lt;&gt;"",$T9&lt;&gt;""),(VLOOKUP($C9,'V-LOOKUP'!$C$4:$M$59,5,FALSE)),"0")</f>
        <v>0</v>
      </c>
      <c r="FP9" s="192" t="str">
        <f>IF(AND($C9&lt;&gt;"",$T9&lt;&gt;""),(VLOOKUP($C9,'V-LOOKUP'!$C$4:$M$59,6,FALSE)),"0")</f>
        <v>0</v>
      </c>
      <c r="FQ9" s="192" t="str">
        <f>IF(AND($C9&lt;&gt;"",$T9&lt;&gt;""),(VLOOKUP($C9,'V-LOOKUP'!$C$4:$M$59,7,FALSE)),"0")</f>
        <v>0</v>
      </c>
      <c r="FR9" s="192" t="str">
        <f>IF(AND($C9&lt;&gt;"",$T9&lt;&gt;""),(VLOOKUP($C9,'V-LOOKUP'!$C$4:$M$59,8,FALSE)),"0")</f>
        <v>0</v>
      </c>
      <c r="FS9" s="192" t="str">
        <f>IF(AND($C9&lt;&gt;"",$T9&lt;&gt;""),(VLOOKUP($C9,'V-LOOKUP'!$C$4:$M$59,9,FALSE)),"0")</f>
        <v>0</v>
      </c>
      <c r="FT9" s="192" t="str">
        <f>IF(AND($C9&lt;&gt;"",$T9&lt;&gt;""),(VLOOKUP($C9,'V-LOOKUP'!$C$4:$M$59,10,FALSE)),"0")</f>
        <v>0</v>
      </c>
      <c r="FU9" s="192" t="str">
        <f>IF(AND($C9&lt;&gt;"",$T9&lt;&gt;""),(VLOOKUP($C9,'V-LOOKUP'!$C$4:$M$59,11,FALSE)),"0")</f>
        <v>0</v>
      </c>
      <c r="FV9" s="192" t="str">
        <f>IF(AND($C9&lt;&gt;"",$T9&lt;&gt;""),(VLOOKUP($C9,'V-LOOKUP'!$C$4:$N$59,12,FALSE)),"0")</f>
        <v>0</v>
      </c>
      <c r="FW9" s="192" t="str">
        <f>IF(AND($C9&lt;&gt;"",U9&lt;&gt;""),(VLOOKUP($C9,'V-LOOKUP'!$C$4:$M$59,4,FALSE)),"0")</f>
        <v>0</v>
      </c>
      <c r="FX9" s="192" t="str">
        <f>IF(AND($C9&lt;&gt;"",$U9&lt;&gt;""),(VLOOKUP($C9,'V-LOOKUP'!$C$4:$M$59,5,FALSE)),"0")</f>
        <v>0</v>
      </c>
      <c r="FY9" s="192" t="str">
        <f>IF(AND($C9&lt;&gt;"",$U9&lt;&gt;""),(VLOOKUP($C9,'V-LOOKUP'!$C$4:$M$59,6,FALSE)),"0")</f>
        <v>0</v>
      </c>
      <c r="FZ9" s="192" t="str">
        <f>IF(AND($C9&lt;&gt;"",$U9&lt;&gt;""),(VLOOKUP($C9,'V-LOOKUP'!$C$4:$M$59,7,FALSE)),"0")</f>
        <v>0</v>
      </c>
      <c r="GA9" s="192" t="str">
        <f>IF(AND($C9&lt;&gt;"",$U9&lt;&gt;""),(VLOOKUP($C9,'V-LOOKUP'!$C$4:$M$59,8,FALSE)),"0")</f>
        <v>0</v>
      </c>
      <c r="GB9" s="192" t="str">
        <f>IF(AND($C9&lt;&gt;"",$U9&lt;&gt;""),(VLOOKUP($C9,'V-LOOKUP'!$C$4:$M$59,9,FALSE)),"0")</f>
        <v>0</v>
      </c>
      <c r="GC9" s="192" t="str">
        <f>IF(AND($C9&lt;&gt;"",$U9&lt;&gt;""),(VLOOKUP($C9,'V-LOOKUP'!$C$4:$M$59,10,FALSE)),"0")</f>
        <v>0</v>
      </c>
      <c r="GD9" s="192" t="str">
        <f>IF(AND($C9&lt;&gt;"",$U9&lt;&gt;""),(VLOOKUP($C9,'V-LOOKUP'!$C$4:$M$59,11,FALSE)),"0")</f>
        <v>0</v>
      </c>
      <c r="GE9" s="192" t="str">
        <f>IF(AND($C9&lt;&gt;"",$U9&lt;&gt;""),(VLOOKUP($C9,'V-LOOKUP'!$C$4:$N$59,12,FALSE)),"0")</f>
        <v>0</v>
      </c>
      <c r="GF9" s="192" t="str">
        <f>IF(AND($C9&lt;&gt;"",V9&lt;&gt;""),(VLOOKUP($C9,'V-LOOKUP'!$C$4:$M$59,4,FALSE)),"0")</f>
        <v>0</v>
      </c>
      <c r="GG9" s="192" t="str">
        <f>IF(AND($C9&lt;&gt;"",$V9&lt;&gt;""),(VLOOKUP($C9,'V-LOOKUP'!$C$4:$M$59,5,FALSE)),"0")</f>
        <v>0</v>
      </c>
      <c r="GH9" s="192" t="str">
        <f>IF(AND($C9&lt;&gt;"",$V9&lt;&gt;""),(VLOOKUP($C9,'V-LOOKUP'!$C$4:$M$59,6,FALSE)),"0")</f>
        <v>0</v>
      </c>
      <c r="GI9" s="192" t="str">
        <f>IF(AND($C9&lt;&gt;"",$V9&lt;&gt;""),(VLOOKUP($C9,'V-LOOKUP'!$C$4:$M$59,7,FALSE)),"0")</f>
        <v>0</v>
      </c>
      <c r="GJ9" s="192" t="str">
        <f>IF(AND($C9&lt;&gt;"",$V9&lt;&gt;""),(VLOOKUP($C9,'V-LOOKUP'!$C$4:$M$59,8,FALSE)),"0")</f>
        <v>0</v>
      </c>
      <c r="GK9" s="192" t="str">
        <f>IF(AND($C9&lt;&gt;"",$V9&lt;&gt;""),(VLOOKUP($C9,'V-LOOKUP'!$C$4:$M$59,9,FALSE)),"0")</f>
        <v>0</v>
      </c>
      <c r="GL9" s="192" t="str">
        <f>IF(AND($C9&lt;&gt;"",$V9&lt;&gt;""),(VLOOKUP($C9,'V-LOOKUP'!$C$4:$M$59,10,FALSE)),"0")</f>
        <v>0</v>
      </c>
      <c r="GM9" s="192" t="str">
        <f>IF(AND($C9&lt;&gt;"",$V9&lt;&gt;""),(VLOOKUP($C9,'V-LOOKUP'!$C$4:$M$59,11,FALSE)),"0")</f>
        <v>0</v>
      </c>
      <c r="GN9" s="192" t="str">
        <f>IF(AND($C9&lt;&gt;"",$V9&lt;&gt;""),(VLOOKUP($C9,'V-LOOKUP'!$C$4:$N$59,12,FALSE)),"0")</f>
        <v>0</v>
      </c>
      <c r="GO9" s="192" t="str">
        <f>IF(AND($C9&lt;&gt;"",W9&lt;&gt;""),(VLOOKUP($C9,'V-LOOKUP'!$C$4:$M$59,4,FALSE)),"0")</f>
        <v>0</v>
      </c>
      <c r="GP9" s="192" t="str">
        <f>IF(AND($C9&lt;&gt;"",$W9&lt;&gt;""),(VLOOKUP($C9,'V-LOOKUP'!$C$4:$M$59,5,FALSE)),"0")</f>
        <v>0</v>
      </c>
      <c r="GQ9" s="192" t="str">
        <f>IF(AND($C9&lt;&gt;"",$W9&lt;&gt;""),(VLOOKUP($C9,'V-LOOKUP'!$C$4:$M$59,6,FALSE)),"0")</f>
        <v>0</v>
      </c>
      <c r="GR9" s="192" t="str">
        <f>IF(AND($C9&lt;&gt;"",$W9&lt;&gt;""),(VLOOKUP($C9,'V-LOOKUP'!$C$4:$M$59,7,FALSE)),"0")</f>
        <v>0</v>
      </c>
      <c r="GS9" s="192" t="str">
        <f>IF(AND($C9&lt;&gt;"",$W9&lt;&gt;""),(VLOOKUP($C9,'V-LOOKUP'!$C$4:$M$59,8,FALSE)),"0")</f>
        <v>0</v>
      </c>
      <c r="GT9" s="192" t="str">
        <f>IF(AND($C9&lt;&gt;"",$W9&lt;&gt;""),(VLOOKUP($C9,'V-LOOKUP'!$C$4:$M$59,9,FALSE)),"0")</f>
        <v>0</v>
      </c>
      <c r="GU9" s="192" t="str">
        <f>IF(AND($C9&lt;&gt;"",$W9&lt;&gt;""),(VLOOKUP($C9,'V-LOOKUP'!$C$4:$M$59,10,FALSE)),"0")</f>
        <v>0</v>
      </c>
      <c r="GV9" s="192" t="str">
        <f>IF(AND($C9&lt;&gt;"",$W9&lt;&gt;""),(VLOOKUP($C9,'V-LOOKUP'!$C$4:$M$59,11,FALSE)),"0")</f>
        <v>0</v>
      </c>
      <c r="GW9" s="192" t="str">
        <f>IF(AND($C9&lt;&gt;"",$W9&lt;&gt;""),(VLOOKUP($C9,'V-LOOKUP'!$C$4:$N$59,12,FALSE)),"0")</f>
        <v>0</v>
      </c>
    </row>
    <row r="10" spans="1:205" ht="14.65" customHeight="1">
      <c r="A10" s="193"/>
      <c r="B10" s="245"/>
      <c r="C10" s="201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Y10" s="190"/>
      <c r="Z10" s="192" t="str">
        <f>IF(AND($C10&lt;&gt;"",$D10&lt;&gt;""),(VLOOKUP($C10,'V-LOOKUP'!$C$4:$M$59,4,FALSE)),"0")</f>
        <v>0</v>
      </c>
      <c r="AA10" s="192" t="str">
        <f>IF(AND($C10&lt;&gt;"",$D10&lt;&gt;""),(VLOOKUP($C10,'V-LOOKUP'!$C$4:$M$59,5,FALSE)),"0")</f>
        <v>0</v>
      </c>
      <c r="AB10" s="192" t="str">
        <f>IF(AND($C10&lt;&gt;"",$D10&lt;&gt;""),(VLOOKUP($C10,'V-LOOKUP'!$C$4:$M$59,6,FALSE)),"0")</f>
        <v>0</v>
      </c>
      <c r="AC10" s="192" t="str">
        <f>IF(AND($C10&lt;&gt;"",$D10&lt;&gt;""),(VLOOKUP($C10,'V-LOOKUP'!$C$4:$M$59,7,FALSE)),"0")</f>
        <v>0</v>
      </c>
      <c r="AD10" s="192" t="str">
        <f>IF(AND($C10&lt;&gt;"",$D10&lt;&gt;""),(VLOOKUP($C10,'V-LOOKUP'!$C$4:$M$59,8,FALSE)),"0")</f>
        <v>0</v>
      </c>
      <c r="AE10" s="192" t="str">
        <f>IF(AND($C10&lt;&gt;"",$D10&lt;&gt;""),(VLOOKUP($C10,'V-LOOKUP'!$C$4:$M$59,9,FALSE)),"0")</f>
        <v>0</v>
      </c>
      <c r="AF10" s="192" t="str">
        <f>IF(AND($C10&lt;&gt;"",$D10&lt;&gt;""),(VLOOKUP($C10,'V-LOOKUP'!$C$4:$M$59,10,FALSE)),"0")</f>
        <v>0</v>
      </c>
      <c r="AG10" s="192" t="str">
        <f>IF(AND($C10&lt;&gt;"",$D10&lt;&gt;""),(VLOOKUP($C10,'V-LOOKUP'!$C$4:$M$59,11,FALSE)),"0")</f>
        <v>0</v>
      </c>
      <c r="AH10" s="192" t="str">
        <f>IF(AND($C10&lt;&gt;"",$D10&lt;&gt;""),(VLOOKUP($C10,'V-LOOKUP'!$C$4:$N$59,12,FALSE)),"0")</f>
        <v>0</v>
      </c>
      <c r="AI10" s="192" t="str">
        <f>IF(AND($C10&lt;&gt;"",E10&lt;&gt;""),(VLOOKUP($C10,'V-LOOKUP'!$C$4:$M$59,4,FALSE)),"0")</f>
        <v>0</v>
      </c>
      <c r="AJ10" s="192" t="str">
        <f>IF(AND($C10&lt;&gt;"",$E10&lt;&gt;""),(VLOOKUP($C10,'V-LOOKUP'!$C$4:$M$59,5,FALSE)),"0")</f>
        <v>0</v>
      </c>
      <c r="AK10" s="192" t="str">
        <f>IF(AND($C10&lt;&gt;"",$E10&lt;&gt;""),(VLOOKUP($C10,'V-LOOKUP'!$C$4:$M$59,6,FALSE)),"0")</f>
        <v>0</v>
      </c>
      <c r="AL10" s="192" t="str">
        <f>IF(AND($C10&lt;&gt;"",$E10&lt;&gt;""),(VLOOKUP($C10,'V-LOOKUP'!$C$4:$M$59,7,FALSE)),"0")</f>
        <v>0</v>
      </c>
      <c r="AM10" s="192" t="str">
        <f>IF(AND($C10&lt;&gt;"",$E10&lt;&gt;""),(VLOOKUP($C10,'V-LOOKUP'!$C$4:$M$59,8,FALSE)),"0")</f>
        <v>0</v>
      </c>
      <c r="AN10" s="192" t="str">
        <f>IF(AND($C10&lt;&gt;"",$E10&lt;&gt;""),(VLOOKUP($C10,'V-LOOKUP'!$C$4:$M$59,9,FALSE)),"0")</f>
        <v>0</v>
      </c>
      <c r="AO10" s="192" t="str">
        <f>IF(AND($C10&lt;&gt;"",$E10&lt;&gt;""),(VLOOKUP($C10,'V-LOOKUP'!$C$4:$M$59,10,FALSE)),"0")</f>
        <v>0</v>
      </c>
      <c r="AP10" s="192" t="str">
        <f>IF(AND($C10&lt;&gt;"",$E10&lt;&gt;""),(VLOOKUP($C10,'V-LOOKUP'!$C$4:$M$59,11,FALSE)),"0")</f>
        <v>0</v>
      </c>
      <c r="AQ10" s="192" t="str">
        <f>IF(AND($C10&lt;&gt;"",$E10&lt;&gt;""),(VLOOKUP($C10,'V-LOOKUP'!$C$4:$N$59,12,FALSE)),"0")</f>
        <v>0</v>
      </c>
      <c r="AR10" s="192" t="str">
        <f>IF(AND($C10&lt;&gt;"",$F10&lt;&gt;""),(VLOOKUP($C10,'V-LOOKUP'!$C$4:$M$59,4,FALSE)),"0")</f>
        <v>0</v>
      </c>
      <c r="AS10" s="192" t="str">
        <f>IF(AND($C10&lt;&gt;"",$F10&lt;&gt;""),(VLOOKUP($C10,'V-LOOKUP'!$C$4:$M$59,5,FALSE)),"0")</f>
        <v>0</v>
      </c>
      <c r="AT10" s="192" t="str">
        <f>IF(AND($C10&lt;&gt;"",$F10&lt;&gt;""),(VLOOKUP($C10,'V-LOOKUP'!$C$4:$M$59,6,FALSE)),"0")</f>
        <v>0</v>
      </c>
      <c r="AU10" s="192" t="str">
        <f>IF(AND($C10&lt;&gt;"",$F10&lt;&gt;""),(VLOOKUP($C10,'V-LOOKUP'!$C$4:$M$59,7,FALSE)),"0")</f>
        <v>0</v>
      </c>
      <c r="AV10" s="192" t="str">
        <f>IF(AND($C10&lt;&gt;"",$F10&lt;&gt;""),(VLOOKUP($C10,'V-LOOKUP'!$C$4:$M$59,8,FALSE)),"0")</f>
        <v>0</v>
      </c>
      <c r="AW10" s="192" t="str">
        <f>IF(AND($C10&lt;&gt;"",$F10&lt;&gt;""),(VLOOKUP($C10,'V-LOOKUP'!$C$4:$M$59,9,FALSE)),"0")</f>
        <v>0</v>
      </c>
      <c r="AX10" s="192" t="str">
        <f>IF(AND($C10&lt;&gt;"",$F10&lt;&gt;""),(VLOOKUP($C10,'V-LOOKUP'!$C$4:$M$59,10,FALSE)),"0")</f>
        <v>0</v>
      </c>
      <c r="AY10" s="192" t="str">
        <f>IF(AND($C10&lt;&gt;"",$F10&lt;&gt;""),(VLOOKUP($C10,'V-LOOKUP'!$C$4:$M$59,11,FALSE)),"0")</f>
        <v>0</v>
      </c>
      <c r="AZ10" s="192" t="str">
        <f>IF(AND($C10&lt;&gt;"",$F10&lt;&gt;""),(VLOOKUP($C10,'V-LOOKUP'!$C$4:$N$59,12,FALSE)),"0")</f>
        <v>0</v>
      </c>
      <c r="BA10" s="192" t="str">
        <f>IF(AND($C10&lt;&gt;"",G10&lt;&gt;""),(VLOOKUP($C10,'V-LOOKUP'!$C$4:$M$59,4,FALSE)),"0")</f>
        <v>0</v>
      </c>
      <c r="BB10" s="192" t="str">
        <f>IF(AND($C10&lt;&gt;"",$G10&lt;&gt;""),(VLOOKUP($C10,'V-LOOKUP'!$C$4:$M$59,5,FALSE)),"0")</f>
        <v>0</v>
      </c>
      <c r="BC10" s="192" t="str">
        <f>IF(AND($C10&lt;&gt;"",$G10&lt;&gt;""),(VLOOKUP($C10,'V-LOOKUP'!$C$4:$M$59,6,FALSE)),"0")</f>
        <v>0</v>
      </c>
      <c r="BD10" s="192" t="str">
        <f>IF(AND($C10&lt;&gt;"",$G10&lt;&gt;""),(VLOOKUP($C10,'V-LOOKUP'!$C$4:$M$59,7,FALSE)),"0")</f>
        <v>0</v>
      </c>
      <c r="BE10" s="192" t="str">
        <f>IF(AND($C10&lt;&gt;"",$G10&lt;&gt;""),(VLOOKUP($C10,'V-LOOKUP'!$C$4:$M$59,8,FALSE)),"0")</f>
        <v>0</v>
      </c>
      <c r="BF10" s="192" t="str">
        <f>IF(AND($C10&lt;&gt;"",$G10&lt;&gt;""),(VLOOKUP($C10,'V-LOOKUP'!$C$4:$M$59,9,FALSE)),"0")</f>
        <v>0</v>
      </c>
      <c r="BG10" s="192" t="str">
        <f>IF(AND($C10&lt;&gt;"",$G10&lt;&gt;""),(VLOOKUP($C10,'V-LOOKUP'!$C$4:$M$59,10,FALSE)),"0")</f>
        <v>0</v>
      </c>
      <c r="BH10" s="192" t="str">
        <f>IF(AND($C10&lt;&gt;"",$G10&lt;&gt;""),(VLOOKUP($C10,'V-LOOKUP'!$C$4:$M$59,11,FALSE)),"0")</f>
        <v>0</v>
      </c>
      <c r="BI10" s="192" t="str">
        <f>IF(AND($C10&lt;&gt;"",$G10&lt;&gt;""),(VLOOKUP($C10,'V-LOOKUP'!$C$4:$N$59,12,FALSE)),"0")</f>
        <v>0</v>
      </c>
      <c r="BJ10" s="192" t="str">
        <f>IF(AND($C10&lt;&gt;"",H10&lt;&gt;""),(VLOOKUP($C10,'V-LOOKUP'!$C$4:$M$59,4,FALSE)),"0")</f>
        <v>0</v>
      </c>
      <c r="BK10" s="192" t="str">
        <f>IF(AND($C10&lt;&gt;"",$G10&lt;&gt;""),(VLOOKUP($C10,'V-LOOKUP'!$C$4:$M$59,5,FALSE)),"0")</f>
        <v>0</v>
      </c>
      <c r="BL10" s="192" t="str">
        <f>IF(AND($C10&lt;&gt;"",$H10&lt;&gt;""),(VLOOKUP($C10,'V-LOOKUP'!$C$4:$M$59,6,FALSE)),"0")</f>
        <v>0</v>
      </c>
      <c r="BM10" s="192" t="str">
        <f>IF(AND($C10&lt;&gt;"",$H10&lt;&gt;""),(VLOOKUP($C10,'V-LOOKUP'!$C$4:$M$59,7,FALSE)),"0")</f>
        <v>0</v>
      </c>
      <c r="BN10" s="192" t="str">
        <f>IF(AND($C10&lt;&gt;"",$H10&lt;&gt;""),(VLOOKUP($C10,'V-LOOKUP'!$C$4:$M$59,8,FALSE)),"0")</f>
        <v>0</v>
      </c>
      <c r="BO10" s="192" t="str">
        <f>IF(AND($C10&lt;&gt;"",$H10&lt;&gt;""),(VLOOKUP($C10,'V-LOOKUP'!$C$4:$M$59,9,FALSE)),"0")</f>
        <v>0</v>
      </c>
      <c r="BP10" s="192" t="str">
        <f>IF(AND($C10&lt;&gt;"",$H10&lt;&gt;""),(VLOOKUP($C10,'V-LOOKUP'!$C$4:$M$59,10,FALSE)),"0")</f>
        <v>0</v>
      </c>
      <c r="BQ10" s="192" t="str">
        <f>IF(AND($C10&lt;&gt;"",$H10&lt;&gt;""),(VLOOKUP($C10,'V-LOOKUP'!$C$4:$M$59,11,FALSE)),"0")</f>
        <v>0</v>
      </c>
      <c r="BR10" s="192" t="str">
        <f>IF(AND($C10&lt;&gt;"",$H10&lt;&gt;""),(VLOOKUP($C10,'V-LOOKUP'!$C$4:$N$59,12,FALSE)),"0")</f>
        <v>0</v>
      </c>
      <c r="BS10" s="192" t="str">
        <f>IF(AND($C10&lt;&gt;"",I10&lt;&gt;""),(VLOOKUP($C10,'V-LOOKUP'!$C$4:$M$59,4,FALSE)),"0")</f>
        <v>0</v>
      </c>
      <c r="BT10" s="192" t="str">
        <f>IF(AND($C10&lt;&gt;"",$I10&lt;&gt;""),(VLOOKUP($C10,'V-LOOKUP'!$C$4:$M$59,5,FALSE)),"0")</f>
        <v>0</v>
      </c>
      <c r="BU10" s="192" t="str">
        <f>IF(AND($C10&lt;&gt;"",$I10&lt;&gt;""),(VLOOKUP($C10,'V-LOOKUP'!$C$4:$M$59,6,FALSE)),"0")</f>
        <v>0</v>
      </c>
      <c r="BV10" s="192" t="str">
        <f>IF(AND($C10&lt;&gt;"",$I10&lt;&gt;""),(VLOOKUP($C10,'V-LOOKUP'!$C$4:$M$59,7,FALSE)),"0")</f>
        <v>0</v>
      </c>
      <c r="BW10" s="192" t="str">
        <f>IF(AND($C10&lt;&gt;"",$I10&lt;&gt;""),(VLOOKUP($C10,'V-LOOKUP'!$C$4:$M$59,8,FALSE)),"0")</f>
        <v>0</v>
      </c>
      <c r="BX10" s="192" t="str">
        <f>IF(AND($C10&lt;&gt;"",$I10&lt;&gt;""),(VLOOKUP($C10,'V-LOOKUP'!$C$4:$M$59,9,FALSE)),"0")</f>
        <v>0</v>
      </c>
      <c r="BY10" s="192" t="str">
        <f>IF(AND($C10&lt;&gt;"",$I10&lt;&gt;""),(VLOOKUP($C10,'V-LOOKUP'!$C$4:$M$59,10,FALSE)),"0")</f>
        <v>0</v>
      </c>
      <c r="BZ10" s="192" t="str">
        <f>IF(AND($C10&lt;&gt;"",$I10&lt;&gt;""),(VLOOKUP($C10,'V-LOOKUP'!$C$4:$M$59,11,FALSE)),"0")</f>
        <v>0</v>
      </c>
      <c r="CA10" s="192" t="str">
        <f>IF(AND($C10&lt;&gt;"",$I10&lt;&gt;""),(VLOOKUP($C10,'V-LOOKUP'!$C$4:$N$59,12,FALSE)),"0")</f>
        <v>0</v>
      </c>
      <c r="CB10" s="192" t="str">
        <f>IF(AND($C10&lt;&gt;"",J10&lt;&gt;""),(VLOOKUP($C10,'V-LOOKUP'!$C$4:$M$59,4,FALSE)),"0")</f>
        <v>0</v>
      </c>
      <c r="CC10" s="192" t="str">
        <f>IF(AND($C10&lt;&gt;"",$J10&lt;&gt;""),(VLOOKUP($C10,'V-LOOKUP'!$C$4:$M$59,5,FALSE)),"0")</f>
        <v>0</v>
      </c>
      <c r="CD10" s="192" t="str">
        <f>IF(AND($C10&lt;&gt;"",$J10&lt;&gt;""),(VLOOKUP($C10,'V-LOOKUP'!$C$4:$M$59,6,FALSE)),"0")</f>
        <v>0</v>
      </c>
      <c r="CE10" s="192" t="str">
        <f>IF(AND($C10&lt;&gt;"",$J10&lt;&gt;""),(VLOOKUP($C10,'V-LOOKUP'!$C$4:$M$59,7,FALSE)),"0")</f>
        <v>0</v>
      </c>
      <c r="CF10" s="192" t="str">
        <f>IF(AND($C10&lt;&gt;"",$J10&lt;&gt;""),(VLOOKUP($C10,'V-LOOKUP'!$C$4:$M$59,8,FALSE)),"0")</f>
        <v>0</v>
      </c>
      <c r="CG10" s="192" t="str">
        <f>IF(AND($C10&lt;&gt;"",$J10&lt;&gt;""),(VLOOKUP($C10,'V-LOOKUP'!$C$4:$M$59,9,FALSE)),"0")</f>
        <v>0</v>
      </c>
      <c r="CH10" s="192" t="str">
        <f>IF(AND($C10&lt;&gt;"",$J10&lt;&gt;""),(VLOOKUP($C10,'V-LOOKUP'!$C$4:$M$59,10,FALSE)),"0")</f>
        <v>0</v>
      </c>
      <c r="CI10" s="192" t="str">
        <f>IF(AND($C10&lt;&gt;"",$J10&lt;&gt;""),(VLOOKUP($C10,'V-LOOKUP'!$C$4:$M$59,11,FALSE)),"0")</f>
        <v>0</v>
      </c>
      <c r="CJ10" s="192" t="str">
        <f>IF(AND($C10&lt;&gt;"",$J10&lt;&gt;""),(VLOOKUP($C10,'V-LOOKUP'!$C$4:$N$59,12,FALSE)),"0")</f>
        <v>0</v>
      </c>
      <c r="CK10" s="192" t="str">
        <f>IF(AND($C10&lt;&gt;"",K10&lt;&gt;""),(VLOOKUP($C10,'V-LOOKUP'!$C$4:$M$59,4,FALSE)),"0")</f>
        <v>0</v>
      </c>
      <c r="CL10" s="192" t="str">
        <f>IF(AND($C10&lt;&gt;"",$K10&lt;&gt;""),(VLOOKUP($C10,'V-LOOKUP'!$C$4:$M$59,5,FALSE)),"0")</f>
        <v>0</v>
      </c>
      <c r="CM10" s="192" t="str">
        <f>IF(AND($C10&lt;&gt;"",$K10&lt;&gt;""),(VLOOKUP($C10,'V-LOOKUP'!$C$4:$M$59,6,FALSE)),"0")</f>
        <v>0</v>
      </c>
      <c r="CN10" s="192" t="str">
        <f>IF(AND($C10&lt;&gt;"",$K10&lt;&gt;""),(VLOOKUP($C10,'V-LOOKUP'!$C$4:$M$59,7,FALSE)),"0")</f>
        <v>0</v>
      </c>
      <c r="CO10" s="192" t="str">
        <f>IF(AND($C10&lt;&gt;"",$K10&lt;&gt;""),(VLOOKUP($C10,'V-LOOKUP'!$C$4:$M$59,8,FALSE)),"0")</f>
        <v>0</v>
      </c>
      <c r="CP10" s="192" t="str">
        <f>IF(AND($C10&lt;&gt;"",$K10&lt;&gt;""),(VLOOKUP($C10,'V-LOOKUP'!$C$4:$M$59,9,FALSE)),"0")</f>
        <v>0</v>
      </c>
      <c r="CQ10" s="192" t="str">
        <f>IF(AND($C10&lt;&gt;"",$K10&lt;&gt;""),(VLOOKUP($C10,'V-LOOKUP'!$C$4:$M$59,10,FALSE)),"0")</f>
        <v>0</v>
      </c>
      <c r="CR10" s="192" t="str">
        <f>IF(AND($C10&lt;&gt;"",$K10&lt;&gt;""),(VLOOKUP($C10,'V-LOOKUP'!$C$4:$M$59,11,FALSE)),"0")</f>
        <v>0</v>
      </c>
      <c r="CS10" s="192" t="str">
        <f>IF(AND($C10&lt;&gt;"",$K10&lt;&gt;""),(VLOOKUP($C10,'V-LOOKUP'!$C$4:$N$59,12,FALSE)),"0")</f>
        <v>0</v>
      </c>
      <c r="CT10" s="192" t="str">
        <f>IF(AND($C10&lt;&gt;"",L10&lt;&gt;""),(VLOOKUP($C10,'V-LOOKUP'!$C$4:$M$59,4,FALSE)),"0")</f>
        <v>0</v>
      </c>
      <c r="CU10" s="192" t="str">
        <f>IF(AND($C10&lt;&gt;"",$L10&lt;&gt;""),(VLOOKUP($C10,'V-LOOKUP'!$C$4:$M$59,5,FALSE)),"0")</f>
        <v>0</v>
      </c>
      <c r="CV10" s="192" t="str">
        <f>IF(AND($C10&lt;&gt;"",$L10&lt;&gt;""),(VLOOKUP($C10,'V-LOOKUP'!$C$4:$M$59,6,FALSE)),"0")</f>
        <v>0</v>
      </c>
      <c r="CW10" s="192" t="str">
        <f>IF(AND($C10&lt;&gt;"",$L10&lt;&gt;""),(VLOOKUP($C10,'V-LOOKUP'!$C$4:$M$59,7,FALSE)),"0")</f>
        <v>0</v>
      </c>
      <c r="CX10" s="192" t="str">
        <f>IF(AND($C10&lt;&gt;"",$L10&lt;&gt;""),(VLOOKUP($C10,'V-LOOKUP'!$C$4:$M$59,8,FALSE)),"0")</f>
        <v>0</v>
      </c>
      <c r="CY10" s="192" t="str">
        <f>IF(AND($C10&lt;&gt;"",$L10&lt;&gt;""),(VLOOKUP($C10,'V-LOOKUP'!$C$4:$M$59,9,FALSE)),"0")</f>
        <v>0</v>
      </c>
      <c r="CZ10" s="192" t="str">
        <f>IF(AND($C10&lt;&gt;"",$L10&lt;&gt;""),(VLOOKUP($C10,'V-LOOKUP'!$C$4:$M$59,10,FALSE)),"0")</f>
        <v>0</v>
      </c>
      <c r="DA10" s="192" t="str">
        <f>IF(AND($C10&lt;&gt;"",$L10&lt;&gt;""),(VLOOKUP($C10,'V-LOOKUP'!$C$4:$M$59,11,FALSE)),"0")</f>
        <v>0</v>
      </c>
      <c r="DB10" s="192" t="str">
        <f>IF(AND($C10&lt;&gt;"",$L10&lt;&gt;""),(VLOOKUP($C10,'V-LOOKUP'!$C$4:$N$59,12,FALSE)),"0")</f>
        <v>0</v>
      </c>
      <c r="DC10" s="192" t="str">
        <f>IF(AND($C10&lt;&gt;"",M10&lt;&gt;""),(VLOOKUP($C10,'V-LOOKUP'!$C$4:$M$59,4,FALSE)),"0")</f>
        <v>0</v>
      </c>
      <c r="DD10" s="192" t="str">
        <f>IF(AND($C10&lt;&gt;"",$M10&lt;&gt;""),(VLOOKUP($C10,'V-LOOKUP'!$C$4:$M$59,5,FALSE)),"0")</f>
        <v>0</v>
      </c>
      <c r="DE10" s="192" t="str">
        <f>IF(AND($C10&lt;&gt;"",$M10&lt;&gt;""),(VLOOKUP($C10,'V-LOOKUP'!$C$4:$M$59,6,FALSE)),"0")</f>
        <v>0</v>
      </c>
      <c r="DF10" s="192" t="str">
        <f>IF(AND($C10&lt;&gt;"",$M10&lt;&gt;""),(VLOOKUP($C10,'V-LOOKUP'!$C$4:$M$59,7,FALSE)),"0")</f>
        <v>0</v>
      </c>
      <c r="DG10" s="192" t="str">
        <f>IF(AND($C10&lt;&gt;"",$M10&lt;&gt;""),(VLOOKUP($C10,'V-LOOKUP'!$C$4:$M$59,8,FALSE)),"0")</f>
        <v>0</v>
      </c>
      <c r="DH10" s="192" t="str">
        <f>IF(AND($C10&lt;&gt;"",$M10&lt;&gt;""),(VLOOKUP($C10,'V-LOOKUP'!$C$4:$M$59,9,FALSE)),"0")</f>
        <v>0</v>
      </c>
      <c r="DI10" s="192" t="str">
        <f>IF(AND($C10&lt;&gt;"",$M10&lt;&gt;""),(VLOOKUP($C10,'V-LOOKUP'!$C$4:$M$59,10,FALSE)),"0")</f>
        <v>0</v>
      </c>
      <c r="DJ10" s="192" t="str">
        <f>IF(AND($C10&lt;&gt;"",$M10&lt;&gt;""),(VLOOKUP($C10,'V-LOOKUP'!$C$4:$M$59,11,FALSE)),"0")</f>
        <v>0</v>
      </c>
      <c r="DK10" s="192" t="str">
        <f>IF(AND($C10&lt;&gt;"",$M10&lt;&gt;""),(VLOOKUP($C10,'V-LOOKUP'!$C$4:$N$59,12,FALSE)),"0")</f>
        <v>0</v>
      </c>
      <c r="DL10" s="192" t="str">
        <f>IF(AND($C10&lt;&gt;"",$N10&lt;&gt;""),(VLOOKUP($C10,'V-LOOKUP'!$C$4:$M$59,4,FALSE)),"0")</f>
        <v>0</v>
      </c>
      <c r="DM10" s="192" t="str">
        <f>IF(AND($C10&lt;&gt;"",$N10&lt;&gt;""),(VLOOKUP($C10,'V-LOOKUP'!$C$4:$M$59,5,FALSE)),"0")</f>
        <v>0</v>
      </c>
      <c r="DN10" s="192" t="str">
        <f>IF(AND($C10&lt;&gt;"",$N10&lt;&gt;""),(VLOOKUP($C10,'V-LOOKUP'!$C$4:$M$59,6,FALSE)),"0")</f>
        <v>0</v>
      </c>
      <c r="DO10" s="192" t="str">
        <f>IF(AND($C10&lt;&gt;"",$N10&lt;&gt;""),(VLOOKUP($C10,'V-LOOKUP'!$C$4:$M$59,7,FALSE)),"0")</f>
        <v>0</v>
      </c>
      <c r="DP10" s="192" t="str">
        <f>IF(AND($C10&lt;&gt;"",$N10&lt;&gt;""),(VLOOKUP($C10,'V-LOOKUP'!$C$4:$M$59,8,FALSE)),"0")</f>
        <v>0</v>
      </c>
      <c r="DQ10" s="192" t="str">
        <f>IF(AND($C10&lt;&gt;"",$N10&lt;&gt;""),(VLOOKUP($C10,'V-LOOKUP'!$C$4:$M$59,9,FALSE)),"0")</f>
        <v>0</v>
      </c>
      <c r="DR10" s="192" t="str">
        <f>IF(AND($C10&lt;&gt;"",$N10&lt;&gt;""),(VLOOKUP($C10,'V-LOOKUP'!$C$4:$M$59,10,FALSE)),"0")</f>
        <v>0</v>
      </c>
      <c r="DS10" s="192" t="str">
        <f>IF(AND($C10&lt;&gt;"",$N10&lt;&gt;""),(VLOOKUP($C10,'V-LOOKUP'!$C$4:$M$59,11,FALSE)),"0")</f>
        <v>0</v>
      </c>
      <c r="DT10" s="192" t="str">
        <f>IF(AND($C10&lt;&gt;"",$N10&lt;&gt;""),(VLOOKUP($C10,'V-LOOKUP'!$C$4:$N$59,12,FALSE)),"0")</f>
        <v>0</v>
      </c>
      <c r="DU10" s="192" t="str">
        <f>IF(AND($C10&lt;&gt;"",O10&lt;&gt;""),(VLOOKUP($C10,'V-LOOKUP'!$C$4:$M$59,4,FALSE)),"0")</f>
        <v>0</v>
      </c>
      <c r="DV10" s="192" t="str">
        <f>IF(AND($C10&lt;&gt;"",$O10&lt;&gt;""),(VLOOKUP($C10,'V-LOOKUP'!$C$4:$M$59,5,FALSE)),"0")</f>
        <v>0</v>
      </c>
      <c r="DW10" s="192" t="str">
        <f>IF(AND($C10&lt;&gt;"",$O10&lt;&gt;""),(VLOOKUP($C10,'V-LOOKUP'!$C$4:$M$59,6,FALSE)),"0")</f>
        <v>0</v>
      </c>
      <c r="DX10" s="192" t="str">
        <f>IF(AND($C10&lt;&gt;"",$O10&lt;&gt;""),(VLOOKUP($C10,'V-LOOKUP'!$C$4:$M$59,7,FALSE)),"0")</f>
        <v>0</v>
      </c>
      <c r="DY10" s="192" t="str">
        <f>IF(AND($C10&lt;&gt;"",$O10&lt;&gt;""),(VLOOKUP($C10,'V-LOOKUP'!$C$4:$M$59,8,FALSE)),"0")</f>
        <v>0</v>
      </c>
      <c r="DZ10" s="192" t="str">
        <f>IF(AND($C10&lt;&gt;"",$O10&lt;&gt;""),(VLOOKUP($C10,'V-LOOKUP'!$C$4:$M$59,9,FALSE)),"0")</f>
        <v>0</v>
      </c>
      <c r="EA10" s="192" t="str">
        <f>IF(AND($C10&lt;&gt;"",$O10&lt;&gt;""),(VLOOKUP($C10,'V-LOOKUP'!$C$4:$M$59,10,FALSE)),"0")</f>
        <v>0</v>
      </c>
      <c r="EB10" s="192" t="str">
        <f>IF(AND($C10&lt;&gt;"",$O10&lt;&gt;""),(VLOOKUP($C10,'V-LOOKUP'!$C$4:$M$59,11,FALSE)),"0")</f>
        <v>0</v>
      </c>
      <c r="EC10" s="192" t="str">
        <f>IF(AND($C10&lt;&gt;"",$O10&lt;&gt;""),(VLOOKUP($C10,'V-LOOKUP'!$C$4:$N$59,12,FALSE)),"0")</f>
        <v>0</v>
      </c>
      <c r="ED10" s="192" t="str">
        <f>IF(AND($C10&lt;&gt;"",P10&lt;&gt;""),(VLOOKUP($C10,'V-LOOKUP'!$C$4:$M$59,4,FALSE)),"0")</f>
        <v>0</v>
      </c>
      <c r="EE10" s="192" t="str">
        <f>IF(AND($C10&lt;&gt;"",$P10&lt;&gt;""),(VLOOKUP($C10,'V-LOOKUP'!$C$4:$M$59,5,FALSE)),"0")</f>
        <v>0</v>
      </c>
      <c r="EF10" s="192" t="str">
        <f>IF(AND($C10&lt;&gt;"",$P10&lt;&gt;""),(VLOOKUP($C10,'V-LOOKUP'!$C$4:$M$59,6,FALSE)),"0")</f>
        <v>0</v>
      </c>
      <c r="EG10" s="192" t="str">
        <f>IF(AND($C10&lt;&gt;"",$P10&lt;&gt;""),(VLOOKUP($C10,'V-LOOKUP'!$C$4:$M$59,7,FALSE)),"0")</f>
        <v>0</v>
      </c>
      <c r="EH10" s="192" t="str">
        <f>IF(AND($C10&lt;&gt;"",$P10&lt;&gt;""),(VLOOKUP($C10,'V-LOOKUP'!$C$4:$M$59,8,FALSE)),"0")</f>
        <v>0</v>
      </c>
      <c r="EI10" s="192" t="str">
        <f>IF(AND($C10&lt;&gt;"",$P10&lt;&gt;""),(VLOOKUP($C10,'V-LOOKUP'!$C$4:$M$59,9,FALSE)),"0")</f>
        <v>0</v>
      </c>
      <c r="EJ10" s="192" t="str">
        <f>IF(AND($C10&lt;&gt;"",$P10&lt;&gt;""),(VLOOKUP($C10,'V-LOOKUP'!$C$4:$M$59,10,FALSE)),"0")</f>
        <v>0</v>
      </c>
      <c r="EK10" s="192" t="str">
        <f>IF(AND($C10&lt;&gt;"",$P10&lt;&gt;""),(VLOOKUP($C10,'V-LOOKUP'!$C$4:$M$59,11,FALSE)),"0")</f>
        <v>0</v>
      </c>
      <c r="EL10" s="192" t="str">
        <f>IF(AND($C10&lt;&gt;"",$P10&lt;&gt;""),(VLOOKUP($C10,'V-LOOKUP'!$C$4:$N$59,12,FALSE)),"0")</f>
        <v>0</v>
      </c>
      <c r="EM10" s="192" t="str">
        <f>IF(AND($C10&lt;&gt;"",Q10&lt;&gt;""),(VLOOKUP($C10,'V-LOOKUP'!$C$4:$M$59,4,FALSE)),"0")</f>
        <v>0</v>
      </c>
      <c r="EN10" s="192" t="str">
        <f>IF(AND($C10&lt;&gt;"",$Q10&lt;&gt;""),(VLOOKUP($C10,'V-LOOKUP'!$C$4:$M$59,5,FALSE)),"0")</f>
        <v>0</v>
      </c>
      <c r="EO10" s="192" t="str">
        <f>IF(AND($C10&lt;&gt;"",$Q10&lt;&gt;""),(VLOOKUP($C10,'V-LOOKUP'!$C$4:$M$59,6,FALSE)),"0")</f>
        <v>0</v>
      </c>
      <c r="EP10" s="192" t="str">
        <f>IF(AND($C10&lt;&gt;"",$Q10&lt;&gt;""),(VLOOKUP($C10,'V-LOOKUP'!$C$4:$M$59,7,FALSE)),"0")</f>
        <v>0</v>
      </c>
      <c r="EQ10" s="192" t="str">
        <f>IF(AND($C10&lt;&gt;"",$Q10&lt;&gt;""),(VLOOKUP($C10,'V-LOOKUP'!$C$4:$M$59,8,FALSE)),"0")</f>
        <v>0</v>
      </c>
      <c r="ER10" s="192" t="str">
        <f>IF(AND($C10&lt;&gt;"",$Q10&lt;&gt;""),(VLOOKUP($C10,'V-LOOKUP'!$C$4:$M$59,9,FALSE)),"0")</f>
        <v>0</v>
      </c>
      <c r="ES10" s="192" t="str">
        <f>IF(AND($C10&lt;&gt;"",$Q10&lt;&gt;""),(VLOOKUP($C10,'V-LOOKUP'!$C$4:$M$59,10,FALSE)),"0")</f>
        <v>0</v>
      </c>
      <c r="ET10" s="192" t="str">
        <f>IF(AND($C10&lt;&gt;"",$Q10&lt;&gt;""),(VLOOKUP($C10,'V-LOOKUP'!$C$4:$M$59,11,FALSE)),"0")</f>
        <v>0</v>
      </c>
      <c r="EU10" s="192" t="str">
        <f>IF(AND($C10&lt;&gt;"",$Q10&lt;&gt;""),(VLOOKUP($C10,'V-LOOKUP'!$C$4:$N$59,12,FALSE)),"0")</f>
        <v>0</v>
      </c>
      <c r="EV10" s="192" t="str">
        <f>IF(AND($C10&lt;&gt;"",R10&lt;&gt;""),(VLOOKUP($C10,'V-LOOKUP'!$C$4:$M$59,4,FALSE)),"0")</f>
        <v>0</v>
      </c>
      <c r="EW10" s="192" t="str">
        <f>IF(AND($C10&lt;&gt;"",$R10&lt;&gt;""),(VLOOKUP($C10,'V-LOOKUP'!$C$4:$M$59,5,FALSE)),"0")</f>
        <v>0</v>
      </c>
      <c r="EX10" s="192" t="str">
        <f>IF(AND($C10&lt;&gt;"",$R10&lt;&gt;""),(VLOOKUP($C10,'V-LOOKUP'!$C$4:$M$59,6,FALSE)),"0")</f>
        <v>0</v>
      </c>
      <c r="EY10" s="192" t="str">
        <f>IF(AND($C10&lt;&gt;"",$R10&lt;&gt;""),(VLOOKUP($C10,'V-LOOKUP'!$C$4:$M$59,7,FALSE)),"0")</f>
        <v>0</v>
      </c>
      <c r="EZ10" s="192" t="str">
        <f>IF(AND($C10&lt;&gt;"",$R10&lt;&gt;""),(VLOOKUP($C10,'V-LOOKUP'!$C$4:$M$59,8,FALSE)),"0")</f>
        <v>0</v>
      </c>
      <c r="FA10" s="192" t="str">
        <f>IF(AND($C10&lt;&gt;"",$R10&lt;&gt;""),(VLOOKUP($C10,'V-LOOKUP'!$C$4:$M$59,9,FALSE)),"0")</f>
        <v>0</v>
      </c>
      <c r="FB10" s="192" t="str">
        <f>IF(AND($C10&lt;&gt;"",$R10&lt;&gt;""),(VLOOKUP($C10,'V-LOOKUP'!$C$4:$M$59,10,FALSE)),"0")</f>
        <v>0</v>
      </c>
      <c r="FC10" s="192" t="str">
        <f>IF(AND($C10&lt;&gt;"",$R10&lt;&gt;""),(VLOOKUP($C10,'V-LOOKUP'!$C$4:$M$59,11,FALSE)),"0")</f>
        <v>0</v>
      </c>
      <c r="FD10" s="192" t="str">
        <f>IF(AND($C10&lt;&gt;"",$R10&lt;&gt;""),(VLOOKUP($C10,'V-LOOKUP'!$C$4:$N$59,12,FALSE)),"0")</f>
        <v>0</v>
      </c>
      <c r="FE10" s="192" t="str">
        <f>IF(AND($C10&lt;&gt;"",S10&lt;&gt;""),(VLOOKUP($C10,'V-LOOKUP'!$C$4:$M$59,4,FALSE)),"0")</f>
        <v>0</v>
      </c>
      <c r="FF10" s="192" t="str">
        <f>IF(AND($C10&lt;&gt;"",$S10&lt;&gt;""),(VLOOKUP($C10,'V-LOOKUP'!$C$4:$M$59,5,FALSE)),"0")</f>
        <v>0</v>
      </c>
      <c r="FG10" s="192" t="str">
        <f>IF(AND($C10&lt;&gt;"",$S10&lt;&gt;""),(VLOOKUP($C10,'V-LOOKUP'!$C$4:$M$59,6,FALSE)),"0")</f>
        <v>0</v>
      </c>
      <c r="FH10" s="192" t="str">
        <f>IF(AND($C10&lt;&gt;"",$S10&lt;&gt;""),(VLOOKUP($C10,'V-LOOKUP'!$C$4:$M$59,7,FALSE)),"0")</f>
        <v>0</v>
      </c>
      <c r="FI10" s="192" t="str">
        <f>IF(AND($C10&lt;&gt;"",$S10&lt;&gt;""),(VLOOKUP($C10,'V-LOOKUP'!$C$4:$M$59,8,FALSE)),"0")</f>
        <v>0</v>
      </c>
      <c r="FJ10" s="192" t="str">
        <f>IF(AND($C10&lt;&gt;"",$S10&lt;&gt;""),(VLOOKUP($C10,'V-LOOKUP'!$C$4:$M$59,9,FALSE)),"0")</f>
        <v>0</v>
      </c>
      <c r="FK10" s="192" t="str">
        <f>IF(AND($C10&lt;&gt;"",$S10&lt;&gt;""),(VLOOKUP($C10,'V-LOOKUP'!$C$4:$M$59,10,FALSE)),"0")</f>
        <v>0</v>
      </c>
      <c r="FL10" s="192" t="str">
        <f>IF(AND($C10&lt;&gt;"",$S10&lt;&gt;""),(VLOOKUP($C10,'V-LOOKUP'!$C$4:$M$59,11,FALSE)),"0")</f>
        <v>0</v>
      </c>
      <c r="FM10" s="192" t="str">
        <f>IF(AND($C10&lt;&gt;"",$S10&lt;&gt;""),(VLOOKUP($C10,'V-LOOKUP'!$C$4:$N$59,12,FALSE)),"0")</f>
        <v>0</v>
      </c>
      <c r="FN10" s="192" t="str">
        <f>IF(AND($C10&lt;&gt;"",T10&lt;&gt;""),(VLOOKUP($C10,'V-LOOKUP'!$C$4:$M$59,4,FALSE)),"0")</f>
        <v>0</v>
      </c>
      <c r="FO10" s="192" t="str">
        <f>IF(AND($C10&lt;&gt;"",$T10&lt;&gt;""),(VLOOKUP($C10,'V-LOOKUP'!$C$4:$M$59,5,FALSE)),"0")</f>
        <v>0</v>
      </c>
      <c r="FP10" s="192" t="str">
        <f>IF(AND($C10&lt;&gt;"",$T10&lt;&gt;""),(VLOOKUP($C10,'V-LOOKUP'!$C$4:$M$59,6,FALSE)),"0")</f>
        <v>0</v>
      </c>
      <c r="FQ10" s="192" t="str">
        <f>IF(AND($C10&lt;&gt;"",$T10&lt;&gt;""),(VLOOKUP($C10,'V-LOOKUP'!$C$4:$M$59,7,FALSE)),"0")</f>
        <v>0</v>
      </c>
      <c r="FR10" s="192" t="str">
        <f>IF(AND($C10&lt;&gt;"",$T10&lt;&gt;""),(VLOOKUP($C10,'V-LOOKUP'!$C$4:$M$59,8,FALSE)),"0")</f>
        <v>0</v>
      </c>
      <c r="FS10" s="192" t="str">
        <f>IF(AND($C10&lt;&gt;"",$T10&lt;&gt;""),(VLOOKUP($C10,'V-LOOKUP'!$C$4:$M$59,9,FALSE)),"0")</f>
        <v>0</v>
      </c>
      <c r="FT10" s="192" t="str">
        <f>IF(AND($C10&lt;&gt;"",$T10&lt;&gt;""),(VLOOKUP($C10,'V-LOOKUP'!$C$4:$M$59,10,FALSE)),"0")</f>
        <v>0</v>
      </c>
      <c r="FU10" s="192" t="str">
        <f>IF(AND($C10&lt;&gt;"",$T10&lt;&gt;""),(VLOOKUP($C10,'V-LOOKUP'!$C$4:$M$59,11,FALSE)),"0")</f>
        <v>0</v>
      </c>
      <c r="FV10" s="192" t="str">
        <f>IF(AND($C10&lt;&gt;"",$T10&lt;&gt;""),(VLOOKUP($C10,'V-LOOKUP'!$C$4:$N$59,12,FALSE)),"0")</f>
        <v>0</v>
      </c>
      <c r="FW10" s="192" t="str">
        <f>IF(AND($C10&lt;&gt;"",U10&lt;&gt;""),(VLOOKUP($C10,'V-LOOKUP'!$C$4:$M$59,4,FALSE)),"0")</f>
        <v>0</v>
      </c>
      <c r="FX10" s="192" t="str">
        <f>IF(AND($C10&lt;&gt;"",$U10&lt;&gt;""),(VLOOKUP($C10,'V-LOOKUP'!$C$4:$M$59,5,FALSE)),"0")</f>
        <v>0</v>
      </c>
      <c r="FY10" s="192" t="str">
        <f>IF(AND($C10&lt;&gt;"",$U10&lt;&gt;""),(VLOOKUP($C10,'V-LOOKUP'!$C$4:$M$59,6,FALSE)),"0")</f>
        <v>0</v>
      </c>
      <c r="FZ10" s="192" t="str">
        <f>IF(AND($C10&lt;&gt;"",$U10&lt;&gt;""),(VLOOKUP($C10,'V-LOOKUP'!$C$4:$M$59,7,FALSE)),"0")</f>
        <v>0</v>
      </c>
      <c r="GA10" s="192" t="str">
        <f>IF(AND($C10&lt;&gt;"",$U10&lt;&gt;""),(VLOOKUP($C10,'V-LOOKUP'!$C$4:$M$59,8,FALSE)),"0")</f>
        <v>0</v>
      </c>
      <c r="GB10" s="192" t="str">
        <f>IF(AND($C10&lt;&gt;"",$U10&lt;&gt;""),(VLOOKUP($C10,'V-LOOKUP'!$C$4:$M$59,9,FALSE)),"0")</f>
        <v>0</v>
      </c>
      <c r="GC10" s="192" t="str">
        <f>IF(AND($C10&lt;&gt;"",$U10&lt;&gt;""),(VLOOKUP($C10,'V-LOOKUP'!$C$4:$M$59,10,FALSE)),"0")</f>
        <v>0</v>
      </c>
      <c r="GD10" s="192" t="str">
        <f>IF(AND($C10&lt;&gt;"",$U10&lt;&gt;""),(VLOOKUP($C10,'V-LOOKUP'!$C$4:$M$59,11,FALSE)),"0")</f>
        <v>0</v>
      </c>
      <c r="GE10" s="192" t="str">
        <f>IF(AND($C10&lt;&gt;"",$U10&lt;&gt;""),(VLOOKUP($C10,'V-LOOKUP'!$C$4:$N$59,12,FALSE)),"0")</f>
        <v>0</v>
      </c>
      <c r="GF10" s="192" t="str">
        <f>IF(AND($C10&lt;&gt;"",V10&lt;&gt;""),(VLOOKUP($C10,'V-LOOKUP'!$C$4:$M$59,4,FALSE)),"0")</f>
        <v>0</v>
      </c>
      <c r="GG10" s="192" t="str">
        <f>IF(AND($C10&lt;&gt;"",$V10&lt;&gt;""),(VLOOKUP($C10,'V-LOOKUP'!$C$4:$M$59,5,FALSE)),"0")</f>
        <v>0</v>
      </c>
      <c r="GH10" s="192" t="str">
        <f>IF(AND($C10&lt;&gt;"",$V10&lt;&gt;""),(VLOOKUP($C10,'V-LOOKUP'!$C$4:$M$59,6,FALSE)),"0")</f>
        <v>0</v>
      </c>
      <c r="GI10" s="192" t="str">
        <f>IF(AND($C10&lt;&gt;"",$V10&lt;&gt;""),(VLOOKUP($C10,'V-LOOKUP'!$C$4:$M$59,7,FALSE)),"0")</f>
        <v>0</v>
      </c>
      <c r="GJ10" s="192" t="str">
        <f>IF(AND($C10&lt;&gt;"",$V10&lt;&gt;""),(VLOOKUP($C10,'V-LOOKUP'!$C$4:$M$59,8,FALSE)),"0")</f>
        <v>0</v>
      </c>
      <c r="GK10" s="192" t="str">
        <f>IF(AND($C10&lt;&gt;"",$V10&lt;&gt;""),(VLOOKUP($C10,'V-LOOKUP'!$C$4:$M$59,9,FALSE)),"0")</f>
        <v>0</v>
      </c>
      <c r="GL10" s="192" t="str">
        <f>IF(AND($C10&lt;&gt;"",$V10&lt;&gt;""),(VLOOKUP($C10,'V-LOOKUP'!$C$4:$M$59,10,FALSE)),"0")</f>
        <v>0</v>
      </c>
      <c r="GM10" s="192" t="str">
        <f>IF(AND($C10&lt;&gt;"",$V10&lt;&gt;""),(VLOOKUP($C10,'V-LOOKUP'!$C$4:$M$59,11,FALSE)),"0")</f>
        <v>0</v>
      </c>
      <c r="GN10" s="192" t="str">
        <f>IF(AND($C10&lt;&gt;"",$V10&lt;&gt;""),(VLOOKUP($C10,'V-LOOKUP'!$C$4:$N$59,12,FALSE)),"0")</f>
        <v>0</v>
      </c>
      <c r="GO10" s="192" t="str">
        <f>IF(AND($C10&lt;&gt;"",W10&lt;&gt;""),(VLOOKUP($C10,'V-LOOKUP'!$C$4:$M$59,4,FALSE)),"0")</f>
        <v>0</v>
      </c>
      <c r="GP10" s="192" t="str">
        <f>IF(AND($C10&lt;&gt;"",$W10&lt;&gt;""),(VLOOKUP($C10,'V-LOOKUP'!$C$4:$M$59,5,FALSE)),"0")</f>
        <v>0</v>
      </c>
      <c r="GQ10" s="192" t="str">
        <f>IF(AND($C10&lt;&gt;"",$W10&lt;&gt;""),(VLOOKUP($C10,'V-LOOKUP'!$C$4:$M$59,6,FALSE)),"0")</f>
        <v>0</v>
      </c>
      <c r="GR10" s="192" t="str">
        <f>IF(AND($C10&lt;&gt;"",$W10&lt;&gt;""),(VLOOKUP($C10,'V-LOOKUP'!$C$4:$M$59,7,FALSE)),"0")</f>
        <v>0</v>
      </c>
      <c r="GS10" s="192" t="str">
        <f>IF(AND($C10&lt;&gt;"",$W10&lt;&gt;""),(VLOOKUP($C10,'V-LOOKUP'!$C$4:$M$59,8,FALSE)),"0")</f>
        <v>0</v>
      </c>
      <c r="GT10" s="192" t="str">
        <f>IF(AND($C10&lt;&gt;"",$W10&lt;&gt;""),(VLOOKUP($C10,'V-LOOKUP'!$C$4:$M$59,9,FALSE)),"0")</f>
        <v>0</v>
      </c>
      <c r="GU10" s="192" t="str">
        <f>IF(AND($C10&lt;&gt;"",$W10&lt;&gt;""),(VLOOKUP($C10,'V-LOOKUP'!$C$4:$M$59,10,FALSE)),"0")</f>
        <v>0</v>
      </c>
      <c r="GV10" s="192" t="str">
        <f>IF(AND($C10&lt;&gt;"",$W10&lt;&gt;""),(VLOOKUP($C10,'V-LOOKUP'!$C$4:$M$59,11,FALSE)),"0")</f>
        <v>0</v>
      </c>
      <c r="GW10" s="192" t="str">
        <f>IF(AND($C10&lt;&gt;"",$W10&lt;&gt;""),(VLOOKUP($C10,'V-LOOKUP'!$C$4:$N$59,12,FALSE)),"0")</f>
        <v>0</v>
      </c>
    </row>
    <row r="11" spans="1:205" ht="14.65" customHeight="1">
      <c r="A11" s="193"/>
      <c r="B11" s="245"/>
      <c r="C11" s="201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Y11" s="190"/>
      <c r="Z11" s="192" t="str">
        <f>IF(AND($C11&lt;&gt;"",$D11&lt;&gt;""),(VLOOKUP($C11,'V-LOOKUP'!$C$4:$M$59,4,FALSE)),"0")</f>
        <v>0</v>
      </c>
      <c r="AA11" s="192" t="str">
        <f>IF(AND($C11&lt;&gt;"",$D11&lt;&gt;""),(VLOOKUP($C11,'V-LOOKUP'!$C$4:$M$59,5,FALSE)),"0")</f>
        <v>0</v>
      </c>
      <c r="AB11" s="192" t="str">
        <f>IF(AND($C11&lt;&gt;"",$D11&lt;&gt;""),(VLOOKUP($C11,'V-LOOKUP'!$C$4:$M$59,6,FALSE)),"0")</f>
        <v>0</v>
      </c>
      <c r="AC11" s="192" t="str">
        <f>IF(AND($C11&lt;&gt;"",$D11&lt;&gt;""),(VLOOKUP($C11,'V-LOOKUP'!$C$4:$M$59,7,FALSE)),"0")</f>
        <v>0</v>
      </c>
      <c r="AD11" s="192" t="str">
        <f>IF(AND($C11&lt;&gt;"",$D11&lt;&gt;""),(VLOOKUP($C11,'V-LOOKUP'!$C$4:$M$59,8,FALSE)),"0")</f>
        <v>0</v>
      </c>
      <c r="AE11" s="192" t="str">
        <f>IF(AND($C11&lt;&gt;"",$D11&lt;&gt;""),(VLOOKUP($C11,'V-LOOKUP'!$C$4:$M$59,9,FALSE)),"0")</f>
        <v>0</v>
      </c>
      <c r="AF11" s="192" t="str">
        <f>IF(AND($C11&lt;&gt;"",$D11&lt;&gt;""),(VLOOKUP($C11,'V-LOOKUP'!$C$4:$M$59,10,FALSE)),"0")</f>
        <v>0</v>
      </c>
      <c r="AG11" s="192" t="str">
        <f>IF(AND($C11&lt;&gt;"",$D11&lt;&gt;""),(VLOOKUP($C11,'V-LOOKUP'!$C$4:$M$59,11,FALSE)),"0")</f>
        <v>0</v>
      </c>
      <c r="AH11" s="192" t="str">
        <f>IF(AND($C11&lt;&gt;"",$D11&lt;&gt;""),(VLOOKUP($C11,'V-LOOKUP'!$C$4:$N$59,12,FALSE)),"0")</f>
        <v>0</v>
      </c>
      <c r="AI11" s="192" t="str">
        <f>IF(AND($C11&lt;&gt;"",E11&lt;&gt;""),(VLOOKUP($C11,'V-LOOKUP'!$C$4:$M$59,4,FALSE)),"0")</f>
        <v>0</v>
      </c>
      <c r="AJ11" s="192" t="str">
        <f>IF(AND($C11&lt;&gt;"",$E11&lt;&gt;""),(VLOOKUP($C11,'V-LOOKUP'!$C$4:$M$59,5,FALSE)),"0")</f>
        <v>0</v>
      </c>
      <c r="AK11" s="192" t="str">
        <f>IF(AND($C11&lt;&gt;"",$E11&lt;&gt;""),(VLOOKUP($C11,'V-LOOKUP'!$C$4:$M$59,6,FALSE)),"0")</f>
        <v>0</v>
      </c>
      <c r="AL11" s="192" t="str">
        <f>IF(AND($C11&lt;&gt;"",$E11&lt;&gt;""),(VLOOKUP($C11,'V-LOOKUP'!$C$4:$M$59,7,FALSE)),"0")</f>
        <v>0</v>
      </c>
      <c r="AM11" s="192" t="str">
        <f>IF(AND($C11&lt;&gt;"",$E11&lt;&gt;""),(VLOOKUP($C11,'V-LOOKUP'!$C$4:$M$59,8,FALSE)),"0")</f>
        <v>0</v>
      </c>
      <c r="AN11" s="192" t="str">
        <f>IF(AND($C11&lt;&gt;"",$E11&lt;&gt;""),(VLOOKUP($C11,'V-LOOKUP'!$C$4:$M$59,9,FALSE)),"0")</f>
        <v>0</v>
      </c>
      <c r="AO11" s="192" t="str">
        <f>IF(AND($C11&lt;&gt;"",$E11&lt;&gt;""),(VLOOKUP($C11,'V-LOOKUP'!$C$4:$M$59,10,FALSE)),"0")</f>
        <v>0</v>
      </c>
      <c r="AP11" s="192" t="str">
        <f>IF(AND($C11&lt;&gt;"",$E11&lt;&gt;""),(VLOOKUP($C11,'V-LOOKUP'!$C$4:$M$59,11,FALSE)),"0")</f>
        <v>0</v>
      </c>
      <c r="AQ11" s="192" t="str">
        <f>IF(AND($C11&lt;&gt;"",$E11&lt;&gt;""),(VLOOKUP($C11,'V-LOOKUP'!$C$4:$N$59,12,FALSE)),"0")</f>
        <v>0</v>
      </c>
      <c r="AR11" s="192" t="str">
        <f>IF(AND($C11&lt;&gt;"",$F11&lt;&gt;""),(VLOOKUP($C11,'V-LOOKUP'!$C$4:$M$59,4,FALSE)),"0")</f>
        <v>0</v>
      </c>
      <c r="AS11" s="192" t="str">
        <f>IF(AND($C11&lt;&gt;"",$F11&lt;&gt;""),(VLOOKUP($C11,'V-LOOKUP'!$C$4:$M$59,5,FALSE)),"0")</f>
        <v>0</v>
      </c>
      <c r="AT11" s="192" t="str">
        <f>IF(AND($C11&lt;&gt;"",$F11&lt;&gt;""),(VLOOKUP($C11,'V-LOOKUP'!$C$4:$M$59,6,FALSE)),"0")</f>
        <v>0</v>
      </c>
      <c r="AU11" s="192" t="str">
        <f>IF(AND($C11&lt;&gt;"",$F11&lt;&gt;""),(VLOOKUP($C11,'V-LOOKUP'!$C$4:$M$59,7,FALSE)),"0")</f>
        <v>0</v>
      </c>
      <c r="AV11" s="192" t="str">
        <f>IF(AND($C11&lt;&gt;"",$F11&lt;&gt;""),(VLOOKUP($C11,'V-LOOKUP'!$C$4:$M$59,8,FALSE)),"0")</f>
        <v>0</v>
      </c>
      <c r="AW11" s="192" t="str">
        <f>IF(AND($C11&lt;&gt;"",$F11&lt;&gt;""),(VLOOKUP($C11,'V-LOOKUP'!$C$4:$M$59,9,FALSE)),"0")</f>
        <v>0</v>
      </c>
      <c r="AX11" s="192" t="str">
        <f>IF(AND($C11&lt;&gt;"",$F11&lt;&gt;""),(VLOOKUP($C11,'V-LOOKUP'!$C$4:$M$59,10,FALSE)),"0")</f>
        <v>0</v>
      </c>
      <c r="AY11" s="192" t="str">
        <f>IF(AND($C11&lt;&gt;"",$F11&lt;&gt;""),(VLOOKUP($C11,'V-LOOKUP'!$C$4:$M$59,11,FALSE)),"0")</f>
        <v>0</v>
      </c>
      <c r="AZ11" s="192" t="str">
        <f>IF(AND($C11&lt;&gt;"",$F11&lt;&gt;""),(VLOOKUP($C11,'V-LOOKUP'!$C$4:$N$59,12,FALSE)),"0")</f>
        <v>0</v>
      </c>
      <c r="BA11" s="192" t="str">
        <f>IF(AND($C11&lt;&gt;"",G11&lt;&gt;""),(VLOOKUP($C11,'V-LOOKUP'!$C$4:$M$59,4,FALSE)),"0")</f>
        <v>0</v>
      </c>
      <c r="BB11" s="192" t="str">
        <f>IF(AND($C11&lt;&gt;"",$G11&lt;&gt;""),(VLOOKUP($C11,'V-LOOKUP'!$C$4:$M$59,5,FALSE)),"0")</f>
        <v>0</v>
      </c>
      <c r="BC11" s="192" t="str">
        <f>IF(AND($C11&lt;&gt;"",$G11&lt;&gt;""),(VLOOKUP($C11,'V-LOOKUP'!$C$4:$M$59,6,FALSE)),"0")</f>
        <v>0</v>
      </c>
      <c r="BD11" s="192" t="str">
        <f>IF(AND($C11&lt;&gt;"",$G11&lt;&gt;""),(VLOOKUP($C11,'V-LOOKUP'!$C$4:$M$59,7,FALSE)),"0")</f>
        <v>0</v>
      </c>
      <c r="BE11" s="192" t="str">
        <f>IF(AND($C11&lt;&gt;"",$G11&lt;&gt;""),(VLOOKUP($C11,'V-LOOKUP'!$C$4:$M$59,8,FALSE)),"0")</f>
        <v>0</v>
      </c>
      <c r="BF11" s="192" t="str">
        <f>IF(AND($C11&lt;&gt;"",$G11&lt;&gt;""),(VLOOKUP($C11,'V-LOOKUP'!$C$4:$M$59,9,FALSE)),"0")</f>
        <v>0</v>
      </c>
      <c r="BG11" s="192" t="str">
        <f>IF(AND($C11&lt;&gt;"",$G11&lt;&gt;""),(VLOOKUP($C11,'V-LOOKUP'!$C$4:$M$59,10,FALSE)),"0")</f>
        <v>0</v>
      </c>
      <c r="BH11" s="192" t="str">
        <f>IF(AND($C11&lt;&gt;"",$G11&lt;&gt;""),(VLOOKUP($C11,'V-LOOKUP'!$C$4:$M$59,11,FALSE)),"0")</f>
        <v>0</v>
      </c>
      <c r="BI11" s="192" t="str">
        <f>IF(AND($C11&lt;&gt;"",$G11&lt;&gt;""),(VLOOKUP($C11,'V-LOOKUP'!$C$4:$N$59,12,FALSE)),"0")</f>
        <v>0</v>
      </c>
      <c r="BJ11" s="192" t="str">
        <f>IF(AND($C11&lt;&gt;"",H11&lt;&gt;""),(VLOOKUP($C11,'V-LOOKUP'!$C$4:$M$59,4,FALSE)),"0")</f>
        <v>0</v>
      </c>
      <c r="BK11" s="192" t="str">
        <f>IF(AND($C11&lt;&gt;"",$G11&lt;&gt;""),(VLOOKUP($C11,'V-LOOKUP'!$C$4:$M$59,5,FALSE)),"0")</f>
        <v>0</v>
      </c>
      <c r="BL11" s="192" t="str">
        <f>IF(AND($C11&lt;&gt;"",$H11&lt;&gt;""),(VLOOKUP($C11,'V-LOOKUP'!$C$4:$M$59,6,FALSE)),"0")</f>
        <v>0</v>
      </c>
      <c r="BM11" s="192" t="str">
        <f>IF(AND($C11&lt;&gt;"",$H11&lt;&gt;""),(VLOOKUP($C11,'V-LOOKUP'!$C$4:$M$59,7,FALSE)),"0")</f>
        <v>0</v>
      </c>
      <c r="BN11" s="192" t="str">
        <f>IF(AND($C11&lt;&gt;"",$H11&lt;&gt;""),(VLOOKUP($C11,'V-LOOKUP'!$C$4:$M$59,8,FALSE)),"0")</f>
        <v>0</v>
      </c>
      <c r="BO11" s="192" t="str">
        <f>IF(AND($C11&lt;&gt;"",$H11&lt;&gt;""),(VLOOKUP($C11,'V-LOOKUP'!$C$4:$M$59,9,FALSE)),"0")</f>
        <v>0</v>
      </c>
      <c r="BP11" s="192" t="str">
        <f>IF(AND($C11&lt;&gt;"",$H11&lt;&gt;""),(VLOOKUP($C11,'V-LOOKUP'!$C$4:$M$59,10,FALSE)),"0")</f>
        <v>0</v>
      </c>
      <c r="BQ11" s="192" t="str">
        <f>IF(AND($C11&lt;&gt;"",$H11&lt;&gt;""),(VLOOKUP($C11,'V-LOOKUP'!$C$4:$M$59,11,FALSE)),"0")</f>
        <v>0</v>
      </c>
      <c r="BR11" s="192" t="str">
        <f>IF(AND($C11&lt;&gt;"",$H11&lt;&gt;""),(VLOOKUP($C11,'V-LOOKUP'!$C$4:$N$59,12,FALSE)),"0")</f>
        <v>0</v>
      </c>
      <c r="BS11" s="192" t="str">
        <f>IF(AND($C11&lt;&gt;"",I11&lt;&gt;""),(VLOOKUP($C11,'V-LOOKUP'!$C$4:$M$59,4,FALSE)),"0")</f>
        <v>0</v>
      </c>
      <c r="BT11" s="192" t="str">
        <f>IF(AND($C11&lt;&gt;"",$I11&lt;&gt;""),(VLOOKUP($C11,'V-LOOKUP'!$C$4:$M$59,5,FALSE)),"0")</f>
        <v>0</v>
      </c>
      <c r="BU11" s="192" t="str">
        <f>IF(AND($C11&lt;&gt;"",$I11&lt;&gt;""),(VLOOKUP($C11,'V-LOOKUP'!$C$4:$M$59,6,FALSE)),"0")</f>
        <v>0</v>
      </c>
      <c r="BV11" s="192" t="str">
        <f>IF(AND($C11&lt;&gt;"",$I11&lt;&gt;""),(VLOOKUP($C11,'V-LOOKUP'!$C$4:$M$59,7,FALSE)),"0")</f>
        <v>0</v>
      </c>
      <c r="BW11" s="192" t="str">
        <f>IF(AND($C11&lt;&gt;"",$I11&lt;&gt;""),(VLOOKUP($C11,'V-LOOKUP'!$C$4:$M$59,8,FALSE)),"0")</f>
        <v>0</v>
      </c>
      <c r="BX11" s="192" t="str">
        <f>IF(AND($C11&lt;&gt;"",$I11&lt;&gt;""),(VLOOKUP($C11,'V-LOOKUP'!$C$4:$M$59,9,FALSE)),"0")</f>
        <v>0</v>
      </c>
      <c r="BY11" s="192" t="str">
        <f>IF(AND($C11&lt;&gt;"",$I11&lt;&gt;""),(VLOOKUP($C11,'V-LOOKUP'!$C$4:$M$59,10,FALSE)),"0")</f>
        <v>0</v>
      </c>
      <c r="BZ11" s="192" t="str">
        <f>IF(AND($C11&lt;&gt;"",$I11&lt;&gt;""),(VLOOKUP($C11,'V-LOOKUP'!$C$4:$M$59,11,FALSE)),"0")</f>
        <v>0</v>
      </c>
      <c r="CA11" s="192" t="str">
        <f>IF(AND($C11&lt;&gt;"",$I11&lt;&gt;""),(VLOOKUP($C11,'V-LOOKUP'!$C$4:$N$59,12,FALSE)),"0")</f>
        <v>0</v>
      </c>
      <c r="CB11" s="192" t="str">
        <f>IF(AND($C11&lt;&gt;"",J11&lt;&gt;""),(VLOOKUP($C11,'V-LOOKUP'!$C$4:$M$59,4,FALSE)),"0")</f>
        <v>0</v>
      </c>
      <c r="CC11" s="192" t="str">
        <f>IF(AND($C11&lt;&gt;"",$J11&lt;&gt;""),(VLOOKUP($C11,'V-LOOKUP'!$C$4:$M$59,5,FALSE)),"0")</f>
        <v>0</v>
      </c>
      <c r="CD11" s="192" t="str">
        <f>IF(AND($C11&lt;&gt;"",$J11&lt;&gt;""),(VLOOKUP($C11,'V-LOOKUP'!$C$4:$M$59,6,FALSE)),"0")</f>
        <v>0</v>
      </c>
      <c r="CE11" s="192" t="str">
        <f>IF(AND($C11&lt;&gt;"",$J11&lt;&gt;""),(VLOOKUP($C11,'V-LOOKUP'!$C$4:$M$59,7,FALSE)),"0")</f>
        <v>0</v>
      </c>
      <c r="CF11" s="192" t="str">
        <f>IF(AND($C11&lt;&gt;"",$J11&lt;&gt;""),(VLOOKUP($C11,'V-LOOKUP'!$C$4:$M$59,8,FALSE)),"0")</f>
        <v>0</v>
      </c>
      <c r="CG11" s="192" t="str">
        <f>IF(AND($C11&lt;&gt;"",$J11&lt;&gt;""),(VLOOKUP($C11,'V-LOOKUP'!$C$4:$M$59,9,FALSE)),"0")</f>
        <v>0</v>
      </c>
      <c r="CH11" s="192" t="str">
        <f>IF(AND($C11&lt;&gt;"",$J11&lt;&gt;""),(VLOOKUP($C11,'V-LOOKUP'!$C$4:$M$59,10,FALSE)),"0")</f>
        <v>0</v>
      </c>
      <c r="CI11" s="192" t="str">
        <f>IF(AND($C11&lt;&gt;"",$J11&lt;&gt;""),(VLOOKUP($C11,'V-LOOKUP'!$C$4:$M$59,11,FALSE)),"0")</f>
        <v>0</v>
      </c>
      <c r="CJ11" s="192" t="str">
        <f>IF(AND($C11&lt;&gt;"",$J11&lt;&gt;""),(VLOOKUP($C11,'V-LOOKUP'!$C$4:$N$59,12,FALSE)),"0")</f>
        <v>0</v>
      </c>
      <c r="CK11" s="192" t="str">
        <f>IF(AND($C11&lt;&gt;"",K11&lt;&gt;""),(VLOOKUP($C11,'V-LOOKUP'!$C$4:$M$59,4,FALSE)),"0")</f>
        <v>0</v>
      </c>
      <c r="CL11" s="192" t="str">
        <f>IF(AND($C11&lt;&gt;"",$K11&lt;&gt;""),(VLOOKUP($C11,'V-LOOKUP'!$C$4:$M$59,5,FALSE)),"0")</f>
        <v>0</v>
      </c>
      <c r="CM11" s="192" t="str">
        <f>IF(AND($C11&lt;&gt;"",$K11&lt;&gt;""),(VLOOKUP($C11,'V-LOOKUP'!$C$4:$M$59,6,FALSE)),"0")</f>
        <v>0</v>
      </c>
      <c r="CN11" s="192" t="str">
        <f>IF(AND($C11&lt;&gt;"",$K11&lt;&gt;""),(VLOOKUP($C11,'V-LOOKUP'!$C$4:$M$59,7,FALSE)),"0")</f>
        <v>0</v>
      </c>
      <c r="CO11" s="192" t="str">
        <f>IF(AND($C11&lt;&gt;"",$K11&lt;&gt;""),(VLOOKUP($C11,'V-LOOKUP'!$C$4:$M$59,8,FALSE)),"0")</f>
        <v>0</v>
      </c>
      <c r="CP11" s="192" t="str">
        <f>IF(AND($C11&lt;&gt;"",$K11&lt;&gt;""),(VLOOKUP($C11,'V-LOOKUP'!$C$4:$M$59,9,FALSE)),"0")</f>
        <v>0</v>
      </c>
      <c r="CQ11" s="192" t="str">
        <f>IF(AND($C11&lt;&gt;"",$K11&lt;&gt;""),(VLOOKUP($C11,'V-LOOKUP'!$C$4:$M$59,10,FALSE)),"0")</f>
        <v>0</v>
      </c>
      <c r="CR11" s="192" t="str">
        <f>IF(AND($C11&lt;&gt;"",$K11&lt;&gt;""),(VLOOKUP($C11,'V-LOOKUP'!$C$4:$M$59,11,FALSE)),"0")</f>
        <v>0</v>
      </c>
      <c r="CS11" s="192" t="str">
        <f>IF(AND($C11&lt;&gt;"",$K11&lt;&gt;""),(VLOOKUP($C11,'V-LOOKUP'!$C$4:$N$59,12,FALSE)),"0")</f>
        <v>0</v>
      </c>
      <c r="CT11" s="192" t="str">
        <f>IF(AND($C11&lt;&gt;"",L11&lt;&gt;""),(VLOOKUP($C11,'V-LOOKUP'!$C$4:$M$59,4,FALSE)),"0")</f>
        <v>0</v>
      </c>
      <c r="CU11" s="192" t="str">
        <f>IF(AND($C11&lt;&gt;"",$L11&lt;&gt;""),(VLOOKUP($C11,'V-LOOKUP'!$C$4:$M$59,5,FALSE)),"0")</f>
        <v>0</v>
      </c>
      <c r="CV11" s="192" t="str">
        <f>IF(AND($C11&lt;&gt;"",$L11&lt;&gt;""),(VLOOKUP($C11,'V-LOOKUP'!$C$4:$M$59,6,FALSE)),"0")</f>
        <v>0</v>
      </c>
      <c r="CW11" s="192" t="str">
        <f>IF(AND($C11&lt;&gt;"",$L11&lt;&gt;""),(VLOOKUP($C11,'V-LOOKUP'!$C$4:$M$59,7,FALSE)),"0")</f>
        <v>0</v>
      </c>
      <c r="CX11" s="192" t="str">
        <f>IF(AND($C11&lt;&gt;"",$L11&lt;&gt;""),(VLOOKUP($C11,'V-LOOKUP'!$C$4:$M$59,8,FALSE)),"0")</f>
        <v>0</v>
      </c>
      <c r="CY11" s="192" t="str">
        <f>IF(AND($C11&lt;&gt;"",$L11&lt;&gt;""),(VLOOKUP($C11,'V-LOOKUP'!$C$4:$M$59,9,FALSE)),"0")</f>
        <v>0</v>
      </c>
      <c r="CZ11" s="192" t="str">
        <f>IF(AND($C11&lt;&gt;"",$L11&lt;&gt;""),(VLOOKUP($C11,'V-LOOKUP'!$C$4:$M$59,10,FALSE)),"0")</f>
        <v>0</v>
      </c>
      <c r="DA11" s="192" t="str">
        <f>IF(AND($C11&lt;&gt;"",$L11&lt;&gt;""),(VLOOKUP($C11,'V-LOOKUP'!$C$4:$M$59,11,FALSE)),"0")</f>
        <v>0</v>
      </c>
      <c r="DB11" s="192" t="str">
        <f>IF(AND($C11&lt;&gt;"",$L11&lt;&gt;""),(VLOOKUP($C11,'V-LOOKUP'!$C$4:$N$59,12,FALSE)),"0")</f>
        <v>0</v>
      </c>
      <c r="DC11" s="192" t="str">
        <f>IF(AND($C11&lt;&gt;"",M11&lt;&gt;""),(VLOOKUP($C11,'V-LOOKUP'!$C$4:$M$59,4,FALSE)),"0")</f>
        <v>0</v>
      </c>
      <c r="DD11" s="192" t="str">
        <f>IF(AND($C11&lt;&gt;"",$M11&lt;&gt;""),(VLOOKUP($C11,'V-LOOKUP'!$C$4:$M$59,5,FALSE)),"0")</f>
        <v>0</v>
      </c>
      <c r="DE11" s="192" t="str">
        <f>IF(AND($C11&lt;&gt;"",$M11&lt;&gt;""),(VLOOKUP($C11,'V-LOOKUP'!$C$4:$M$59,6,FALSE)),"0")</f>
        <v>0</v>
      </c>
      <c r="DF11" s="192" t="str">
        <f>IF(AND($C11&lt;&gt;"",$M11&lt;&gt;""),(VLOOKUP($C11,'V-LOOKUP'!$C$4:$M$59,7,FALSE)),"0")</f>
        <v>0</v>
      </c>
      <c r="DG11" s="192" t="str">
        <f>IF(AND($C11&lt;&gt;"",$M11&lt;&gt;""),(VLOOKUP($C11,'V-LOOKUP'!$C$4:$M$59,8,FALSE)),"0")</f>
        <v>0</v>
      </c>
      <c r="DH11" s="192" t="str">
        <f>IF(AND($C11&lt;&gt;"",$M11&lt;&gt;""),(VLOOKUP($C11,'V-LOOKUP'!$C$4:$M$59,9,FALSE)),"0")</f>
        <v>0</v>
      </c>
      <c r="DI11" s="192" t="str">
        <f>IF(AND($C11&lt;&gt;"",$M11&lt;&gt;""),(VLOOKUP($C11,'V-LOOKUP'!$C$4:$M$59,10,FALSE)),"0")</f>
        <v>0</v>
      </c>
      <c r="DJ11" s="192" t="str">
        <f>IF(AND($C11&lt;&gt;"",$M11&lt;&gt;""),(VLOOKUP($C11,'V-LOOKUP'!$C$4:$M$59,11,FALSE)),"0")</f>
        <v>0</v>
      </c>
      <c r="DK11" s="192" t="str">
        <f>IF(AND($C11&lt;&gt;"",$M11&lt;&gt;""),(VLOOKUP($C11,'V-LOOKUP'!$C$4:$N$59,12,FALSE)),"0")</f>
        <v>0</v>
      </c>
      <c r="DL11" s="192" t="str">
        <f>IF(AND($C11&lt;&gt;"",$N11&lt;&gt;""),(VLOOKUP($C11,'V-LOOKUP'!$C$4:$M$59,4,FALSE)),"0")</f>
        <v>0</v>
      </c>
      <c r="DM11" s="192" t="str">
        <f>IF(AND($C11&lt;&gt;"",$N11&lt;&gt;""),(VLOOKUP($C11,'V-LOOKUP'!$C$4:$M$59,5,FALSE)),"0")</f>
        <v>0</v>
      </c>
      <c r="DN11" s="192" t="str">
        <f>IF(AND($C11&lt;&gt;"",$N11&lt;&gt;""),(VLOOKUP($C11,'V-LOOKUP'!$C$4:$M$59,6,FALSE)),"0")</f>
        <v>0</v>
      </c>
      <c r="DO11" s="192" t="str">
        <f>IF(AND($C11&lt;&gt;"",$N11&lt;&gt;""),(VLOOKUP($C11,'V-LOOKUP'!$C$4:$M$59,7,FALSE)),"0")</f>
        <v>0</v>
      </c>
      <c r="DP11" s="192" t="str">
        <f>IF(AND($C11&lt;&gt;"",$N11&lt;&gt;""),(VLOOKUP($C11,'V-LOOKUP'!$C$4:$M$59,8,FALSE)),"0")</f>
        <v>0</v>
      </c>
      <c r="DQ11" s="192" t="str">
        <f>IF(AND($C11&lt;&gt;"",$N11&lt;&gt;""),(VLOOKUP($C11,'V-LOOKUP'!$C$4:$M$59,9,FALSE)),"0")</f>
        <v>0</v>
      </c>
      <c r="DR11" s="192" t="str">
        <f>IF(AND($C11&lt;&gt;"",$N11&lt;&gt;""),(VLOOKUP($C11,'V-LOOKUP'!$C$4:$M$59,10,FALSE)),"0")</f>
        <v>0</v>
      </c>
      <c r="DS11" s="192" t="str">
        <f>IF(AND($C11&lt;&gt;"",$N11&lt;&gt;""),(VLOOKUP($C11,'V-LOOKUP'!$C$4:$M$59,11,FALSE)),"0")</f>
        <v>0</v>
      </c>
      <c r="DT11" s="192" t="str">
        <f>IF(AND($C11&lt;&gt;"",$N11&lt;&gt;""),(VLOOKUP($C11,'V-LOOKUP'!$C$4:$N$59,12,FALSE)),"0")</f>
        <v>0</v>
      </c>
      <c r="DU11" s="192" t="str">
        <f>IF(AND($C11&lt;&gt;"",O11&lt;&gt;""),(VLOOKUP($C11,'V-LOOKUP'!$C$4:$M$59,4,FALSE)),"0")</f>
        <v>0</v>
      </c>
      <c r="DV11" s="192" t="str">
        <f>IF(AND($C11&lt;&gt;"",$O11&lt;&gt;""),(VLOOKUP($C11,'V-LOOKUP'!$C$4:$M$59,5,FALSE)),"0")</f>
        <v>0</v>
      </c>
      <c r="DW11" s="192" t="str">
        <f>IF(AND($C11&lt;&gt;"",$O11&lt;&gt;""),(VLOOKUP($C11,'V-LOOKUP'!$C$4:$M$59,6,FALSE)),"0")</f>
        <v>0</v>
      </c>
      <c r="DX11" s="192" t="str">
        <f>IF(AND($C11&lt;&gt;"",$O11&lt;&gt;""),(VLOOKUP($C11,'V-LOOKUP'!$C$4:$M$59,7,FALSE)),"0")</f>
        <v>0</v>
      </c>
      <c r="DY11" s="192" t="str">
        <f>IF(AND($C11&lt;&gt;"",$O11&lt;&gt;""),(VLOOKUP($C11,'V-LOOKUP'!$C$4:$M$59,8,FALSE)),"0")</f>
        <v>0</v>
      </c>
      <c r="DZ11" s="192" t="str">
        <f>IF(AND($C11&lt;&gt;"",$O11&lt;&gt;""),(VLOOKUP($C11,'V-LOOKUP'!$C$4:$M$59,9,FALSE)),"0")</f>
        <v>0</v>
      </c>
      <c r="EA11" s="192" t="str">
        <f>IF(AND($C11&lt;&gt;"",$O11&lt;&gt;""),(VLOOKUP($C11,'V-LOOKUP'!$C$4:$M$59,10,FALSE)),"0")</f>
        <v>0</v>
      </c>
      <c r="EB11" s="192" t="str">
        <f>IF(AND($C11&lt;&gt;"",$O11&lt;&gt;""),(VLOOKUP($C11,'V-LOOKUP'!$C$4:$M$59,11,FALSE)),"0")</f>
        <v>0</v>
      </c>
      <c r="EC11" s="192" t="str">
        <f>IF(AND($C11&lt;&gt;"",$O11&lt;&gt;""),(VLOOKUP($C11,'V-LOOKUP'!$C$4:$N$59,12,FALSE)),"0")</f>
        <v>0</v>
      </c>
      <c r="ED11" s="192" t="str">
        <f>IF(AND($C11&lt;&gt;"",P11&lt;&gt;""),(VLOOKUP($C11,'V-LOOKUP'!$C$4:$M$59,4,FALSE)),"0")</f>
        <v>0</v>
      </c>
      <c r="EE11" s="192" t="str">
        <f>IF(AND($C11&lt;&gt;"",$P11&lt;&gt;""),(VLOOKUP($C11,'V-LOOKUP'!$C$4:$M$59,5,FALSE)),"0")</f>
        <v>0</v>
      </c>
      <c r="EF11" s="192" t="str">
        <f>IF(AND($C11&lt;&gt;"",$P11&lt;&gt;""),(VLOOKUP($C11,'V-LOOKUP'!$C$4:$M$59,6,FALSE)),"0")</f>
        <v>0</v>
      </c>
      <c r="EG11" s="192" t="str">
        <f>IF(AND($C11&lt;&gt;"",$P11&lt;&gt;""),(VLOOKUP($C11,'V-LOOKUP'!$C$4:$M$59,7,FALSE)),"0")</f>
        <v>0</v>
      </c>
      <c r="EH11" s="192" t="str">
        <f>IF(AND($C11&lt;&gt;"",$P11&lt;&gt;""),(VLOOKUP($C11,'V-LOOKUP'!$C$4:$M$59,8,FALSE)),"0")</f>
        <v>0</v>
      </c>
      <c r="EI11" s="192" t="str">
        <f>IF(AND($C11&lt;&gt;"",$P11&lt;&gt;""),(VLOOKUP($C11,'V-LOOKUP'!$C$4:$M$59,9,FALSE)),"0")</f>
        <v>0</v>
      </c>
      <c r="EJ11" s="192" t="str">
        <f>IF(AND($C11&lt;&gt;"",$P11&lt;&gt;""),(VLOOKUP($C11,'V-LOOKUP'!$C$4:$M$59,10,FALSE)),"0")</f>
        <v>0</v>
      </c>
      <c r="EK11" s="192" t="str">
        <f>IF(AND($C11&lt;&gt;"",$P11&lt;&gt;""),(VLOOKUP($C11,'V-LOOKUP'!$C$4:$M$59,11,FALSE)),"0")</f>
        <v>0</v>
      </c>
      <c r="EL11" s="192" t="str">
        <f>IF(AND($C11&lt;&gt;"",$P11&lt;&gt;""),(VLOOKUP($C11,'V-LOOKUP'!$C$4:$N$59,12,FALSE)),"0")</f>
        <v>0</v>
      </c>
      <c r="EM11" s="192" t="str">
        <f>IF(AND($C11&lt;&gt;"",Q11&lt;&gt;""),(VLOOKUP($C11,'V-LOOKUP'!$C$4:$M$59,4,FALSE)),"0")</f>
        <v>0</v>
      </c>
      <c r="EN11" s="192" t="str">
        <f>IF(AND($C11&lt;&gt;"",$Q11&lt;&gt;""),(VLOOKUP($C11,'V-LOOKUP'!$C$4:$M$59,5,FALSE)),"0")</f>
        <v>0</v>
      </c>
      <c r="EO11" s="192" t="str">
        <f>IF(AND($C11&lt;&gt;"",$Q11&lt;&gt;""),(VLOOKUP($C11,'V-LOOKUP'!$C$4:$M$59,6,FALSE)),"0")</f>
        <v>0</v>
      </c>
      <c r="EP11" s="192" t="str">
        <f>IF(AND($C11&lt;&gt;"",$Q11&lt;&gt;""),(VLOOKUP($C11,'V-LOOKUP'!$C$4:$M$59,7,FALSE)),"0")</f>
        <v>0</v>
      </c>
      <c r="EQ11" s="192" t="str">
        <f>IF(AND($C11&lt;&gt;"",$Q11&lt;&gt;""),(VLOOKUP($C11,'V-LOOKUP'!$C$4:$M$59,8,FALSE)),"0")</f>
        <v>0</v>
      </c>
      <c r="ER11" s="192" t="str">
        <f>IF(AND($C11&lt;&gt;"",$Q11&lt;&gt;""),(VLOOKUP($C11,'V-LOOKUP'!$C$4:$M$59,9,FALSE)),"0")</f>
        <v>0</v>
      </c>
      <c r="ES11" s="192" t="str">
        <f>IF(AND($C11&lt;&gt;"",$Q11&lt;&gt;""),(VLOOKUP($C11,'V-LOOKUP'!$C$4:$M$59,10,FALSE)),"0")</f>
        <v>0</v>
      </c>
      <c r="ET11" s="192" t="str">
        <f>IF(AND($C11&lt;&gt;"",$Q11&lt;&gt;""),(VLOOKUP($C11,'V-LOOKUP'!$C$4:$M$59,11,FALSE)),"0")</f>
        <v>0</v>
      </c>
      <c r="EU11" s="192" t="str">
        <f>IF(AND($C11&lt;&gt;"",$Q11&lt;&gt;""),(VLOOKUP($C11,'V-LOOKUP'!$C$4:$N$59,12,FALSE)),"0")</f>
        <v>0</v>
      </c>
      <c r="EV11" s="192" t="str">
        <f>IF(AND($C11&lt;&gt;"",R11&lt;&gt;""),(VLOOKUP($C11,'V-LOOKUP'!$C$4:$M$59,4,FALSE)),"0")</f>
        <v>0</v>
      </c>
      <c r="EW11" s="192" t="str">
        <f>IF(AND($C11&lt;&gt;"",$R11&lt;&gt;""),(VLOOKUP($C11,'V-LOOKUP'!$C$4:$M$59,5,FALSE)),"0")</f>
        <v>0</v>
      </c>
      <c r="EX11" s="192" t="str">
        <f>IF(AND($C11&lt;&gt;"",$R11&lt;&gt;""),(VLOOKUP($C11,'V-LOOKUP'!$C$4:$M$59,6,FALSE)),"0")</f>
        <v>0</v>
      </c>
      <c r="EY11" s="192" t="str">
        <f>IF(AND($C11&lt;&gt;"",$R11&lt;&gt;""),(VLOOKUP($C11,'V-LOOKUP'!$C$4:$M$59,7,FALSE)),"0")</f>
        <v>0</v>
      </c>
      <c r="EZ11" s="192" t="str">
        <f>IF(AND($C11&lt;&gt;"",$R11&lt;&gt;""),(VLOOKUP($C11,'V-LOOKUP'!$C$4:$M$59,8,FALSE)),"0")</f>
        <v>0</v>
      </c>
      <c r="FA11" s="192" t="str">
        <f>IF(AND($C11&lt;&gt;"",$R11&lt;&gt;""),(VLOOKUP($C11,'V-LOOKUP'!$C$4:$M$59,9,FALSE)),"0")</f>
        <v>0</v>
      </c>
      <c r="FB11" s="192" t="str">
        <f>IF(AND($C11&lt;&gt;"",$R11&lt;&gt;""),(VLOOKUP($C11,'V-LOOKUP'!$C$4:$M$59,10,FALSE)),"0")</f>
        <v>0</v>
      </c>
      <c r="FC11" s="192" t="str">
        <f>IF(AND($C11&lt;&gt;"",$R11&lt;&gt;""),(VLOOKUP($C11,'V-LOOKUP'!$C$4:$M$59,11,FALSE)),"0")</f>
        <v>0</v>
      </c>
      <c r="FD11" s="192" t="str">
        <f>IF(AND($C11&lt;&gt;"",$R11&lt;&gt;""),(VLOOKUP($C11,'V-LOOKUP'!$C$4:$N$59,12,FALSE)),"0")</f>
        <v>0</v>
      </c>
      <c r="FE11" s="192" t="str">
        <f>IF(AND($C11&lt;&gt;"",S11&lt;&gt;""),(VLOOKUP($C11,'V-LOOKUP'!$C$4:$M$59,4,FALSE)),"0")</f>
        <v>0</v>
      </c>
      <c r="FF11" s="192" t="str">
        <f>IF(AND($C11&lt;&gt;"",$S11&lt;&gt;""),(VLOOKUP($C11,'V-LOOKUP'!$C$4:$M$59,5,FALSE)),"0")</f>
        <v>0</v>
      </c>
      <c r="FG11" s="192" t="str">
        <f>IF(AND($C11&lt;&gt;"",$S11&lt;&gt;""),(VLOOKUP($C11,'V-LOOKUP'!$C$4:$M$59,6,FALSE)),"0")</f>
        <v>0</v>
      </c>
      <c r="FH11" s="192" t="str">
        <f>IF(AND($C11&lt;&gt;"",$S11&lt;&gt;""),(VLOOKUP($C11,'V-LOOKUP'!$C$4:$M$59,7,FALSE)),"0")</f>
        <v>0</v>
      </c>
      <c r="FI11" s="192" t="str">
        <f>IF(AND($C11&lt;&gt;"",$S11&lt;&gt;""),(VLOOKUP($C11,'V-LOOKUP'!$C$4:$M$59,8,FALSE)),"0")</f>
        <v>0</v>
      </c>
      <c r="FJ11" s="192" t="str">
        <f>IF(AND($C11&lt;&gt;"",$S11&lt;&gt;""),(VLOOKUP($C11,'V-LOOKUP'!$C$4:$M$59,9,FALSE)),"0")</f>
        <v>0</v>
      </c>
      <c r="FK11" s="192" t="str">
        <f>IF(AND($C11&lt;&gt;"",$S11&lt;&gt;""),(VLOOKUP($C11,'V-LOOKUP'!$C$4:$M$59,10,FALSE)),"0")</f>
        <v>0</v>
      </c>
      <c r="FL11" s="192" t="str">
        <f>IF(AND($C11&lt;&gt;"",$S11&lt;&gt;""),(VLOOKUP($C11,'V-LOOKUP'!$C$4:$M$59,11,FALSE)),"0")</f>
        <v>0</v>
      </c>
      <c r="FM11" s="192" t="str">
        <f>IF(AND($C11&lt;&gt;"",$S11&lt;&gt;""),(VLOOKUP($C11,'V-LOOKUP'!$C$4:$N$59,12,FALSE)),"0")</f>
        <v>0</v>
      </c>
      <c r="FN11" s="192" t="str">
        <f>IF(AND($C11&lt;&gt;"",T11&lt;&gt;""),(VLOOKUP($C11,'V-LOOKUP'!$C$4:$M$59,4,FALSE)),"0")</f>
        <v>0</v>
      </c>
      <c r="FO11" s="192" t="str">
        <f>IF(AND($C11&lt;&gt;"",$T11&lt;&gt;""),(VLOOKUP($C11,'V-LOOKUP'!$C$4:$M$59,5,FALSE)),"0")</f>
        <v>0</v>
      </c>
      <c r="FP11" s="192" t="str">
        <f>IF(AND($C11&lt;&gt;"",$T11&lt;&gt;""),(VLOOKUP($C11,'V-LOOKUP'!$C$4:$M$59,6,FALSE)),"0")</f>
        <v>0</v>
      </c>
      <c r="FQ11" s="192" t="str">
        <f>IF(AND($C11&lt;&gt;"",$T11&lt;&gt;""),(VLOOKUP($C11,'V-LOOKUP'!$C$4:$M$59,7,FALSE)),"0")</f>
        <v>0</v>
      </c>
      <c r="FR11" s="192" t="str">
        <f>IF(AND($C11&lt;&gt;"",$T11&lt;&gt;""),(VLOOKUP($C11,'V-LOOKUP'!$C$4:$M$59,8,FALSE)),"0")</f>
        <v>0</v>
      </c>
      <c r="FS11" s="192" t="str">
        <f>IF(AND($C11&lt;&gt;"",$T11&lt;&gt;""),(VLOOKUP($C11,'V-LOOKUP'!$C$4:$M$59,9,FALSE)),"0")</f>
        <v>0</v>
      </c>
      <c r="FT11" s="192" t="str">
        <f>IF(AND($C11&lt;&gt;"",$T11&lt;&gt;""),(VLOOKUP($C11,'V-LOOKUP'!$C$4:$M$59,10,FALSE)),"0")</f>
        <v>0</v>
      </c>
      <c r="FU11" s="192" t="str">
        <f>IF(AND($C11&lt;&gt;"",$T11&lt;&gt;""),(VLOOKUP($C11,'V-LOOKUP'!$C$4:$M$59,11,FALSE)),"0")</f>
        <v>0</v>
      </c>
      <c r="FV11" s="192" t="str">
        <f>IF(AND($C11&lt;&gt;"",$T11&lt;&gt;""),(VLOOKUP($C11,'V-LOOKUP'!$C$4:$N$59,12,FALSE)),"0")</f>
        <v>0</v>
      </c>
      <c r="FW11" s="192" t="str">
        <f>IF(AND($C11&lt;&gt;"",U11&lt;&gt;""),(VLOOKUP($C11,'V-LOOKUP'!$C$4:$M$59,4,FALSE)),"0")</f>
        <v>0</v>
      </c>
      <c r="FX11" s="192" t="str">
        <f>IF(AND($C11&lt;&gt;"",$U11&lt;&gt;""),(VLOOKUP($C11,'V-LOOKUP'!$C$4:$M$59,5,FALSE)),"0")</f>
        <v>0</v>
      </c>
      <c r="FY11" s="192" t="str">
        <f>IF(AND($C11&lt;&gt;"",$U11&lt;&gt;""),(VLOOKUP($C11,'V-LOOKUP'!$C$4:$M$59,6,FALSE)),"0")</f>
        <v>0</v>
      </c>
      <c r="FZ11" s="192" t="str">
        <f>IF(AND($C11&lt;&gt;"",$U11&lt;&gt;""),(VLOOKUP($C11,'V-LOOKUP'!$C$4:$M$59,7,FALSE)),"0")</f>
        <v>0</v>
      </c>
      <c r="GA11" s="192" t="str">
        <f>IF(AND($C11&lt;&gt;"",$U11&lt;&gt;""),(VLOOKUP($C11,'V-LOOKUP'!$C$4:$M$59,8,FALSE)),"0")</f>
        <v>0</v>
      </c>
      <c r="GB11" s="192" t="str">
        <f>IF(AND($C11&lt;&gt;"",$U11&lt;&gt;""),(VLOOKUP($C11,'V-LOOKUP'!$C$4:$M$59,9,FALSE)),"0")</f>
        <v>0</v>
      </c>
      <c r="GC11" s="192" t="str">
        <f>IF(AND($C11&lt;&gt;"",$U11&lt;&gt;""),(VLOOKUP($C11,'V-LOOKUP'!$C$4:$M$59,10,FALSE)),"0")</f>
        <v>0</v>
      </c>
      <c r="GD11" s="192" t="str">
        <f>IF(AND($C11&lt;&gt;"",$U11&lt;&gt;""),(VLOOKUP($C11,'V-LOOKUP'!$C$4:$M$59,11,FALSE)),"0")</f>
        <v>0</v>
      </c>
      <c r="GE11" s="192" t="str">
        <f>IF(AND($C11&lt;&gt;"",$U11&lt;&gt;""),(VLOOKUP($C11,'V-LOOKUP'!$C$4:$N$59,12,FALSE)),"0")</f>
        <v>0</v>
      </c>
      <c r="GF11" s="192" t="str">
        <f>IF(AND($C11&lt;&gt;"",V11&lt;&gt;""),(VLOOKUP($C11,'V-LOOKUP'!$C$4:$M$59,4,FALSE)),"0")</f>
        <v>0</v>
      </c>
      <c r="GG11" s="192" t="str">
        <f>IF(AND($C11&lt;&gt;"",$V11&lt;&gt;""),(VLOOKUP($C11,'V-LOOKUP'!$C$4:$M$59,5,FALSE)),"0")</f>
        <v>0</v>
      </c>
      <c r="GH11" s="192" t="str">
        <f>IF(AND($C11&lt;&gt;"",$V11&lt;&gt;""),(VLOOKUP($C11,'V-LOOKUP'!$C$4:$M$59,6,FALSE)),"0")</f>
        <v>0</v>
      </c>
      <c r="GI11" s="192" t="str">
        <f>IF(AND($C11&lt;&gt;"",$V11&lt;&gt;""),(VLOOKUP($C11,'V-LOOKUP'!$C$4:$M$59,7,FALSE)),"0")</f>
        <v>0</v>
      </c>
      <c r="GJ11" s="192" t="str">
        <f>IF(AND($C11&lt;&gt;"",$V11&lt;&gt;""),(VLOOKUP($C11,'V-LOOKUP'!$C$4:$M$59,8,FALSE)),"0")</f>
        <v>0</v>
      </c>
      <c r="GK11" s="192" t="str">
        <f>IF(AND($C11&lt;&gt;"",$V11&lt;&gt;""),(VLOOKUP($C11,'V-LOOKUP'!$C$4:$M$59,9,FALSE)),"0")</f>
        <v>0</v>
      </c>
      <c r="GL11" s="192" t="str">
        <f>IF(AND($C11&lt;&gt;"",$V11&lt;&gt;""),(VLOOKUP($C11,'V-LOOKUP'!$C$4:$M$59,10,FALSE)),"0")</f>
        <v>0</v>
      </c>
      <c r="GM11" s="192" t="str">
        <f>IF(AND($C11&lt;&gt;"",$V11&lt;&gt;""),(VLOOKUP($C11,'V-LOOKUP'!$C$4:$M$59,11,FALSE)),"0")</f>
        <v>0</v>
      </c>
      <c r="GN11" s="192" t="str">
        <f>IF(AND($C11&lt;&gt;"",$V11&lt;&gt;""),(VLOOKUP($C11,'V-LOOKUP'!$C$4:$N$59,12,FALSE)),"0")</f>
        <v>0</v>
      </c>
      <c r="GO11" s="192" t="str">
        <f>IF(AND($C11&lt;&gt;"",W11&lt;&gt;""),(VLOOKUP($C11,'V-LOOKUP'!$C$4:$M$59,4,FALSE)),"0")</f>
        <v>0</v>
      </c>
      <c r="GP11" s="192" t="str">
        <f>IF(AND($C11&lt;&gt;"",$W11&lt;&gt;""),(VLOOKUP($C11,'V-LOOKUP'!$C$4:$M$59,5,FALSE)),"0")</f>
        <v>0</v>
      </c>
      <c r="GQ11" s="192" t="str">
        <f>IF(AND($C11&lt;&gt;"",$W11&lt;&gt;""),(VLOOKUP($C11,'V-LOOKUP'!$C$4:$M$59,6,FALSE)),"0")</f>
        <v>0</v>
      </c>
      <c r="GR11" s="192" t="str">
        <f>IF(AND($C11&lt;&gt;"",$W11&lt;&gt;""),(VLOOKUP($C11,'V-LOOKUP'!$C$4:$M$59,7,FALSE)),"0")</f>
        <v>0</v>
      </c>
      <c r="GS11" s="192" t="str">
        <f>IF(AND($C11&lt;&gt;"",$W11&lt;&gt;""),(VLOOKUP($C11,'V-LOOKUP'!$C$4:$M$59,8,FALSE)),"0")</f>
        <v>0</v>
      </c>
      <c r="GT11" s="192" t="str">
        <f>IF(AND($C11&lt;&gt;"",$W11&lt;&gt;""),(VLOOKUP($C11,'V-LOOKUP'!$C$4:$M$59,9,FALSE)),"0")</f>
        <v>0</v>
      </c>
      <c r="GU11" s="192" t="str">
        <f>IF(AND($C11&lt;&gt;"",$W11&lt;&gt;""),(VLOOKUP($C11,'V-LOOKUP'!$C$4:$M$59,10,FALSE)),"0")</f>
        <v>0</v>
      </c>
      <c r="GV11" s="192" t="str">
        <f>IF(AND($C11&lt;&gt;"",$W11&lt;&gt;""),(VLOOKUP($C11,'V-LOOKUP'!$C$4:$M$59,11,FALSE)),"0")</f>
        <v>0</v>
      </c>
      <c r="GW11" s="192" t="str">
        <f>IF(AND($C11&lt;&gt;"",$W11&lt;&gt;""),(VLOOKUP($C11,'V-LOOKUP'!$C$4:$N$59,12,FALSE)),"0")</f>
        <v>0</v>
      </c>
    </row>
    <row r="12" spans="1:205" ht="14.65" customHeight="1">
      <c r="A12" s="193"/>
      <c r="B12" s="245"/>
      <c r="C12" s="201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Y12" s="190"/>
      <c r="Z12" s="192" t="str">
        <f>IF(AND($C12&lt;&gt;"",$D12&lt;&gt;""),(VLOOKUP($C12,'V-LOOKUP'!$C$4:$M$59,4,FALSE)),"0")</f>
        <v>0</v>
      </c>
      <c r="AA12" s="192" t="str">
        <f>IF(AND($C12&lt;&gt;"",$D12&lt;&gt;""),(VLOOKUP($C12,'V-LOOKUP'!$C$4:$M$59,5,FALSE)),"0")</f>
        <v>0</v>
      </c>
      <c r="AB12" s="192" t="str">
        <f>IF(AND($C12&lt;&gt;"",$D12&lt;&gt;""),(VLOOKUP($C12,'V-LOOKUP'!$C$4:$M$59,6,FALSE)),"0")</f>
        <v>0</v>
      </c>
      <c r="AC12" s="192" t="str">
        <f>IF(AND($C12&lt;&gt;"",$D12&lt;&gt;""),(VLOOKUP($C12,'V-LOOKUP'!$C$4:$M$59,7,FALSE)),"0")</f>
        <v>0</v>
      </c>
      <c r="AD12" s="192" t="str">
        <f>IF(AND($C12&lt;&gt;"",$D12&lt;&gt;""),(VLOOKUP($C12,'V-LOOKUP'!$C$4:$M$59,8,FALSE)),"0")</f>
        <v>0</v>
      </c>
      <c r="AE12" s="192" t="str">
        <f>IF(AND($C12&lt;&gt;"",$D12&lt;&gt;""),(VLOOKUP($C12,'V-LOOKUP'!$C$4:$M$59,9,FALSE)),"0")</f>
        <v>0</v>
      </c>
      <c r="AF12" s="192" t="str">
        <f>IF(AND($C12&lt;&gt;"",$D12&lt;&gt;""),(VLOOKUP($C12,'V-LOOKUP'!$C$4:$M$59,10,FALSE)),"0")</f>
        <v>0</v>
      </c>
      <c r="AG12" s="192" t="str">
        <f>IF(AND($C12&lt;&gt;"",$D12&lt;&gt;""),(VLOOKUP($C12,'V-LOOKUP'!$C$4:$M$59,11,FALSE)),"0")</f>
        <v>0</v>
      </c>
      <c r="AH12" s="192" t="str">
        <f>IF(AND($C12&lt;&gt;"",$D12&lt;&gt;""),(VLOOKUP($C12,'V-LOOKUP'!$C$4:$N$59,12,FALSE)),"0")</f>
        <v>0</v>
      </c>
      <c r="AI12" s="192" t="str">
        <f>IF(AND($C12&lt;&gt;"",E12&lt;&gt;""),(VLOOKUP($C12,'V-LOOKUP'!$C$4:$M$59,4,FALSE)),"0")</f>
        <v>0</v>
      </c>
      <c r="AJ12" s="192" t="str">
        <f>IF(AND($C12&lt;&gt;"",$E12&lt;&gt;""),(VLOOKUP($C12,'V-LOOKUP'!$C$4:$M$59,5,FALSE)),"0")</f>
        <v>0</v>
      </c>
      <c r="AK12" s="192" t="str">
        <f>IF(AND($C12&lt;&gt;"",$E12&lt;&gt;""),(VLOOKUP($C12,'V-LOOKUP'!$C$4:$M$59,6,FALSE)),"0")</f>
        <v>0</v>
      </c>
      <c r="AL12" s="192" t="str">
        <f>IF(AND($C12&lt;&gt;"",$E12&lt;&gt;""),(VLOOKUP($C12,'V-LOOKUP'!$C$4:$M$59,7,FALSE)),"0")</f>
        <v>0</v>
      </c>
      <c r="AM12" s="192" t="str">
        <f>IF(AND($C12&lt;&gt;"",$E12&lt;&gt;""),(VLOOKUP($C12,'V-LOOKUP'!$C$4:$M$59,8,FALSE)),"0")</f>
        <v>0</v>
      </c>
      <c r="AN12" s="192" t="str">
        <f>IF(AND($C12&lt;&gt;"",$E12&lt;&gt;""),(VLOOKUP($C12,'V-LOOKUP'!$C$4:$M$59,9,FALSE)),"0")</f>
        <v>0</v>
      </c>
      <c r="AO12" s="192" t="str">
        <f>IF(AND($C12&lt;&gt;"",$E12&lt;&gt;""),(VLOOKUP($C12,'V-LOOKUP'!$C$4:$M$59,10,FALSE)),"0")</f>
        <v>0</v>
      </c>
      <c r="AP12" s="192" t="str">
        <f>IF(AND($C12&lt;&gt;"",$E12&lt;&gt;""),(VLOOKUP($C12,'V-LOOKUP'!$C$4:$M$59,11,FALSE)),"0")</f>
        <v>0</v>
      </c>
      <c r="AQ12" s="192" t="str">
        <f>IF(AND($C12&lt;&gt;"",$E12&lt;&gt;""),(VLOOKUP($C12,'V-LOOKUP'!$C$4:$N$59,12,FALSE)),"0")</f>
        <v>0</v>
      </c>
      <c r="AR12" s="192" t="str">
        <f>IF(AND($C12&lt;&gt;"",$F12&lt;&gt;""),(VLOOKUP($C12,'V-LOOKUP'!$C$4:$M$59,4,FALSE)),"0")</f>
        <v>0</v>
      </c>
      <c r="AS12" s="192" t="str">
        <f>IF(AND($C12&lt;&gt;"",$F12&lt;&gt;""),(VLOOKUP($C12,'V-LOOKUP'!$C$4:$M$59,5,FALSE)),"0")</f>
        <v>0</v>
      </c>
      <c r="AT12" s="192" t="str">
        <f>IF(AND($C12&lt;&gt;"",$F12&lt;&gt;""),(VLOOKUP($C12,'V-LOOKUP'!$C$4:$M$59,6,FALSE)),"0")</f>
        <v>0</v>
      </c>
      <c r="AU12" s="192" t="str">
        <f>IF(AND($C12&lt;&gt;"",$F12&lt;&gt;""),(VLOOKUP($C12,'V-LOOKUP'!$C$4:$M$59,7,FALSE)),"0")</f>
        <v>0</v>
      </c>
      <c r="AV12" s="192" t="str">
        <f>IF(AND($C12&lt;&gt;"",$F12&lt;&gt;""),(VLOOKUP($C12,'V-LOOKUP'!$C$4:$M$59,8,FALSE)),"0")</f>
        <v>0</v>
      </c>
      <c r="AW12" s="192" t="str">
        <f>IF(AND($C12&lt;&gt;"",$F12&lt;&gt;""),(VLOOKUP($C12,'V-LOOKUP'!$C$4:$M$59,9,FALSE)),"0")</f>
        <v>0</v>
      </c>
      <c r="AX12" s="192" t="str">
        <f>IF(AND($C12&lt;&gt;"",$F12&lt;&gt;""),(VLOOKUP($C12,'V-LOOKUP'!$C$4:$M$59,10,FALSE)),"0")</f>
        <v>0</v>
      </c>
      <c r="AY12" s="192" t="str">
        <f>IF(AND($C12&lt;&gt;"",$F12&lt;&gt;""),(VLOOKUP($C12,'V-LOOKUP'!$C$4:$M$59,11,FALSE)),"0")</f>
        <v>0</v>
      </c>
      <c r="AZ12" s="192" t="str">
        <f>IF(AND($C12&lt;&gt;"",$F12&lt;&gt;""),(VLOOKUP($C12,'V-LOOKUP'!$C$4:$N$59,12,FALSE)),"0")</f>
        <v>0</v>
      </c>
      <c r="BA12" s="192" t="str">
        <f>IF(AND($C12&lt;&gt;"",G12&lt;&gt;""),(VLOOKUP($C12,'V-LOOKUP'!$C$4:$M$59,4,FALSE)),"0")</f>
        <v>0</v>
      </c>
      <c r="BB12" s="192" t="str">
        <f>IF(AND($C12&lt;&gt;"",$G12&lt;&gt;""),(VLOOKUP($C12,'V-LOOKUP'!$C$4:$M$59,5,FALSE)),"0")</f>
        <v>0</v>
      </c>
      <c r="BC12" s="192" t="str">
        <f>IF(AND($C12&lt;&gt;"",$G12&lt;&gt;""),(VLOOKUP($C12,'V-LOOKUP'!$C$4:$M$59,6,FALSE)),"0")</f>
        <v>0</v>
      </c>
      <c r="BD12" s="192" t="str">
        <f>IF(AND($C12&lt;&gt;"",$G12&lt;&gt;""),(VLOOKUP($C12,'V-LOOKUP'!$C$4:$M$59,7,FALSE)),"0")</f>
        <v>0</v>
      </c>
      <c r="BE12" s="192" t="str">
        <f>IF(AND($C12&lt;&gt;"",$G12&lt;&gt;""),(VLOOKUP($C12,'V-LOOKUP'!$C$4:$M$59,8,FALSE)),"0")</f>
        <v>0</v>
      </c>
      <c r="BF12" s="192" t="str">
        <f>IF(AND($C12&lt;&gt;"",$G12&lt;&gt;""),(VLOOKUP($C12,'V-LOOKUP'!$C$4:$M$59,9,FALSE)),"0")</f>
        <v>0</v>
      </c>
      <c r="BG12" s="192" t="str">
        <f>IF(AND($C12&lt;&gt;"",$G12&lt;&gt;""),(VLOOKUP($C12,'V-LOOKUP'!$C$4:$M$59,10,FALSE)),"0")</f>
        <v>0</v>
      </c>
      <c r="BH12" s="192" t="str">
        <f>IF(AND($C12&lt;&gt;"",$G12&lt;&gt;""),(VLOOKUP($C12,'V-LOOKUP'!$C$4:$M$59,11,FALSE)),"0")</f>
        <v>0</v>
      </c>
      <c r="BI12" s="192" t="str">
        <f>IF(AND($C12&lt;&gt;"",$G12&lt;&gt;""),(VLOOKUP($C12,'V-LOOKUP'!$C$4:$N$59,12,FALSE)),"0")</f>
        <v>0</v>
      </c>
      <c r="BJ12" s="192" t="str">
        <f>IF(AND($C12&lt;&gt;"",H12&lt;&gt;""),(VLOOKUP($C12,'V-LOOKUP'!$C$4:$M$59,4,FALSE)),"0")</f>
        <v>0</v>
      </c>
      <c r="BK12" s="192" t="str">
        <f>IF(AND($C12&lt;&gt;"",$G12&lt;&gt;""),(VLOOKUP($C12,'V-LOOKUP'!$C$4:$M$59,5,FALSE)),"0")</f>
        <v>0</v>
      </c>
      <c r="BL12" s="192" t="str">
        <f>IF(AND($C12&lt;&gt;"",$H12&lt;&gt;""),(VLOOKUP($C12,'V-LOOKUP'!$C$4:$M$59,6,FALSE)),"0")</f>
        <v>0</v>
      </c>
      <c r="BM12" s="192" t="str">
        <f>IF(AND($C12&lt;&gt;"",$H12&lt;&gt;""),(VLOOKUP($C12,'V-LOOKUP'!$C$4:$M$59,7,FALSE)),"0")</f>
        <v>0</v>
      </c>
      <c r="BN12" s="192" t="str">
        <f>IF(AND($C12&lt;&gt;"",$H12&lt;&gt;""),(VLOOKUP($C12,'V-LOOKUP'!$C$4:$M$59,8,FALSE)),"0")</f>
        <v>0</v>
      </c>
      <c r="BO12" s="192" t="str">
        <f>IF(AND($C12&lt;&gt;"",$H12&lt;&gt;""),(VLOOKUP($C12,'V-LOOKUP'!$C$4:$M$59,9,FALSE)),"0")</f>
        <v>0</v>
      </c>
      <c r="BP12" s="192" t="str">
        <f>IF(AND($C12&lt;&gt;"",$H12&lt;&gt;""),(VLOOKUP($C12,'V-LOOKUP'!$C$4:$M$59,10,FALSE)),"0")</f>
        <v>0</v>
      </c>
      <c r="BQ12" s="192" t="str">
        <f>IF(AND($C12&lt;&gt;"",$H12&lt;&gt;""),(VLOOKUP($C12,'V-LOOKUP'!$C$4:$M$59,11,FALSE)),"0")</f>
        <v>0</v>
      </c>
      <c r="BR12" s="192" t="str">
        <f>IF(AND($C12&lt;&gt;"",$H12&lt;&gt;""),(VLOOKUP($C12,'V-LOOKUP'!$C$4:$N$59,12,FALSE)),"0")</f>
        <v>0</v>
      </c>
      <c r="BS12" s="192" t="str">
        <f>IF(AND($C12&lt;&gt;"",I12&lt;&gt;""),(VLOOKUP($C12,'V-LOOKUP'!$C$4:$M$59,4,FALSE)),"0")</f>
        <v>0</v>
      </c>
      <c r="BT12" s="192" t="str">
        <f>IF(AND($C12&lt;&gt;"",$I12&lt;&gt;""),(VLOOKUP($C12,'V-LOOKUP'!$C$4:$M$59,5,FALSE)),"0")</f>
        <v>0</v>
      </c>
      <c r="BU12" s="192" t="str">
        <f>IF(AND($C12&lt;&gt;"",$I12&lt;&gt;""),(VLOOKUP($C12,'V-LOOKUP'!$C$4:$M$59,6,FALSE)),"0")</f>
        <v>0</v>
      </c>
      <c r="BV12" s="192" t="str">
        <f>IF(AND($C12&lt;&gt;"",$I12&lt;&gt;""),(VLOOKUP($C12,'V-LOOKUP'!$C$4:$M$59,7,FALSE)),"0")</f>
        <v>0</v>
      </c>
      <c r="BW12" s="192" t="str">
        <f>IF(AND($C12&lt;&gt;"",$I12&lt;&gt;""),(VLOOKUP($C12,'V-LOOKUP'!$C$4:$M$59,8,FALSE)),"0")</f>
        <v>0</v>
      </c>
      <c r="BX12" s="192" t="str">
        <f>IF(AND($C12&lt;&gt;"",$I12&lt;&gt;""),(VLOOKUP($C12,'V-LOOKUP'!$C$4:$M$59,9,FALSE)),"0")</f>
        <v>0</v>
      </c>
      <c r="BY12" s="192" t="str">
        <f>IF(AND($C12&lt;&gt;"",$I12&lt;&gt;""),(VLOOKUP($C12,'V-LOOKUP'!$C$4:$M$59,10,FALSE)),"0")</f>
        <v>0</v>
      </c>
      <c r="BZ12" s="192" t="str">
        <f>IF(AND($C12&lt;&gt;"",$I12&lt;&gt;""),(VLOOKUP($C12,'V-LOOKUP'!$C$4:$M$59,11,FALSE)),"0")</f>
        <v>0</v>
      </c>
      <c r="CA12" s="192" t="str">
        <f>IF(AND($C12&lt;&gt;"",$I12&lt;&gt;""),(VLOOKUP($C12,'V-LOOKUP'!$C$4:$N$59,12,FALSE)),"0")</f>
        <v>0</v>
      </c>
      <c r="CB12" s="192" t="str">
        <f>IF(AND($C12&lt;&gt;"",J12&lt;&gt;""),(VLOOKUP($C12,'V-LOOKUP'!$C$4:$M$59,4,FALSE)),"0")</f>
        <v>0</v>
      </c>
      <c r="CC12" s="192" t="str">
        <f>IF(AND($C12&lt;&gt;"",$J12&lt;&gt;""),(VLOOKUP($C12,'V-LOOKUP'!$C$4:$M$59,5,FALSE)),"0")</f>
        <v>0</v>
      </c>
      <c r="CD12" s="192" t="str">
        <f>IF(AND($C12&lt;&gt;"",$J12&lt;&gt;""),(VLOOKUP($C12,'V-LOOKUP'!$C$4:$M$59,6,FALSE)),"0")</f>
        <v>0</v>
      </c>
      <c r="CE12" s="192" t="str">
        <f>IF(AND($C12&lt;&gt;"",$J12&lt;&gt;""),(VLOOKUP($C12,'V-LOOKUP'!$C$4:$M$59,7,FALSE)),"0")</f>
        <v>0</v>
      </c>
      <c r="CF12" s="192" t="str">
        <f>IF(AND($C12&lt;&gt;"",$J12&lt;&gt;""),(VLOOKUP($C12,'V-LOOKUP'!$C$4:$M$59,8,FALSE)),"0")</f>
        <v>0</v>
      </c>
      <c r="CG12" s="192" t="str">
        <f>IF(AND($C12&lt;&gt;"",$J12&lt;&gt;""),(VLOOKUP($C12,'V-LOOKUP'!$C$4:$M$59,9,FALSE)),"0")</f>
        <v>0</v>
      </c>
      <c r="CH12" s="192" t="str">
        <f>IF(AND($C12&lt;&gt;"",$J12&lt;&gt;""),(VLOOKUP($C12,'V-LOOKUP'!$C$4:$M$59,10,FALSE)),"0")</f>
        <v>0</v>
      </c>
      <c r="CI12" s="192" t="str">
        <f>IF(AND($C12&lt;&gt;"",$J12&lt;&gt;""),(VLOOKUP($C12,'V-LOOKUP'!$C$4:$M$59,11,FALSE)),"0")</f>
        <v>0</v>
      </c>
      <c r="CJ12" s="192" t="str">
        <f>IF(AND($C12&lt;&gt;"",$J12&lt;&gt;""),(VLOOKUP($C12,'V-LOOKUP'!$C$4:$N$59,12,FALSE)),"0")</f>
        <v>0</v>
      </c>
      <c r="CK12" s="192" t="str">
        <f>IF(AND($C12&lt;&gt;"",K12&lt;&gt;""),(VLOOKUP($C12,'V-LOOKUP'!$C$4:$M$59,4,FALSE)),"0")</f>
        <v>0</v>
      </c>
      <c r="CL12" s="192" t="str">
        <f>IF(AND($C12&lt;&gt;"",$K12&lt;&gt;""),(VLOOKUP($C12,'V-LOOKUP'!$C$4:$M$59,5,FALSE)),"0")</f>
        <v>0</v>
      </c>
      <c r="CM12" s="192" t="str">
        <f>IF(AND($C12&lt;&gt;"",$K12&lt;&gt;""),(VLOOKUP($C12,'V-LOOKUP'!$C$4:$M$59,6,FALSE)),"0")</f>
        <v>0</v>
      </c>
      <c r="CN12" s="192" t="str">
        <f>IF(AND($C12&lt;&gt;"",$K12&lt;&gt;""),(VLOOKUP($C12,'V-LOOKUP'!$C$4:$M$59,7,FALSE)),"0")</f>
        <v>0</v>
      </c>
      <c r="CO12" s="192" t="str">
        <f>IF(AND($C12&lt;&gt;"",$K12&lt;&gt;""),(VLOOKUP($C12,'V-LOOKUP'!$C$4:$M$59,8,FALSE)),"0")</f>
        <v>0</v>
      </c>
      <c r="CP12" s="192" t="str">
        <f>IF(AND($C12&lt;&gt;"",$K12&lt;&gt;""),(VLOOKUP($C12,'V-LOOKUP'!$C$4:$M$59,9,FALSE)),"0")</f>
        <v>0</v>
      </c>
      <c r="CQ12" s="192" t="str">
        <f>IF(AND($C12&lt;&gt;"",$K12&lt;&gt;""),(VLOOKUP($C12,'V-LOOKUP'!$C$4:$M$59,10,FALSE)),"0")</f>
        <v>0</v>
      </c>
      <c r="CR12" s="192" t="str">
        <f>IF(AND($C12&lt;&gt;"",$K12&lt;&gt;""),(VLOOKUP($C12,'V-LOOKUP'!$C$4:$M$59,11,FALSE)),"0")</f>
        <v>0</v>
      </c>
      <c r="CS12" s="192" t="str">
        <f>IF(AND($C12&lt;&gt;"",$K12&lt;&gt;""),(VLOOKUP($C12,'V-LOOKUP'!$C$4:$N$59,12,FALSE)),"0")</f>
        <v>0</v>
      </c>
      <c r="CT12" s="192" t="str">
        <f>IF(AND($C12&lt;&gt;"",L12&lt;&gt;""),(VLOOKUP($C12,'V-LOOKUP'!$C$4:$M$59,4,FALSE)),"0")</f>
        <v>0</v>
      </c>
      <c r="CU12" s="192" t="str">
        <f>IF(AND($C12&lt;&gt;"",$L12&lt;&gt;""),(VLOOKUP($C12,'V-LOOKUP'!$C$4:$M$59,5,FALSE)),"0")</f>
        <v>0</v>
      </c>
      <c r="CV12" s="192" t="str">
        <f>IF(AND($C12&lt;&gt;"",$L12&lt;&gt;""),(VLOOKUP($C12,'V-LOOKUP'!$C$4:$M$59,6,FALSE)),"0")</f>
        <v>0</v>
      </c>
      <c r="CW12" s="192" t="str">
        <f>IF(AND($C12&lt;&gt;"",$L12&lt;&gt;""),(VLOOKUP($C12,'V-LOOKUP'!$C$4:$M$59,7,FALSE)),"0")</f>
        <v>0</v>
      </c>
      <c r="CX12" s="192" t="str">
        <f>IF(AND($C12&lt;&gt;"",$L12&lt;&gt;""),(VLOOKUP($C12,'V-LOOKUP'!$C$4:$M$59,8,FALSE)),"0")</f>
        <v>0</v>
      </c>
      <c r="CY12" s="192" t="str">
        <f>IF(AND($C12&lt;&gt;"",$L12&lt;&gt;""),(VLOOKUP($C12,'V-LOOKUP'!$C$4:$M$59,9,FALSE)),"0")</f>
        <v>0</v>
      </c>
      <c r="CZ12" s="192" t="str">
        <f>IF(AND($C12&lt;&gt;"",$L12&lt;&gt;""),(VLOOKUP($C12,'V-LOOKUP'!$C$4:$M$59,10,FALSE)),"0")</f>
        <v>0</v>
      </c>
      <c r="DA12" s="192" t="str">
        <f>IF(AND($C12&lt;&gt;"",$L12&lt;&gt;""),(VLOOKUP($C12,'V-LOOKUP'!$C$4:$M$59,11,FALSE)),"0")</f>
        <v>0</v>
      </c>
      <c r="DB12" s="192" t="str">
        <f>IF(AND($C12&lt;&gt;"",$L12&lt;&gt;""),(VLOOKUP($C12,'V-LOOKUP'!$C$4:$N$59,12,FALSE)),"0")</f>
        <v>0</v>
      </c>
      <c r="DC12" s="192" t="str">
        <f>IF(AND($C12&lt;&gt;"",M12&lt;&gt;""),(VLOOKUP($C12,'V-LOOKUP'!$C$4:$M$59,4,FALSE)),"0")</f>
        <v>0</v>
      </c>
      <c r="DD12" s="192" t="str">
        <f>IF(AND($C12&lt;&gt;"",$M12&lt;&gt;""),(VLOOKUP($C12,'V-LOOKUP'!$C$4:$M$59,5,FALSE)),"0")</f>
        <v>0</v>
      </c>
      <c r="DE12" s="192" t="str">
        <f>IF(AND($C12&lt;&gt;"",$M12&lt;&gt;""),(VLOOKUP($C12,'V-LOOKUP'!$C$4:$M$59,6,FALSE)),"0")</f>
        <v>0</v>
      </c>
      <c r="DF12" s="192" t="str">
        <f>IF(AND($C12&lt;&gt;"",$M12&lt;&gt;""),(VLOOKUP($C12,'V-LOOKUP'!$C$4:$M$59,7,FALSE)),"0")</f>
        <v>0</v>
      </c>
      <c r="DG12" s="192" t="str">
        <f>IF(AND($C12&lt;&gt;"",$M12&lt;&gt;""),(VLOOKUP($C12,'V-LOOKUP'!$C$4:$M$59,8,FALSE)),"0")</f>
        <v>0</v>
      </c>
      <c r="DH12" s="192" t="str">
        <f>IF(AND($C12&lt;&gt;"",$M12&lt;&gt;""),(VLOOKUP($C12,'V-LOOKUP'!$C$4:$M$59,9,FALSE)),"0")</f>
        <v>0</v>
      </c>
      <c r="DI12" s="192" t="str">
        <f>IF(AND($C12&lt;&gt;"",$M12&lt;&gt;""),(VLOOKUP($C12,'V-LOOKUP'!$C$4:$M$59,10,FALSE)),"0")</f>
        <v>0</v>
      </c>
      <c r="DJ12" s="192" t="str">
        <f>IF(AND($C12&lt;&gt;"",$M12&lt;&gt;""),(VLOOKUP($C12,'V-LOOKUP'!$C$4:$M$59,11,FALSE)),"0")</f>
        <v>0</v>
      </c>
      <c r="DK12" s="192" t="str">
        <f>IF(AND($C12&lt;&gt;"",$M12&lt;&gt;""),(VLOOKUP($C12,'V-LOOKUP'!$C$4:$N$59,12,FALSE)),"0")</f>
        <v>0</v>
      </c>
      <c r="DL12" s="192" t="str">
        <f>IF(AND($C12&lt;&gt;"",$N12&lt;&gt;""),(VLOOKUP($C12,'V-LOOKUP'!$C$4:$M$59,4,FALSE)),"0")</f>
        <v>0</v>
      </c>
      <c r="DM12" s="192" t="str">
        <f>IF(AND($C12&lt;&gt;"",$N12&lt;&gt;""),(VLOOKUP($C12,'V-LOOKUP'!$C$4:$M$59,5,FALSE)),"0")</f>
        <v>0</v>
      </c>
      <c r="DN12" s="192" t="str">
        <f>IF(AND($C12&lt;&gt;"",$N12&lt;&gt;""),(VLOOKUP($C12,'V-LOOKUP'!$C$4:$M$59,6,FALSE)),"0")</f>
        <v>0</v>
      </c>
      <c r="DO12" s="192" t="str">
        <f>IF(AND($C12&lt;&gt;"",$N12&lt;&gt;""),(VLOOKUP($C12,'V-LOOKUP'!$C$4:$M$59,7,FALSE)),"0")</f>
        <v>0</v>
      </c>
      <c r="DP12" s="192" t="str">
        <f>IF(AND($C12&lt;&gt;"",$N12&lt;&gt;""),(VLOOKUP($C12,'V-LOOKUP'!$C$4:$M$59,8,FALSE)),"0")</f>
        <v>0</v>
      </c>
      <c r="DQ12" s="192" t="str">
        <f>IF(AND($C12&lt;&gt;"",$N12&lt;&gt;""),(VLOOKUP($C12,'V-LOOKUP'!$C$4:$M$59,9,FALSE)),"0")</f>
        <v>0</v>
      </c>
      <c r="DR12" s="192" t="str">
        <f>IF(AND($C12&lt;&gt;"",$N12&lt;&gt;""),(VLOOKUP($C12,'V-LOOKUP'!$C$4:$M$59,10,FALSE)),"0")</f>
        <v>0</v>
      </c>
      <c r="DS12" s="192" t="str">
        <f>IF(AND($C12&lt;&gt;"",$N12&lt;&gt;""),(VLOOKUP($C12,'V-LOOKUP'!$C$4:$M$59,11,FALSE)),"0")</f>
        <v>0</v>
      </c>
      <c r="DT12" s="192" t="str">
        <f>IF(AND($C12&lt;&gt;"",$N12&lt;&gt;""),(VLOOKUP($C12,'V-LOOKUP'!$C$4:$N$59,12,FALSE)),"0")</f>
        <v>0</v>
      </c>
      <c r="DU12" s="192" t="str">
        <f>IF(AND($C12&lt;&gt;"",O12&lt;&gt;""),(VLOOKUP($C12,'V-LOOKUP'!$C$4:$M$59,4,FALSE)),"0")</f>
        <v>0</v>
      </c>
      <c r="DV12" s="192" t="str">
        <f>IF(AND($C12&lt;&gt;"",$O12&lt;&gt;""),(VLOOKUP($C12,'V-LOOKUP'!$C$4:$M$59,5,FALSE)),"0")</f>
        <v>0</v>
      </c>
      <c r="DW12" s="192" t="str">
        <f>IF(AND($C12&lt;&gt;"",$O12&lt;&gt;""),(VLOOKUP($C12,'V-LOOKUP'!$C$4:$M$59,6,FALSE)),"0")</f>
        <v>0</v>
      </c>
      <c r="DX12" s="192" t="str">
        <f>IF(AND($C12&lt;&gt;"",$O12&lt;&gt;""),(VLOOKUP($C12,'V-LOOKUP'!$C$4:$M$59,7,FALSE)),"0")</f>
        <v>0</v>
      </c>
      <c r="DY12" s="192" t="str">
        <f>IF(AND($C12&lt;&gt;"",$O12&lt;&gt;""),(VLOOKUP($C12,'V-LOOKUP'!$C$4:$M$59,8,FALSE)),"0")</f>
        <v>0</v>
      </c>
      <c r="DZ12" s="192" t="str">
        <f>IF(AND($C12&lt;&gt;"",$O12&lt;&gt;""),(VLOOKUP($C12,'V-LOOKUP'!$C$4:$M$59,9,FALSE)),"0")</f>
        <v>0</v>
      </c>
      <c r="EA12" s="192" t="str">
        <f>IF(AND($C12&lt;&gt;"",$O12&lt;&gt;""),(VLOOKUP($C12,'V-LOOKUP'!$C$4:$M$59,10,FALSE)),"0")</f>
        <v>0</v>
      </c>
      <c r="EB12" s="192" t="str">
        <f>IF(AND($C12&lt;&gt;"",$O12&lt;&gt;""),(VLOOKUP($C12,'V-LOOKUP'!$C$4:$M$59,11,FALSE)),"0")</f>
        <v>0</v>
      </c>
      <c r="EC12" s="192" t="str">
        <f>IF(AND($C12&lt;&gt;"",$O12&lt;&gt;""),(VLOOKUP($C12,'V-LOOKUP'!$C$4:$N$59,12,FALSE)),"0")</f>
        <v>0</v>
      </c>
      <c r="ED12" s="192" t="str">
        <f>IF(AND($C12&lt;&gt;"",P12&lt;&gt;""),(VLOOKUP($C12,'V-LOOKUP'!$C$4:$M$59,4,FALSE)),"0")</f>
        <v>0</v>
      </c>
      <c r="EE12" s="192" t="str">
        <f>IF(AND($C12&lt;&gt;"",$P12&lt;&gt;""),(VLOOKUP($C12,'V-LOOKUP'!$C$4:$M$59,5,FALSE)),"0")</f>
        <v>0</v>
      </c>
      <c r="EF12" s="192" t="str">
        <f>IF(AND($C12&lt;&gt;"",$P12&lt;&gt;""),(VLOOKUP($C12,'V-LOOKUP'!$C$4:$M$59,6,FALSE)),"0")</f>
        <v>0</v>
      </c>
      <c r="EG12" s="192" t="str">
        <f>IF(AND($C12&lt;&gt;"",$P12&lt;&gt;""),(VLOOKUP($C12,'V-LOOKUP'!$C$4:$M$59,7,FALSE)),"0")</f>
        <v>0</v>
      </c>
      <c r="EH12" s="192" t="str">
        <f>IF(AND($C12&lt;&gt;"",$P12&lt;&gt;""),(VLOOKUP($C12,'V-LOOKUP'!$C$4:$M$59,8,FALSE)),"0")</f>
        <v>0</v>
      </c>
      <c r="EI12" s="192" t="str">
        <f>IF(AND($C12&lt;&gt;"",$P12&lt;&gt;""),(VLOOKUP($C12,'V-LOOKUP'!$C$4:$M$59,9,FALSE)),"0")</f>
        <v>0</v>
      </c>
      <c r="EJ12" s="192" t="str">
        <f>IF(AND($C12&lt;&gt;"",$P12&lt;&gt;""),(VLOOKUP($C12,'V-LOOKUP'!$C$4:$M$59,10,FALSE)),"0")</f>
        <v>0</v>
      </c>
      <c r="EK12" s="192" t="str">
        <f>IF(AND($C12&lt;&gt;"",$P12&lt;&gt;""),(VLOOKUP($C12,'V-LOOKUP'!$C$4:$M$59,11,FALSE)),"0")</f>
        <v>0</v>
      </c>
      <c r="EL12" s="192" t="str">
        <f>IF(AND($C12&lt;&gt;"",$P12&lt;&gt;""),(VLOOKUP($C12,'V-LOOKUP'!$C$4:$N$59,12,FALSE)),"0")</f>
        <v>0</v>
      </c>
      <c r="EM12" s="192" t="str">
        <f>IF(AND($C12&lt;&gt;"",Q12&lt;&gt;""),(VLOOKUP($C12,'V-LOOKUP'!$C$4:$M$59,4,FALSE)),"0")</f>
        <v>0</v>
      </c>
      <c r="EN12" s="192" t="str">
        <f>IF(AND($C12&lt;&gt;"",$Q12&lt;&gt;""),(VLOOKUP($C12,'V-LOOKUP'!$C$4:$M$59,5,FALSE)),"0")</f>
        <v>0</v>
      </c>
      <c r="EO12" s="192" t="str">
        <f>IF(AND($C12&lt;&gt;"",$Q12&lt;&gt;""),(VLOOKUP($C12,'V-LOOKUP'!$C$4:$M$59,6,FALSE)),"0")</f>
        <v>0</v>
      </c>
      <c r="EP12" s="192" t="str">
        <f>IF(AND($C12&lt;&gt;"",$Q12&lt;&gt;""),(VLOOKUP($C12,'V-LOOKUP'!$C$4:$M$59,7,FALSE)),"0")</f>
        <v>0</v>
      </c>
      <c r="EQ12" s="192" t="str">
        <f>IF(AND($C12&lt;&gt;"",$Q12&lt;&gt;""),(VLOOKUP($C12,'V-LOOKUP'!$C$4:$M$59,8,FALSE)),"0")</f>
        <v>0</v>
      </c>
      <c r="ER12" s="192" t="str">
        <f>IF(AND($C12&lt;&gt;"",$Q12&lt;&gt;""),(VLOOKUP($C12,'V-LOOKUP'!$C$4:$M$59,9,FALSE)),"0")</f>
        <v>0</v>
      </c>
      <c r="ES12" s="192" t="str">
        <f>IF(AND($C12&lt;&gt;"",$Q12&lt;&gt;""),(VLOOKUP($C12,'V-LOOKUP'!$C$4:$M$59,10,FALSE)),"0")</f>
        <v>0</v>
      </c>
      <c r="ET12" s="192" t="str">
        <f>IF(AND($C12&lt;&gt;"",$Q12&lt;&gt;""),(VLOOKUP($C12,'V-LOOKUP'!$C$4:$M$59,11,FALSE)),"0")</f>
        <v>0</v>
      </c>
      <c r="EU12" s="192" t="str">
        <f>IF(AND($C12&lt;&gt;"",$Q12&lt;&gt;""),(VLOOKUP($C12,'V-LOOKUP'!$C$4:$N$59,12,FALSE)),"0")</f>
        <v>0</v>
      </c>
      <c r="EV12" s="192" t="str">
        <f>IF(AND($C12&lt;&gt;"",R12&lt;&gt;""),(VLOOKUP($C12,'V-LOOKUP'!$C$4:$M$59,4,FALSE)),"0")</f>
        <v>0</v>
      </c>
      <c r="EW12" s="192" t="str">
        <f>IF(AND($C12&lt;&gt;"",$R12&lt;&gt;""),(VLOOKUP($C12,'V-LOOKUP'!$C$4:$M$59,5,FALSE)),"0")</f>
        <v>0</v>
      </c>
      <c r="EX12" s="192" t="str">
        <f>IF(AND($C12&lt;&gt;"",$R12&lt;&gt;""),(VLOOKUP($C12,'V-LOOKUP'!$C$4:$M$59,6,FALSE)),"0")</f>
        <v>0</v>
      </c>
      <c r="EY12" s="192" t="str">
        <f>IF(AND($C12&lt;&gt;"",$R12&lt;&gt;""),(VLOOKUP($C12,'V-LOOKUP'!$C$4:$M$59,7,FALSE)),"0")</f>
        <v>0</v>
      </c>
      <c r="EZ12" s="192" t="str">
        <f>IF(AND($C12&lt;&gt;"",$R12&lt;&gt;""),(VLOOKUP($C12,'V-LOOKUP'!$C$4:$M$59,8,FALSE)),"0")</f>
        <v>0</v>
      </c>
      <c r="FA12" s="192" t="str">
        <f>IF(AND($C12&lt;&gt;"",$R12&lt;&gt;""),(VLOOKUP($C12,'V-LOOKUP'!$C$4:$M$59,9,FALSE)),"0")</f>
        <v>0</v>
      </c>
      <c r="FB12" s="192" t="str">
        <f>IF(AND($C12&lt;&gt;"",$R12&lt;&gt;""),(VLOOKUP($C12,'V-LOOKUP'!$C$4:$M$59,10,FALSE)),"0")</f>
        <v>0</v>
      </c>
      <c r="FC12" s="192" t="str">
        <f>IF(AND($C12&lt;&gt;"",$R12&lt;&gt;""),(VLOOKUP($C12,'V-LOOKUP'!$C$4:$M$59,11,FALSE)),"0")</f>
        <v>0</v>
      </c>
      <c r="FD12" s="192" t="str">
        <f>IF(AND($C12&lt;&gt;"",$R12&lt;&gt;""),(VLOOKUP($C12,'V-LOOKUP'!$C$4:$N$59,12,FALSE)),"0")</f>
        <v>0</v>
      </c>
      <c r="FE12" s="192" t="str">
        <f>IF(AND($C12&lt;&gt;"",S12&lt;&gt;""),(VLOOKUP($C12,'V-LOOKUP'!$C$4:$M$59,4,FALSE)),"0")</f>
        <v>0</v>
      </c>
      <c r="FF12" s="192" t="str">
        <f>IF(AND($C12&lt;&gt;"",$S12&lt;&gt;""),(VLOOKUP($C12,'V-LOOKUP'!$C$4:$M$59,5,FALSE)),"0")</f>
        <v>0</v>
      </c>
      <c r="FG12" s="192" t="str">
        <f>IF(AND($C12&lt;&gt;"",$S12&lt;&gt;""),(VLOOKUP($C12,'V-LOOKUP'!$C$4:$M$59,6,FALSE)),"0")</f>
        <v>0</v>
      </c>
      <c r="FH12" s="192" t="str">
        <f>IF(AND($C12&lt;&gt;"",$S12&lt;&gt;""),(VLOOKUP($C12,'V-LOOKUP'!$C$4:$M$59,7,FALSE)),"0")</f>
        <v>0</v>
      </c>
      <c r="FI12" s="192" t="str">
        <f>IF(AND($C12&lt;&gt;"",$S12&lt;&gt;""),(VLOOKUP($C12,'V-LOOKUP'!$C$4:$M$59,8,FALSE)),"0")</f>
        <v>0</v>
      </c>
      <c r="FJ12" s="192" t="str">
        <f>IF(AND($C12&lt;&gt;"",$S12&lt;&gt;""),(VLOOKUP($C12,'V-LOOKUP'!$C$4:$M$59,9,FALSE)),"0")</f>
        <v>0</v>
      </c>
      <c r="FK12" s="192" t="str">
        <f>IF(AND($C12&lt;&gt;"",$S12&lt;&gt;""),(VLOOKUP($C12,'V-LOOKUP'!$C$4:$M$59,10,FALSE)),"0")</f>
        <v>0</v>
      </c>
      <c r="FL12" s="192" t="str">
        <f>IF(AND($C12&lt;&gt;"",$S12&lt;&gt;""),(VLOOKUP($C12,'V-LOOKUP'!$C$4:$M$59,11,FALSE)),"0")</f>
        <v>0</v>
      </c>
      <c r="FM12" s="192" t="str">
        <f>IF(AND($C12&lt;&gt;"",$S12&lt;&gt;""),(VLOOKUP($C12,'V-LOOKUP'!$C$4:$N$59,12,FALSE)),"0")</f>
        <v>0</v>
      </c>
      <c r="FN12" s="192" t="str">
        <f>IF(AND($C12&lt;&gt;"",T12&lt;&gt;""),(VLOOKUP($C12,'V-LOOKUP'!$C$4:$M$59,4,FALSE)),"0")</f>
        <v>0</v>
      </c>
      <c r="FO12" s="192" t="str">
        <f>IF(AND($C12&lt;&gt;"",$T12&lt;&gt;""),(VLOOKUP($C12,'V-LOOKUP'!$C$4:$M$59,5,FALSE)),"0")</f>
        <v>0</v>
      </c>
      <c r="FP12" s="192" t="str">
        <f>IF(AND($C12&lt;&gt;"",$T12&lt;&gt;""),(VLOOKUP($C12,'V-LOOKUP'!$C$4:$M$59,6,FALSE)),"0")</f>
        <v>0</v>
      </c>
      <c r="FQ12" s="192" t="str">
        <f>IF(AND($C12&lt;&gt;"",$T12&lt;&gt;""),(VLOOKUP($C12,'V-LOOKUP'!$C$4:$M$59,7,FALSE)),"0")</f>
        <v>0</v>
      </c>
      <c r="FR12" s="192" t="str">
        <f>IF(AND($C12&lt;&gt;"",$T12&lt;&gt;""),(VLOOKUP($C12,'V-LOOKUP'!$C$4:$M$59,8,FALSE)),"0")</f>
        <v>0</v>
      </c>
      <c r="FS12" s="192" t="str">
        <f>IF(AND($C12&lt;&gt;"",$T12&lt;&gt;""),(VLOOKUP($C12,'V-LOOKUP'!$C$4:$M$59,9,FALSE)),"0")</f>
        <v>0</v>
      </c>
      <c r="FT12" s="192" t="str">
        <f>IF(AND($C12&lt;&gt;"",$T12&lt;&gt;""),(VLOOKUP($C12,'V-LOOKUP'!$C$4:$M$59,10,FALSE)),"0")</f>
        <v>0</v>
      </c>
      <c r="FU12" s="192" t="str">
        <f>IF(AND($C12&lt;&gt;"",$T12&lt;&gt;""),(VLOOKUP($C12,'V-LOOKUP'!$C$4:$M$59,11,FALSE)),"0")</f>
        <v>0</v>
      </c>
      <c r="FV12" s="192" t="str">
        <f>IF(AND($C12&lt;&gt;"",$T12&lt;&gt;""),(VLOOKUP($C12,'V-LOOKUP'!$C$4:$N$59,12,FALSE)),"0")</f>
        <v>0</v>
      </c>
      <c r="FW12" s="192" t="str">
        <f>IF(AND($C12&lt;&gt;"",U12&lt;&gt;""),(VLOOKUP($C12,'V-LOOKUP'!$C$4:$M$59,4,FALSE)),"0")</f>
        <v>0</v>
      </c>
      <c r="FX12" s="192" t="str">
        <f>IF(AND($C12&lt;&gt;"",$U12&lt;&gt;""),(VLOOKUP($C12,'V-LOOKUP'!$C$4:$M$59,5,FALSE)),"0")</f>
        <v>0</v>
      </c>
      <c r="FY12" s="192" t="str">
        <f>IF(AND($C12&lt;&gt;"",$U12&lt;&gt;""),(VLOOKUP($C12,'V-LOOKUP'!$C$4:$M$59,6,FALSE)),"0")</f>
        <v>0</v>
      </c>
      <c r="FZ12" s="192" t="str">
        <f>IF(AND($C12&lt;&gt;"",$U12&lt;&gt;""),(VLOOKUP($C12,'V-LOOKUP'!$C$4:$M$59,7,FALSE)),"0")</f>
        <v>0</v>
      </c>
      <c r="GA12" s="192" t="str">
        <f>IF(AND($C12&lt;&gt;"",$U12&lt;&gt;""),(VLOOKUP($C12,'V-LOOKUP'!$C$4:$M$59,8,FALSE)),"0")</f>
        <v>0</v>
      </c>
      <c r="GB12" s="192" t="str">
        <f>IF(AND($C12&lt;&gt;"",$U12&lt;&gt;""),(VLOOKUP($C12,'V-LOOKUP'!$C$4:$M$59,9,FALSE)),"0")</f>
        <v>0</v>
      </c>
      <c r="GC12" s="192" t="str">
        <f>IF(AND($C12&lt;&gt;"",$U12&lt;&gt;""),(VLOOKUP($C12,'V-LOOKUP'!$C$4:$M$59,10,FALSE)),"0")</f>
        <v>0</v>
      </c>
      <c r="GD12" s="192" t="str">
        <f>IF(AND($C12&lt;&gt;"",$U12&lt;&gt;""),(VLOOKUP($C12,'V-LOOKUP'!$C$4:$M$59,11,FALSE)),"0")</f>
        <v>0</v>
      </c>
      <c r="GE12" s="192" t="str">
        <f>IF(AND($C12&lt;&gt;"",$U12&lt;&gt;""),(VLOOKUP($C12,'V-LOOKUP'!$C$4:$N$59,12,FALSE)),"0")</f>
        <v>0</v>
      </c>
      <c r="GF12" s="192" t="str">
        <f>IF(AND($C12&lt;&gt;"",V12&lt;&gt;""),(VLOOKUP($C12,'V-LOOKUP'!$C$4:$M$59,4,FALSE)),"0")</f>
        <v>0</v>
      </c>
      <c r="GG12" s="192" t="str">
        <f>IF(AND($C12&lt;&gt;"",$V12&lt;&gt;""),(VLOOKUP($C12,'V-LOOKUP'!$C$4:$M$59,5,FALSE)),"0")</f>
        <v>0</v>
      </c>
      <c r="GH12" s="192" t="str">
        <f>IF(AND($C12&lt;&gt;"",$V12&lt;&gt;""),(VLOOKUP($C12,'V-LOOKUP'!$C$4:$M$59,6,FALSE)),"0")</f>
        <v>0</v>
      </c>
      <c r="GI12" s="192" t="str">
        <f>IF(AND($C12&lt;&gt;"",$V12&lt;&gt;""),(VLOOKUP($C12,'V-LOOKUP'!$C$4:$M$59,7,FALSE)),"0")</f>
        <v>0</v>
      </c>
      <c r="GJ12" s="192" t="str">
        <f>IF(AND($C12&lt;&gt;"",$V12&lt;&gt;""),(VLOOKUP($C12,'V-LOOKUP'!$C$4:$M$59,8,FALSE)),"0")</f>
        <v>0</v>
      </c>
      <c r="GK12" s="192" t="str">
        <f>IF(AND($C12&lt;&gt;"",$V12&lt;&gt;""),(VLOOKUP($C12,'V-LOOKUP'!$C$4:$M$59,9,FALSE)),"0")</f>
        <v>0</v>
      </c>
      <c r="GL12" s="192" t="str">
        <f>IF(AND($C12&lt;&gt;"",$V12&lt;&gt;""),(VLOOKUP($C12,'V-LOOKUP'!$C$4:$M$59,10,FALSE)),"0")</f>
        <v>0</v>
      </c>
      <c r="GM12" s="192" t="str">
        <f>IF(AND($C12&lt;&gt;"",$V12&lt;&gt;""),(VLOOKUP($C12,'V-LOOKUP'!$C$4:$M$59,11,FALSE)),"0")</f>
        <v>0</v>
      </c>
      <c r="GN12" s="192" t="str">
        <f>IF(AND($C12&lt;&gt;"",$V12&lt;&gt;""),(VLOOKUP($C12,'V-LOOKUP'!$C$4:$N$59,12,FALSE)),"0")</f>
        <v>0</v>
      </c>
      <c r="GO12" s="192" t="str">
        <f>IF(AND($C12&lt;&gt;"",W12&lt;&gt;""),(VLOOKUP($C12,'V-LOOKUP'!$C$4:$M$59,4,FALSE)),"0")</f>
        <v>0</v>
      </c>
      <c r="GP12" s="192" t="str">
        <f>IF(AND($C12&lt;&gt;"",$W12&lt;&gt;""),(VLOOKUP($C12,'V-LOOKUP'!$C$4:$M$59,5,FALSE)),"0")</f>
        <v>0</v>
      </c>
      <c r="GQ12" s="192" t="str">
        <f>IF(AND($C12&lt;&gt;"",$W12&lt;&gt;""),(VLOOKUP($C12,'V-LOOKUP'!$C$4:$M$59,6,FALSE)),"0")</f>
        <v>0</v>
      </c>
      <c r="GR12" s="192" t="str">
        <f>IF(AND($C12&lt;&gt;"",$W12&lt;&gt;""),(VLOOKUP($C12,'V-LOOKUP'!$C$4:$M$59,7,FALSE)),"0")</f>
        <v>0</v>
      </c>
      <c r="GS12" s="192" t="str">
        <f>IF(AND($C12&lt;&gt;"",$W12&lt;&gt;""),(VLOOKUP($C12,'V-LOOKUP'!$C$4:$M$59,8,FALSE)),"0")</f>
        <v>0</v>
      </c>
      <c r="GT12" s="192" t="str">
        <f>IF(AND($C12&lt;&gt;"",$W12&lt;&gt;""),(VLOOKUP($C12,'V-LOOKUP'!$C$4:$M$59,9,FALSE)),"0")</f>
        <v>0</v>
      </c>
      <c r="GU12" s="192" t="str">
        <f>IF(AND($C12&lt;&gt;"",$W12&lt;&gt;""),(VLOOKUP($C12,'V-LOOKUP'!$C$4:$M$59,10,FALSE)),"0")</f>
        <v>0</v>
      </c>
      <c r="GV12" s="192" t="str">
        <f>IF(AND($C12&lt;&gt;"",$W12&lt;&gt;""),(VLOOKUP($C12,'V-LOOKUP'!$C$4:$M$59,11,FALSE)),"0")</f>
        <v>0</v>
      </c>
      <c r="GW12" s="192" t="str">
        <f>IF(AND($C12&lt;&gt;"",$W12&lt;&gt;""),(VLOOKUP($C12,'V-LOOKUP'!$C$4:$N$59,12,FALSE)),"0")</f>
        <v>0</v>
      </c>
    </row>
    <row r="13" spans="1:205" ht="14.65" customHeight="1">
      <c r="A13" s="193"/>
      <c r="B13" s="245"/>
      <c r="C13" s="201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Y13" s="190"/>
      <c r="Z13" s="192" t="str">
        <f>IF(AND($C13&lt;&gt;"",$D13&lt;&gt;""),(VLOOKUP($C13,'V-LOOKUP'!$C$4:$M$59,4,FALSE)),"0")</f>
        <v>0</v>
      </c>
      <c r="AA13" s="192" t="str">
        <f>IF(AND($C13&lt;&gt;"",$D13&lt;&gt;""),(VLOOKUP($C13,'V-LOOKUP'!$C$4:$M$59,5,FALSE)),"0")</f>
        <v>0</v>
      </c>
      <c r="AB13" s="192" t="str">
        <f>IF(AND($C13&lt;&gt;"",$D13&lt;&gt;""),(VLOOKUP($C13,'V-LOOKUP'!$C$4:$M$59,6,FALSE)),"0")</f>
        <v>0</v>
      </c>
      <c r="AC13" s="192" t="str">
        <f>IF(AND($C13&lt;&gt;"",$D13&lt;&gt;""),(VLOOKUP($C13,'V-LOOKUP'!$C$4:$M$59,7,FALSE)),"0")</f>
        <v>0</v>
      </c>
      <c r="AD13" s="192" t="str">
        <f>IF(AND($C13&lt;&gt;"",$D13&lt;&gt;""),(VLOOKUP($C13,'V-LOOKUP'!$C$4:$M$59,8,FALSE)),"0")</f>
        <v>0</v>
      </c>
      <c r="AE13" s="192" t="str">
        <f>IF(AND($C13&lt;&gt;"",$D13&lt;&gt;""),(VLOOKUP($C13,'V-LOOKUP'!$C$4:$M$59,9,FALSE)),"0")</f>
        <v>0</v>
      </c>
      <c r="AF13" s="192" t="str">
        <f>IF(AND($C13&lt;&gt;"",$D13&lt;&gt;""),(VLOOKUP($C13,'V-LOOKUP'!$C$4:$M$59,10,FALSE)),"0")</f>
        <v>0</v>
      </c>
      <c r="AG13" s="192" t="str">
        <f>IF(AND($C13&lt;&gt;"",$D13&lt;&gt;""),(VLOOKUP($C13,'V-LOOKUP'!$C$4:$M$59,11,FALSE)),"0")</f>
        <v>0</v>
      </c>
      <c r="AH13" s="192" t="str">
        <f>IF(AND($C13&lt;&gt;"",$D13&lt;&gt;""),(VLOOKUP($C13,'V-LOOKUP'!$C$4:$N$59,12,FALSE)),"0")</f>
        <v>0</v>
      </c>
      <c r="AI13" s="192" t="str">
        <f>IF(AND($C13&lt;&gt;"",E13&lt;&gt;""),(VLOOKUP($C13,'V-LOOKUP'!$C$4:$M$59,4,FALSE)),"0")</f>
        <v>0</v>
      </c>
      <c r="AJ13" s="192" t="str">
        <f>IF(AND($C13&lt;&gt;"",$E13&lt;&gt;""),(VLOOKUP($C13,'V-LOOKUP'!$C$4:$M$59,5,FALSE)),"0")</f>
        <v>0</v>
      </c>
      <c r="AK13" s="192" t="str">
        <f>IF(AND($C13&lt;&gt;"",$E13&lt;&gt;""),(VLOOKUP($C13,'V-LOOKUP'!$C$4:$M$59,6,FALSE)),"0")</f>
        <v>0</v>
      </c>
      <c r="AL13" s="192" t="str">
        <f>IF(AND($C13&lt;&gt;"",$E13&lt;&gt;""),(VLOOKUP($C13,'V-LOOKUP'!$C$4:$M$59,7,FALSE)),"0")</f>
        <v>0</v>
      </c>
      <c r="AM13" s="192" t="str">
        <f>IF(AND($C13&lt;&gt;"",$E13&lt;&gt;""),(VLOOKUP($C13,'V-LOOKUP'!$C$4:$M$59,8,FALSE)),"0")</f>
        <v>0</v>
      </c>
      <c r="AN13" s="192" t="str">
        <f>IF(AND($C13&lt;&gt;"",$E13&lt;&gt;""),(VLOOKUP($C13,'V-LOOKUP'!$C$4:$M$59,9,FALSE)),"0")</f>
        <v>0</v>
      </c>
      <c r="AO13" s="192" t="str">
        <f>IF(AND($C13&lt;&gt;"",$E13&lt;&gt;""),(VLOOKUP($C13,'V-LOOKUP'!$C$4:$M$59,10,FALSE)),"0")</f>
        <v>0</v>
      </c>
      <c r="AP13" s="192" t="str">
        <f>IF(AND($C13&lt;&gt;"",$E13&lt;&gt;""),(VLOOKUP($C13,'V-LOOKUP'!$C$4:$M$59,11,FALSE)),"0")</f>
        <v>0</v>
      </c>
      <c r="AQ13" s="192" t="str">
        <f>IF(AND($C13&lt;&gt;"",$E13&lt;&gt;""),(VLOOKUP($C13,'V-LOOKUP'!$C$4:$N$59,12,FALSE)),"0")</f>
        <v>0</v>
      </c>
      <c r="AR13" s="192" t="str">
        <f>IF(AND($C13&lt;&gt;"",$F13&lt;&gt;""),(VLOOKUP($C13,'V-LOOKUP'!$C$4:$M$59,4,FALSE)),"0")</f>
        <v>0</v>
      </c>
      <c r="AS13" s="192" t="str">
        <f>IF(AND($C13&lt;&gt;"",$F13&lt;&gt;""),(VLOOKUP($C13,'V-LOOKUP'!$C$4:$M$59,5,FALSE)),"0")</f>
        <v>0</v>
      </c>
      <c r="AT13" s="192" t="str">
        <f>IF(AND($C13&lt;&gt;"",$F13&lt;&gt;""),(VLOOKUP($C13,'V-LOOKUP'!$C$4:$M$59,6,FALSE)),"0")</f>
        <v>0</v>
      </c>
      <c r="AU13" s="192" t="str">
        <f>IF(AND($C13&lt;&gt;"",$F13&lt;&gt;""),(VLOOKUP($C13,'V-LOOKUP'!$C$4:$M$59,7,FALSE)),"0")</f>
        <v>0</v>
      </c>
      <c r="AV13" s="192" t="str">
        <f>IF(AND($C13&lt;&gt;"",$F13&lt;&gt;""),(VLOOKUP($C13,'V-LOOKUP'!$C$4:$M$59,8,FALSE)),"0")</f>
        <v>0</v>
      </c>
      <c r="AW13" s="192" t="str">
        <f>IF(AND($C13&lt;&gt;"",$F13&lt;&gt;""),(VLOOKUP($C13,'V-LOOKUP'!$C$4:$M$59,9,FALSE)),"0")</f>
        <v>0</v>
      </c>
      <c r="AX13" s="192" t="str">
        <f>IF(AND($C13&lt;&gt;"",$F13&lt;&gt;""),(VLOOKUP($C13,'V-LOOKUP'!$C$4:$M$59,10,FALSE)),"0")</f>
        <v>0</v>
      </c>
      <c r="AY13" s="192" t="str">
        <f>IF(AND($C13&lt;&gt;"",$F13&lt;&gt;""),(VLOOKUP($C13,'V-LOOKUP'!$C$4:$M$59,11,FALSE)),"0")</f>
        <v>0</v>
      </c>
      <c r="AZ13" s="192" t="str">
        <f>IF(AND($C13&lt;&gt;"",$F13&lt;&gt;""),(VLOOKUP($C13,'V-LOOKUP'!$C$4:$N$59,12,FALSE)),"0")</f>
        <v>0</v>
      </c>
      <c r="BA13" s="192" t="str">
        <f>IF(AND($C13&lt;&gt;"",G13&lt;&gt;""),(VLOOKUP($C13,'V-LOOKUP'!$C$4:$M$59,4,FALSE)),"0")</f>
        <v>0</v>
      </c>
      <c r="BB13" s="192" t="str">
        <f>IF(AND($C13&lt;&gt;"",$G13&lt;&gt;""),(VLOOKUP($C13,'V-LOOKUP'!$C$4:$M$59,5,FALSE)),"0")</f>
        <v>0</v>
      </c>
      <c r="BC13" s="192" t="str">
        <f>IF(AND($C13&lt;&gt;"",$G13&lt;&gt;""),(VLOOKUP($C13,'V-LOOKUP'!$C$4:$M$59,6,FALSE)),"0")</f>
        <v>0</v>
      </c>
      <c r="BD13" s="192" t="str">
        <f>IF(AND($C13&lt;&gt;"",$G13&lt;&gt;""),(VLOOKUP($C13,'V-LOOKUP'!$C$4:$M$59,7,FALSE)),"0")</f>
        <v>0</v>
      </c>
      <c r="BE13" s="192" t="str">
        <f>IF(AND($C13&lt;&gt;"",$G13&lt;&gt;""),(VLOOKUP($C13,'V-LOOKUP'!$C$4:$M$59,8,FALSE)),"0")</f>
        <v>0</v>
      </c>
      <c r="BF13" s="192" t="str">
        <f>IF(AND($C13&lt;&gt;"",$G13&lt;&gt;""),(VLOOKUP($C13,'V-LOOKUP'!$C$4:$M$59,9,FALSE)),"0")</f>
        <v>0</v>
      </c>
      <c r="BG13" s="192" t="str">
        <f>IF(AND($C13&lt;&gt;"",$G13&lt;&gt;""),(VLOOKUP($C13,'V-LOOKUP'!$C$4:$M$59,10,FALSE)),"0")</f>
        <v>0</v>
      </c>
      <c r="BH13" s="192" t="str">
        <f>IF(AND($C13&lt;&gt;"",$G13&lt;&gt;""),(VLOOKUP($C13,'V-LOOKUP'!$C$4:$M$59,11,FALSE)),"0")</f>
        <v>0</v>
      </c>
      <c r="BI13" s="192" t="str">
        <f>IF(AND($C13&lt;&gt;"",$G13&lt;&gt;""),(VLOOKUP($C13,'V-LOOKUP'!$C$4:$N$59,12,FALSE)),"0")</f>
        <v>0</v>
      </c>
      <c r="BJ13" s="192" t="str">
        <f>IF(AND($C13&lt;&gt;"",H13&lt;&gt;""),(VLOOKUP($C13,'V-LOOKUP'!$C$4:$M$59,4,FALSE)),"0")</f>
        <v>0</v>
      </c>
      <c r="BK13" s="192" t="str">
        <f>IF(AND($C13&lt;&gt;"",$G13&lt;&gt;""),(VLOOKUP($C13,'V-LOOKUP'!$C$4:$M$59,5,FALSE)),"0")</f>
        <v>0</v>
      </c>
      <c r="BL13" s="192" t="str">
        <f>IF(AND($C13&lt;&gt;"",$H13&lt;&gt;""),(VLOOKUP($C13,'V-LOOKUP'!$C$4:$M$59,6,FALSE)),"0")</f>
        <v>0</v>
      </c>
      <c r="BM13" s="192" t="str">
        <f>IF(AND($C13&lt;&gt;"",$H13&lt;&gt;""),(VLOOKUP($C13,'V-LOOKUP'!$C$4:$M$59,7,FALSE)),"0")</f>
        <v>0</v>
      </c>
      <c r="BN13" s="192" t="str">
        <f>IF(AND($C13&lt;&gt;"",$H13&lt;&gt;""),(VLOOKUP($C13,'V-LOOKUP'!$C$4:$M$59,8,FALSE)),"0")</f>
        <v>0</v>
      </c>
      <c r="BO13" s="192" t="str">
        <f>IF(AND($C13&lt;&gt;"",$H13&lt;&gt;""),(VLOOKUP($C13,'V-LOOKUP'!$C$4:$M$59,9,FALSE)),"0")</f>
        <v>0</v>
      </c>
      <c r="BP13" s="192" t="str">
        <f>IF(AND($C13&lt;&gt;"",$H13&lt;&gt;""),(VLOOKUP($C13,'V-LOOKUP'!$C$4:$M$59,10,FALSE)),"0")</f>
        <v>0</v>
      </c>
      <c r="BQ13" s="192" t="str">
        <f>IF(AND($C13&lt;&gt;"",$H13&lt;&gt;""),(VLOOKUP($C13,'V-LOOKUP'!$C$4:$M$59,11,FALSE)),"0")</f>
        <v>0</v>
      </c>
      <c r="BR13" s="192" t="str">
        <f>IF(AND($C13&lt;&gt;"",$H13&lt;&gt;""),(VLOOKUP($C13,'V-LOOKUP'!$C$4:$N$59,12,FALSE)),"0")</f>
        <v>0</v>
      </c>
      <c r="BS13" s="192" t="str">
        <f>IF(AND($C13&lt;&gt;"",I13&lt;&gt;""),(VLOOKUP($C13,'V-LOOKUP'!$C$4:$M$59,4,FALSE)),"0")</f>
        <v>0</v>
      </c>
      <c r="BT13" s="192" t="str">
        <f>IF(AND($C13&lt;&gt;"",$I13&lt;&gt;""),(VLOOKUP($C13,'V-LOOKUP'!$C$4:$M$59,5,FALSE)),"0")</f>
        <v>0</v>
      </c>
      <c r="BU13" s="192" t="str">
        <f>IF(AND($C13&lt;&gt;"",$I13&lt;&gt;""),(VLOOKUP($C13,'V-LOOKUP'!$C$4:$M$59,6,FALSE)),"0")</f>
        <v>0</v>
      </c>
      <c r="BV13" s="192" t="str">
        <f>IF(AND($C13&lt;&gt;"",$I13&lt;&gt;""),(VLOOKUP($C13,'V-LOOKUP'!$C$4:$M$59,7,FALSE)),"0")</f>
        <v>0</v>
      </c>
      <c r="BW13" s="192" t="str">
        <f>IF(AND($C13&lt;&gt;"",$I13&lt;&gt;""),(VLOOKUP($C13,'V-LOOKUP'!$C$4:$M$59,8,FALSE)),"0")</f>
        <v>0</v>
      </c>
      <c r="BX13" s="192" t="str">
        <f>IF(AND($C13&lt;&gt;"",$I13&lt;&gt;""),(VLOOKUP($C13,'V-LOOKUP'!$C$4:$M$59,9,FALSE)),"0")</f>
        <v>0</v>
      </c>
      <c r="BY13" s="192" t="str">
        <f>IF(AND($C13&lt;&gt;"",$I13&lt;&gt;""),(VLOOKUP($C13,'V-LOOKUP'!$C$4:$M$59,10,FALSE)),"0")</f>
        <v>0</v>
      </c>
      <c r="BZ13" s="192" t="str">
        <f>IF(AND($C13&lt;&gt;"",$I13&lt;&gt;""),(VLOOKUP($C13,'V-LOOKUP'!$C$4:$M$59,11,FALSE)),"0")</f>
        <v>0</v>
      </c>
      <c r="CA13" s="192" t="str">
        <f>IF(AND($C13&lt;&gt;"",$I13&lt;&gt;""),(VLOOKUP($C13,'V-LOOKUP'!$C$4:$N$59,12,FALSE)),"0")</f>
        <v>0</v>
      </c>
      <c r="CB13" s="192" t="str">
        <f>IF(AND($C13&lt;&gt;"",J13&lt;&gt;""),(VLOOKUP($C13,'V-LOOKUP'!$C$4:$M$59,4,FALSE)),"0")</f>
        <v>0</v>
      </c>
      <c r="CC13" s="192" t="str">
        <f>IF(AND($C13&lt;&gt;"",$J13&lt;&gt;""),(VLOOKUP($C13,'V-LOOKUP'!$C$4:$M$59,5,FALSE)),"0")</f>
        <v>0</v>
      </c>
      <c r="CD13" s="192" t="str">
        <f>IF(AND($C13&lt;&gt;"",$J13&lt;&gt;""),(VLOOKUP($C13,'V-LOOKUP'!$C$4:$M$59,6,FALSE)),"0")</f>
        <v>0</v>
      </c>
      <c r="CE13" s="192" t="str">
        <f>IF(AND($C13&lt;&gt;"",$J13&lt;&gt;""),(VLOOKUP($C13,'V-LOOKUP'!$C$4:$M$59,7,FALSE)),"0")</f>
        <v>0</v>
      </c>
      <c r="CF13" s="192" t="str">
        <f>IF(AND($C13&lt;&gt;"",$J13&lt;&gt;""),(VLOOKUP($C13,'V-LOOKUP'!$C$4:$M$59,8,FALSE)),"0")</f>
        <v>0</v>
      </c>
      <c r="CG13" s="192" t="str">
        <f>IF(AND($C13&lt;&gt;"",$J13&lt;&gt;""),(VLOOKUP($C13,'V-LOOKUP'!$C$4:$M$59,9,FALSE)),"0")</f>
        <v>0</v>
      </c>
      <c r="CH13" s="192" t="str">
        <f>IF(AND($C13&lt;&gt;"",$J13&lt;&gt;""),(VLOOKUP($C13,'V-LOOKUP'!$C$4:$M$59,10,FALSE)),"0")</f>
        <v>0</v>
      </c>
      <c r="CI13" s="192" t="str">
        <f>IF(AND($C13&lt;&gt;"",$J13&lt;&gt;""),(VLOOKUP($C13,'V-LOOKUP'!$C$4:$M$59,11,FALSE)),"0")</f>
        <v>0</v>
      </c>
      <c r="CJ13" s="192" t="str">
        <f>IF(AND($C13&lt;&gt;"",$J13&lt;&gt;""),(VLOOKUP($C13,'V-LOOKUP'!$C$4:$N$59,12,FALSE)),"0")</f>
        <v>0</v>
      </c>
      <c r="CK13" s="192" t="str">
        <f>IF(AND($C13&lt;&gt;"",K13&lt;&gt;""),(VLOOKUP($C13,'V-LOOKUP'!$C$4:$M$59,4,FALSE)),"0")</f>
        <v>0</v>
      </c>
      <c r="CL13" s="192" t="str">
        <f>IF(AND($C13&lt;&gt;"",$K13&lt;&gt;""),(VLOOKUP($C13,'V-LOOKUP'!$C$4:$M$59,5,FALSE)),"0")</f>
        <v>0</v>
      </c>
      <c r="CM13" s="192" t="str">
        <f>IF(AND($C13&lt;&gt;"",$K13&lt;&gt;""),(VLOOKUP($C13,'V-LOOKUP'!$C$4:$M$59,6,FALSE)),"0")</f>
        <v>0</v>
      </c>
      <c r="CN13" s="192" t="str">
        <f>IF(AND($C13&lt;&gt;"",$K13&lt;&gt;""),(VLOOKUP($C13,'V-LOOKUP'!$C$4:$M$59,7,FALSE)),"0")</f>
        <v>0</v>
      </c>
      <c r="CO13" s="192" t="str">
        <f>IF(AND($C13&lt;&gt;"",$K13&lt;&gt;""),(VLOOKUP($C13,'V-LOOKUP'!$C$4:$M$59,8,FALSE)),"0")</f>
        <v>0</v>
      </c>
      <c r="CP13" s="192" t="str">
        <f>IF(AND($C13&lt;&gt;"",$K13&lt;&gt;""),(VLOOKUP($C13,'V-LOOKUP'!$C$4:$M$59,9,FALSE)),"0")</f>
        <v>0</v>
      </c>
      <c r="CQ13" s="192" t="str">
        <f>IF(AND($C13&lt;&gt;"",$K13&lt;&gt;""),(VLOOKUP($C13,'V-LOOKUP'!$C$4:$M$59,10,FALSE)),"0")</f>
        <v>0</v>
      </c>
      <c r="CR13" s="192" t="str">
        <f>IF(AND($C13&lt;&gt;"",$K13&lt;&gt;""),(VLOOKUP($C13,'V-LOOKUP'!$C$4:$M$59,11,FALSE)),"0")</f>
        <v>0</v>
      </c>
      <c r="CS13" s="192" t="str">
        <f>IF(AND($C13&lt;&gt;"",$K13&lt;&gt;""),(VLOOKUP($C13,'V-LOOKUP'!$C$4:$N$59,12,FALSE)),"0")</f>
        <v>0</v>
      </c>
      <c r="CT13" s="192" t="str">
        <f>IF(AND($C13&lt;&gt;"",L13&lt;&gt;""),(VLOOKUP($C13,'V-LOOKUP'!$C$4:$M$59,4,FALSE)),"0")</f>
        <v>0</v>
      </c>
      <c r="CU13" s="192" t="str">
        <f>IF(AND($C13&lt;&gt;"",$L13&lt;&gt;""),(VLOOKUP($C13,'V-LOOKUP'!$C$4:$M$59,5,FALSE)),"0")</f>
        <v>0</v>
      </c>
      <c r="CV13" s="192" t="str">
        <f>IF(AND($C13&lt;&gt;"",$L13&lt;&gt;""),(VLOOKUP($C13,'V-LOOKUP'!$C$4:$M$59,6,FALSE)),"0")</f>
        <v>0</v>
      </c>
      <c r="CW13" s="192" t="str">
        <f>IF(AND($C13&lt;&gt;"",$L13&lt;&gt;""),(VLOOKUP($C13,'V-LOOKUP'!$C$4:$M$59,7,FALSE)),"0")</f>
        <v>0</v>
      </c>
      <c r="CX13" s="192" t="str">
        <f>IF(AND($C13&lt;&gt;"",$L13&lt;&gt;""),(VLOOKUP($C13,'V-LOOKUP'!$C$4:$M$59,8,FALSE)),"0")</f>
        <v>0</v>
      </c>
      <c r="CY13" s="192" t="str">
        <f>IF(AND($C13&lt;&gt;"",$L13&lt;&gt;""),(VLOOKUP($C13,'V-LOOKUP'!$C$4:$M$59,9,FALSE)),"0")</f>
        <v>0</v>
      </c>
      <c r="CZ13" s="192" t="str">
        <f>IF(AND($C13&lt;&gt;"",$L13&lt;&gt;""),(VLOOKUP($C13,'V-LOOKUP'!$C$4:$M$59,10,FALSE)),"0")</f>
        <v>0</v>
      </c>
      <c r="DA13" s="192" t="str">
        <f>IF(AND($C13&lt;&gt;"",$L13&lt;&gt;""),(VLOOKUP($C13,'V-LOOKUP'!$C$4:$M$59,11,FALSE)),"0")</f>
        <v>0</v>
      </c>
      <c r="DB13" s="192" t="str">
        <f>IF(AND($C13&lt;&gt;"",$L13&lt;&gt;""),(VLOOKUP($C13,'V-LOOKUP'!$C$4:$N$59,12,FALSE)),"0")</f>
        <v>0</v>
      </c>
      <c r="DC13" s="192" t="str">
        <f>IF(AND($C13&lt;&gt;"",M13&lt;&gt;""),(VLOOKUP($C13,'V-LOOKUP'!$C$4:$M$59,4,FALSE)),"0")</f>
        <v>0</v>
      </c>
      <c r="DD13" s="192" t="str">
        <f>IF(AND($C13&lt;&gt;"",$M13&lt;&gt;""),(VLOOKUP($C13,'V-LOOKUP'!$C$4:$M$59,5,FALSE)),"0")</f>
        <v>0</v>
      </c>
      <c r="DE13" s="192" t="str">
        <f>IF(AND($C13&lt;&gt;"",$M13&lt;&gt;""),(VLOOKUP($C13,'V-LOOKUP'!$C$4:$M$59,6,FALSE)),"0")</f>
        <v>0</v>
      </c>
      <c r="DF13" s="192" t="str">
        <f>IF(AND($C13&lt;&gt;"",$M13&lt;&gt;""),(VLOOKUP($C13,'V-LOOKUP'!$C$4:$M$59,7,FALSE)),"0")</f>
        <v>0</v>
      </c>
      <c r="DG13" s="192" t="str">
        <f>IF(AND($C13&lt;&gt;"",$M13&lt;&gt;""),(VLOOKUP($C13,'V-LOOKUP'!$C$4:$M$59,8,FALSE)),"0")</f>
        <v>0</v>
      </c>
      <c r="DH13" s="192" t="str">
        <f>IF(AND($C13&lt;&gt;"",$M13&lt;&gt;""),(VLOOKUP($C13,'V-LOOKUP'!$C$4:$M$59,9,FALSE)),"0")</f>
        <v>0</v>
      </c>
      <c r="DI13" s="192" t="str">
        <f>IF(AND($C13&lt;&gt;"",$M13&lt;&gt;""),(VLOOKUP($C13,'V-LOOKUP'!$C$4:$M$59,10,FALSE)),"0")</f>
        <v>0</v>
      </c>
      <c r="DJ13" s="192" t="str">
        <f>IF(AND($C13&lt;&gt;"",$M13&lt;&gt;""),(VLOOKUP($C13,'V-LOOKUP'!$C$4:$M$59,11,FALSE)),"0")</f>
        <v>0</v>
      </c>
      <c r="DK13" s="192" t="str">
        <f>IF(AND($C13&lt;&gt;"",$M13&lt;&gt;""),(VLOOKUP($C13,'V-LOOKUP'!$C$4:$N$59,12,FALSE)),"0")</f>
        <v>0</v>
      </c>
      <c r="DL13" s="192" t="str">
        <f>IF(AND($C13&lt;&gt;"",$N13&lt;&gt;""),(VLOOKUP($C13,'V-LOOKUP'!$C$4:$M$59,4,FALSE)),"0")</f>
        <v>0</v>
      </c>
      <c r="DM13" s="192" t="str">
        <f>IF(AND($C13&lt;&gt;"",$N13&lt;&gt;""),(VLOOKUP($C13,'V-LOOKUP'!$C$4:$M$59,5,FALSE)),"0")</f>
        <v>0</v>
      </c>
      <c r="DN13" s="192" t="str">
        <f>IF(AND($C13&lt;&gt;"",$N13&lt;&gt;""),(VLOOKUP($C13,'V-LOOKUP'!$C$4:$M$59,6,FALSE)),"0")</f>
        <v>0</v>
      </c>
      <c r="DO13" s="192" t="str">
        <f>IF(AND($C13&lt;&gt;"",$N13&lt;&gt;""),(VLOOKUP($C13,'V-LOOKUP'!$C$4:$M$59,7,FALSE)),"0")</f>
        <v>0</v>
      </c>
      <c r="DP13" s="192" t="str">
        <f>IF(AND($C13&lt;&gt;"",$N13&lt;&gt;""),(VLOOKUP($C13,'V-LOOKUP'!$C$4:$M$59,8,FALSE)),"0")</f>
        <v>0</v>
      </c>
      <c r="DQ13" s="192" t="str">
        <f>IF(AND($C13&lt;&gt;"",$N13&lt;&gt;""),(VLOOKUP($C13,'V-LOOKUP'!$C$4:$M$59,9,FALSE)),"0")</f>
        <v>0</v>
      </c>
      <c r="DR13" s="192" t="str">
        <f>IF(AND($C13&lt;&gt;"",$N13&lt;&gt;""),(VLOOKUP($C13,'V-LOOKUP'!$C$4:$M$59,10,FALSE)),"0")</f>
        <v>0</v>
      </c>
      <c r="DS13" s="192" t="str">
        <f>IF(AND($C13&lt;&gt;"",$N13&lt;&gt;""),(VLOOKUP($C13,'V-LOOKUP'!$C$4:$M$59,11,FALSE)),"0")</f>
        <v>0</v>
      </c>
      <c r="DT13" s="192" t="str">
        <f>IF(AND($C13&lt;&gt;"",$N13&lt;&gt;""),(VLOOKUP($C13,'V-LOOKUP'!$C$4:$N$59,12,FALSE)),"0")</f>
        <v>0</v>
      </c>
      <c r="DU13" s="192" t="str">
        <f>IF(AND($C13&lt;&gt;"",O13&lt;&gt;""),(VLOOKUP($C13,'V-LOOKUP'!$C$4:$M$59,4,FALSE)),"0")</f>
        <v>0</v>
      </c>
      <c r="DV13" s="192" t="str">
        <f>IF(AND($C13&lt;&gt;"",$O13&lt;&gt;""),(VLOOKUP($C13,'V-LOOKUP'!$C$4:$M$59,5,FALSE)),"0")</f>
        <v>0</v>
      </c>
      <c r="DW13" s="192" t="str">
        <f>IF(AND($C13&lt;&gt;"",$O13&lt;&gt;""),(VLOOKUP($C13,'V-LOOKUP'!$C$4:$M$59,6,FALSE)),"0")</f>
        <v>0</v>
      </c>
      <c r="DX13" s="192" t="str">
        <f>IF(AND($C13&lt;&gt;"",$O13&lt;&gt;""),(VLOOKUP($C13,'V-LOOKUP'!$C$4:$M$59,7,FALSE)),"0")</f>
        <v>0</v>
      </c>
      <c r="DY13" s="192" t="str">
        <f>IF(AND($C13&lt;&gt;"",$O13&lt;&gt;""),(VLOOKUP($C13,'V-LOOKUP'!$C$4:$M$59,8,FALSE)),"0")</f>
        <v>0</v>
      </c>
      <c r="DZ13" s="192" t="str">
        <f>IF(AND($C13&lt;&gt;"",$O13&lt;&gt;""),(VLOOKUP($C13,'V-LOOKUP'!$C$4:$M$59,9,FALSE)),"0")</f>
        <v>0</v>
      </c>
      <c r="EA13" s="192" t="str">
        <f>IF(AND($C13&lt;&gt;"",$O13&lt;&gt;""),(VLOOKUP($C13,'V-LOOKUP'!$C$4:$M$59,10,FALSE)),"0")</f>
        <v>0</v>
      </c>
      <c r="EB13" s="192" t="str">
        <f>IF(AND($C13&lt;&gt;"",$O13&lt;&gt;""),(VLOOKUP($C13,'V-LOOKUP'!$C$4:$M$59,11,FALSE)),"0")</f>
        <v>0</v>
      </c>
      <c r="EC13" s="192" t="str">
        <f>IF(AND($C13&lt;&gt;"",$O13&lt;&gt;""),(VLOOKUP($C13,'V-LOOKUP'!$C$4:$N$59,12,FALSE)),"0")</f>
        <v>0</v>
      </c>
      <c r="ED13" s="192" t="str">
        <f>IF(AND($C13&lt;&gt;"",P13&lt;&gt;""),(VLOOKUP($C13,'V-LOOKUP'!$C$4:$M$59,4,FALSE)),"0")</f>
        <v>0</v>
      </c>
      <c r="EE13" s="192" t="str">
        <f>IF(AND($C13&lt;&gt;"",$P13&lt;&gt;""),(VLOOKUP($C13,'V-LOOKUP'!$C$4:$M$59,5,FALSE)),"0")</f>
        <v>0</v>
      </c>
      <c r="EF13" s="192" t="str">
        <f>IF(AND($C13&lt;&gt;"",$P13&lt;&gt;""),(VLOOKUP($C13,'V-LOOKUP'!$C$4:$M$59,6,FALSE)),"0")</f>
        <v>0</v>
      </c>
      <c r="EG13" s="192" t="str">
        <f>IF(AND($C13&lt;&gt;"",$P13&lt;&gt;""),(VLOOKUP($C13,'V-LOOKUP'!$C$4:$M$59,7,FALSE)),"0")</f>
        <v>0</v>
      </c>
      <c r="EH13" s="192" t="str">
        <f>IF(AND($C13&lt;&gt;"",$P13&lt;&gt;""),(VLOOKUP($C13,'V-LOOKUP'!$C$4:$M$59,8,FALSE)),"0")</f>
        <v>0</v>
      </c>
      <c r="EI13" s="192" t="str">
        <f>IF(AND($C13&lt;&gt;"",$P13&lt;&gt;""),(VLOOKUP($C13,'V-LOOKUP'!$C$4:$M$59,9,FALSE)),"0")</f>
        <v>0</v>
      </c>
      <c r="EJ13" s="192" t="str">
        <f>IF(AND($C13&lt;&gt;"",$P13&lt;&gt;""),(VLOOKUP($C13,'V-LOOKUP'!$C$4:$M$59,10,FALSE)),"0")</f>
        <v>0</v>
      </c>
      <c r="EK13" s="192" t="str">
        <f>IF(AND($C13&lt;&gt;"",$P13&lt;&gt;""),(VLOOKUP($C13,'V-LOOKUP'!$C$4:$M$59,11,FALSE)),"0")</f>
        <v>0</v>
      </c>
      <c r="EL13" s="192" t="str">
        <f>IF(AND($C13&lt;&gt;"",$P13&lt;&gt;""),(VLOOKUP($C13,'V-LOOKUP'!$C$4:$N$59,12,FALSE)),"0")</f>
        <v>0</v>
      </c>
      <c r="EM13" s="192" t="str">
        <f>IF(AND($C13&lt;&gt;"",Q13&lt;&gt;""),(VLOOKUP($C13,'V-LOOKUP'!$C$4:$M$59,4,FALSE)),"0")</f>
        <v>0</v>
      </c>
      <c r="EN13" s="192" t="str">
        <f>IF(AND($C13&lt;&gt;"",$Q13&lt;&gt;""),(VLOOKUP($C13,'V-LOOKUP'!$C$4:$M$59,5,FALSE)),"0")</f>
        <v>0</v>
      </c>
      <c r="EO13" s="192" t="str">
        <f>IF(AND($C13&lt;&gt;"",$Q13&lt;&gt;""),(VLOOKUP($C13,'V-LOOKUP'!$C$4:$M$59,6,FALSE)),"0")</f>
        <v>0</v>
      </c>
      <c r="EP13" s="192" t="str">
        <f>IF(AND($C13&lt;&gt;"",$Q13&lt;&gt;""),(VLOOKUP($C13,'V-LOOKUP'!$C$4:$M$59,7,FALSE)),"0")</f>
        <v>0</v>
      </c>
      <c r="EQ13" s="192" t="str">
        <f>IF(AND($C13&lt;&gt;"",$Q13&lt;&gt;""),(VLOOKUP($C13,'V-LOOKUP'!$C$4:$M$59,8,FALSE)),"0")</f>
        <v>0</v>
      </c>
      <c r="ER13" s="192" t="str">
        <f>IF(AND($C13&lt;&gt;"",$Q13&lt;&gt;""),(VLOOKUP($C13,'V-LOOKUP'!$C$4:$M$59,9,FALSE)),"0")</f>
        <v>0</v>
      </c>
      <c r="ES13" s="192" t="str">
        <f>IF(AND($C13&lt;&gt;"",$Q13&lt;&gt;""),(VLOOKUP($C13,'V-LOOKUP'!$C$4:$M$59,10,FALSE)),"0")</f>
        <v>0</v>
      </c>
      <c r="ET13" s="192" t="str">
        <f>IF(AND($C13&lt;&gt;"",$Q13&lt;&gt;""),(VLOOKUP($C13,'V-LOOKUP'!$C$4:$M$59,11,FALSE)),"0")</f>
        <v>0</v>
      </c>
      <c r="EU13" s="192" t="str">
        <f>IF(AND($C13&lt;&gt;"",$Q13&lt;&gt;""),(VLOOKUP($C13,'V-LOOKUP'!$C$4:$N$59,12,FALSE)),"0")</f>
        <v>0</v>
      </c>
      <c r="EV13" s="192" t="str">
        <f>IF(AND($C13&lt;&gt;"",R13&lt;&gt;""),(VLOOKUP($C13,'V-LOOKUP'!$C$4:$M$59,4,FALSE)),"0")</f>
        <v>0</v>
      </c>
      <c r="EW13" s="192" t="str">
        <f>IF(AND($C13&lt;&gt;"",$R13&lt;&gt;""),(VLOOKUP($C13,'V-LOOKUP'!$C$4:$M$59,5,FALSE)),"0")</f>
        <v>0</v>
      </c>
      <c r="EX13" s="192" t="str">
        <f>IF(AND($C13&lt;&gt;"",$R13&lt;&gt;""),(VLOOKUP($C13,'V-LOOKUP'!$C$4:$M$59,6,FALSE)),"0")</f>
        <v>0</v>
      </c>
      <c r="EY13" s="192" t="str">
        <f>IF(AND($C13&lt;&gt;"",$R13&lt;&gt;""),(VLOOKUP($C13,'V-LOOKUP'!$C$4:$M$59,7,FALSE)),"0")</f>
        <v>0</v>
      </c>
      <c r="EZ13" s="192" t="str">
        <f>IF(AND($C13&lt;&gt;"",$R13&lt;&gt;""),(VLOOKUP($C13,'V-LOOKUP'!$C$4:$M$59,8,FALSE)),"0")</f>
        <v>0</v>
      </c>
      <c r="FA13" s="192" t="str">
        <f>IF(AND($C13&lt;&gt;"",$R13&lt;&gt;""),(VLOOKUP($C13,'V-LOOKUP'!$C$4:$M$59,9,FALSE)),"0")</f>
        <v>0</v>
      </c>
      <c r="FB13" s="192" t="str">
        <f>IF(AND($C13&lt;&gt;"",$R13&lt;&gt;""),(VLOOKUP($C13,'V-LOOKUP'!$C$4:$M$59,10,FALSE)),"0")</f>
        <v>0</v>
      </c>
      <c r="FC13" s="192" t="str">
        <f>IF(AND($C13&lt;&gt;"",$R13&lt;&gt;""),(VLOOKUP($C13,'V-LOOKUP'!$C$4:$M$59,11,FALSE)),"0")</f>
        <v>0</v>
      </c>
      <c r="FD13" s="192" t="str">
        <f>IF(AND($C13&lt;&gt;"",$R13&lt;&gt;""),(VLOOKUP($C13,'V-LOOKUP'!$C$4:$N$59,12,FALSE)),"0")</f>
        <v>0</v>
      </c>
      <c r="FE13" s="192" t="str">
        <f>IF(AND($C13&lt;&gt;"",S13&lt;&gt;""),(VLOOKUP($C13,'V-LOOKUP'!$C$4:$M$59,4,FALSE)),"0")</f>
        <v>0</v>
      </c>
      <c r="FF13" s="192" t="str">
        <f>IF(AND($C13&lt;&gt;"",$S13&lt;&gt;""),(VLOOKUP($C13,'V-LOOKUP'!$C$4:$M$59,5,FALSE)),"0")</f>
        <v>0</v>
      </c>
      <c r="FG13" s="192" t="str">
        <f>IF(AND($C13&lt;&gt;"",$S13&lt;&gt;""),(VLOOKUP($C13,'V-LOOKUP'!$C$4:$M$59,6,FALSE)),"0")</f>
        <v>0</v>
      </c>
      <c r="FH13" s="192" t="str">
        <f>IF(AND($C13&lt;&gt;"",$S13&lt;&gt;""),(VLOOKUP($C13,'V-LOOKUP'!$C$4:$M$59,7,FALSE)),"0")</f>
        <v>0</v>
      </c>
      <c r="FI13" s="192" t="str">
        <f>IF(AND($C13&lt;&gt;"",$S13&lt;&gt;""),(VLOOKUP($C13,'V-LOOKUP'!$C$4:$M$59,8,FALSE)),"0")</f>
        <v>0</v>
      </c>
      <c r="FJ13" s="192" t="str">
        <f>IF(AND($C13&lt;&gt;"",$S13&lt;&gt;""),(VLOOKUP($C13,'V-LOOKUP'!$C$4:$M$59,9,FALSE)),"0")</f>
        <v>0</v>
      </c>
      <c r="FK13" s="192" t="str">
        <f>IF(AND($C13&lt;&gt;"",$S13&lt;&gt;""),(VLOOKUP($C13,'V-LOOKUP'!$C$4:$M$59,10,FALSE)),"0")</f>
        <v>0</v>
      </c>
      <c r="FL13" s="192" t="str">
        <f>IF(AND($C13&lt;&gt;"",$S13&lt;&gt;""),(VLOOKUP($C13,'V-LOOKUP'!$C$4:$M$59,11,FALSE)),"0")</f>
        <v>0</v>
      </c>
      <c r="FM13" s="192" t="str">
        <f>IF(AND($C13&lt;&gt;"",$S13&lt;&gt;""),(VLOOKUP($C13,'V-LOOKUP'!$C$4:$N$59,12,FALSE)),"0")</f>
        <v>0</v>
      </c>
      <c r="FN13" s="192" t="str">
        <f>IF(AND($C13&lt;&gt;"",T13&lt;&gt;""),(VLOOKUP($C13,'V-LOOKUP'!$C$4:$M$59,4,FALSE)),"0")</f>
        <v>0</v>
      </c>
      <c r="FO13" s="192" t="str">
        <f>IF(AND($C13&lt;&gt;"",$T13&lt;&gt;""),(VLOOKUP($C13,'V-LOOKUP'!$C$4:$M$59,5,FALSE)),"0")</f>
        <v>0</v>
      </c>
      <c r="FP13" s="192" t="str">
        <f>IF(AND($C13&lt;&gt;"",$T13&lt;&gt;""),(VLOOKUP($C13,'V-LOOKUP'!$C$4:$M$59,6,FALSE)),"0")</f>
        <v>0</v>
      </c>
      <c r="FQ13" s="192" t="str">
        <f>IF(AND($C13&lt;&gt;"",$T13&lt;&gt;""),(VLOOKUP($C13,'V-LOOKUP'!$C$4:$M$59,7,FALSE)),"0")</f>
        <v>0</v>
      </c>
      <c r="FR13" s="192" t="str">
        <f>IF(AND($C13&lt;&gt;"",$T13&lt;&gt;""),(VLOOKUP($C13,'V-LOOKUP'!$C$4:$M$59,8,FALSE)),"0")</f>
        <v>0</v>
      </c>
      <c r="FS13" s="192" t="str">
        <f>IF(AND($C13&lt;&gt;"",$T13&lt;&gt;""),(VLOOKUP($C13,'V-LOOKUP'!$C$4:$M$59,9,FALSE)),"0")</f>
        <v>0</v>
      </c>
      <c r="FT13" s="192" t="str">
        <f>IF(AND($C13&lt;&gt;"",$T13&lt;&gt;""),(VLOOKUP($C13,'V-LOOKUP'!$C$4:$M$59,10,FALSE)),"0")</f>
        <v>0</v>
      </c>
      <c r="FU13" s="192" t="str">
        <f>IF(AND($C13&lt;&gt;"",$T13&lt;&gt;""),(VLOOKUP($C13,'V-LOOKUP'!$C$4:$M$59,11,FALSE)),"0")</f>
        <v>0</v>
      </c>
      <c r="FV13" s="192" t="str">
        <f>IF(AND($C13&lt;&gt;"",$T13&lt;&gt;""),(VLOOKUP($C13,'V-LOOKUP'!$C$4:$N$59,12,FALSE)),"0")</f>
        <v>0</v>
      </c>
      <c r="FW13" s="192" t="str">
        <f>IF(AND($C13&lt;&gt;"",U13&lt;&gt;""),(VLOOKUP($C13,'V-LOOKUP'!$C$4:$M$59,4,FALSE)),"0")</f>
        <v>0</v>
      </c>
      <c r="FX13" s="192" t="str">
        <f>IF(AND($C13&lt;&gt;"",$U13&lt;&gt;""),(VLOOKUP($C13,'V-LOOKUP'!$C$4:$M$59,5,FALSE)),"0")</f>
        <v>0</v>
      </c>
      <c r="FY13" s="192" t="str">
        <f>IF(AND($C13&lt;&gt;"",$U13&lt;&gt;""),(VLOOKUP($C13,'V-LOOKUP'!$C$4:$M$59,6,FALSE)),"0")</f>
        <v>0</v>
      </c>
      <c r="FZ13" s="192" t="str">
        <f>IF(AND($C13&lt;&gt;"",$U13&lt;&gt;""),(VLOOKUP($C13,'V-LOOKUP'!$C$4:$M$59,7,FALSE)),"0")</f>
        <v>0</v>
      </c>
      <c r="GA13" s="192" t="str">
        <f>IF(AND($C13&lt;&gt;"",$U13&lt;&gt;""),(VLOOKUP($C13,'V-LOOKUP'!$C$4:$M$59,8,FALSE)),"0")</f>
        <v>0</v>
      </c>
      <c r="GB13" s="192" t="str">
        <f>IF(AND($C13&lt;&gt;"",$U13&lt;&gt;""),(VLOOKUP($C13,'V-LOOKUP'!$C$4:$M$59,9,FALSE)),"0")</f>
        <v>0</v>
      </c>
      <c r="GC13" s="192" t="str">
        <f>IF(AND($C13&lt;&gt;"",$U13&lt;&gt;""),(VLOOKUP($C13,'V-LOOKUP'!$C$4:$M$59,10,FALSE)),"0")</f>
        <v>0</v>
      </c>
      <c r="GD13" s="192" t="str">
        <f>IF(AND($C13&lt;&gt;"",$U13&lt;&gt;""),(VLOOKUP($C13,'V-LOOKUP'!$C$4:$M$59,11,FALSE)),"0")</f>
        <v>0</v>
      </c>
      <c r="GE13" s="192" t="str">
        <f>IF(AND($C13&lt;&gt;"",$U13&lt;&gt;""),(VLOOKUP($C13,'V-LOOKUP'!$C$4:$N$59,12,FALSE)),"0")</f>
        <v>0</v>
      </c>
      <c r="GF13" s="192" t="str">
        <f>IF(AND($C13&lt;&gt;"",V13&lt;&gt;""),(VLOOKUP($C13,'V-LOOKUP'!$C$4:$M$59,4,FALSE)),"0")</f>
        <v>0</v>
      </c>
      <c r="GG13" s="192" t="str">
        <f>IF(AND($C13&lt;&gt;"",$V13&lt;&gt;""),(VLOOKUP($C13,'V-LOOKUP'!$C$4:$M$59,5,FALSE)),"0")</f>
        <v>0</v>
      </c>
      <c r="GH13" s="192" t="str">
        <f>IF(AND($C13&lt;&gt;"",$V13&lt;&gt;""),(VLOOKUP($C13,'V-LOOKUP'!$C$4:$M$59,6,FALSE)),"0")</f>
        <v>0</v>
      </c>
      <c r="GI13" s="192" t="str">
        <f>IF(AND($C13&lt;&gt;"",$V13&lt;&gt;""),(VLOOKUP($C13,'V-LOOKUP'!$C$4:$M$59,7,FALSE)),"0")</f>
        <v>0</v>
      </c>
      <c r="GJ13" s="192" t="str">
        <f>IF(AND($C13&lt;&gt;"",$V13&lt;&gt;""),(VLOOKUP($C13,'V-LOOKUP'!$C$4:$M$59,8,FALSE)),"0")</f>
        <v>0</v>
      </c>
      <c r="GK13" s="192" t="str">
        <f>IF(AND($C13&lt;&gt;"",$V13&lt;&gt;""),(VLOOKUP($C13,'V-LOOKUP'!$C$4:$M$59,9,FALSE)),"0")</f>
        <v>0</v>
      </c>
      <c r="GL13" s="192" t="str">
        <f>IF(AND($C13&lt;&gt;"",$V13&lt;&gt;""),(VLOOKUP($C13,'V-LOOKUP'!$C$4:$M$59,10,FALSE)),"0")</f>
        <v>0</v>
      </c>
      <c r="GM13" s="192" t="str">
        <f>IF(AND($C13&lt;&gt;"",$V13&lt;&gt;""),(VLOOKUP($C13,'V-LOOKUP'!$C$4:$M$59,11,FALSE)),"0")</f>
        <v>0</v>
      </c>
      <c r="GN13" s="192" t="str">
        <f>IF(AND($C13&lt;&gt;"",$V13&lt;&gt;""),(VLOOKUP($C13,'V-LOOKUP'!$C$4:$N$59,12,FALSE)),"0")</f>
        <v>0</v>
      </c>
      <c r="GO13" s="192" t="str">
        <f>IF(AND($C13&lt;&gt;"",W13&lt;&gt;""),(VLOOKUP($C13,'V-LOOKUP'!$C$4:$M$59,4,FALSE)),"0")</f>
        <v>0</v>
      </c>
      <c r="GP13" s="192" t="str">
        <f>IF(AND($C13&lt;&gt;"",$W13&lt;&gt;""),(VLOOKUP($C13,'V-LOOKUP'!$C$4:$M$59,5,FALSE)),"0")</f>
        <v>0</v>
      </c>
      <c r="GQ13" s="192" t="str">
        <f>IF(AND($C13&lt;&gt;"",$W13&lt;&gt;""),(VLOOKUP($C13,'V-LOOKUP'!$C$4:$M$59,6,FALSE)),"0")</f>
        <v>0</v>
      </c>
      <c r="GR13" s="192" t="str">
        <f>IF(AND($C13&lt;&gt;"",$W13&lt;&gt;""),(VLOOKUP($C13,'V-LOOKUP'!$C$4:$M$59,7,FALSE)),"0")</f>
        <v>0</v>
      </c>
      <c r="GS13" s="192" t="str">
        <f>IF(AND($C13&lt;&gt;"",$W13&lt;&gt;""),(VLOOKUP($C13,'V-LOOKUP'!$C$4:$M$59,8,FALSE)),"0")</f>
        <v>0</v>
      </c>
      <c r="GT13" s="192" t="str">
        <f>IF(AND($C13&lt;&gt;"",$W13&lt;&gt;""),(VLOOKUP($C13,'V-LOOKUP'!$C$4:$M$59,9,FALSE)),"0")</f>
        <v>0</v>
      </c>
      <c r="GU13" s="192" t="str">
        <f>IF(AND($C13&lt;&gt;"",$W13&lt;&gt;""),(VLOOKUP($C13,'V-LOOKUP'!$C$4:$M$59,10,FALSE)),"0")</f>
        <v>0</v>
      </c>
      <c r="GV13" s="192" t="str">
        <f>IF(AND($C13&lt;&gt;"",$W13&lt;&gt;""),(VLOOKUP($C13,'V-LOOKUP'!$C$4:$M$59,11,FALSE)),"0")</f>
        <v>0</v>
      </c>
      <c r="GW13" s="192" t="str">
        <f>IF(AND($C13&lt;&gt;"",$W13&lt;&gt;""),(VLOOKUP($C13,'V-LOOKUP'!$C$4:$N$59,12,FALSE)),"0")</f>
        <v>0</v>
      </c>
    </row>
    <row r="14" spans="1:205" ht="14.65" customHeight="1">
      <c r="A14" s="193"/>
      <c r="B14" s="245"/>
      <c r="C14" s="201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Y14" s="190"/>
      <c r="Z14" s="192" t="str">
        <f>IF(AND($C14&lt;&gt;"",$D14&lt;&gt;""),(VLOOKUP($C14,'V-LOOKUP'!$C$4:$M$59,4,FALSE)),"0")</f>
        <v>0</v>
      </c>
      <c r="AA14" s="192" t="str">
        <f>IF(AND($C14&lt;&gt;"",$D14&lt;&gt;""),(VLOOKUP($C14,'V-LOOKUP'!$C$4:$M$59,5,FALSE)),"0")</f>
        <v>0</v>
      </c>
      <c r="AB14" s="192" t="str">
        <f>IF(AND($C14&lt;&gt;"",$D14&lt;&gt;""),(VLOOKUP($C14,'V-LOOKUP'!$C$4:$M$59,6,FALSE)),"0")</f>
        <v>0</v>
      </c>
      <c r="AC14" s="192" t="str">
        <f>IF(AND($C14&lt;&gt;"",$D14&lt;&gt;""),(VLOOKUP($C14,'V-LOOKUP'!$C$4:$M$59,7,FALSE)),"0")</f>
        <v>0</v>
      </c>
      <c r="AD14" s="192" t="str">
        <f>IF(AND($C14&lt;&gt;"",$D14&lt;&gt;""),(VLOOKUP($C14,'V-LOOKUP'!$C$4:$M$59,8,FALSE)),"0")</f>
        <v>0</v>
      </c>
      <c r="AE14" s="192" t="str">
        <f>IF(AND($C14&lt;&gt;"",$D14&lt;&gt;""),(VLOOKUP($C14,'V-LOOKUP'!$C$4:$M$59,9,FALSE)),"0")</f>
        <v>0</v>
      </c>
      <c r="AF14" s="192" t="str">
        <f>IF(AND($C14&lt;&gt;"",$D14&lt;&gt;""),(VLOOKUP($C14,'V-LOOKUP'!$C$4:$M$59,10,FALSE)),"0")</f>
        <v>0</v>
      </c>
      <c r="AG14" s="192" t="str">
        <f>IF(AND($C14&lt;&gt;"",$D14&lt;&gt;""),(VLOOKUP($C14,'V-LOOKUP'!$C$4:$M$59,11,FALSE)),"0")</f>
        <v>0</v>
      </c>
      <c r="AH14" s="192" t="str">
        <f>IF(AND($C14&lt;&gt;"",$D14&lt;&gt;""),(VLOOKUP($C14,'V-LOOKUP'!$C$4:$N$59,12,FALSE)),"0")</f>
        <v>0</v>
      </c>
      <c r="AI14" s="192" t="str">
        <f>IF(AND($C14&lt;&gt;"",E14&lt;&gt;""),(VLOOKUP($C14,'V-LOOKUP'!$C$4:$M$59,4,FALSE)),"0")</f>
        <v>0</v>
      </c>
      <c r="AJ14" s="192" t="str">
        <f>IF(AND($C14&lt;&gt;"",$E14&lt;&gt;""),(VLOOKUP($C14,'V-LOOKUP'!$C$4:$M$59,5,FALSE)),"0")</f>
        <v>0</v>
      </c>
      <c r="AK14" s="192" t="str">
        <f>IF(AND($C14&lt;&gt;"",$E14&lt;&gt;""),(VLOOKUP($C14,'V-LOOKUP'!$C$4:$M$59,6,FALSE)),"0")</f>
        <v>0</v>
      </c>
      <c r="AL14" s="192" t="str">
        <f>IF(AND($C14&lt;&gt;"",$E14&lt;&gt;""),(VLOOKUP($C14,'V-LOOKUP'!$C$4:$M$59,7,FALSE)),"0")</f>
        <v>0</v>
      </c>
      <c r="AM14" s="192" t="str">
        <f>IF(AND($C14&lt;&gt;"",$E14&lt;&gt;""),(VLOOKUP($C14,'V-LOOKUP'!$C$4:$M$59,8,FALSE)),"0")</f>
        <v>0</v>
      </c>
      <c r="AN14" s="192" t="str">
        <f>IF(AND($C14&lt;&gt;"",$E14&lt;&gt;""),(VLOOKUP($C14,'V-LOOKUP'!$C$4:$M$59,9,FALSE)),"0")</f>
        <v>0</v>
      </c>
      <c r="AO14" s="192" t="str">
        <f>IF(AND($C14&lt;&gt;"",$E14&lt;&gt;""),(VLOOKUP($C14,'V-LOOKUP'!$C$4:$M$59,10,FALSE)),"0")</f>
        <v>0</v>
      </c>
      <c r="AP14" s="192" t="str">
        <f>IF(AND($C14&lt;&gt;"",$E14&lt;&gt;""),(VLOOKUP($C14,'V-LOOKUP'!$C$4:$M$59,11,FALSE)),"0")</f>
        <v>0</v>
      </c>
      <c r="AQ14" s="192" t="str">
        <f>IF(AND($C14&lt;&gt;"",$E14&lt;&gt;""),(VLOOKUP($C14,'V-LOOKUP'!$C$4:$N$59,12,FALSE)),"0")</f>
        <v>0</v>
      </c>
      <c r="AR14" s="192" t="str">
        <f>IF(AND($C14&lt;&gt;"",$F14&lt;&gt;""),(VLOOKUP($C14,'V-LOOKUP'!$C$4:$M$59,4,FALSE)),"0")</f>
        <v>0</v>
      </c>
      <c r="AS14" s="192" t="str">
        <f>IF(AND($C14&lt;&gt;"",$F14&lt;&gt;""),(VLOOKUP($C14,'V-LOOKUP'!$C$4:$M$59,5,FALSE)),"0")</f>
        <v>0</v>
      </c>
      <c r="AT14" s="192" t="str">
        <f>IF(AND($C14&lt;&gt;"",$F14&lt;&gt;""),(VLOOKUP($C14,'V-LOOKUP'!$C$4:$M$59,6,FALSE)),"0")</f>
        <v>0</v>
      </c>
      <c r="AU14" s="192" t="str">
        <f>IF(AND($C14&lt;&gt;"",$F14&lt;&gt;""),(VLOOKUP($C14,'V-LOOKUP'!$C$4:$M$59,7,FALSE)),"0")</f>
        <v>0</v>
      </c>
      <c r="AV14" s="192" t="str">
        <f>IF(AND($C14&lt;&gt;"",$F14&lt;&gt;""),(VLOOKUP($C14,'V-LOOKUP'!$C$4:$M$59,8,FALSE)),"0")</f>
        <v>0</v>
      </c>
      <c r="AW14" s="192" t="str">
        <f>IF(AND($C14&lt;&gt;"",$F14&lt;&gt;""),(VLOOKUP($C14,'V-LOOKUP'!$C$4:$M$59,9,FALSE)),"0")</f>
        <v>0</v>
      </c>
      <c r="AX14" s="192" t="str">
        <f>IF(AND($C14&lt;&gt;"",$F14&lt;&gt;""),(VLOOKUP($C14,'V-LOOKUP'!$C$4:$M$59,10,FALSE)),"0")</f>
        <v>0</v>
      </c>
      <c r="AY14" s="192" t="str">
        <f>IF(AND($C14&lt;&gt;"",$F14&lt;&gt;""),(VLOOKUP($C14,'V-LOOKUP'!$C$4:$M$59,11,FALSE)),"0")</f>
        <v>0</v>
      </c>
      <c r="AZ14" s="192" t="str">
        <f>IF(AND($C14&lt;&gt;"",$F14&lt;&gt;""),(VLOOKUP($C14,'V-LOOKUP'!$C$4:$N$59,12,FALSE)),"0")</f>
        <v>0</v>
      </c>
      <c r="BA14" s="192" t="str">
        <f>IF(AND($C14&lt;&gt;"",G14&lt;&gt;""),(VLOOKUP($C14,'V-LOOKUP'!$C$4:$M$59,4,FALSE)),"0")</f>
        <v>0</v>
      </c>
      <c r="BB14" s="192" t="str">
        <f>IF(AND($C14&lt;&gt;"",$G14&lt;&gt;""),(VLOOKUP($C14,'V-LOOKUP'!$C$4:$M$59,5,FALSE)),"0")</f>
        <v>0</v>
      </c>
      <c r="BC14" s="192" t="str">
        <f>IF(AND($C14&lt;&gt;"",$G14&lt;&gt;""),(VLOOKUP($C14,'V-LOOKUP'!$C$4:$M$59,6,FALSE)),"0")</f>
        <v>0</v>
      </c>
      <c r="BD14" s="192" t="str">
        <f>IF(AND($C14&lt;&gt;"",$G14&lt;&gt;""),(VLOOKUP($C14,'V-LOOKUP'!$C$4:$M$59,7,FALSE)),"0")</f>
        <v>0</v>
      </c>
      <c r="BE14" s="192" t="str">
        <f>IF(AND($C14&lt;&gt;"",$G14&lt;&gt;""),(VLOOKUP($C14,'V-LOOKUP'!$C$4:$M$59,8,FALSE)),"0")</f>
        <v>0</v>
      </c>
      <c r="BF14" s="192" t="str">
        <f>IF(AND($C14&lt;&gt;"",$G14&lt;&gt;""),(VLOOKUP($C14,'V-LOOKUP'!$C$4:$M$59,9,FALSE)),"0")</f>
        <v>0</v>
      </c>
      <c r="BG14" s="192" t="str">
        <f>IF(AND($C14&lt;&gt;"",$G14&lt;&gt;""),(VLOOKUP($C14,'V-LOOKUP'!$C$4:$M$59,10,FALSE)),"0")</f>
        <v>0</v>
      </c>
      <c r="BH14" s="192" t="str">
        <f>IF(AND($C14&lt;&gt;"",$G14&lt;&gt;""),(VLOOKUP($C14,'V-LOOKUP'!$C$4:$M$59,11,FALSE)),"0")</f>
        <v>0</v>
      </c>
      <c r="BI14" s="192" t="str">
        <f>IF(AND($C14&lt;&gt;"",$G14&lt;&gt;""),(VLOOKUP($C14,'V-LOOKUP'!$C$4:$N$59,12,FALSE)),"0")</f>
        <v>0</v>
      </c>
      <c r="BJ14" s="192" t="str">
        <f>IF(AND($C14&lt;&gt;"",H14&lt;&gt;""),(VLOOKUP($C14,'V-LOOKUP'!$C$4:$M$59,4,FALSE)),"0")</f>
        <v>0</v>
      </c>
      <c r="BK14" s="192" t="str">
        <f>IF(AND($C14&lt;&gt;"",$G14&lt;&gt;""),(VLOOKUP($C14,'V-LOOKUP'!$C$4:$M$59,5,FALSE)),"0")</f>
        <v>0</v>
      </c>
      <c r="BL14" s="192" t="str">
        <f>IF(AND($C14&lt;&gt;"",$H14&lt;&gt;""),(VLOOKUP($C14,'V-LOOKUP'!$C$4:$M$59,6,FALSE)),"0")</f>
        <v>0</v>
      </c>
      <c r="BM14" s="192" t="str">
        <f>IF(AND($C14&lt;&gt;"",$H14&lt;&gt;""),(VLOOKUP($C14,'V-LOOKUP'!$C$4:$M$59,7,FALSE)),"0")</f>
        <v>0</v>
      </c>
      <c r="BN14" s="192" t="str">
        <f>IF(AND($C14&lt;&gt;"",$H14&lt;&gt;""),(VLOOKUP($C14,'V-LOOKUP'!$C$4:$M$59,8,FALSE)),"0")</f>
        <v>0</v>
      </c>
      <c r="BO14" s="192" t="str">
        <f>IF(AND($C14&lt;&gt;"",$H14&lt;&gt;""),(VLOOKUP($C14,'V-LOOKUP'!$C$4:$M$59,9,FALSE)),"0")</f>
        <v>0</v>
      </c>
      <c r="BP14" s="192" t="str">
        <f>IF(AND($C14&lt;&gt;"",$H14&lt;&gt;""),(VLOOKUP($C14,'V-LOOKUP'!$C$4:$M$59,10,FALSE)),"0")</f>
        <v>0</v>
      </c>
      <c r="BQ14" s="192" t="str">
        <f>IF(AND($C14&lt;&gt;"",$H14&lt;&gt;""),(VLOOKUP($C14,'V-LOOKUP'!$C$4:$M$59,11,FALSE)),"0")</f>
        <v>0</v>
      </c>
      <c r="BR14" s="192" t="str">
        <f>IF(AND($C14&lt;&gt;"",$H14&lt;&gt;""),(VLOOKUP($C14,'V-LOOKUP'!$C$4:$N$59,12,FALSE)),"0")</f>
        <v>0</v>
      </c>
      <c r="BS14" s="192" t="str">
        <f>IF(AND($C14&lt;&gt;"",I14&lt;&gt;""),(VLOOKUP($C14,'V-LOOKUP'!$C$4:$M$59,4,FALSE)),"0")</f>
        <v>0</v>
      </c>
      <c r="BT14" s="192" t="str">
        <f>IF(AND($C14&lt;&gt;"",$I14&lt;&gt;""),(VLOOKUP($C14,'V-LOOKUP'!$C$4:$M$59,5,FALSE)),"0")</f>
        <v>0</v>
      </c>
      <c r="BU14" s="192" t="str">
        <f>IF(AND($C14&lt;&gt;"",$I14&lt;&gt;""),(VLOOKUP($C14,'V-LOOKUP'!$C$4:$M$59,6,FALSE)),"0")</f>
        <v>0</v>
      </c>
      <c r="BV14" s="192" t="str">
        <f>IF(AND($C14&lt;&gt;"",$I14&lt;&gt;""),(VLOOKUP($C14,'V-LOOKUP'!$C$4:$M$59,7,FALSE)),"0")</f>
        <v>0</v>
      </c>
      <c r="BW14" s="192" t="str">
        <f>IF(AND($C14&lt;&gt;"",$I14&lt;&gt;""),(VLOOKUP($C14,'V-LOOKUP'!$C$4:$M$59,8,FALSE)),"0")</f>
        <v>0</v>
      </c>
      <c r="BX14" s="192" t="str">
        <f>IF(AND($C14&lt;&gt;"",$I14&lt;&gt;""),(VLOOKUP($C14,'V-LOOKUP'!$C$4:$M$59,9,FALSE)),"0")</f>
        <v>0</v>
      </c>
      <c r="BY14" s="192" t="str">
        <f>IF(AND($C14&lt;&gt;"",$I14&lt;&gt;""),(VLOOKUP($C14,'V-LOOKUP'!$C$4:$M$59,10,FALSE)),"0")</f>
        <v>0</v>
      </c>
      <c r="BZ14" s="192" t="str">
        <f>IF(AND($C14&lt;&gt;"",$I14&lt;&gt;""),(VLOOKUP($C14,'V-LOOKUP'!$C$4:$M$59,11,FALSE)),"0")</f>
        <v>0</v>
      </c>
      <c r="CA14" s="192" t="str">
        <f>IF(AND($C14&lt;&gt;"",$I14&lt;&gt;""),(VLOOKUP($C14,'V-LOOKUP'!$C$4:$N$59,12,FALSE)),"0")</f>
        <v>0</v>
      </c>
      <c r="CB14" s="192" t="str">
        <f>IF(AND($C14&lt;&gt;"",J14&lt;&gt;""),(VLOOKUP($C14,'V-LOOKUP'!$C$4:$M$59,4,FALSE)),"0")</f>
        <v>0</v>
      </c>
      <c r="CC14" s="192" t="str">
        <f>IF(AND($C14&lt;&gt;"",$J14&lt;&gt;""),(VLOOKUP($C14,'V-LOOKUP'!$C$4:$M$59,5,FALSE)),"0")</f>
        <v>0</v>
      </c>
      <c r="CD14" s="192" t="str">
        <f>IF(AND($C14&lt;&gt;"",$J14&lt;&gt;""),(VLOOKUP($C14,'V-LOOKUP'!$C$4:$M$59,6,FALSE)),"0")</f>
        <v>0</v>
      </c>
      <c r="CE14" s="192" t="str">
        <f>IF(AND($C14&lt;&gt;"",$J14&lt;&gt;""),(VLOOKUP($C14,'V-LOOKUP'!$C$4:$M$59,7,FALSE)),"0")</f>
        <v>0</v>
      </c>
      <c r="CF14" s="192" t="str">
        <f>IF(AND($C14&lt;&gt;"",$J14&lt;&gt;""),(VLOOKUP($C14,'V-LOOKUP'!$C$4:$M$59,8,FALSE)),"0")</f>
        <v>0</v>
      </c>
      <c r="CG14" s="192" t="str">
        <f>IF(AND($C14&lt;&gt;"",$J14&lt;&gt;""),(VLOOKUP($C14,'V-LOOKUP'!$C$4:$M$59,9,FALSE)),"0")</f>
        <v>0</v>
      </c>
      <c r="CH14" s="192" t="str">
        <f>IF(AND($C14&lt;&gt;"",$J14&lt;&gt;""),(VLOOKUP($C14,'V-LOOKUP'!$C$4:$M$59,10,FALSE)),"0")</f>
        <v>0</v>
      </c>
      <c r="CI14" s="192" t="str">
        <f>IF(AND($C14&lt;&gt;"",$J14&lt;&gt;""),(VLOOKUP($C14,'V-LOOKUP'!$C$4:$M$59,11,FALSE)),"0")</f>
        <v>0</v>
      </c>
      <c r="CJ14" s="192" t="str">
        <f>IF(AND($C14&lt;&gt;"",$J14&lt;&gt;""),(VLOOKUP($C14,'V-LOOKUP'!$C$4:$N$59,12,FALSE)),"0")</f>
        <v>0</v>
      </c>
      <c r="CK14" s="192" t="str">
        <f>IF(AND($C14&lt;&gt;"",K14&lt;&gt;""),(VLOOKUP($C14,'V-LOOKUP'!$C$4:$M$59,4,FALSE)),"0")</f>
        <v>0</v>
      </c>
      <c r="CL14" s="192" t="str">
        <f>IF(AND($C14&lt;&gt;"",$K14&lt;&gt;""),(VLOOKUP($C14,'V-LOOKUP'!$C$4:$M$59,5,FALSE)),"0")</f>
        <v>0</v>
      </c>
      <c r="CM14" s="192" t="str">
        <f>IF(AND($C14&lt;&gt;"",$K14&lt;&gt;""),(VLOOKUP($C14,'V-LOOKUP'!$C$4:$M$59,6,FALSE)),"0")</f>
        <v>0</v>
      </c>
      <c r="CN14" s="192" t="str">
        <f>IF(AND($C14&lt;&gt;"",$K14&lt;&gt;""),(VLOOKUP($C14,'V-LOOKUP'!$C$4:$M$59,7,FALSE)),"0")</f>
        <v>0</v>
      </c>
      <c r="CO14" s="192" t="str">
        <f>IF(AND($C14&lt;&gt;"",$K14&lt;&gt;""),(VLOOKUP($C14,'V-LOOKUP'!$C$4:$M$59,8,FALSE)),"0")</f>
        <v>0</v>
      </c>
      <c r="CP14" s="192" t="str">
        <f>IF(AND($C14&lt;&gt;"",$K14&lt;&gt;""),(VLOOKUP($C14,'V-LOOKUP'!$C$4:$M$59,9,FALSE)),"0")</f>
        <v>0</v>
      </c>
      <c r="CQ14" s="192" t="str">
        <f>IF(AND($C14&lt;&gt;"",$K14&lt;&gt;""),(VLOOKUP($C14,'V-LOOKUP'!$C$4:$M$59,10,FALSE)),"0")</f>
        <v>0</v>
      </c>
      <c r="CR14" s="192" t="str">
        <f>IF(AND($C14&lt;&gt;"",$K14&lt;&gt;""),(VLOOKUP($C14,'V-LOOKUP'!$C$4:$M$59,11,FALSE)),"0")</f>
        <v>0</v>
      </c>
      <c r="CS14" s="192" t="str">
        <f>IF(AND($C14&lt;&gt;"",$K14&lt;&gt;""),(VLOOKUP($C14,'V-LOOKUP'!$C$4:$N$59,12,FALSE)),"0")</f>
        <v>0</v>
      </c>
      <c r="CT14" s="192" t="str">
        <f>IF(AND($C14&lt;&gt;"",L14&lt;&gt;""),(VLOOKUP($C14,'V-LOOKUP'!$C$4:$M$59,4,FALSE)),"0")</f>
        <v>0</v>
      </c>
      <c r="CU14" s="192" t="str">
        <f>IF(AND($C14&lt;&gt;"",$L14&lt;&gt;""),(VLOOKUP($C14,'V-LOOKUP'!$C$4:$M$59,5,FALSE)),"0")</f>
        <v>0</v>
      </c>
      <c r="CV14" s="192" t="str">
        <f>IF(AND($C14&lt;&gt;"",$L14&lt;&gt;""),(VLOOKUP($C14,'V-LOOKUP'!$C$4:$M$59,6,FALSE)),"0")</f>
        <v>0</v>
      </c>
      <c r="CW14" s="192" t="str">
        <f>IF(AND($C14&lt;&gt;"",$L14&lt;&gt;""),(VLOOKUP($C14,'V-LOOKUP'!$C$4:$M$59,7,FALSE)),"0")</f>
        <v>0</v>
      </c>
      <c r="CX14" s="192" t="str">
        <f>IF(AND($C14&lt;&gt;"",$L14&lt;&gt;""),(VLOOKUP($C14,'V-LOOKUP'!$C$4:$M$59,8,FALSE)),"0")</f>
        <v>0</v>
      </c>
      <c r="CY14" s="192" t="str">
        <f>IF(AND($C14&lt;&gt;"",$L14&lt;&gt;""),(VLOOKUP($C14,'V-LOOKUP'!$C$4:$M$59,9,FALSE)),"0")</f>
        <v>0</v>
      </c>
      <c r="CZ14" s="192" t="str">
        <f>IF(AND($C14&lt;&gt;"",$L14&lt;&gt;""),(VLOOKUP($C14,'V-LOOKUP'!$C$4:$M$59,10,FALSE)),"0")</f>
        <v>0</v>
      </c>
      <c r="DA14" s="192" t="str">
        <f>IF(AND($C14&lt;&gt;"",$L14&lt;&gt;""),(VLOOKUP($C14,'V-LOOKUP'!$C$4:$M$59,11,FALSE)),"0")</f>
        <v>0</v>
      </c>
      <c r="DB14" s="192" t="str">
        <f>IF(AND($C14&lt;&gt;"",$L14&lt;&gt;""),(VLOOKUP($C14,'V-LOOKUP'!$C$4:$N$59,12,FALSE)),"0")</f>
        <v>0</v>
      </c>
      <c r="DC14" s="192" t="str">
        <f>IF(AND($C14&lt;&gt;"",M14&lt;&gt;""),(VLOOKUP($C14,'V-LOOKUP'!$C$4:$M$59,4,FALSE)),"0")</f>
        <v>0</v>
      </c>
      <c r="DD14" s="192" t="str">
        <f>IF(AND($C14&lt;&gt;"",$M14&lt;&gt;""),(VLOOKUP($C14,'V-LOOKUP'!$C$4:$M$59,5,FALSE)),"0")</f>
        <v>0</v>
      </c>
      <c r="DE14" s="192" t="str">
        <f>IF(AND($C14&lt;&gt;"",$M14&lt;&gt;""),(VLOOKUP($C14,'V-LOOKUP'!$C$4:$M$59,6,FALSE)),"0")</f>
        <v>0</v>
      </c>
      <c r="DF14" s="192" t="str">
        <f>IF(AND($C14&lt;&gt;"",$M14&lt;&gt;""),(VLOOKUP($C14,'V-LOOKUP'!$C$4:$M$59,7,FALSE)),"0")</f>
        <v>0</v>
      </c>
      <c r="DG14" s="192" t="str">
        <f>IF(AND($C14&lt;&gt;"",$M14&lt;&gt;""),(VLOOKUP($C14,'V-LOOKUP'!$C$4:$M$59,8,FALSE)),"0")</f>
        <v>0</v>
      </c>
      <c r="DH14" s="192" t="str">
        <f>IF(AND($C14&lt;&gt;"",$M14&lt;&gt;""),(VLOOKUP($C14,'V-LOOKUP'!$C$4:$M$59,9,FALSE)),"0")</f>
        <v>0</v>
      </c>
      <c r="DI14" s="192" t="str">
        <f>IF(AND($C14&lt;&gt;"",$M14&lt;&gt;""),(VLOOKUP($C14,'V-LOOKUP'!$C$4:$M$59,10,FALSE)),"0")</f>
        <v>0</v>
      </c>
      <c r="DJ14" s="192" t="str">
        <f>IF(AND($C14&lt;&gt;"",$M14&lt;&gt;""),(VLOOKUP($C14,'V-LOOKUP'!$C$4:$M$59,11,FALSE)),"0")</f>
        <v>0</v>
      </c>
      <c r="DK14" s="192" t="str">
        <f>IF(AND($C14&lt;&gt;"",$M14&lt;&gt;""),(VLOOKUP($C14,'V-LOOKUP'!$C$4:$N$59,12,FALSE)),"0")</f>
        <v>0</v>
      </c>
      <c r="DL14" s="192" t="str">
        <f>IF(AND($C14&lt;&gt;"",$N14&lt;&gt;""),(VLOOKUP($C14,'V-LOOKUP'!$C$4:$M$59,4,FALSE)),"0")</f>
        <v>0</v>
      </c>
      <c r="DM14" s="192" t="str">
        <f>IF(AND($C14&lt;&gt;"",$N14&lt;&gt;""),(VLOOKUP($C14,'V-LOOKUP'!$C$4:$M$59,5,FALSE)),"0")</f>
        <v>0</v>
      </c>
      <c r="DN14" s="192" t="str">
        <f>IF(AND($C14&lt;&gt;"",$N14&lt;&gt;""),(VLOOKUP($C14,'V-LOOKUP'!$C$4:$M$59,6,FALSE)),"0")</f>
        <v>0</v>
      </c>
      <c r="DO14" s="192" t="str">
        <f>IF(AND($C14&lt;&gt;"",$N14&lt;&gt;""),(VLOOKUP($C14,'V-LOOKUP'!$C$4:$M$59,7,FALSE)),"0")</f>
        <v>0</v>
      </c>
      <c r="DP14" s="192" t="str">
        <f>IF(AND($C14&lt;&gt;"",$N14&lt;&gt;""),(VLOOKUP($C14,'V-LOOKUP'!$C$4:$M$59,8,FALSE)),"0")</f>
        <v>0</v>
      </c>
      <c r="DQ14" s="192" t="str">
        <f>IF(AND($C14&lt;&gt;"",$N14&lt;&gt;""),(VLOOKUP($C14,'V-LOOKUP'!$C$4:$M$59,9,FALSE)),"0")</f>
        <v>0</v>
      </c>
      <c r="DR14" s="192" t="str">
        <f>IF(AND($C14&lt;&gt;"",$N14&lt;&gt;""),(VLOOKUP($C14,'V-LOOKUP'!$C$4:$M$59,10,FALSE)),"0")</f>
        <v>0</v>
      </c>
      <c r="DS14" s="192" t="str">
        <f>IF(AND($C14&lt;&gt;"",$N14&lt;&gt;""),(VLOOKUP($C14,'V-LOOKUP'!$C$4:$M$59,11,FALSE)),"0")</f>
        <v>0</v>
      </c>
      <c r="DT14" s="192" t="str">
        <f>IF(AND($C14&lt;&gt;"",$N14&lt;&gt;""),(VLOOKUP($C14,'V-LOOKUP'!$C$4:$N$59,12,FALSE)),"0")</f>
        <v>0</v>
      </c>
      <c r="DU14" s="192" t="str">
        <f>IF(AND($C14&lt;&gt;"",O14&lt;&gt;""),(VLOOKUP($C14,'V-LOOKUP'!$C$4:$M$59,4,FALSE)),"0")</f>
        <v>0</v>
      </c>
      <c r="DV14" s="192" t="str">
        <f>IF(AND($C14&lt;&gt;"",$O14&lt;&gt;""),(VLOOKUP($C14,'V-LOOKUP'!$C$4:$M$59,5,FALSE)),"0")</f>
        <v>0</v>
      </c>
      <c r="DW14" s="192" t="str">
        <f>IF(AND($C14&lt;&gt;"",$O14&lt;&gt;""),(VLOOKUP($C14,'V-LOOKUP'!$C$4:$M$59,6,FALSE)),"0")</f>
        <v>0</v>
      </c>
      <c r="DX14" s="192" t="str">
        <f>IF(AND($C14&lt;&gt;"",$O14&lt;&gt;""),(VLOOKUP($C14,'V-LOOKUP'!$C$4:$M$59,7,FALSE)),"0")</f>
        <v>0</v>
      </c>
      <c r="DY14" s="192" t="str">
        <f>IF(AND($C14&lt;&gt;"",$O14&lt;&gt;""),(VLOOKUP($C14,'V-LOOKUP'!$C$4:$M$59,8,FALSE)),"0")</f>
        <v>0</v>
      </c>
      <c r="DZ14" s="192" t="str">
        <f>IF(AND($C14&lt;&gt;"",$O14&lt;&gt;""),(VLOOKUP($C14,'V-LOOKUP'!$C$4:$M$59,9,FALSE)),"0")</f>
        <v>0</v>
      </c>
      <c r="EA14" s="192" t="str">
        <f>IF(AND($C14&lt;&gt;"",$O14&lt;&gt;""),(VLOOKUP($C14,'V-LOOKUP'!$C$4:$M$59,10,FALSE)),"0")</f>
        <v>0</v>
      </c>
      <c r="EB14" s="192" t="str">
        <f>IF(AND($C14&lt;&gt;"",$O14&lt;&gt;""),(VLOOKUP($C14,'V-LOOKUP'!$C$4:$M$59,11,FALSE)),"0")</f>
        <v>0</v>
      </c>
      <c r="EC14" s="192" t="str">
        <f>IF(AND($C14&lt;&gt;"",$O14&lt;&gt;""),(VLOOKUP($C14,'V-LOOKUP'!$C$4:$N$59,12,FALSE)),"0")</f>
        <v>0</v>
      </c>
      <c r="ED14" s="192" t="str">
        <f>IF(AND($C14&lt;&gt;"",P14&lt;&gt;""),(VLOOKUP($C14,'V-LOOKUP'!$C$4:$M$59,4,FALSE)),"0")</f>
        <v>0</v>
      </c>
      <c r="EE14" s="192" t="str">
        <f>IF(AND($C14&lt;&gt;"",$P14&lt;&gt;""),(VLOOKUP($C14,'V-LOOKUP'!$C$4:$M$59,5,FALSE)),"0")</f>
        <v>0</v>
      </c>
      <c r="EF14" s="192" t="str">
        <f>IF(AND($C14&lt;&gt;"",$P14&lt;&gt;""),(VLOOKUP($C14,'V-LOOKUP'!$C$4:$M$59,6,FALSE)),"0")</f>
        <v>0</v>
      </c>
      <c r="EG14" s="192" t="str">
        <f>IF(AND($C14&lt;&gt;"",$P14&lt;&gt;""),(VLOOKUP($C14,'V-LOOKUP'!$C$4:$M$59,7,FALSE)),"0")</f>
        <v>0</v>
      </c>
      <c r="EH14" s="192" t="str">
        <f>IF(AND($C14&lt;&gt;"",$P14&lt;&gt;""),(VLOOKUP($C14,'V-LOOKUP'!$C$4:$M$59,8,FALSE)),"0")</f>
        <v>0</v>
      </c>
      <c r="EI14" s="192" t="str">
        <f>IF(AND($C14&lt;&gt;"",$P14&lt;&gt;""),(VLOOKUP($C14,'V-LOOKUP'!$C$4:$M$59,9,FALSE)),"0")</f>
        <v>0</v>
      </c>
      <c r="EJ14" s="192" t="str">
        <f>IF(AND($C14&lt;&gt;"",$P14&lt;&gt;""),(VLOOKUP($C14,'V-LOOKUP'!$C$4:$M$59,10,FALSE)),"0")</f>
        <v>0</v>
      </c>
      <c r="EK14" s="192" t="str">
        <f>IF(AND($C14&lt;&gt;"",$P14&lt;&gt;""),(VLOOKUP($C14,'V-LOOKUP'!$C$4:$M$59,11,FALSE)),"0")</f>
        <v>0</v>
      </c>
      <c r="EL14" s="192" t="str">
        <f>IF(AND($C14&lt;&gt;"",$P14&lt;&gt;""),(VLOOKUP($C14,'V-LOOKUP'!$C$4:$N$59,12,FALSE)),"0")</f>
        <v>0</v>
      </c>
      <c r="EM14" s="192" t="str">
        <f>IF(AND($C14&lt;&gt;"",Q14&lt;&gt;""),(VLOOKUP($C14,'V-LOOKUP'!$C$4:$M$59,4,FALSE)),"0")</f>
        <v>0</v>
      </c>
      <c r="EN14" s="192" t="str">
        <f>IF(AND($C14&lt;&gt;"",$Q14&lt;&gt;""),(VLOOKUP($C14,'V-LOOKUP'!$C$4:$M$59,5,FALSE)),"0")</f>
        <v>0</v>
      </c>
      <c r="EO14" s="192" t="str">
        <f>IF(AND($C14&lt;&gt;"",$Q14&lt;&gt;""),(VLOOKUP($C14,'V-LOOKUP'!$C$4:$M$59,6,FALSE)),"0")</f>
        <v>0</v>
      </c>
      <c r="EP14" s="192" t="str">
        <f>IF(AND($C14&lt;&gt;"",$Q14&lt;&gt;""),(VLOOKUP($C14,'V-LOOKUP'!$C$4:$M$59,7,FALSE)),"0")</f>
        <v>0</v>
      </c>
      <c r="EQ14" s="192" t="str">
        <f>IF(AND($C14&lt;&gt;"",$Q14&lt;&gt;""),(VLOOKUP($C14,'V-LOOKUP'!$C$4:$M$59,8,FALSE)),"0")</f>
        <v>0</v>
      </c>
      <c r="ER14" s="192" t="str">
        <f>IF(AND($C14&lt;&gt;"",$Q14&lt;&gt;""),(VLOOKUP($C14,'V-LOOKUP'!$C$4:$M$59,9,FALSE)),"0")</f>
        <v>0</v>
      </c>
      <c r="ES14" s="192" t="str">
        <f>IF(AND($C14&lt;&gt;"",$Q14&lt;&gt;""),(VLOOKUP($C14,'V-LOOKUP'!$C$4:$M$59,10,FALSE)),"0")</f>
        <v>0</v>
      </c>
      <c r="ET14" s="192" t="str">
        <f>IF(AND($C14&lt;&gt;"",$Q14&lt;&gt;""),(VLOOKUP($C14,'V-LOOKUP'!$C$4:$M$59,11,FALSE)),"0")</f>
        <v>0</v>
      </c>
      <c r="EU14" s="192" t="str">
        <f>IF(AND($C14&lt;&gt;"",$Q14&lt;&gt;""),(VLOOKUP($C14,'V-LOOKUP'!$C$4:$N$59,12,FALSE)),"0")</f>
        <v>0</v>
      </c>
      <c r="EV14" s="192" t="str">
        <f>IF(AND($C14&lt;&gt;"",R14&lt;&gt;""),(VLOOKUP($C14,'V-LOOKUP'!$C$4:$M$59,4,FALSE)),"0")</f>
        <v>0</v>
      </c>
      <c r="EW14" s="192" t="str">
        <f>IF(AND($C14&lt;&gt;"",$R14&lt;&gt;""),(VLOOKUP($C14,'V-LOOKUP'!$C$4:$M$59,5,FALSE)),"0")</f>
        <v>0</v>
      </c>
      <c r="EX14" s="192" t="str">
        <f>IF(AND($C14&lt;&gt;"",$R14&lt;&gt;""),(VLOOKUP($C14,'V-LOOKUP'!$C$4:$M$59,6,FALSE)),"0")</f>
        <v>0</v>
      </c>
      <c r="EY14" s="192" t="str">
        <f>IF(AND($C14&lt;&gt;"",$R14&lt;&gt;""),(VLOOKUP($C14,'V-LOOKUP'!$C$4:$M$59,7,FALSE)),"0")</f>
        <v>0</v>
      </c>
      <c r="EZ14" s="192" t="str">
        <f>IF(AND($C14&lt;&gt;"",$R14&lt;&gt;""),(VLOOKUP($C14,'V-LOOKUP'!$C$4:$M$59,8,FALSE)),"0")</f>
        <v>0</v>
      </c>
      <c r="FA14" s="192" t="str">
        <f>IF(AND($C14&lt;&gt;"",$R14&lt;&gt;""),(VLOOKUP($C14,'V-LOOKUP'!$C$4:$M$59,9,FALSE)),"0")</f>
        <v>0</v>
      </c>
      <c r="FB14" s="192" t="str">
        <f>IF(AND($C14&lt;&gt;"",$R14&lt;&gt;""),(VLOOKUP($C14,'V-LOOKUP'!$C$4:$M$59,10,FALSE)),"0")</f>
        <v>0</v>
      </c>
      <c r="FC14" s="192" t="str">
        <f>IF(AND($C14&lt;&gt;"",$R14&lt;&gt;""),(VLOOKUP($C14,'V-LOOKUP'!$C$4:$M$59,11,FALSE)),"0")</f>
        <v>0</v>
      </c>
      <c r="FD14" s="192" t="str">
        <f>IF(AND($C14&lt;&gt;"",$R14&lt;&gt;""),(VLOOKUP($C14,'V-LOOKUP'!$C$4:$N$59,12,FALSE)),"0")</f>
        <v>0</v>
      </c>
      <c r="FE14" s="192" t="str">
        <f>IF(AND($C14&lt;&gt;"",S14&lt;&gt;""),(VLOOKUP($C14,'V-LOOKUP'!$C$4:$M$59,4,FALSE)),"0")</f>
        <v>0</v>
      </c>
      <c r="FF14" s="192" t="str">
        <f>IF(AND($C14&lt;&gt;"",$S14&lt;&gt;""),(VLOOKUP($C14,'V-LOOKUP'!$C$4:$M$59,5,FALSE)),"0")</f>
        <v>0</v>
      </c>
      <c r="FG14" s="192" t="str">
        <f>IF(AND($C14&lt;&gt;"",$S14&lt;&gt;""),(VLOOKUP($C14,'V-LOOKUP'!$C$4:$M$59,6,FALSE)),"0")</f>
        <v>0</v>
      </c>
      <c r="FH14" s="192" t="str">
        <f>IF(AND($C14&lt;&gt;"",$S14&lt;&gt;""),(VLOOKUP($C14,'V-LOOKUP'!$C$4:$M$59,7,FALSE)),"0")</f>
        <v>0</v>
      </c>
      <c r="FI14" s="192" t="str">
        <f>IF(AND($C14&lt;&gt;"",$S14&lt;&gt;""),(VLOOKUP($C14,'V-LOOKUP'!$C$4:$M$59,8,FALSE)),"0")</f>
        <v>0</v>
      </c>
      <c r="FJ14" s="192" t="str">
        <f>IF(AND($C14&lt;&gt;"",$S14&lt;&gt;""),(VLOOKUP($C14,'V-LOOKUP'!$C$4:$M$59,9,FALSE)),"0")</f>
        <v>0</v>
      </c>
      <c r="FK14" s="192" t="str">
        <f>IF(AND($C14&lt;&gt;"",$S14&lt;&gt;""),(VLOOKUP($C14,'V-LOOKUP'!$C$4:$M$59,10,FALSE)),"0")</f>
        <v>0</v>
      </c>
      <c r="FL14" s="192" t="str">
        <f>IF(AND($C14&lt;&gt;"",$S14&lt;&gt;""),(VLOOKUP($C14,'V-LOOKUP'!$C$4:$M$59,11,FALSE)),"0")</f>
        <v>0</v>
      </c>
      <c r="FM14" s="192" t="str">
        <f>IF(AND($C14&lt;&gt;"",$S14&lt;&gt;""),(VLOOKUP($C14,'V-LOOKUP'!$C$4:$N$59,12,FALSE)),"0")</f>
        <v>0</v>
      </c>
      <c r="FN14" s="192" t="str">
        <f>IF(AND($C14&lt;&gt;"",T14&lt;&gt;""),(VLOOKUP($C14,'V-LOOKUP'!$C$4:$M$59,4,FALSE)),"0")</f>
        <v>0</v>
      </c>
      <c r="FO14" s="192" t="str">
        <f>IF(AND($C14&lt;&gt;"",$T14&lt;&gt;""),(VLOOKUP($C14,'V-LOOKUP'!$C$4:$M$59,5,FALSE)),"0")</f>
        <v>0</v>
      </c>
      <c r="FP14" s="192" t="str">
        <f>IF(AND($C14&lt;&gt;"",$T14&lt;&gt;""),(VLOOKUP($C14,'V-LOOKUP'!$C$4:$M$59,6,FALSE)),"0")</f>
        <v>0</v>
      </c>
      <c r="FQ14" s="192" t="str">
        <f>IF(AND($C14&lt;&gt;"",$T14&lt;&gt;""),(VLOOKUP($C14,'V-LOOKUP'!$C$4:$M$59,7,FALSE)),"0")</f>
        <v>0</v>
      </c>
      <c r="FR14" s="192" t="str">
        <f>IF(AND($C14&lt;&gt;"",$T14&lt;&gt;""),(VLOOKUP($C14,'V-LOOKUP'!$C$4:$M$59,8,FALSE)),"0")</f>
        <v>0</v>
      </c>
      <c r="FS14" s="192" t="str">
        <f>IF(AND($C14&lt;&gt;"",$T14&lt;&gt;""),(VLOOKUP($C14,'V-LOOKUP'!$C$4:$M$59,9,FALSE)),"0")</f>
        <v>0</v>
      </c>
      <c r="FT14" s="192" t="str">
        <f>IF(AND($C14&lt;&gt;"",$T14&lt;&gt;""),(VLOOKUP($C14,'V-LOOKUP'!$C$4:$M$59,10,FALSE)),"0")</f>
        <v>0</v>
      </c>
      <c r="FU14" s="192" t="str">
        <f>IF(AND($C14&lt;&gt;"",$T14&lt;&gt;""),(VLOOKUP($C14,'V-LOOKUP'!$C$4:$M$59,11,FALSE)),"0")</f>
        <v>0</v>
      </c>
      <c r="FV14" s="192" t="str">
        <f>IF(AND($C14&lt;&gt;"",$T14&lt;&gt;""),(VLOOKUP($C14,'V-LOOKUP'!$C$4:$N$59,12,FALSE)),"0")</f>
        <v>0</v>
      </c>
      <c r="FW14" s="192" t="str">
        <f>IF(AND($C14&lt;&gt;"",U14&lt;&gt;""),(VLOOKUP($C14,'V-LOOKUP'!$C$4:$M$59,4,FALSE)),"0")</f>
        <v>0</v>
      </c>
      <c r="FX14" s="192" t="str">
        <f>IF(AND($C14&lt;&gt;"",$U14&lt;&gt;""),(VLOOKUP($C14,'V-LOOKUP'!$C$4:$M$59,5,FALSE)),"0")</f>
        <v>0</v>
      </c>
      <c r="FY14" s="192" t="str">
        <f>IF(AND($C14&lt;&gt;"",$U14&lt;&gt;""),(VLOOKUP($C14,'V-LOOKUP'!$C$4:$M$59,6,FALSE)),"0")</f>
        <v>0</v>
      </c>
      <c r="FZ14" s="192" t="str">
        <f>IF(AND($C14&lt;&gt;"",$U14&lt;&gt;""),(VLOOKUP($C14,'V-LOOKUP'!$C$4:$M$59,7,FALSE)),"0")</f>
        <v>0</v>
      </c>
      <c r="GA14" s="192" t="str">
        <f>IF(AND($C14&lt;&gt;"",$U14&lt;&gt;""),(VLOOKUP($C14,'V-LOOKUP'!$C$4:$M$59,8,FALSE)),"0")</f>
        <v>0</v>
      </c>
      <c r="GB14" s="192" t="str">
        <f>IF(AND($C14&lt;&gt;"",$U14&lt;&gt;""),(VLOOKUP($C14,'V-LOOKUP'!$C$4:$M$59,9,FALSE)),"0")</f>
        <v>0</v>
      </c>
      <c r="GC14" s="192" t="str">
        <f>IF(AND($C14&lt;&gt;"",$U14&lt;&gt;""),(VLOOKUP($C14,'V-LOOKUP'!$C$4:$M$59,10,FALSE)),"0")</f>
        <v>0</v>
      </c>
      <c r="GD14" s="192" t="str">
        <f>IF(AND($C14&lt;&gt;"",$U14&lt;&gt;""),(VLOOKUP($C14,'V-LOOKUP'!$C$4:$M$59,11,FALSE)),"0")</f>
        <v>0</v>
      </c>
      <c r="GE14" s="192" t="str">
        <f>IF(AND($C14&lt;&gt;"",$U14&lt;&gt;""),(VLOOKUP($C14,'V-LOOKUP'!$C$4:$N$59,12,FALSE)),"0")</f>
        <v>0</v>
      </c>
      <c r="GF14" s="192" t="str">
        <f>IF(AND($C14&lt;&gt;"",V14&lt;&gt;""),(VLOOKUP($C14,'V-LOOKUP'!$C$4:$M$59,4,FALSE)),"0")</f>
        <v>0</v>
      </c>
      <c r="GG14" s="192" t="str">
        <f>IF(AND($C14&lt;&gt;"",$V14&lt;&gt;""),(VLOOKUP($C14,'V-LOOKUP'!$C$4:$M$59,5,FALSE)),"0")</f>
        <v>0</v>
      </c>
      <c r="GH14" s="192" t="str">
        <f>IF(AND($C14&lt;&gt;"",$V14&lt;&gt;""),(VLOOKUP($C14,'V-LOOKUP'!$C$4:$M$59,6,FALSE)),"0")</f>
        <v>0</v>
      </c>
      <c r="GI14" s="192" t="str">
        <f>IF(AND($C14&lt;&gt;"",$V14&lt;&gt;""),(VLOOKUP($C14,'V-LOOKUP'!$C$4:$M$59,7,FALSE)),"0")</f>
        <v>0</v>
      </c>
      <c r="GJ14" s="192" t="str">
        <f>IF(AND($C14&lt;&gt;"",$V14&lt;&gt;""),(VLOOKUP($C14,'V-LOOKUP'!$C$4:$M$59,8,FALSE)),"0")</f>
        <v>0</v>
      </c>
      <c r="GK14" s="192" t="str">
        <f>IF(AND($C14&lt;&gt;"",$V14&lt;&gt;""),(VLOOKUP($C14,'V-LOOKUP'!$C$4:$M$59,9,FALSE)),"0")</f>
        <v>0</v>
      </c>
      <c r="GL14" s="192" t="str">
        <f>IF(AND($C14&lt;&gt;"",$V14&lt;&gt;""),(VLOOKUP($C14,'V-LOOKUP'!$C$4:$M$59,10,FALSE)),"0")</f>
        <v>0</v>
      </c>
      <c r="GM14" s="192" t="str">
        <f>IF(AND($C14&lt;&gt;"",$V14&lt;&gt;""),(VLOOKUP($C14,'V-LOOKUP'!$C$4:$M$59,11,FALSE)),"0")</f>
        <v>0</v>
      </c>
      <c r="GN14" s="192" t="str">
        <f>IF(AND($C14&lt;&gt;"",$V14&lt;&gt;""),(VLOOKUP($C14,'V-LOOKUP'!$C$4:$N$59,12,FALSE)),"0")</f>
        <v>0</v>
      </c>
      <c r="GO14" s="192" t="str">
        <f>IF(AND($C14&lt;&gt;"",W14&lt;&gt;""),(VLOOKUP($C14,'V-LOOKUP'!$C$4:$M$59,4,FALSE)),"0")</f>
        <v>0</v>
      </c>
      <c r="GP14" s="192" t="str">
        <f>IF(AND($C14&lt;&gt;"",$W14&lt;&gt;""),(VLOOKUP($C14,'V-LOOKUP'!$C$4:$M$59,5,FALSE)),"0")</f>
        <v>0</v>
      </c>
      <c r="GQ14" s="192" t="str">
        <f>IF(AND($C14&lt;&gt;"",$W14&lt;&gt;""),(VLOOKUP($C14,'V-LOOKUP'!$C$4:$M$59,6,FALSE)),"0")</f>
        <v>0</v>
      </c>
      <c r="GR14" s="192" t="str">
        <f>IF(AND($C14&lt;&gt;"",$W14&lt;&gt;""),(VLOOKUP($C14,'V-LOOKUP'!$C$4:$M$59,7,FALSE)),"0")</f>
        <v>0</v>
      </c>
      <c r="GS14" s="192" t="str">
        <f>IF(AND($C14&lt;&gt;"",$W14&lt;&gt;""),(VLOOKUP($C14,'V-LOOKUP'!$C$4:$M$59,8,FALSE)),"0")</f>
        <v>0</v>
      </c>
      <c r="GT14" s="192" t="str">
        <f>IF(AND($C14&lt;&gt;"",$W14&lt;&gt;""),(VLOOKUP($C14,'V-LOOKUP'!$C$4:$M$59,9,FALSE)),"0")</f>
        <v>0</v>
      </c>
      <c r="GU14" s="192" t="str">
        <f>IF(AND($C14&lt;&gt;"",$W14&lt;&gt;""),(VLOOKUP($C14,'V-LOOKUP'!$C$4:$M$59,10,FALSE)),"0")</f>
        <v>0</v>
      </c>
      <c r="GV14" s="192" t="str">
        <f>IF(AND($C14&lt;&gt;"",$W14&lt;&gt;""),(VLOOKUP($C14,'V-LOOKUP'!$C$4:$M$59,11,FALSE)),"0")</f>
        <v>0</v>
      </c>
      <c r="GW14" s="192" t="str">
        <f>IF(AND($C14&lt;&gt;"",$W14&lt;&gt;""),(VLOOKUP($C14,'V-LOOKUP'!$C$4:$N$59,12,FALSE)),"0")</f>
        <v>0</v>
      </c>
    </row>
    <row r="15" spans="1:205" ht="14.65" customHeight="1">
      <c r="A15" s="193"/>
      <c r="B15" s="245"/>
      <c r="C15" s="201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Y15" s="190"/>
      <c r="Z15" s="192" t="str">
        <f>IF(AND($C15&lt;&gt;"",$D15&lt;&gt;""),(VLOOKUP($C15,'V-LOOKUP'!$C$4:$M$59,4,FALSE)),"0")</f>
        <v>0</v>
      </c>
      <c r="AA15" s="192" t="str">
        <f>IF(AND($C15&lt;&gt;"",$D15&lt;&gt;""),(VLOOKUP($C15,'V-LOOKUP'!$C$4:$M$59,5,FALSE)),"0")</f>
        <v>0</v>
      </c>
      <c r="AB15" s="192" t="str">
        <f>IF(AND($C15&lt;&gt;"",$D15&lt;&gt;""),(VLOOKUP($C15,'V-LOOKUP'!$C$4:$M$59,6,FALSE)),"0")</f>
        <v>0</v>
      </c>
      <c r="AC15" s="192" t="str">
        <f>IF(AND($C15&lt;&gt;"",$D15&lt;&gt;""),(VLOOKUP($C15,'V-LOOKUP'!$C$4:$M$59,7,FALSE)),"0")</f>
        <v>0</v>
      </c>
      <c r="AD15" s="192" t="str">
        <f>IF(AND($C15&lt;&gt;"",$D15&lt;&gt;""),(VLOOKUP($C15,'V-LOOKUP'!$C$4:$M$59,8,FALSE)),"0")</f>
        <v>0</v>
      </c>
      <c r="AE15" s="192" t="str">
        <f>IF(AND($C15&lt;&gt;"",$D15&lt;&gt;""),(VLOOKUP($C15,'V-LOOKUP'!$C$4:$M$59,9,FALSE)),"0")</f>
        <v>0</v>
      </c>
      <c r="AF15" s="192" t="str">
        <f>IF(AND($C15&lt;&gt;"",$D15&lt;&gt;""),(VLOOKUP($C15,'V-LOOKUP'!$C$4:$M$59,10,FALSE)),"0")</f>
        <v>0</v>
      </c>
      <c r="AG15" s="192" t="str">
        <f>IF(AND($C15&lt;&gt;"",$D15&lt;&gt;""),(VLOOKUP($C15,'V-LOOKUP'!$C$4:$M$59,11,FALSE)),"0")</f>
        <v>0</v>
      </c>
      <c r="AH15" s="192" t="str">
        <f>IF(AND($C15&lt;&gt;"",$D15&lt;&gt;""),(VLOOKUP($C15,'V-LOOKUP'!$C$4:$N$59,12,FALSE)),"0")</f>
        <v>0</v>
      </c>
      <c r="AI15" s="192" t="str">
        <f>IF(AND($C15&lt;&gt;"",E15&lt;&gt;""),(VLOOKUP($C15,'V-LOOKUP'!$C$4:$M$59,4,FALSE)),"0")</f>
        <v>0</v>
      </c>
      <c r="AJ15" s="192" t="str">
        <f>IF(AND($C15&lt;&gt;"",$E15&lt;&gt;""),(VLOOKUP($C15,'V-LOOKUP'!$C$4:$M$59,5,FALSE)),"0")</f>
        <v>0</v>
      </c>
      <c r="AK15" s="192" t="str">
        <f>IF(AND($C15&lt;&gt;"",$E15&lt;&gt;""),(VLOOKUP($C15,'V-LOOKUP'!$C$4:$M$59,6,FALSE)),"0")</f>
        <v>0</v>
      </c>
      <c r="AL15" s="192" t="str">
        <f>IF(AND($C15&lt;&gt;"",$E15&lt;&gt;""),(VLOOKUP($C15,'V-LOOKUP'!$C$4:$M$59,7,FALSE)),"0")</f>
        <v>0</v>
      </c>
      <c r="AM15" s="192" t="str">
        <f>IF(AND($C15&lt;&gt;"",$E15&lt;&gt;""),(VLOOKUP($C15,'V-LOOKUP'!$C$4:$M$59,8,FALSE)),"0")</f>
        <v>0</v>
      </c>
      <c r="AN15" s="192" t="str">
        <f>IF(AND($C15&lt;&gt;"",$E15&lt;&gt;""),(VLOOKUP($C15,'V-LOOKUP'!$C$4:$M$59,9,FALSE)),"0")</f>
        <v>0</v>
      </c>
      <c r="AO15" s="192" t="str">
        <f>IF(AND($C15&lt;&gt;"",$E15&lt;&gt;""),(VLOOKUP($C15,'V-LOOKUP'!$C$4:$M$59,10,FALSE)),"0")</f>
        <v>0</v>
      </c>
      <c r="AP15" s="192" t="str">
        <f>IF(AND($C15&lt;&gt;"",$E15&lt;&gt;""),(VLOOKUP($C15,'V-LOOKUP'!$C$4:$M$59,11,FALSE)),"0")</f>
        <v>0</v>
      </c>
      <c r="AQ15" s="192" t="str">
        <f>IF(AND($C15&lt;&gt;"",$E15&lt;&gt;""),(VLOOKUP($C15,'V-LOOKUP'!$C$4:$N$59,12,FALSE)),"0")</f>
        <v>0</v>
      </c>
      <c r="AR15" s="192" t="str">
        <f>IF(AND($C15&lt;&gt;"",$F15&lt;&gt;""),(VLOOKUP($C15,'V-LOOKUP'!$C$4:$M$59,4,FALSE)),"0")</f>
        <v>0</v>
      </c>
      <c r="AS15" s="192" t="str">
        <f>IF(AND($C15&lt;&gt;"",$F15&lt;&gt;""),(VLOOKUP($C15,'V-LOOKUP'!$C$4:$M$59,5,FALSE)),"0")</f>
        <v>0</v>
      </c>
      <c r="AT15" s="192" t="str">
        <f>IF(AND($C15&lt;&gt;"",$F15&lt;&gt;""),(VLOOKUP($C15,'V-LOOKUP'!$C$4:$M$59,6,FALSE)),"0")</f>
        <v>0</v>
      </c>
      <c r="AU15" s="192" t="str">
        <f>IF(AND($C15&lt;&gt;"",$F15&lt;&gt;""),(VLOOKUP($C15,'V-LOOKUP'!$C$4:$M$59,7,FALSE)),"0")</f>
        <v>0</v>
      </c>
      <c r="AV15" s="192" t="str">
        <f>IF(AND($C15&lt;&gt;"",$F15&lt;&gt;""),(VLOOKUP($C15,'V-LOOKUP'!$C$4:$M$59,8,FALSE)),"0")</f>
        <v>0</v>
      </c>
      <c r="AW15" s="192" t="str">
        <f>IF(AND($C15&lt;&gt;"",$F15&lt;&gt;""),(VLOOKUP($C15,'V-LOOKUP'!$C$4:$M$59,9,FALSE)),"0")</f>
        <v>0</v>
      </c>
      <c r="AX15" s="192" t="str">
        <f>IF(AND($C15&lt;&gt;"",$F15&lt;&gt;""),(VLOOKUP($C15,'V-LOOKUP'!$C$4:$M$59,10,FALSE)),"0")</f>
        <v>0</v>
      </c>
      <c r="AY15" s="192" t="str">
        <f>IF(AND($C15&lt;&gt;"",$F15&lt;&gt;""),(VLOOKUP($C15,'V-LOOKUP'!$C$4:$M$59,11,FALSE)),"0")</f>
        <v>0</v>
      </c>
      <c r="AZ15" s="192" t="str">
        <f>IF(AND($C15&lt;&gt;"",$F15&lt;&gt;""),(VLOOKUP($C15,'V-LOOKUP'!$C$4:$N$59,12,FALSE)),"0")</f>
        <v>0</v>
      </c>
      <c r="BA15" s="192" t="str">
        <f>IF(AND($C15&lt;&gt;"",G15&lt;&gt;""),(VLOOKUP($C15,'V-LOOKUP'!$C$4:$M$59,4,FALSE)),"0")</f>
        <v>0</v>
      </c>
      <c r="BB15" s="192" t="str">
        <f>IF(AND($C15&lt;&gt;"",$G15&lt;&gt;""),(VLOOKUP($C15,'V-LOOKUP'!$C$4:$M$59,5,FALSE)),"0")</f>
        <v>0</v>
      </c>
      <c r="BC15" s="192" t="str">
        <f>IF(AND($C15&lt;&gt;"",$G15&lt;&gt;""),(VLOOKUP($C15,'V-LOOKUP'!$C$4:$M$59,6,FALSE)),"0")</f>
        <v>0</v>
      </c>
      <c r="BD15" s="192" t="str">
        <f>IF(AND($C15&lt;&gt;"",$G15&lt;&gt;""),(VLOOKUP($C15,'V-LOOKUP'!$C$4:$M$59,7,FALSE)),"0")</f>
        <v>0</v>
      </c>
      <c r="BE15" s="192" t="str">
        <f>IF(AND($C15&lt;&gt;"",$G15&lt;&gt;""),(VLOOKUP($C15,'V-LOOKUP'!$C$4:$M$59,8,FALSE)),"0")</f>
        <v>0</v>
      </c>
      <c r="BF15" s="192" t="str">
        <f>IF(AND($C15&lt;&gt;"",$G15&lt;&gt;""),(VLOOKUP($C15,'V-LOOKUP'!$C$4:$M$59,9,FALSE)),"0")</f>
        <v>0</v>
      </c>
      <c r="BG15" s="192" t="str">
        <f>IF(AND($C15&lt;&gt;"",$G15&lt;&gt;""),(VLOOKUP($C15,'V-LOOKUP'!$C$4:$M$59,10,FALSE)),"0")</f>
        <v>0</v>
      </c>
      <c r="BH15" s="192" t="str">
        <f>IF(AND($C15&lt;&gt;"",$G15&lt;&gt;""),(VLOOKUP($C15,'V-LOOKUP'!$C$4:$M$59,11,FALSE)),"0")</f>
        <v>0</v>
      </c>
      <c r="BI15" s="192" t="str">
        <f>IF(AND($C15&lt;&gt;"",$G15&lt;&gt;""),(VLOOKUP($C15,'V-LOOKUP'!$C$4:$N$59,12,FALSE)),"0")</f>
        <v>0</v>
      </c>
      <c r="BJ15" s="192" t="str">
        <f>IF(AND($C15&lt;&gt;"",H15&lt;&gt;""),(VLOOKUP($C15,'V-LOOKUP'!$C$4:$M$59,4,FALSE)),"0")</f>
        <v>0</v>
      </c>
      <c r="BK15" s="192" t="str">
        <f>IF(AND($C15&lt;&gt;"",$G15&lt;&gt;""),(VLOOKUP($C15,'V-LOOKUP'!$C$4:$M$59,5,FALSE)),"0")</f>
        <v>0</v>
      </c>
      <c r="BL15" s="192" t="str">
        <f>IF(AND($C15&lt;&gt;"",$H15&lt;&gt;""),(VLOOKUP($C15,'V-LOOKUP'!$C$4:$M$59,6,FALSE)),"0")</f>
        <v>0</v>
      </c>
      <c r="BM15" s="192" t="str">
        <f>IF(AND($C15&lt;&gt;"",$H15&lt;&gt;""),(VLOOKUP($C15,'V-LOOKUP'!$C$4:$M$59,7,FALSE)),"0")</f>
        <v>0</v>
      </c>
      <c r="BN15" s="192" t="str">
        <f>IF(AND($C15&lt;&gt;"",$H15&lt;&gt;""),(VLOOKUP($C15,'V-LOOKUP'!$C$4:$M$59,8,FALSE)),"0")</f>
        <v>0</v>
      </c>
      <c r="BO15" s="192" t="str">
        <f>IF(AND($C15&lt;&gt;"",$H15&lt;&gt;""),(VLOOKUP($C15,'V-LOOKUP'!$C$4:$M$59,9,FALSE)),"0")</f>
        <v>0</v>
      </c>
      <c r="BP15" s="192" t="str">
        <f>IF(AND($C15&lt;&gt;"",$H15&lt;&gt;""),(VLOOKUP($C15,'V-LOOKUP'!$C$4:$M$59,10,FALSE)),"0")</f>
        <v>0</v>
      </c>
      <c r="BQ15" s="192" t="str">
        <f>IF(AND($C15&lt;&gt;"",$H15&lt;&gt;""),(VLOOKUP($C15,'V-LOOKUP'!$C$4:$M$59,11,FALSE)),"0")</f>
        <v>0</v>
      </c>
      <c r="BR15" s="192" t="str">
        <f>IF(AND($C15&lt;&gt;"",$H15&lt;&gt;""),(VLOOKUP($C15,'V-LOOKUP'!$C$4:$N$59,12,FALSE)),"0")</f>
        <v>0</v>
      </c>
      <c r="BS15" s="192" t="str">
        <f>IF(AND($C15&lt;&gt;"",I15&lt;&gt;""),(VLOOKUP($C15,'V-LOOKUP'!$C$4:$M$59,4,FALSE)),"0")</f>
        <v>0</v>
      </c>
      <c r="BT15" s="192" t="str">
        <f>IF(AND($C15&lt;&gt;"",$I15&lt;&gt;""),(VLOOKUP($C15,'V-LOOKUP'!$C$4:$M$59,5,FALSE)),"0")</f>
        <v>0</v>
      </c>
      <c r="BU15" s="192" t="str">
        <f>IF(AND($C15&lt;&gt;"",$I15&lt;&gt;""),(VLOOKUP($C15,'V-LOOKUP'!$C$4:$M$59,6,FALSE)),"0")</f>
        <v>0</v>
      </c>
      <c r="BV15" s="192" t="str">
        <f>IF(AND($C15&lt;&gt;"",$I15&lt;&gt;""),(VLOOKUP($C15,'V-LOOKUP'!$C$4:$M$59,7,FALSE)),"0")</f>
        <v>0</v>
      </c>
      <c r="BW15" s="192" t="str">
        <f>IF(AND($C15&lt;&gt;"",$I15&lt;&gt;""),(VLOOKUP($C15,'V-LOOKUP'!$C$4:$M$59,8,FALSE)),"0")</f>
        <v>0</v>
      </c>
      <c r="BX15" s="192" t="str">
        <f>IF(AND($C15&lt;&gt;"",$I15&lt;&gt;""),(VLOOKUP($C15,'V-LOOKUP'!$C$4:$M$59,9,FALSE)),"0")</f>
        <v>0</v>
      </c>
      <c r="BY15" s="192" t="str">
        <f>IF(AND($C15&lt;&gt;"",$I15&lt;&gt;""),(VLOOKUP($C15,'V-LOOKUP'!$C$4:$M$59,10,FALSE)),"0")</f>
        <v>0</v>
      </c>
      <c r="BZ15" s="192" t="str">
        <f>IF(AND($C15&lt;&gt;"",$I15&lt;&gt;""),(VLOOKUP($C15,'V-LOOKUP'!$C$4:$M$59,11,FALSE)),"0")</f>
        <v>0</v>
      </c>
      <c r="CA15" s="192" t="str">
        <f>IF(AND($C15&lt;&gt;"",$I15&lt;&gt;""),(VLOOKUP($C15,'V-LOOKUP'!$C$4:$N$59,12,FALSE)),"0")</f>
        <v>0</v>
      </c>
      <c r="CB15" s="192" t="str">
        <f>IF(AND($C15&lt;&gt;"",J15&lt;&gt;""),(VLOOKUP($C15,'V-LOOKUP'!$C$4:$M$59,4,FALSE)),"0")</f>
        <v>0</v>
      </c>
      <c r="CC15" s="192" t="str">
        <f>IF(AND($C15&lt;&gt;"",$J15&lt;&gt;""),(VLOOKUP($C15,'V-LOOKUP'!$C$4:$M$59,5,FALSE)),"0")</f>
        <v>0</v>
      </c>
      <c r="CD15" s="192" t="str">
        <f>IF(AND($C15&lt;&gt;"",$J15&lt;&gt;""),(VLOOKUP($C15,'V-LOOKUP'!$C$4:$M$59,6,FALSE)),"0")</f>
        <v>0</v>
      </c>
      <c r="CE15" s="192" t="str">
        <f>IF(AND($C15&lt;&gt;"",$J15&lt;&gt;""),(VLOOKUP($C15,'V-LOOKUP'!$C$4:$M$59,7,FALSE)),"0")</f>
        <v>0</v>
      </c>
      <c r="CF15" s="192" t="str">
        <f>IF(AND($C15&lt;&gt;"",$J15&lt;&gt;""),(VLOOKUP($C15,'V-LOOKUP'!$C$4:$M$59,8,FALSE)),"0")</f>
        <v>0</v>
      </c>
      <c r="CG15" s="192" t="str">
        <f>IF(AND($C15&lt;&gt;"",$J15&lt;&gt;""),(VLOOKUP($C15,'V-LOOKUP'!$C$4:$M$59,9,FALSE)),"0")</f>
        <v>0</v>
      </c>
      <c r="CH15" s="192" t="str">
        <f>IF(AND($C15&lt;&gt;"",$J15&lt;&gt;""),(VLOOKUP($C15,'V-LOOKUP'!$C$4:$M$59,10,FALSE)),"0")</f>
        <v>0</v>
      </c>
      <c r="CI15" s="192" t="str">
        <f>IF(AND($C15&lt;&gt;"",$J15&lt;&gt;""),(VLOOKUP($C15,'V-LOOKUP'!$C$4:$M$59,11,FALSE)),"0")</f>
        <v>0</v>
      </c>
      <c r="CJ15" s="192" t="str">
        <f>IF(AND($C15&lt;&gt;"",$J15&lt;&gt;""),(VLOOKUP($C15,'V-LOOKUP'!$C$4:$N$59,12,FALSE)),"0")</f>
        <v>0</v>
      </c>
      <c r="CK15" s="192" t="str">
        <f>IF(AND($C15&lt;&gt;"",K15&lt;&gt;""),(VLOOKUP($C15,'V-LOOKUP'!$C$4:$M$59,4,FALSE)),"0")</f>
        <v>0</v>
      </c>
      <c r="CL15" s="192" t="str">
        <f>IF(AND($C15&lt;&gt;"",$K15&lt;&gt;""),(VLOOKUP($C15,'V-LOOKUP'!$C$4:$M$59,5,FALSE)),"0")</f>
        <v>0</v>
      </c>
      <c r="CM15" s="192" t="str">
        <f>IF(AND($C15&lt;&gt;"",$K15&lt;&gt;""),(VLOOKUP($C15,'V-LOOKUP'!$C$4:$M$59,6,FALSE)),"0")</f>
        <v>0</v>
      </c>
      <c r="CN15" s="192" t="str">
        <f>IF(AND($C15&lt;&gt;"",$K15&lt;&gt;""),(VLOOKUP($C15,'V-LOOKUP'!$C$4:$M$59,7,FALSE)),"0")</f>
        <v>0</v>
      </c>
      <c r="CO15" s="192" t="str">
        <f>IF(AND($C15&lt;&gt;"",$K15&lt;&gt;""),(VLOOKUP($C15,'V-LOOKUP'!$C$4:$M$59,8,FALSE)),"0")</f>
        <v>0</v>
      </c>
      <c r="CP15" s="192" t="str">
        <f>IF(AND($C15&lt;&gt;"",$K15&lt;&gt;""),(VLOOKUP($C15,'V-LOOKUP'!$C$4:$M$59,9,FALSE)),"0")</f>
        <v>0</v>
      </c>
      <c r="CQ15" s="192" t="str">
        <f>IF(AND($C15&lt;&gt;"",$K15&lt;&gt;""),(VLOOKUP($C15,'V-LOOKUP'!$C$4:$M$59,10,FALSE)),"0")</f>
        <v>0</v>
      </c>
      <c r="CR15" s="192" t="str">
        <f>IF(AND($C15&lt;&gt;"",$K15&lt;&gt;""),(VLOOKUP($C15,'V-LOOKUP'!$C$4:$M$59,11,FALSE)),"0")</f>
        <v>0</v>
      </c>
      <c r="CS15" s="192" t="str">
        <f>IF(AND($C15&lt;&gt;"",$K15&lt;&gt;""),(VLOOKUP($C15,'V-LOOKUP'!$C$4:$N$59,12,FALSE)),"0")</f>
        <v>0</v>
      </c>
      <c r="CT15" s="192" t="str">
        <f>IF(AND($C15&lt;&gt;"",L15&lt;&gt;""),(VLOOKUP($C15,'V-LOOKUP'!$C$4:$M$59,4,FALSE)),"0")</f>
        <v>0</v>
      </c>
      <c r="CU15" s="192" t="str">
        <f>IF(AND($C15&lt;&gt;"",$L15&lt;&gt;""),(VLOOKUP($C15,'V-LOOKUP'!$C$4:$M$59,5,FALSE)),"0")</f>
        <v>0</v>
      </c>
      <c r="CV15" s="192" t="str">
        <f>IF(AND($C15&lt;&gt;"",$L15&lt;&gt;""),(VLOOKUP($C15,'V-LOOKUP'!$C$4:$M$59,6,FALSE)),"0")</f>
        <v>0</v>
      </c>
      <c r="CW15" s="192" t="str">
        <f>IF(AND($C15&lt;&gt;"",$L15&lt;&gt;""),(VLOOKUP($C15,'V-LOOKUP'!$C$4:$M$59,7,FALSE)),"0")</f>
        <v>0</v>
      </c>
      <c r="CX15" s="192" t="str">
        <f>IF(AND($C15&lt;&gt;"",$L15&lt;&gt;""),(VLOOKUP($C15,'V-LOOKUP'!$C$4:$M$59,8,FALSE)),"0")</f>
        <v>0</v>
      </c>
      <c r="CY15" s="192" t="str">
        <f>IF(AND($C15&lt;&gt;"",$L15&lt;&gt;""),(VLOOKUP($C15,'V-LOOKUP'!$C$4:$M$59,9,FALSE)),"0")</f>
        <v>0</v>
      </c>
      <c r="CZ15" s="192" t="str">
        <f>IF(AND($C15&lt;&gt;"",$L15&lt;&gt;""),(VLOOKUP($C15,'V-LOOKUP'!$C$4:$M$59,10,FALSE)),"0")</f>
        <v>0</v>
      </c>
      <c r="DA15" s="192" t="str">
        <f>IF(AND($C15&lt;&gt;"",$L15&lt;&gt;""),(VLOOKUP($C15,'V-LOOKUP'!$C$4:$M$59,11,FALSE)),"0")</f>
        <v>0</v>
      </c>
      <c r="DB15" s="192" t="str">
        <f>IF(AND($C15&lt;&gt;"",$L15&lt;&gt;""),(VLOOKUP($C15,'V-LOOKUP'!$C$4:$N$59,12,FALSE)),"0")</f>
        <v>0</v>
      </c>
      <c r="DC15" s="192" t="str">
        <f>IF(AND($C15&lt;&gt;"",M15&lt;&gt;""),(VLOOKUP($C15,'V-LOOKUP'!$C$4:$M$59,4,FALSE)),"0")</f>
        <v>0</v>
      </c>
      <c r="DD15" s="192" t="str">
        <f>IF(AND($C15&lt;&gt;"",$M15&lt;&gt;""),(VLOOKUP($C15,'V-LOOKUP'!$C$4:$M$59,5,FALSE)),"0")</f>
        <v>0</v>
      </c>
      <c r="DE15" s="192" t="str">
        <f>IF(AND($C15&lt;&gt;"",$M15&lt;&gt;""),(VLOOKUP($C15,'V-LOOKUP'!$C$4:$M$59,6,FALSE)),"0")</f>
        <v>0</v>
      </c>
      <c r="DF15" s="192" t="str">
        <f>IF(AND($C15&lt;&gt;"",$M15&lt;&gt;""),(VLOOKUP($C15,'V-LOOKUP'!$C$4:$M$59,7,FALSE)),"0")</f>
        <v>0</v>
      </c>
      <c r="DG15" s="192" t="str">
        <f>IF(AND($C15&lt;&gt;"",$M15&lt;&gt;""),(VLOOKUP($C15,'V-LOOKUP'!$C$4:$M$59,8,FALSE)),"0")</f>
        <v>0</v>
      </c>
      <c r="DH15" s="192" t="str">
        <f>IF(AND($C15&lt;&gt;"",$M15&lt;&gt;""),(VLOOKUP($C15,'V-LOOKUP'!$C$4:$M$59,9,FALSE)),"0")</f>
        <v>0</v>
      </c>
      <c r="DI15" s="192" t="str">
        <f>IF(AND($C15&lt;&gt;"",$M15&lt;&gt;""),(VLOOKUP($C15,'V-LOOKUP'!$C$4:$M$59,10,FALSE)),"0")</f>
        <v>0</v>
      </c>
      <c r="DJ15" s="192" t="str">
        <f>IF(AND($C15&lt;&gt;"",$M15&lt;&gt;""),(VLOOKUP($C15,'V-LOOKUP'!$C$4:$M$59,11,FALSE)),"0")</f>
        <v>0</v>
      </c>
      <c r="DK15" s="192" t="str">
        <f>IF(AND($C15&lt;&gt;"",$M15&lt;&gt;""),(VLOOKUP($C15,'V-LOOKUP'!$C$4:$N$59,12,FALSE)),"0")</f>
        <v>0</v>
      </c>
      <c r="DL15" s="192" t="str">
        <f>IF(AND($C15&lt;&gt;"",$N15&lt;&gt;""),(VLOOKUP($C15,'V-LOOKUP'!$C$4:$M$59,4,FALSE)),"0")</f>
        <v>0</v>
      </c>
      <c r="DM15" s="192" t="str">
        <f>IF(AND($C15&lt;&gt;"",$N15&lt;&gt;""),(VLOOKUP($C15,'V-LOOKUP'!$C$4:$M$59,5,FALSE)),"0")</f>
        <v>0</v>
      </c>
      <c r="DN15" s="192" t="str">
        <f>IF(AND($C15&lt;&gt;"",$N15&lt;&gt;""),(VLOOKUP($C15,'V-LOOKUP'!$C$4:$M$59,6,FALSE)),"0")</f>
        <v>0</v>
      </c>
      <c r="DO15" s="192" t="str">
        <f>IF(AND($C15&lt;&gt;"",$N15&lt;&gt;""),(VLOOKUP($C15,'V-LOOKUP'!$C$4:$M$59,7,FALSE)),"0")</f>
        <v>0</v>
      </c>
      <c r="DP15" s="192" t="str">
        <f>IF(AND($C15&lt;&gt;"",$N15&lt;&gt;""),(VLOOKUP($C15,'V-LOOKUP'!$C$4:$M$59,8,FALSE)),"0")</f>
        <v>0</v>
      </c>
      <c r="DQ15" s="192" t="str">
        <f>IF(AND($C15&lt;&gt;"",$N15&lt;&gt;""),(VLOOKUP($C15,'V-LOOKUP'!$C$4:$M$59,9,FALSE)),"0")</f>
        <v>0</v>
      </c>
      <c r="DR15" s="192" t="str">
        <f>IF(AND($C15&lt;&gt;"",$N15&lt;&gt;""),(VLOOKUP($C15,'V-LOOKUP'!$C$4:$M$59,10,FALSE)),"0")</f>
        <v>0</v>
      </c>
      <c r="DS15" s="192" t="str">
        <f>IF(AND($C15&lt;&gt;"",$N15&lt;&gt;""),(VLOOKUP($C15,'V-LOOKUP'!$C$4:$M$59,11,FALSE)),"0")</f>
        <v>0</v>
      </c>
      <c r="DT15" s="192" t="str">
        <f>IF(AND($C15&lt;&gt;"",$N15&lt;&gt;""),(VLOOKUP($C15,'V-LOOKUP'!$C$4:$N$59,12,FALSE)),"0")</f>
        <v>0</v>
      </c>
      <c r="DU15" s="192" t="str">
        <f>IF(AND($C15&lt;&gt;"",O15&lt;&gt;""),(VLOOKUP($C15,'V-LOOKUP'!$C$4:$M$59,4,FALSE)),"0")</f>
        <v>0</v>
      </c>
      <c r="DV15" s="192" t="str">
        <f>IF(AND($C15&lt;&gt;"",$O15&lt;&gt;""),(VLOOKUP($C15,'V-LOOKUP'!$C$4:$M$59,5,FALSE)),"0")</f>
        <v>0</v>
      </c>
      <c r="DW15" s="192" t="str">
        <f>IF(AND($C15&lt;&gt;"",$O15&lt;&gt;""),(VLOOKUP($C15,'V-LOOKUP'!$C$4:$M$59,6,FALSE)),"0")</f>
        <v>0</v>
      </c>
      <c r="DX15" s="192" t="str">
        <f>IF(AND($C15&lt;&gt;"",$O15&lt;&gt;""),(VLOOKUP($C15,'V-LOOKUP'!$C$4:$M$59,7,FALSE)),"0")</f>
        <v>0</v>
      </c>
      <c r="DY15" s="192" t="str">
        <f>IF(AND($C15&lt;&gt;"",$O15&lt;&gt;""),(VLOOKUP($C15,'V-LOOKUP'!$C$4:$M$59,8,FALSE)),"0")</f>
        <v>0</v>
      </c>
      <c r="DZ15" s="192" t="str">
        <f>IF(AND($C15&lt;&gt;"",$O15&lt;&gt;""),(VLOOKUP($C15,'V-LOOKUP'!$C$4:$M$59,9,FALSE)),"0")</f>
        <v>0</v>
      </c>
      <c r="EA15" s="192" t="str">
        <f>IF(AND($C15&lt;&gt;"",$O15&lt;&gt;""),(VLOOKUP($C15,'V-LOOKUP'!$C$4:$M$59,10,FALSE)),"0")</f>
        <v>0</v>
      </c>
      <c r="EB15" s="192" t="str">
        <f>IF(AND($C15&lt;&gt;"",$O15&lt;&gt;""),(VLOOKUP($C15,'V-LOOKUP'!$C$4:$M$59,11,FALSE)),"0")</f>
        <v>0</v>
      </c>
      <c r="EC15" s="192" t="str">
        <f>IF(AND($C15&lt;&gt;"",$O15&lt;&gt;""),(VLOOKUP($C15,'V-LOOKUP'!$C$4:$N$59,12,FALSE)),"0")</f>
        <v>0</v>
      </c>
      <c r="ED15" s="192" t="str">
        <f>IF(AND($C15&lt;&gt;"",P15&lt;&gt;""),(VLOOKUP($C15,'V-LOOKUP'!$C$4:$M$59,4,FALSE)),"0")</f>
        <v>0</v>
      </c>
      <c r="EE15" s="192" t="str">
        <f>IF(AND($C15&lt;&gt;"",$P15&lt;&gt;""),(VLOOKUP($C15,'V-LOOKUP'!$C$4:$M$59,5,FALSE)),"0")</f>
        <v>0</v>
      </c>
      <c r="EF15" s="192" t="str">
        <f>IF(AND($C15&lt;&gt;"",$P15&lt;&gt;""),(VLOOKUP($C15,'V-LOOKUP'!$C$4:$M$59,6,FALSE)),"0")</f>
        <v>0</v>
      </c>
      <c r="EG15" s="192" t="str">
        <f>IF(AND($C15&lt;&gt;"",$P15&lt;&gt;""),(VLOOKUP($C15,'V-LOOKUP'!$C$4:$M$59,7,FALSE)),"0")</f>
        <v>0</v>
      </c>
      <c r="EH15" s="192" t="str">
        <f>IF(AND($C15&lt;&gt;"",$P15&lt;&gt;""),(VLOOKUP($C15,'V-LOOKUP'!$C$4:$M$59,8,FALSE)),"0")</f>
        <v>0</v>
      </c>
      <c r="EI15" s="192" t="str">
        <f>IF(AND($C15&lt;&gt;"",$P15&lt;&gt;""),(VLOOKUP($C15,'V-LOOKUP'!$C$4:$M$59,9,FALSE)),"0")</f>
        <v>0</v>
      </c>
      <c r="EJ15" s="192" t="str">
        <f>IF(AND($C15&lt;&gt;"",$P15&lt;&gt;""),(VLOOKUP($C15,'V-LOOKUP'!$C$4:$M$59,10,FALSE)),"0")</f>
        <v>0</v>
      </c>
      <c r="EK15" s="192" t="str">
        <f>IF(AND($C15&lt;&gt;"",$P15&lt;&gt;""),(VLOOKUP($C15,'V-LOOKUP'!$C$4:$M$59,11,FALSE)),"0")</f>
        <v>0</v>
      </c>
      <c r="EL15" s="192" t="str">
        <f>IF(AND($C15&lt;&gt;"",$P15&lt;&gt;""),(VLOOKUP($C15,'V-LOOKUP'!$C$4:$N$59,12,FALSE)),"0")</f>
        <v>0</v>
      </c>
      <c r="EM15" s="192" t="str">
        <f>IF(AND($C15&lt;&gt;"",Q15&lt;&gt;""),(VLOOKUP($C15,'V-LOOKUP'!$C$4:$M$59,4,FALSE)),"0")</f>
        <v>0</v>
      </c>
      <c r="EN15" s="192" t="str">
        <f>IF(AND($C15&lt;&gt;"",$Q15&lt;&gt;""),(VLOOKUP($C15,'V-LOOKUP'!$C$4:$M$59,5,FALSE)),"0")</f>
        <v>0</v>
      </c>
      <c r="EO15" s="192" t="str">
        <f>IF(AND($C15&lt;&gt;"",$Q15&lt;&gt;""),(VLOOKUP($C15,'V-LOOKUP'!$C$4:$M$59,6,FALSE)),"0")</f>
        <v>0</v>
      </c>
      <c r="EP15" s="192" t="str">
        <f>IF(AND($C15&lt;&gt;"",$Q15&lt;&gt;""),(VLOOKUP($C15,'V-LOOKUP'!$C$4:$M$59,7,FALSE)),"0")</f>
        <v>0</v>
      </c>
      <c r="EQ15" s="192" t="str">
        <f>IF(AND($C15&lt;&gt;"",$Q15&lt;&gt;""),(VLOOKUP($C15,'V-LOOKUP'!$C$4:$M$59,8,FALSE)),"0")</f>
        <v>0</v>
      </c>
      <c r="ER15" s="192" t="str">
        <f>IF(AND($C15&lt;&gt;"",$Q15&lt;&gt;""),(VLOOKUP($C15,'V-LOOKUP'!$C$4:$M$59,9,FALSE)),"0")</f>
        <v>0</v>
      </c>
      <c r="ES15" s="192" t="str">
        <f>IF(AND($C15&lt;&gt;"",$Q15&lt;&gt;""),(VLOOKUP($C15,'V-LOOKUP'!$C$4:$M$59,10,FALSE)),"0")</f>
        <v>0</v>
      </c>
      <c r="ET15" s="192" t="str">
        <f>IF(AND($C15&lt;&gt;"",$Q15&lt;&gt;""),(VLOOKUP($C15,'V-LOOKUP'!$C$4:$M$59,11,FALSE)),"0")</f>
        <v>0</v>
      </c>
      <c r="EU15" s="192" t="str">
        <f>IF(AND($C15&lt;&gt;"",$Q15&lt;&gt;""),(VLOOKUP($C15,'V-LOOKUP'!$C$4:$N$59,12,FALSE)),"0")</f>
        <v>0</v>
      </c>
      <c r="EV15" s="192" t="str">
        <f>IF(AND($C15&lt;&gt;"",R15&lt;&gt;""),(VLOOKUP($C15,'V-LOOKUP'!$C$4:$M$59,4,FALSE)),"0")</f>
        <v>0</v>
      </c>
      <c r="EW15" s="192" t="str">
        <f>IF(AND($C15&lt;&gt;"",$R15&lt;&gt;""),(VLOOKUP($C15,'V-LOOKUP'!$C$4:$M$59,5,FALSE)),"0")</f>
        <v>0</v>
      </c>
      <c r="EX15" s="192" t="str">
        <f>IF(AND($C15&lt;&gt;"",$R15&lt;&gt;""),(VLOOKUP($C15,'V-LOOKUP'!$C$4:$M$59,6,FALSE)),"0")</f>
        <v>0</v>
      </c>
      <c r="EY15" s="192" t="str">
        <f>IF(AND($C15&lt;&gt;"",$R15&lt;&gt;""),(VLOOKUP($C15,'V-LOOKUP'!$C$4:$M$59,7,FALSE)),"0")</f>
        <v>0</v>
      </c>
      <c r="EZ15" s="192" t="str">
        <f>IF(AND($C15&lt;&gt;"",$R15&lt;&gt;""),(VLOOKUP($C15,'V-LOOKUP'!$C$4:$M$59,8,FALSE)),"0")</f>
        <v>0</v>
      </c>
      <c r="FA15" s="192" t="str">
        <f>IF(AND($C15&lt;&gt;"",$R15&lt;&gt;""),(VLOOKUP($C15,'V-LOOKUP'!$C$4:$M$59,9,FALSE)),"0")</f>
        <v>0</v>
      </c>
      <c r="FB15" s="192" t="str">
        <f>IF(AND($C15&lt;&gt;"",$R15&lt;&gt;""),(VLOOKUP($C15,'V-LOOKUP'!$C$4:$M$59,10,FALSE)),"0")</f>
        <v>0</v>
      </c>
      <c r="FC15" s="192" t="str">
        <f>IF(AND($C15&lt;&gt;"",$R15&lt;&gt;""),(VLOOKUP($C15,'V-LOOKUP'!$C$4:$M$59,11,FALSE)),"0")</f>
        <v>0</v>
      </c>
      <c r="FD15" s="192" t="str">
        <f>IF(AND($C15&lt;&gt;"",$R15&lt;&gt;""),(VLOOKUP($C15,'V-LOOKUP'!$C$4:$N$59,12,FALSE)),"0")</f>
        <v>0</v>
      </c>
      <c r="FE15" s="192" t="str">
        <f>IF(AND($C15&lt;&gt;"",S15&lt;&gt;""),(VLOOKUP($C15,'V-LOOKUP'!$C$4:$M$59,4,FALSE)),"0")</f>
        <v>0</v>
      </c>
      <c r="FF15" s="192" t="str">
        <f>IF(AND($C15&lt;&gt;"",$S15&lt;&gt;""),(VLOOKUP($C15,'V-LOOKUP'!$C$4:$M$59,5,FALSE)),"0")</f>
        <v>0</v>
      </c>
      <c r="FG15" s="192" t="str">
        <f>IF(AND($C15&lt;&gt;"",$S15&lt;&gt;""),(VLOOKUP($C15,'V-LOOKUP'!$C$4:$M$59,6,FALSE)),"0")</f>
        <v>0</v>
      </c>
      <c r="FH15" s="192" t="str">
        <f>IF(AND($C15&lt;&gt;"",$S15&lt;&gt;""),(VLOOKUP($C15,'V-LOOKUP'!$C$4:$M$59,7,FALSE)),"0")</f>
        <v>0</v>
      </c>
      <c r="FI15" s="192" t="str">
        <f>IF(AND($C15&lt;&gt;"",$S15&lt;&gt;""),(VLOOKUP($C15,'V-LOOKUP'!$C$4:$M$59,8,FALSE)),"0")</f>
        <v>0</v>
      </c>
      <c r="FJ15" s="192" t="str">
        <f>IF(AND($C15&lt;&gt;"",$S15&lt;&gt;""),(VLOOKUP($C15,'V-LOOKUP'!$C$4:$M$59,9,FALSE)),"0")</f>
        <v>0</v>
      </c>
      <c r="FK15" s="192" t="str">
        <f>IF(AND($C15&lt;&gt;"",$S15&lt;&gt;""),(VLOOKUP($C15,'V-LOOKUP'!$C$4:$M$59,10,FALSE)),"0")</f>
        <v>0</v>
      </c>
      <c r="FL15" s="192" t="str">
        <f>IF(AND($C15&lt;&gt;"",$S15&lt;&gt;""),(VLOOKUP($C15,'V-LOOKUP'!$C$4:$M$59,11,FALSE)),"0")</f>
        <v>0</v>
      </c>
      <c r="FM15" s="192" t="str">
        <f>IF(AND($C15&lt;&gt;"",$S15&lt;&gt;""),(VLOOKUP($C15,'V-LOOKUP'!$C$4:$N$59,12,FALSE)),"0")</f>
        <v>0</v>
      </c>
      <c r="FN15" s="192" t="str">
        <f>IF(AND($C15&lt;&gt;"",T15&lt;&gt;""),(VLOOKUP($C15,'V-LOOKUP'!$C$4:$M$59,4,FALSE)),"0")</f>
        <v>0</v>
      </c>
      <c r="FO15" s="192" t="str">
        <f>IF(AND($C15&lt;&gt;"",$T15&lt;&gt;""),(VLOOKUP($C15,'V-LOOKUP'!$C$4:$M$59,5,FALSE)),"0")</f>
        <v>0</v>
      </c>
      <c r="FP15" s="192" t="str">
        <f>IF(AND($C15&lt;&gt;"",$T15&lt;&gt;""),(VLOOKUP($C15,'V-LOOKUP'!$C$4:$M$59,6,FALSE)),"0")</f>
        <v>0</v>
      </c>
      <c r="FQ15" s="192" t="str">
        <f>IF(AND($C15&lt;&gt;"",$T15&lt;&gt;""),(VLOOKUP($C15,'V-LOOKUP'!$C$4:$M$59,7,FALSE)),"0")</f>
        <v>0</v>
      </c>
      <c r="FR15" s="192" t="str">
        <f>IF(AND($C15&lt;&gt;"",$T15&lt;&gt;""),(VLOOKUP($C15,'V-LOOKUP'!$C$4:$M$59,8,FALSE)),"0")</f>
        <v>0</v>
      </c>
      <c r="FS15" s="192" t="str">
        <f>IF(AND($C15&lt;&gt;"",$T15&lt;&gt;""),(VLOOKUP($C15,'V-LOOKUP'!$C$4:$M$59,9,FALSE)),"0")</f>
        <v>0</v>
      </c>
      <c r="FT15" s="192" t="str">
        <f>IF(AND($C15&lt;&gt;"",$T15&lt;&gt;""),(VLOOKUP($C15,'V-LOOKUP'!$C$4:$M$59,10,FALSE)),"0")</f>
        <v>0</v>
      </c>
      <c r="FU15" s="192" t="str">
        <f>IF(AND($C15&lt;&gt;"",$T15&lt;&gt;""),(VLOOKUP($C15,'V-LOOKUP'!$C$4:$M$59,11,FALSE)),"0")</f>
        <v>0</v>
      </c>
      <c r="FV15" s="192" t="str">
        <f>IF(AND($C15&lt;&gt;"",$T15&lt;&gt;""),(VLOOKUP($C15,'V-LOOKUP'!$C$4:$N$59,12,FALSE)),"0")</f>
        <v>0</v>
      </c>
      <c r="FW15" s="192" t="str">
        <f>IF(AND($C15&lt;&gt;"",U15&lt;&gt;""),(VLOOKUP($C15,'V-LOOKUP'!$C$4:$M$59,4,FALSE)),"0")</f>
        <v>0</v>
      </c>
      <c r="FX15" s="192" t="str">
        <f>IF(AND($C15&lt;&gt;"",$U15&lt;&gt;""),(VLOOKUP($C15,'V-LOOKUP'!$C$4:$M$59,5,FALSE)),"0")</f>
        <v>0</v>
      </c>
      <c r="FY15" s="192" t="str">
        <f>IF(AND($C15&lt;&gt;"",$U15&lt;&gt;""),(VLOOKUP($C15,'V-LOOKUP'!$C$4:$M$59,6,FALSE)),"0")</f>
        <v>0</v>
      </c>
      <c r="FZ15" s="192" t="str">
        <f>IF(AND($C15&lt;&gt;"",$U15&lt;&gt;""),(VLOOKUP($C15,'V-LOOKUP'!$C$4:$M$59,7,FALSE)),"0")</f>
        <v>0</v>
      </c>
      <c r="GA15" s="192" t="str">
        <f>IF(AND($C15&lt;&gt;"",$U15&lt;&gt;""),(VLOOKUP($C15,'V-LOOKUP'!$C$4:$M$59,8,FALSE)),"0")</f>
        <v>0</v>
      </c>
      <c r="GB15" s="192" t="str">
        <f>IF(AND($C15&lt;&gt;"",$U15&lt;&gt;""),(VLOOKUP($C15,'V-LOOKUP'!$C$4:$M$59,9,FALSE)),"0")</f>
        <v>0</v>
      </c>
      <c r="GC15" s="192" t="str">
        <f>IF(AND($C15&lt;&gt;"",$U15&lt;&gt;""),(VLOOKUP($C15,'V-LOOKUP'!$C$4:$M$59,10,FALSE)),"0")</f>
        <v>0</v>
      </c>
      <c r="GD15" s="192" t="str">
        <f>IF(AND($C15&lt;&gt;"",$U15&lt;&gt;""),(VLOOKUP($C15,'V-LOOKUP'!$C$4:$M$59,11,FALSE)),"0")</f>
        <v>0</v>
      </c>
      <c r="GE15" s="192" t="str">
        <f>IF(AND($C15&lt;&gt;"",$U15&lt;&gt;""),(VLOOKUP($C15,'V-LOOKUP'!$C$4:$N$59,12,FALSE)),"0")</f>
        <v>0</v>
      </c>
      <c r="GF15" s="192" t="str">
        <f>IF(AND($C15&lt;&gt;"",V15&lt;&gt;""),(VLOOKUP($C15,'V-LOOKUP'!$C$4:$M$59,4,FALSE)),"0")</f>
        <v>0</v>
      </c>
      <c r="GG15" s="192" t="str">
        <f>IF(AND($C15&lt;&gt;"",$V15&lt;&gt;""),(VLOOKUP($C15,'V-LOOKUP'!$C$4:$M$59,5,FALSE)),"0")</f>
        <v>0</v>
      </c>
      <c r="GH15" s="192" t="str">
        <f>IF(AND($C15&lt;&gt;"",$V15&lt;&gt;""),(VLOOKUP($C15,'V-LOOKUP'!$C$4:$M$59,6,FALSE)),"0")</f>
        <v>0</v>
      </c>
      <c r="GI15" s="192" t="str">
        <f>IF(AND($C15&lt;&gt;"",$V15&lt;&gt;""),(VLOOKUP($C15,'V-LOOKUP'!$C$4:$M$59,7,FALSE)),"0")</f>
        <v>0</v>
      </c>
      <c r="GJ15" s="192" t="str">
        <f>IF(AND($C15&lt;&gt;"",$V15&lt;&gt;""),(VLOOKUP($C15,'V-LOOKUP'!$C$4:$M$59,8,FALSE)),"0")</f>
        <v>0</v>
      </c>
      <c r="GK15" s="192" t="str">
        <f>IF(AND($C15&lt;&gt;"",$V15&lt;&gt;""),(VLOOKUP($C15,'V-LOOKUP'!$C$4:$M$59,9,FALSE)),"0")</f>
        <v>0</v>
      </c>
      <c r="GL15" s="192" t="str">
        <f>IF(AND($C15&lt;&gt;"",$V15&lt;&gt;""),(VLOOKUP($C15,'V-LOOKUP'!$C$4:$M$59,10,FALSE)),"0")</f>
        <v>0</v>
      </c>
      <c r="GM15" s="192" t="str">
        <f>IF(AND($C15&lt;&gt;"",$V15&lt;&gt;""),(VLOOKUP($C15,'V-LOOKUP'!$C$4:$M$59,11,FALSE)),"0")</f>
        <v>0</v>
      </c>
      <c r="GN15" s="192" t="str">
        <f>IF(AND($C15&lt;&gt;"",$V15&lt;&gt;""),(VLOOKUP($C15,'V-LOOKUP'!$C$4:$N$59,12,FALSE)),"0")</f>
        <v>0</v>
      </c>
      <c r="GO15" s="192" t="str">
        <f>IF(AND($C15&lt;&gt;"",W15&lt;&gt;""),(VLOOKUP($C15,'V-LOOKUP'!$C$4:$M$59,4,FALSE)),"0")</f>
        <v>0</v>
      </c>
      <c r="GP15" s="192" t="str">
        <f>IF(AND($C15&lt;&gt;"",$W15&lt;&gt;""),(VLOOKUP($C15,'V-LOOKUP'!$C$4:$M$59,5,FALSE)),"0")</f>
        <v>0</v>
      </c>
      <c r="GQ15" s="192" t="str">
        <f>IF(AND($C15&lt;&gt;"",$W15&lt;&gt;""),(VLOOKUP($C15,'V-LOOKUP'!$C$4:$M$59,6,FALSE)),"0")</f>
        <v>0</v>
      </c>
      <c r="GR15" s="192" t="str">
        <f>IF(AND($C15&lt;&gt;"",$W15&lt;&gt;""),(VLOOKUP($C15,'V-LOOKUP'!$C$4:$M$59,7,FALSE)),"0")</f>
        <v>0</v>
      </c>
      <c r="GS15" s="192" t="str">
        <f>IF(AND($C15&lt;&gt;"",$W15&lt;&gt;""),(VLOOKUP($C15,'V-LOOKUP'!$C$4:$M$59,8,FALSE)),"0")</f>
        <v>0</v>
      </c>
      <c r="GT15" s="192" t="str">
        <f>IF(AND($C15&lt;&gt;"",$W15&lt;&gt;""),(VLOOKUP($C15,'V-LOOKUP'!$C$4:$M$59,9,FALSE)),"0")</f>
        <v>0</v>
      </c>
      <c r="GU15" s="192" t="str">
        <f>IF(AND($C15&lt;&gt;"",$W15&lt;&gt;""),(VLOOKUP($C15,'V-LOOKUP'!$C$4:$M$59,10,FALSE)),"0")</f>
        <v>0</v>
      </c>
      <c r="GV15" s="192" t="str">
        <f>IF(AND($C15&lt;&gt;"",$W15&lt;&gt;""),(VLOOKUP($C15,'V-LOOKUP'!$C$4:$M$59,11,FALSE)),"0")</f>
        <v>0</v>
      </c>
      <c r="GW15" s="192" t="str">
        <f>IF(AND($C15&lt;&gt;"",$W15&lt;&gt;""),(VLOOKUP($C15,'V-LOOKUP'!$C$4:$N$59,12,FALSE)),"0")</f>
        <v>0</v>
      </c>
    </row>
    <row r="16" spans="1:205">
      <c r="A16" s="193"/>
      <c r="B16" s="245"/>
      <c r="C16" s="201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Y16" s="190"/>
      <c r="Z16" s="192" t="str">
        <f>IF(AND($C16&lt;&gt;"",$D16&lt;&gt;""),(VLOOKUP($C16,'V-LOOKUP'!$C$4:$M$59,4,FALSE)),"0")</f>
        <v>0</v>
      </c>
      <c r="AA16" s="192" t="str">
        <f>IF(AND($C16&lt;&gt;"",$D16&lt;&gt;""),(VLOOKUP($C16,'V-LOOKUP'!$C$4:$M$59,5,FALSE)),"0")</f>
        <v>0</v>
      </c>
      <c r="AB16" s="192" t="str">
        <f>IF(AND($C16&lt;&gt;"",$D16&lt;&gt;""),(VLOOKUP($C16,'V-LOOKUP'!$C$4:$M$59,6,FALSE)),"0")</f>
        <v>0</v>
      </c>
      <c r="AC16" s="192" t="str">
        <f>IF(AND($C16&lt;&gt;"",$D16&lt;&gt;""),(VLOOKUP($C16,'V-LOOKUP'!$C$4:$M$59,7,FALSE)),"0")</f>
        <v>0</v>
      </c>
      <c r="AD16" s="192" t="str">
        <f>IF(AND($C16&lt;&gt;"",$D16&lt;&gt;""),(VLOOKUP($C16,'V-LOOKUP'!$C$4:$M$59,8,FALSE)),"0")</f>
        <v>0</v>
      </c>
      <c r="AE16" s="192" t="str">
        <f>IF(AND($C16&lt;&gt;"",$D16&lt;&gt;""),(VLOOKUP($C16,'V-LOOKUP'!$C$4:$M$59,9,FALSE)),"0")</f>
        <v>0</v>
      </c>
      <c r="AF16" s="192" t="str">
        <f>IF(AND($C16&lt;&gt;"",$D16&lt;&gt;""),(VLOOKUP($C16,'V-LOOKUP'!$C$4:$M$59,10,FALSE)),"0")</f>
        <v>0</v>
      </c>
      <c r="AG16" s="192" t="str">
        <f>IF(AND($C16&lt;&gt;"",$D16&lt;&gt;""),(VLOOKUP($C16,'V-LOOKUP'!$C$4:$M$59,11,FALSE)),"0")</f>
        <v>0</v>
      </c>
      <c r="AH16" s="192" t="str">
        <f>IF(AND($C16&lt;&gt;"",$D16&lt;&gt;""),(VLOOKUP($C16,'V-LOOKUP'!$C$4:$N$59,12,FALSE)),"0")</f>
        <v>0</v>
      </c>
      <c r="AI16" s="192" t="str">
        <f>IF(AND($C16&lt;&gt;"",E16&lt;&gt;""),(VLOOKUP($C16,'V-LOOKUP'!$C$4:$M$59,4,FALSE)),"0")</f>
        <v>0</v>
      </c>
      <c r="AJ16" s="192" t="str">
        <f>IF(AND($C16&lt;&gt;"",$E16&lt;&gt;""),(VLOOKUP($C16,'V-LOOKUP'!$C$4:$M$59,5,FALSE)),"0")</f>
        <v>0</v>
      </c>
      <c r="AK16" s="192" t="str">
        <f>IF(AND($C16&lt;&gt;"",$E16&lt;&gt;""),(VLOOKUP($C16,'V-LOOKUP'!$C$4:$M$59,6,FALSE)),"0")</f>
        <v>0</v>
      </c>
      <c r="AL16" s="192" t="str">
        <f>IF(AND($C16&lt;&gt;"",$E16&lt;&gt;""),(VLOOKUP($C16,'V-LOOKUP'!$C$4:$M$59,7,FALSE)),"0")</f>
        <v>0</v>
      </c>
      <c r="AM16" s="192" t="str">
        <f>IF(AND($C16&lt;&gt;"",$E16&lt;&gt;""),(VLOOKUP($C16,'V-LOOKUP'!$C$4:$M$59,8,FALSE)),"0")</f>
        <v>0</v>
      </c>
      <c r="AN16" s="192" t="str">
        <f>IF(AND($C16&lt;&gt;"",$E16&lt;&gt;""),(VLOOKUP($C16,'V-LOOKUP'!$C$4:$M$59,9,FALSE)),"0")</f>
        <v>0</v>
      </c>
      <c r="AO16" s="192" t="str">
        <f>IF(AND($C16&lt;&gt;"",$E16&lt;&gt;""),(VLOOKUP($C16,'V-LOOKUP'!$C$4:$M$59,10,FALSE)),"0")</f>
        <v>0</v>
      </c>
      <c r="AP16" s="192" t="str">
        <f>IF(AND($C16&lt;&gt;"",$E16&lt;&gt;""),(VLOOKUP($C16,'V-LOOKUP'!$C$4:$M$59,11,FALSE)),"0")</f>
        <v>0</v>
      </c>
      <c r="AQ16" s="192" t="str">
        <f>IF(AND($C16&lt;&gt;"",$E16&lt;&gt;""),(VLOOKUP($C16,'V-LOOKUP'!$C$4:$N$59,12,FALSE)),"0")</f>
        <v>0</v>
      </c>
      <c r="AR16" s="192" t="str">
        <f>IF(AND($C16&lt;&gt;"",$F16&lt;&gt;""),(VLOOKUP($C16,'V-LOOKUP'!$C$4:$M$59,4,FALSE)),"0")</f>
        <v>0</v>
      </c>
      <c r="AS16" s="192" t="str">
        <f>IF(AND($C16&lt;&gt;"",$F16&lt;&gt;""),(VLOOKUP($C16,'V-LOOKUP'!$C$4:$M$59,5,FALSE)),"0")</f>
        <v>0</v>
      </c>
      <c r="AT16" s="192" t="str">
        <f>IF(AND($C16&lt;&gt;"",$F16&lt;&gt;""),(VLOOKUP($C16,'V-LOOKUP'!$C$4:$M$59,6,FALSE)),"0")</f>
        <v>0</v>
      </c>
      <c r="AU16" s="192" t="str">
        <f>IF(AND($C16&lt;&gt;"",$F16&lt;&gt;""),(VLOOKUP($C16,'V-LOOKUP'!$C$4:$M$59,7,FALSE)),"0")</f>
        <v>0</v>
      </c>
      <c r="AV16" s="192" t="str">
        <f>IF(AND($C16&lt;&gt;"",$F16&lt;&gt;""),(VLOOKUP($C16,'V-LOOKUP'!$C$4:$M$59,8,FALSE)),"0")</f>
        <v>0</v>
      </c>
      <c r="AW16" s="192" t="str">
        <f>IF(AND($C16&lt;&gt;"",$F16&lt;&gt;""),(VLOOKUP($C16,'V-LOOKUP'!$C$4:$M$59,9,FALSE)),"0")</f>
        <v>0</v>
      </c>
      <c r="AX16" s="192" t="str">
        <f>IF(AND($C16&lt;&gt;"",$F16&lt;&gt;""),(VLOOKUP($C16,'V-LOOKUP'!$C$4:$M$59,10,FALSE)),"0")</f>
        <v>0</v>
      </c>
      <c r="AY16" s="192" t="str">
        <f>IF(AND($C16&lt;&gt;"",$F16&lt;&gt;""),(VLOOKUP($C16,'V-LOOKUP'!$C$4:$M$59,11,FALSE)),"0")</f>
        <v>0</v>
      </c>
      <c r="AZ16" s="192" t="str">
        <f>IF(AND($C16&lt;&gt;"",$F16&lt;&gt;""),(VLOOKUP($C16,'V-LOOKUP'!$C$4:$N$59,12,FALSE)),"0")</f>
        <v>0</v>
      </c>
      <c r="BA16" s="192" t="str">
        <f>IF(AND($C16&lt;&gt;"",G16&lt;&gt;""),(VLOOKUP($C16,'V-LOOKUP'!$C$4:$M$59,4,FALSE)),"0")</f>
        <v>0</v>
      </c>
      <c r="BB16" s="192" t="str">
        <f>IF(AND($C16&lt;&gt;"",$G16&lt;&gt;""),(VLOOKUP($C16,'V-LOOKUP'!$C$4:$M$59,5,FALSE)),"0")</f>
        <v>0</v>
      </c>
      <c r="BC16" s="192" t="str">
        <f>IF(AND($C16&lt;&gt;"",$G16&lt;&gt;""),(VLOOKUP($C16,'V-LOOKUP'!$C$4:$M$59,6,FALSE)),"0")</f>
        <v>0</v>
      </c>
      <c r="BD16" s="192" t="str">
        <f>IF(AND($C16&lt;&gt;"",$G16&lt;&gt;""),(VLOOKUP($C16,'V-LOOKUP'!$C$4:$M$59,7,FALSE)),"0")</f>
        <v>0</v>
      </c>
      <c r="BE16" s="192" t="str">
        <f>IF(AND($C16&lt;&gt;"",$G16&lt;&gt;""),(VLOOKUP($C16,'V-LOOKUP'!$C$4:$M$59,8,FALSE)),"0")</f>
        <v>0</v>
      </c>
      <c r="BF16" s="192" t="str">
        <f>IF(AND($C16&lt;&gt;"",$G16&lt;&gt;""),(VLOOKUP($C16,'V-LOOKUP'!$C$4:$M$59,9,FALSE)),"0")</f>
        <v>0</v>
      </c>
      <c r="BG16" s="192" t="str">
        <f>IF(AND($C16&lt;&gt;"",$G16&lt;&gt;""),(VLOOKUP($C16,'V-LOOKUP'!$C$4:$M$59,10,FALSE)),"0")</f>
        <v>0</v>
      </c>
      <c r="BH16" s="192" t="str">
        <f>IF(AND($C16&lt;&gt;"",$G16&lt;&gt;""),(VLOOKUP($C16,'V-LOOKUP'!$C$4:$M$59,11,FALSE)),"0")</f>
        <v>0</v>
      </c>
      <c r="BI16" s="192" t="str">
        <f>IF(AND($C16&lt;&gt;"",$G16&lt;&gt;""),(VLOOKUP($C16,'V-LOOKUP'!$C$4:$N$59,12,FALSE)),"0")</f>
        <v>0</v>
      </c>
      <c r="BJ16" s="192" t="str">
        <f>IF(AND($C16&lt;&gt;"",H16&lt;&gt;""),(VLOOKUP($C16,'V-LOOKUP'!$C$4:$M$59,4,FALSE)),"0")</f>
        <v>0</v>
      </c>
      <c r="BK16" s="192" t="str">
        <f>IF(AND($C16&lt;&gt;"",$G16&lt;&gt;""),(VLOOKUP($C16,'V-LOOKUP'!$C$4:$M$59,5,FALSE)),"0")</f>
        <v>0</v>
      </c>
      <c r="BL16" s="192" t="str">
        <f>IF(AND($C16&lt;&gt;"",$H16&lt;&gt;""),(VLOOKUP($C16,'V-LOOKUP'!$C$4:$M$59,6,FALSE)),"0")</f>
        <v>0</v>
      </c>
      <c r="BM16" s="192" t="str">
        <f>IF(AND($C16&lt;&gt;"",$H16&lt;&gt;""),(VLOOKUP($C16,'V-LOOKUP'!$C$4:$M$59,7,FALSE)),"0")</f>
        <v>0</v>
      </c>
      <c r="BN16" s="192" t="str">
        <f>IF(AND($C16&lt;&gt;"",$H16&lt;&gt;""),(VLOOKUP($C16,'V-LOOKUP'!$C$4:$M$59,8,FALSE)),"0")</f>
        <v>0</v>
      </c>
      <c r="BO16" s="192" t="str">
        <f>IF(AND($C16&lt;&gt;"",$H16&lt;&gt;""),(VLOOKUP($C16,'V-LOOKUP'!$C$4:$M$59,9,FALSE)),"0")</f>
        <v>0</v>
      </c>
      <c r="BP16" s="192" t="str">
        <f>IF(AND($C16&lt;&gt;"",$H16&lt;&gt;""),(VLOOKUP($C16,'V-LOOKUP'!$C$4:$M$59,10,FALSE)),"0")</f>
        <v>0</v>
      </c>
      <c r="BQ16" s="192" t="str">
        <f>IF(AND($C16&lt;&gt;"",$H16&lt;&gt;""),(VLOOKUP($C16,'V-LOOKUP'!$C$4:$M$59,11,FALSE)),"0")</f>
        <v>0</v>
      </c>
      <c r="BR16" s="192" t="str">
        <f>IF(AND($C16&lt;&gt;"",$H16&lt;&gt;""),(VLOOKUP($C16,'V-LOOKUP'!$C$4:$N$59,12,FALSE)),"0")</f>
        <v>0</v>
      </c>
      <c r="BS16" s="192" t="str">
        <f>IF(AND($C16&lt;&gt;"",I16&lt;&gt;""),(VLOOKUP($C16,'V-LOOKUP'!$C$4:$M$59,4,FALSE)),"0")</f>
        <v>0</v>
      </c>
      <c r="BT16" s="192" t="str">
        <f>IF(AND($C16&lt;&gt;"",$I16&lt;&gt;""),(VLOOKUP($C16,'V-LOOKUP'!$C$4:$M$59,5,FALSE)),"0")</f>
        <v>0</v>
      </c>
      <c r="BU16" s="192" t="str">
        <f>IF(AND($C16&lt;&gt;"",$I16&lt;&gt;""),(VLOOKUP($C16,'V-LOOKUP'!$C$4:$M$59,6,FALSE)),"0")</f>
        <v>0</v>
      </c>
      <c r="BV16" s="192" t="str">
        <f>IF(AND($C16&lt;&gt;"",$I16&lt;&gt;""),(VLOOKUP($C16,'V-LOOKUP'!$C$4:$M$59,7,FALSE)),"0")</f>
        <v>0</v>
      </c>
      <c r="BW16" s="192" t="str">
        <f>IF(AND($C16&lt;&gt;"",$I16&lt;&gt;""),(VLOOKUP($C16,'V-LOOKUP'!$C$4:$M$59,8,FALSE)),"0")</f>
        <v>0</v>
      </c>
      <c r="BX16" s="192" t="str">
        <f>IF(AND($C16&lt;&gt;"",$I16&lt;&gt;""),(VLOOKUP($C16,'V-LOOKUP'!$C$4:$M$59,9,FALSE)),"0")</f>
        <v>0</v>
      </c>
      <c r="BY16" s="192" t="str">
        <f>IF(AND($C16&lt;&gt;"",$I16&lt;&gt;""),(VLOOKUP($C16,'V-LOOKUP'!$C$4:$M$59,10,FALSE)),"0")</f>
        <v>0</v>
      </c>
      <c r="BZ16" s="192" t="str">
        <f>IF(AND($C16&lt;&gt;"",$I16&lt;&gt;""),(VLOOKUP($C16,'V-LOOKUP'!$C$4:$M$59,11,FALSE)),"0")</f>
        <v>0</v>
      </c>
      <c r="CA16" s="192" t="str">
        <f>IF(AND($C16&lt;&gt;"",$I16&lt;&gt;""),(VLOOKUP($C16,'V-LOOKUP'!$C$4:$N$59,12,FALSE)),"0")</f>
        <v>0</v>
      </c>
      <c r="CB16" s="192" t="str">
        <f>IF(AND($C16&lt;&gt;"",J16&lt;&gt;""),(VLOOKUP($C16,'V-LOOKUP'!$C$4:$M$59,4,FALSE)),"0")</f>
        <v>0</v>
      </c>
      <c r="CC16" s="192" t="str">
        <f>IF(AND($C16&lt;&gt;"",$J16&lt;&gt;""),(VLOOKUP($C16,'V-LOOKUP'!$C$4:$M$59,5,FALSE)),"0")</f>
        <v>0</v>
      </c>
      <c r="CD16" s="192" t="str">
        <f>IF(AND($C16&lt;&gt;"",$J16&lt;&gt;""),(VLOOKUP($C16,'V-LOOKUP'!$C$4:$M$59,6,FALSE)),"0")</f>
        <v>0</v>
      </c>
      <c r="CE16" s="192" t="str">
        <f>IF(AND($C16&lt;&gt;"",$J16&lt;&gt;""),(VLOOKUP($C16,'V-LOOKUP'!$C$4:$M$59,7,FALSE)),"0")</f>
        <v>0</v>
      </c>
      <c r="CF16" s="192" t="str">
        <f>IF(AND($C16&lt;&gt;"",$J16&lt;&gt;""),(VLOOKUP($C16,'V-LOOKUP'!$C$4:$M$59,8,FALSE)),"0")</f>
        <v>0</v>
      </c>
      <c r="CG16" s="192" t="str">
        <f>IF(AND($C16&lt;&gt;"",$J16&lt;&gt;""),(VLOOKUP($C16,'V-LOOKUP'!$C$4:$M$59,9,FALSE)),"0")</f>
        <v>0</v>
      </c>
      <c r="CH16" s="192" t="str">
        <f>IF(AND($C16&lt;&gt;"",$J16&lt;&gt;""),(VLOOKUP($C16,'V-LOOKUP'!$C$4:$M$59,10,FALSE)),"0")</f>
        <v>0</v>
      </c>
      <c r="CI16" s="192" t="str">
        <f>IF(AND($C16&lt;&gt;"",$J16&lt;&gt;""),(VLOOKUP($C16,'V-LOOKUP'!$C$4:$M$59,11,FALSE)),"0")</f>
        <v>0</v>
      </c>
      <c r="CJ16" s="192" t="str">
        <f>IF(AND($C16&lt;&gt;"",$J16&lt;&gt;""),(VLOOKUP($C16,'V-LOOKUP'!$C$4:$N$59,12,FALSE)),"0")</f>
        <v>0</v>
      </c>
      <c r="CK16" s="192" t="str">
        <f>IF(AND($C16&lt;&gt;"",K16&lt;&gt;""),(VLOOKUP($C16,'V-LOOKUP'!$C$4:$M$59,4,FALSE)),"0")</f>
        <v>0</v>
      </c>
      <c r="CL16" s="192" t="str">
        <f>IF(AND($C16&lt;&gt;"",$K16&lt;&gt;""),(VLOOKUP($C16,'V-LOOKUP'!$C$4:$M$59,5,FALSE)),"0")</f>
        <v>0</v>
      </c>
      <c r="CM16" s="192" t="str">
        <f>IF(AND($C16&lt;&gt;"",$K16&lt;&gt;""),(VLOOKUP($C16,'V-LOOKUP'!$C$4:$M$59,6,FALSE)),"0")</f>
        <v>0</v>
      </c>
      <c r="CN16" s="192" t="str">
        <f>IF(AND($C16&lt;&gt;"",$K16&lt;&gt;""),(VLOOKUP($C16,'V-LOOKUP'!$C$4:$M$59,7,FALSE)),"0")</f>
        <v>0</v>
      </c>
      <c r="CO16" s="192" t="str">
        <f>IF(AND($C16&lt;&gt;"",$K16&lt;&gt;""),(VLOOKUP($C16,'V-LOOKUP'!$C$4:$M$59,8,FALSE)),"0")</f>
        <v>0</v>
      </c>
      <c r="CP16" s="192" t="str">
        <f>IF(AND($C16&lt;&gt;"",$K16&lt;&gt;""),(VLOOKUP($C16,'V-LOOKUP'!$C$4:$M$59,9,FALSE)),"0")</f>
        <v>0</v>
      </c>
      <c r="CQ16" s="192" t="str">
        <f>IF(AND($C16&lt;&gt;"",$K16&lt;&gt;""),(VLOOKUP($C16,'V-LOOKUP'!$C$4:$M$59,10,FALSE)),"0")</f>
        <v>0</v>
      </c>
      <c r="CR16" s="192" t="str">
        <f>IF(AND($C16&lt;&gt;"",$K16&lt;&gt;""),(VLOOKUP($C16,'V-LOOKUP'!$C$4:$M$59,11,FALSE)),"0")</f>
        <v>0</v>
      </c>
      <c r="CS16" s="192" t="str">
        <f>IF(AND($C16&lt;&gt;"",$K16&lt;&gt;""),(VLOOKUP($C16,'V-LOOKUP'!$C$4:$N$59,12,FALSE)),"0")</f>
        <v>0</v>
      </c>
      <c r="CT16" s="192" t="str">
        <f>IF(AND($C16&lt;&gt;"",L16&lt;&gt;""),(VLOOKUP($C16,'V-LOOKUP'!$C$4:$M$59,4,FALSE)),"0")</f>
        <v>0</v>
      </c>
      <c r="CU16" s="192" t="str">
        <f>IF(AND($C16&lt;&gt;"",$L16&lt;&gt;""),(VLOOKUP($C16,'V-LOOKUP'!$C$4:$M$59,5,FALSE)),"0")</f>
        <v>0</v>
      </c>
      <c r="CV16" s="192" t="str">
        <f>IF(AND($C16&lt;&gt;"",$L16&lt;&gt;""),(VLOOKUP($C16,'V-LOOKUP'!$C$4:$M$59,6,FALSE)),"0")</f>
        <v>0</v>
      </c>
      <c r="CW16" s="192" t="str">
        <f>IF(AND($C16&lt;&gt;"",$L16&lt;&gt;""),(VLOOKUP($C16,'V-LOOKUP'!$C$4:$M$59,7,FALSE)),"0")</f>
        <v>0</v>
      </c>
      <c r="CX16" s="192" t="str">
        <f>IF(AND($C16&lt;&gt;"",$L16&lt;&gt;""),(VLOOKUP($C16,'V-LOOKUP'!$C$4:$M$59,8,FALSE)),"0")</f>
        <v>0</v>
      </c>
      <c r="CY16" s="192" t="str">
        <f>IF(AND($C16&lt;&gt;"",$L16&lt;&gt;""),(VLOOKUP($C16,'V-LOOKUP'!$C$4:$M$59,9,FALSE)),"0")</f>
        <v>0</v>
      </c>
      <c r="CZ16" s="192" t="str">
        <f>IF(AND($C16&lt;&gt;"",$L16&lt;&gt;""),(VLOOKUP($C16,'V-LOOKUP'!$C$4:$M$59,10,FALSE)),"0")</f>
        <v>0</v>
      </c>
      <c r="DA16" s="192" t="str">
        <f>IF(AND($C16&lt;&gt;"",$L16&lt;&gt;""),(VLOOKUP($C16,'V-LOOKUP'!$C$4:$M$59,11,FALSE)),"0")</f>
        <v>0</v>
      </c>
      <c r="DB16" s="192" t="str">
        <f>IF(AND($C16&lt;&gt;"",$L16&lt;&gt;""),(VLOOKUP($C16,'V-LOOKUP'!$C$4:$N$59,12,FALSE)),"0")</f>
        <v>0</v>
      </c>
      <c r="DC16" s="192" t="str">
        <f>IF(AND($C16&lt;&gt;"",M16&lt;&gt;""),(VLOOKUP($C16,'V-LOOKUP'!$C$4:$M$59,4,FALSE)),"0")</f>
        <v>0</v>
      </c>
      <c r="DD16" s="192" t="str">
        <f>IF(AND($C16&lt;&gt;"",$M16&lt;&gt;""),(VLOOKUP($C16,'V-LOOKUP'!$C$4:$M$59,5,FALSE)),"0")</f>
        <v>0</v>
      </c>
      <c r="DE16" s="192" t="str">
        <f>IF(AND($C16&lt;&gt;"",$M16&lt;&gt;""),(VLOOKUP($C16,'V-LOOKUP'!$C$4:$M$59,6,FALSE)),"0")</f>
        <v>0</v>
      </c>
      <c r="DF16" s="192" t="str">
        <f>IF(AND($C16&lt;&gt;"",$M16&lt;&gt;""),(VLOOKUP($C16,'V-LOOKUP'!$C$4:$M$59,7,FALSE)),"0")</f>
        <v>0</v>
      </c>
      <c r="DG16" s="192" t="str">
        <f>IF(AND($C16&lt;&gt;"",$M16&lt;&gt;""),(VLOOKUP($C16,'V-LOOKUP'!$C$4:$M$59,8,FALSE)),"0")</f>
        <v>0</v>
      </c>
      <c r="DH16" s="192" t="str">
        <f>IF(AND($C16&lt;&gt;"",$M16&lt;&gt;""),(VLOOKUP($C16,'V-LOOKUP'!$C$4:$M$59,9,FALSE)),"0")</f>
        <v>0</v>
      </c>
      <c r="DI16" s="192" t="str">
        <f>IF(AND($C16&lt;&gt;"",$M16&lt;&gt;""),(VLOOKUP($C16,'V-LOOKUP'!$C$4:$M$59,10,FALSE)),"0")</f>
        <v>0</v>
      </c>
      <c r="DJ16" s="192" t="str">
        <f>IF(AND($C16&lt;&gt;"",$M16&lt;&gt;""),(VLOOKUP($C16,'V-LOOKUP'!$C$4:$M$59,11,FALSE)),"0")</f>
        <v>0</v>
      </c>
      <c r="DK16" s="192" t="str">
        <f>IF(AND($C16&lt;&gt;"",$M16&lt;&gt;""),(VLOOKUP($C16,'V-LOOKUP'!$C$4:$N$59,12,FALSE)),"0")</f>
        <v>0</v>
      </c>
      <c r="DL16" s="192" t="str">
        <f>IF(AND($C16&lt;&gt;"",$N16&lt;&gt;""),(VLOOKUP($C16,'V-LOOKUP'!$C$4:$M$59,4,FALSE)),"0")</f>
        <v>0</v>
      </c>
      <c r="DM16" s="192" t="str">
        <f>IF(AND($C16&lt;&gt;"",$N16&lt;&gt;""),(VLOOKUP($C16,'V-LOOKUP'!$C$4:$M$59,5,FALSE)),"0")</f>
        <v>0</v>
      </c>
      <c r="DN16" s="192" t="str">
        <f>IF(AND($C16&lt;&gt;"",$N16&lt;&gt;""),(VLOOKUP($C16,'V-LOOKUP'!$C$4:$M$59,6,FALSE)),"0")</f>
        <v>0</v>
      </c>
      <c r="DO16" s="192" t="str">
        <f>IF(AND($C16&lt;&gt;"",$N16&lt;&gt;""),(VLOOKUP($C16,'V-LOOKUP'!$C$4:$M$59,7,FALSE)),"0")</f>
        <v>0</v>
      </c>
      <c r="DP16" s="192" t="str">
        <f>IF(AND($C16&lt;&gt;"",$N16&lt;&gt;""),(VLOOKUP($C16,'V-LOOKUP'!$C$4:$M$59,8,FALSE)),"0")</f>
        <v>0</v>
      </c>
      <c r="DQ16" s="192" t="str">
        <f>IF(AND($C16&lt;&gt;"",$N16&lt;&gt;""),(VLOOKUP($C16,'V-LOOKUP'!$C$4:$M$59,9,FALSE)),"0")</f>
        <v>0</v>
      </c>
      <c r="DR16" s="192" t="str">
        <f>IF(AND($C16&lt;&gt;"",$N16&lt;&gt;""),(VLOOKUP($C16,'V-LOOKUP'!$C$4:$M$59,10,FALSE)),"0")</f>
        <v>0</v>
      </c>
      <c r="DS16" s="192" t="str">
        <f>IF(AND($C16&lt;&gt;"",$N16&lt;&gt;""),(VLOOKUP($C16,'V-LOOKUP'!$C$4:$M$59,11,FALSE)),"0")</f>
        <v>0</v>
      </c>
      <c r="DT16" s="192" t="str">
        <f>IF(AND($C16&lt;&gt;"",$N16&lt;&gt;""),(VLOOKUP($C16,'V-LOOKUP'!$C$4:$N$59,12,FALSE)),"0")</f>
        <v>0</v>
      </c>
      <c r="DU16" s="192" t="str">
        <f>IF(AND($C16&lt;&gt;"",O16&lt;&gt;""),(VLOOKUP($C16,'V-LOOKUP'!$C$4:$M$59,4,FALSE)),"0")</f>
        <v>0</v>
      </c>
      <c r="DV16" s="192" t="str">
        <f>IF(AND($C16&lt;&gt;"",$O16&lt;&gt;""),(VLOOKUP($C16,'V-LOOKUP'!$C$4:$M$59,5,FALSE)),"0")</f>
        <v>0</v>
      </c>
      <c r="DW16" s="192" t="str">
        <f>IF(AND($C16&lt;&gt;"",$O16&lt;&gt;""),(VLOOKUP($C16,'V-LOOKUP'!$C$4:$M$59,6,FALSE)),"0")</f>
        <v>0</v>
      </c>
      <c r="DX16" s="192" t="str">
        <f>IF(AND($C16&lt;&gt;"",$O16&lt;&gt;""),(VLOOKUP($C16,'V-LOOKUP'!$C$4:$M$59,7,FALSE)),"0")</f>
        <v>0</v>
      </c>
      <c r="DY16" s="192" t="str">
        <f>IF(AND($C16&lt;&gt;"",$O16&lt;&gt;""),(VLOOKUP($C16,'V-LOOKUP'!$C$4:$M$59,8,FALSE)),"0")</f>
        <v>0</v>
      </c>
      <c r="DZ16" s="192" t="str">
        <f>IF(AND($C16&lt;&gt;"",$O16&lt;&gt;""),(VLOOKUP($C16,'V-LOOKUP'!$C$4:$M$59,9,FALSE)),"0")</f>
        <v>0</v>
      </c>
      <c r="EA16" s="192" t="str">
        <f>IF(AND($C16&lt;&gt;"",$O16&lt;&gt;""),(VLOOKUP($C16,'V-LOOKUP'!$C$4:$M$59,10,FALSE)),"0")</f>
        <v>0</v>
      </c>
      <c r="EB16" s="192" t="str">
        <f>IF(AND($C16&lt;&gt;"",$O16&lt;&gt;""),(VLOOKUP($C16,'V-LOOKUP'!$C$4:$M$59,11,FALSE)),"0")</f>
        <v>0</v>
      </c>
      <c r="EC16" s="192" t="str">
        <f>IF(AND($C16&lt;&gt;"",$O16&lt;&gt;""),(VLOOKUP($C16,'V-LOOKUP'!$C$4:$N$59,12,FALSE)),"0")</f>
        <v>0</v>
      </c>
      <c r="ED16" s="192" t="str">
        <f>IF(AND($C16&lt;&gt;"",P16&lt;&gt;""),(VLOOKUP($C16,'V-LOOKUP'!$C$4:$M$59,4,FALSE)),"0")</f>
        <v>0</v>
      </c>
      <c r="EE16" s="192" t="str">
        <f>IF(AND($C16&lt;&gt;"",$P16&lt;&gt;""),(VLOOKUP($C16,'V-LOOKUP'!$C$4:$M$59,5,FALSE)),"0")</f>
        <v>0</v>
      </c>
      <c r="EF16" s="192" t="str">
        <f>IF(AND($C16&lt;&gt;"",$P16&lt;&gt;""),(VLOOKUP($C16,'V-LOOKUP'!$C$4:$M$59,6,FALSE)),"0")</f>
        <v>0</v>
      </c>
      <c r="EG16" s="192" t="str">
        <f>IF(AND($C16&lt;&gt;"",$P16&lt;&gt;""),(VLOOKUP($C16,'V-LOOKUP'!$C$4:$M$59,7,FALSE)),"0")</f>
        <v>0</v>
      </c>
      <c r="EH16" s="192" t="str">
        <f>IF(AND($C16&lt;&gt;"",$P16&lt;&gt;""),(VLOOKUP($C16,'V-LOOKUP'!$C$4:$M$59,8,FALSE)),"0")</f>
        <v>0</v>
      </c>
      <c r="EI16" s="192" t="str">
        <f>IF(AND($C16&lt;&gt;"",$P16&lt;&gt;""),(VLOOKUP($C16,'V-LOOKUP'!$C$4:$M$59,9,FALSE)),"0")</f>
        <v>0</v>
      </c>
      <c r="EJ16" s="192" t="str">
        <f>IF(AND($C16&lt;&gt;"",$P16&lt;&gt;""),(VLOOKUP($C16,'V-LOOKUP'!$C$4:$M$59,10,FALSE)),"0")</f>
        <v>0</v>
      </c>
      <c r="EK16" s="192" t="str">
        <f>IF(AND($C16&lt;&gt;"",$P16&lt;&gt;""),(VLOOKUP($C16,'V-LOOKUP'!$C$4:$M$59,11,FALSE)),"0")</f>
        <v>0</v>
      </c>
      <c r="EL16" s="192" t="str">
        <f>IF(AND($C16&lt;&gt;"",$P16&lt;&gt;""),(VLOOKUP($C16,'V-LOOKUP'!$C$4:$N$59,12,FALSE)),"0")</f>
        <v>0</v>
      </c>
      <c r="EM16" s="192" t="str">
        <f>IF(AND($C16&lt;&gt;"",Q16&lt;&gt;""),(VLOOKUP($C16,'V-LOOKUP'!$C$4:$M$59,4,FALSE)),"0")</f>
        <v>0</v>
      </c>
      <c r="EN16" s="192" t="str">
        <f>IF(AND($C16&lt;&gt;"",$Q16&lt;&gt;""),(VLOOKUP($C16,'V-LOOKUP'!$C$4:$M$59,5,FALSE)),"0")</f>
        <v>0</v>
      </c>
      <c r="EO16" s="192" t="str">
        <f>IF(AND($C16&lt;&gt;"",$Q16&lt;&gt;""),(VLOOKUP($C16,'V-LOOKUP'!$C$4:$M$59,6,FALSE)),"0")</f>
        <v>0</v>
      </c>
      <c r="EP16" s="192" t="str">
        <f>IF(AND($C16&lt;&gt;"",$Q16&lt;&gt;""),(VLOOKUP($C16,'V-LOOKUP'!$C$4:$M$59,7,FALSE)),"0")</f>
        <v>0</v>
      </c>
      <c r="EQ16" s="192" t="str">
        <f>IF(AND($C16&lt;&gt;"",$Q16&lt;&gt;""),(VLOOKUP($C16,'V-LOOKUP'!$C$4:$M$59,8,FALSE)),"0")</f>
        <v>0</v>
      </c>
      <c r="ER16" s="192" t="str">
        <f>IF(AND($C16&lt;&gt;"",$Q16&lt;&gt;""),(VLOOKUP($C16,'V-LOOKUP'!$C$4:$M$59,9,FALSE)),"0")</f>
        <v>0</v>
      </c>
      <c r="ES16" s="192" t="str">
        <f>IF(AND($C16&lt;&gt;"",$Q16&lt;&gt;""),(VLOOKUP($C16,'V-LOOKUP'!$C$4:$M$59,10,FALSE)),"0")</f>
        <v>0</v>
      </c>
      <c r="ET16" s="192" t="str">
        <f>IF(AND($C16&lt;&gt;"",$Q16&lt;&gt;""),(VLOOKUP($C16,'V-LOOKUP'!$C$4:$M$59,11,FALSE)),"0")</f>
        <v>0</v>
      </c>
      <c r="EU16" s="192" t="str">
        <f>IF(AND($C16&lt;&gt;"",$Q16&lt;&gt;""),(VLOOKUP($C16,'V-LOOKUP'!$C$4:$N$59,12,FALSE)),"0")</f>
        <v>0</v>
      </c>
      <c r="EV16" s="192" t="str">
        <f>IF(AND($C16&lt;&gt;"",R16&lt;&gt;""),(VLOOKUP($C16,'V-LOOKUP'!$C$4:$M$59,4,FALSE)),"0")</f>
        <v>0</v>
      </c>
      <c r="EW16" s="192" t="str">
        <f>IF(AND($C16&lt;&gt;"",$R16&lt;&gt;""),(VLOOKUP($C16,'V-LOOKUP'!$C$4:$M$59,5,FALSE)),"0")</f>
        <v>0</v>
      </c>
      <c r="EX16" s="192" t="str">
        <f>IF(AND($C16&lt;&gt;"",$R16&lt;&gt;""),(VLOOKUP($C16,'V-LOOKUP'!$C$4:$M$59,6,FALSE)),"0")</f>
        <v>0</v>
      </c>
      <c r="EY16" s="192" t="str">
        <f>IF(AND($C16&lt;&gt;"",$R16&lt;&gt;""),(VLOOKUP($C16,'V-LOOKUP'!$C$4:$M$59,7,FALSE)),"0")</f>
        <v>0</v>
      </c>
      <c r="EZ16" s="192" t="str">
        <f>IF(AND($C16&lt;&gt;"",$R16&lt;&gt;""),(VLOOKUP($C16,'V-LOOKUP'!$C$4:$M$59,8,FALSE)),"0")</f>
        <v>0</v>
      </c>
      <c r="FA16" s="192" t="str">
        <f>IF(AND($C16&lt;&gt;"",$R16&lt;&gt;""),(VLOOKUP($C16,'V-LOOKUP'!$C$4:$M$59,9,FALSE)),"0")</f>
        <v>0</v>
      </c>
      <c r="FB16" s="192" t="str">
        <f>IF(AND($C16&lt;&gt;"",$R16&lt;&gt;""),(VLOOKUP($C16,'V-LOOKUP'!$C$4:$M$59,10,FALSE)),"0")</f>
        <v>0</v>
      </c>
      <c r="FC16" s="192" t="str">
        <f>IF(AND($C16&lt;&gt;"",$R16&lt;&gt;""),(VLOOKUP($C16,'V-LOOKUP'!$C$4:$M$59,11,FALSE)),"0")</f>
        <v>0</v>
      </c>
      <c r="FD16" s="192" t="str">
        <f>IF(AND($C16&lt;&gt;"",$R16&lt;&gt;""),(VLOOKUP($C16,'V-LOOKUP'!$C$4:$N$59,12,FALSE)),"0")</f>
        <v>0</v>
      </c>
      <c r="FE16" s="192" t="str">
        <f>IF(AND($C16&lt;&gt;"",S16&lt;&gt;""),(VLOOKUP($C16,'V-LOOKUP'!$C$4:$M$59,4,FALSE)),"0")</f>
        <v>0</v>
      </c>
      <c r="FF16" s="192" t="str">
        <f>IF(AND($C16&lt;&gt;"",$S16&lt;&gt;""),(VLOOKUP($C16,'V-LOOKUP'!$C$4:$M$59,5,FALSE)),"0")</f>
        <v>0</v>
      </c>
      <c r="FG16" s="192" t="str">
        <f>IF(AND($C16&lt;&gt;"",$S16&lt;&gt;""),(VLOOKUP($C16,'V-LOOKUP'!$C$4:$M$59,6,FALSE)),"0")</f>
        <v>0</v>
      </c>
      <c r="FH16" s="192" t="str">
        <f>IF(AND($C16&lt;&gt;"",$S16&lt;&gt;""),(VLOOKUP($C16,'V-LOOKUP'!$C$4:$M$59,7,FALSE)),"0")</f>
        <v>0</v>
      </c>
      <c r="FI16" s="192" t="str">
        <f>IF(AND($C16&lt;&gt;"",$S16&lt;&gt;""),(VLOOKUP($C16,'V-LOOKUP'!$C$4:$M$59,8,FALSE)),"0")</f>
        <v>0</v>
      </c>
      <c r="FJ16" s="192" t="str">
        <f>IF(AND($C16&lt;&gt;"",$S16&lt;&gt;""),(VLOOKUP($C16,'V-LOOKUP'!$C$4:$M$59,9,FALSE)),"0")</f>
        <v>0</v>
      </c>
      <c r="FK16" s="192" t="str">
        <f>IF(AND($C16&lt;&gt;"",$S16&lt;&gt;""),(VLOOKUP($C16,'V-LOOKUP'!$C$4:$M$59,10,FALSE)),"0")</f>
        <v>0</v>
      </c>
      <c r="FL16" s="192" t="str">
        <f>IF(AND($C16&lt;&gt;"",$S16&lt;&gt;""),(VLOOKUP($C16,'V-LOOKUP'!$C$4:$M$59,11,FALSE)),"0")</f>
        <v>0</v>
      </c>
      <c r="FM16" s="192" t="str">
        <f>IF(AND($C16&lt;&gt;"",$S16&lt;&gt;""),(VLOOKUP($C16,'V-LOOKUP'!$C$4:$N$59,12,FALSE)),"0")</f>
        <v>0</v>
      </c>
      <c r="FN16" s="192" t="str">
        <f>IF(AND($C16&lt;&gt;"",T16&lt;&gt;""),(VLOOKUP($C16,'V-LOOKUP'!$C$4:$M$59,4,FALSE)),"0")</f>
        <v>0</v>
      </c>
      <c r="FO16" s="192" t="str">
        <f>IF(AND($C16&lt;&gt;"",$T16&lt;&gt;""),(VLOOKUP($C16,'V-LOOKUP'!$C$4:$M$59,5,FALSE)),"0")</f>
        <v>0</v>
      </c>
      <c r="FP16" s="192" t="str">
        <f>IF(AND($C16&lt;&gt;"",$T16&lt;&gt;""),(VLOOKUP($C16,'V-LOOKUP'!$C$4:$M$59,6,FALSE)),"0")</f>
        <v>0</v>
      </c>
      <c r="FQ16" s="192" t="str">
        <f>IF(AND($C16&lt;&gt;"",$T16&lt;&gt;""),(VLOOKUP($C16,'V-LOOKUP'!$C$4:$M$59,7,FALSE)),"0")</f>
        <v>0</v>
      </c>
      <c r="FR16" s="192" t="str">
        <f>IF(AND($C16&lt;&gt;"",$T16&lt;&gt;""),(VLOOKUP($C16,'V-LOOKUP'!$C$4:$M$59,8,FALSE)),"0")</f>
        <v>0</v>
      </c>
      <c r="FS16" s="192" t="str">
        <f>IF(AND($C16&lt;&gt;"",$T16&lt;&gt;""),(VLOOKUP($C16,'V-LOOKUP'!$C$4:$M$59,9,FALSE)),"0")</f>
        <v>0</v>
      </c>
      <c r="FT16" s="192" t="str">
        <f>IF(AND($C16&lt;&gt;"",$T16&lt;&gt;""),(VLOOKUP($C16,'V-LOOKUP'!$C$4:$M$59,10,FALSE)),"0")</f>
        <v>0</v>
      </c>
      <c r="FU16" s="192" t="str">
        <f>IF(AND($C16&lt;&gt;"",$T16&lt;&gt;""),(VLOOKUP($C16,'V-LOOKUP'!$C$4:$M$59,11,FALSE)),"0")</f>
        <v>0</v>
      </c>
      <c r="FV16" s="192" t="str">
        <f>IF(AND($C16&lt;&gt;"",$T16&lt;&gt;""),(VLOOKUP($C16,'V-LOOKUP'!$C$4:$N$59,12,FALSE)),"0")</f>
        <v>0</v>
      </c>
      <c r="FW16" s="192" t="str">
        <f>IF(AND($C16&lt;&gt;"",U16&lt;&gt;""),(VLOOKUP($C16,'V-LOOKUP'!$C$4:$M$59,4,FALSE)),"0")</f>
        <v>0</v>
      </c>
      <c r="FX16" s="192" t="str">
        <f>IF(AND($C16&lt;&gt;"",$U16&lt;&gt;""),(VLOOKUP($C16,'V-LOOKUP'!$C$4:$M$59,5,FALSE)),"0")</f>
        <v>0</v>
      </c>
      <c r="FY16" s="192" t="str">
        <f>IF(AND($C16&lt;&gt;"",$U16&lt;&gt;""),(VLOOKUP($C16,'V-LOOKUP'!$C$4:$M$59,6,FALSE)),"0")</f>
        <v>0</v>
      </c>
      <c r="FZ16" s="192" t="str">
        <f>IF(AND($C16&lt;&gt;"",$U16&lt;&gt;""),(VLOOKUP($C16,'V-LOOKUP'!$C$4:$M$59,7,FALSE)),"0")</f>
        <v>0</v>
      </c>
      <c r="GA16" s="192" t="str">
        <f>IF(AND($C16&lt;&gt;"",$U16&lt;&gt;""),(VLOOKUP($C16,'V-LOOKUP'!$C$4:$M$59,8,FALSE)),"0")</f>
        <v>0</v>
      </c>
      <c r="GB16" s="192" t="str">
        <f>IF(AND($C16&lt;&gt;"",$U16&lt;&gt;""),(VLOOKUP($C16,'V-LOOKUP'!$C$4:$M$59,9,FALSE)),"0")</f>
        <v>0</v>
      </c>
      <c r="GC16" s="192" t="str">
        <f>IF(AND($C16&lt;&gt;"",$U16&lt;&gt;""),(VLOOKUP($C16,'V-LOOKUP'!$C$4:$M$59,10,FALSE)),"0")</f>
        <v>0</v>
      </c>
      <c r="GD16" s="192" t="str">
        <f>IF(AND($C16&lt;&gt;"",$U16&lt;&gt;""),(VLOOKUP($C16,'V-LOOKUP'!$C$4:$M$59,11,FALSE)),"0")</f>
        <v>0</v>
      </c>
      <c r="GE16" s="192" t="str">
        <f>IF(AND($C16&lt;&gt;"",$U16&lt;&gt;""),(VLOOKUP($C16,'V-LOOKUP'!$C$4:$N$59,12,FALSE)),"0")</f>
        <v>0</v>
      </c>
      <c r="GF16" s="192" t="str">
        <f>IF(AND($C16&lt;&gt;"",V16&lt;&gt;""),(VLOOKUP($C16,'V-LOOKUP'!$C$4:$M$59,4,FALSE)),"0")</f>
        <v>0</v>
      </c>
      <c r="GG16" s="192" t="str">
        <f>IF(AND($C16&lt;&gt;"",$V16&lt;&gt;""),(VLOOKUP($C16,'V-LOOKUP'!$C$4:$M$59,5,FALSE)),"0")</f>
        <v>0</v>
      </c>
      <c r="GH16" s="192" t="str">
        <f>IF(AND($C16&lt;&gt;"",$V16&lt;&gt;""),(VLOOKUP($C16,'V-LOOKUP'!$C$4:$M$59,6,FALSE)),"0")</f>
        <v>0</v>
      </c>
      <c r="GI16" s="192" t="str">
        <f>IF(AND($C16&lt;&gt;"",$V16&lt;&gt;""),(VLOOKUP($C16,'V-LOOKUP'!$C$4:$M$59,7,FALSE)),"0")</f>
        <v>0</v>
      </c>
      <c r="GJ16" s="192" t="str">
        <f>IF(AND($C16&lt;&gt;"",$V16&lt;&gt;""),(VLOOKUP($C16,'V-LOOKUP'!$C$4:$M$59,8,FALSE)),"0")</f>
        <v>0</v>
      </c>
      <c r="GK16" s="192" t="str">
        <f>IF(AND($C16&lt;&gt;"",$V16&lt;&gt;""),(VLOOKUP($C16,'V-LOOKUP'!$C$4:$M$59,9,FALSE)),"0")</f>
        <v>0</v>
      </c>
      <c r="GL16" s="192" t="str">
        <f>IF(AND($C16&lt;&gt;"",$V16&lt;&gt;""),(VLOOKUP($C16,'V-LOOKUP'!$C$4:$M$59,10,FALSE)),"0")</f>
        <v>0</v>
      </c>
      <c r="GM16" s="192" t="str">
        <f>IF(AND($C16&lt;&gt;"",$V16&lt;&gt;""),(VLOOKUP($C16,'V-LOOKUP'!$C$4:$M$59,11,FALSE)),"0")</f>
        <v>0</v>
      </c>
      <c r="GN16" s="192" t="str">
        <f>IF(AND($C16&lt;&gt;"",$V16&lt;&gt;""),(VLOOKUP($C16,'V-LOOKUP'!$C$4:$N$59,12,FALSE)),"0")</f>
        <v>0</v>
      </c>
      <c r="GO16" s="192" t="str">
        <f>IF(AND($C16&lt;&gt;"",W16&lt;&gt;""),(VLOOKUP($C16,'V-LOOKUP'!$C$4:$M$59,4,FALSE)),"0")</f>
        <v>0</v>
      </c>
      <c r="GP16" s="192" t="str">
        <f>IF(AND($C16&lt;&gt;"",$W16&lt;&gt;""),(VLOOKUP($C16,'V-LOOKUP'!$C$4:$M$59,5,FALSE)),"0")</f>
        <v>0</v>
      </c>
      <c r="GQ16" s="192" t="str">
        <f>IF(AND($C16&lt;&gt;"",$W16&lt;&gt;""),(VLOOKUP($C16,'V-LOOKUP'!$C$4:$M$59,6,FALSE)),"0")</f>
        <v>0</v>
      </c>
      <c r="GR16" s="192" t="str">
        <f>IF(AND($C16&lt;&gt;"",$W16&lt;&gt;""),(VLOOKUP($C16,'V-LOOKUP'!$C$4:$M$59,7,FALSE)),"0")</f>
        <v>0</v>
      </c>
      <c r="GS16" s="192" t="str">
        <f>IF(AND($C16&lt;&gt;"",$W16&lt;&gt;""),(VLOOKUP($C16,'V-LOOKUP'!$C$4:$M$59,8,FALSE)),"0")</f>
        <v>0</v>
      </c>
      <c r="GT16" s="192" t="str">
        <f>IF(AND($C16&lt;&gt;"",$W16&lt;&gt;""),(VLOOKUP($C16,'V-LOOKUP'!$C$4:$M$59,9,FALSE)),"0")</f>
        <v>0</v>
      </c>
      <c r="GU16" s="192" t="str">
        <f>IF(AND($C16&lt;&gt;"",$W16&lt;&gt;""),(VLOOKUP($C16,'V-LOOKUP'!$C$4:$M$59,10,FALSE)),"0")</f>
        <v>0</v>
      </c>
      <c r="GV16" s="192" t="str">
        <f>IF(AND($C16&lt;&gt;"",$W16&lt;&gt;""),(VLOOKUP($C16,'V-LOOKUP'!$C$4:$M$59,11,FALSE)),"0")</f>
        <v>0</v>
      </c>
      <c r="GW16" s="192" t="str">
        <f>IF(AND($C16&lt;&gt;"",$W16&lt;&gt;""),(VLOOKUP($C16,'V-LOOKUP'!$C$4:$N$59,12,FALSE)),"0")</f>
        <v>0</v>
      </c>
    </row>
    <row r="17" spans="1:205" ht="14.65" hidden="1" customHeight="1">
      <c r="A17" s="193"/>
      <c r="B17" s="245"/>
      <c r="C17" s="201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Y17" s="190"/>
      <c r="Z17" s="192" t="str">
        <f>IF(AND($C17&lt;&gt;"",$D17&lt;&gt;""),(VLOOKUP($C17,'V-LOOKUP'!$C$4:$M$59,4,FALSE)),"0")</f>
        <v>0</v>
      </c>
      <c r="AA17" s="192" t="str">
        <f>IF(AND($C17&lt;&gt;"",$D17&lt;&gt;""),(VLOOKUP($C17,'V-LOOKUP'!$C$4:$M$59,5,FALSE)),"0")</f>
        <v>0</v>
      </c>
      <c r="AB17" s="192" t="str">
        <f>IF(AND($C17&lt;&gt;"",$D17&lt;&gt;""),(VLOOKUP($C17,'V-LOOKUP'!$C$4:$M$59,6,FALSE)),"0")</f>
        <v>0</v>
      </c>
      <c r="AC17" s="192" t="str">
        <f>IF(AND($C17&lt;&gt;"",$D17&lt;&gt;""),(VLOOKUP($C17,'V-LOOKUP'!$C$4:$M$59,7,FALSE)),"0")</f>
        <v>0</v>
      </c>
      <c r="AD17" s="192" t="str">
        <f>IF(AND($C17&lt;&gt;"",$D17&lt;&gt;""),(VLOOKUP($C17,'V-LOOKUP'!$C$4:$M$59,8,FALSE)),"0")</f>
        <v>0</v>
      </c>
      <c r="AE17" s="192" t="str">
        <f>IF(AND($C17&lt;&gt;"",$D17&lt;&gt;""),(VLOOKUP($C17,'V-LOOKUP'!$C$4:$M$59,9,FALSE)),"0")</f>
        <v>0</v>
      </c>
      <c r="AF17" s="192" t="str">
        <f>IF(AND($C17&lt;&gt;"",$D17&lt;&gt;""),(VLOOKUP($C17,'V-LOOKUP'!$C$4:$M$59,10,FALSE)),"0")</f>
        <v>0</v>
      </c>
      <c r="AG17" s="192" t="str">
        <f>IF(AND($C17&lt;&gt;"",$D17&lt;&gt;""),(VLOOKUP($C17,'V-LOOKUP'!$C$4:$M$59,11,FALSE)),"0")</f>
        <v>0</v>
      </c>
      <c r="AH17" s="192" t="str">
        <f>IF(AND($C17&lt;&gt;"",$D17&lt;&gt;""),(VLOOKUP($C17,'V-LOOKUP'!$C$4:$N$59,12,FALSE)),"0")</f>
        <v>0</v>
      </c>
      <c r="AI17" s="192" t="str">
        <f>IF(AND($C17&lt;&gt;"",E17&lt;&gt;""),(VLOOKUP($C17,'V-LOOKUP'!$C$4:$M$59,4,FALSE)),"0")</f>
        <v>0</v>
      </c>
      <c r="AJ17" s="192" t="str">
        <f>IF(AND($C17&lt;&gt;"",$E17&lt;&gt;""),(VLOOKUP($C17,'V-LOOKUP'!$C$4:$M$59,5,FALSE)),"0")</f>
        <v>0</v>
      </c>
      <c r="AK17" s="192" t="str">
        <f>IF(AND($C17&lt;&gt;"",$E17&lt;&gt;""),(VLOOKUP($C17,'V-LOOKUP'!$C$4:$M$59,6,FALSE)),"0")</f>
        <v>0</v>
      </c>
      <c r="AL17" s="192" t="str">
        <f>IF(AND($C17&lt;&gt;"",$E17&lt;&gt;""),(VLOOKUP($C17,'V-LOOKUP'!$C$4:$M$59,7,FALSE)),"0")</f>
        <v>0</v>
      </c>
      <c r="AM17" s="192" t="str">
        <f>IF(AND($C17&lt;&gt;"",$E17&lt;&gt;""),(VLOOKUP($C17,'V-LOOKUP'!$C$4:$M$59,8,FALSE)),"0")</f>
        <v>0</v>
      </c>
      <c r="AN17" s="192" t="str">
        <f>IF(AND($C17&lt;&gt;"",$E17&lt;&gt;""),(VLOOKUP($C17,'V-LOOKUP'!$C$4:$M$59,9,FALSE)),"0")</f>
        <v>0</v>
      </c>
      <c r="AO17" s="192" t="str">
        <f>IF(AND($C17&lt;&gt;"",$E17&lt;&gt;""),(VLOOKUP($C17,'V-LOOKUP'!$C$4:$M$59,10,FALSE)),"0")</f>
        <v>0</v>
      </c>
      <c r="AP17" s="192" t="str">
        <f>IF(AND($C17&lt;&gt;"",$E17&lt;&gt;""),(VLOOKUP($C17,'V-LOOKUP'!$C$4:$M$59,11,FALSE)),"0")</f>
        <v>0</v>
      </c>
      <c r="AQ17" s="192" t="str">
        <f>IF(AND($C17&lt;&gt;"",$E17&lt;&gt;""),(VLOOKUP($C17,'V-LOOKUP'!$C$4:$N$59,12,FALSE)),"0")</f>
        <v>0</v>
      </c>
      <c r="AR17" s="192" t="str">
        <f>IF(AND($C17&lt;&gt;"",$F17&lt;&gt;""),(VLOOKUP($C17,'V-LOOKUP'!$C$4:$M$59,4,FALSE)),"0")</f>
        <v>0</v>
      </c>
      <c r="AS17" s="192" t="str">
        <f>IF(AND($C17&lt;&gt;"",$F17&lt;&gt;""),(VLOOKUP($C17,'V-LOOKUP'!$C$4:$M$59,5,FALSE)),"0")</f>
        <v>0</v>
      </c>
      <c r="AT17" s="192" t="str">
        <f>IF(AND($C17&lt;&gt;"",$F17&lt;&gt;""),(VLOOKUP($C17,'V-LOOKUP'!$C$4:$M$59,6,FALSE)),"0")</f>
        <v>0</v>
      </c>
      <c r="AU17" s="192" t="str">
        <f>IF(AND($C17&lt;&gt;"",$F17&lt;&gt;""),(VLOOKUP($C17,'V-LOOKUP'!$C$4:$M$59,7,FALSE)),"0")</f>
        <v>0</v>
      </c>
      <c r="AV17" s="192" t="str">
        <f>IF(AND($C17&lt;&gt;"",$F17&lt;&gt;""),(VLOOKUP($C17,'V-LOOKUP'!$C$4:$M$59,8,FALSE)),"0")</f>
        <v>0</v>
      </c>
      <c r="AW17" s="192" t="str">
        <f>IF(AND($C17&lt;&gt;"",$F17&lt;&gt;""),(VLOOKUP($C17,'V-LOOKUP'!$C$4:$M$59,9,FALSE)),"0")</f>
        <v>0</v>
      </c>
      <c r="AX17" s="192" t="str">
        <f>IF(AND($C17&lt;&gt;"",$F17&lt;&gt;""),(VLOOKUP($C17,'V-LOOKUP'!$C$4:$M$59,10,FALSE)),"0")</f>
        <v>0</v>
      </c>
      <c r="AY17" s="192" t="str">
        <f>IF(AND($C17&lt;&gt;"",$F17&lt;&gt;""),(VLOOKUP($C17,'V-LOOKUP'!$C$4:$M$59,11,FALSE)),"0")</f>
        <v>0</v>
      </c>
      <c r="AZ17" s="192" t="str">
        <f>IF(AND($C17&lt;&gt;"",$F17&lt;&gt;""),(VLOOKUP($C17,'V-LOOKUP'!$C$4:$N$59,12,FALSE)),"0")</f>
        <v>0</v>
      </c>
      <c r="BA17" s="192" t="str">
        <f>IF(AND($C17&lt;&gt;"",G17&lt;&gt;""),(VLOOKUP($C17,'V-LOOKUP'!$C$4:$M$59,4,FALSE)),"0")</f>
        <v>0</v>
      </c>
      <c r="BB17" s="192" t="str">
        <f>IF(AND($C17&lt;&gt;"",$G17&lt;&gt;""),(VLOOKUP($C17,'V-LOOKUP'!$C$4:$M$59,5,FALSE)),"0")</f>
        <v>0</v>
      </c>
      <c r="BC17" s="192" t="str">
        <f>IF(AND($C17&lt;&gt;"",$G17&lt;&gt;""),(VLOOKUP($C17,'V-LOOKUP'!$C$4:$M$59,6,FALSE)),"0")</f>
        <v>0</v>
      </c>
      <c r="BD17" s="192" t="str">
        <f>IF(AND($C17&lt;&gt;"",$G17&lt;&gt;""),(VLOOKUP($C17,'V-LOOKUP'!$C$4:$M$59,7,FALSE)),"0")</f>
        <v>0</v>
      </c>
      <c r="BE17" s="192" t="str">
        <f>IF(AND($C17&lt;&gt;"",$G17&lt;&gt;""),(VLOOKUP($C17,'V-LOOKUP'!$C$4:$M$59,8,FALSE)),"0")</f>
        <v>0</v>
      </c>
      <c r="BF17" s="192" t="str">
        <f>IF(AND($C17&lt;&gt;"",$G17&lt;&gt;""),(VLOOKUP($C17,'V-LOOKUP'!$C$4:$M$59,9,FALSE)),"0")</f>
        <v>0</v>
      </c>
      <c r="BG17" s="192" t="str">
        <f>IF(AND($C17&lt;&gt;"",$G17&lt;&gt;""),(VLOOKUP($C17,'V-LOOKUP'!$C$4:$M$59,10,FALSE)),"0")</f>
        <v>0</v>
      </c>
      <c r="BH17" s="192" t="str">
        <f>IF(AND($C17&lt;&gt;"",$G17&lt;&gt;""),(VLOOKUP($C17,'V-LOOKUP'!$C$4:$M$59,11,FALSE)),"0")</f>
        <v>0</v>
      </c>
      <c r="BI17" s="192" t="str">
        <f>IF(AND($C17&lt;&gt;"",$G17&lt;&gt;""),(VLOOKUP($C17,'V-LOOKUP'!$C$4:$N$59,12,FALSE)),"0")</f>
        <v>0</v>
      </c>
      <c r="BJ17" s="192" t="str">
        <f>IF(AND($C17&lt;&gt;"",H17&lt;&gt;""),(VLOOKUP($C17,'V-LOOKUP'!$C$4:$M$59,4,FALSE)),"0")</f>
        <v>0</v>
      </c>
      <c r="BK17" s="192" t="str">
        <f>IF(AND($C17&lt;&gt;"",$G17&lt;&gt;""),(VLOOKUP($C17,'V-LOOKUP'!$C$4:$M$59,5,FALSE)),"0")</f>
        <v>0</v>
      </c>
      <c r="BL17" s="192" t="str">
        <f>IF(AND($C17&lt;&gt;"",$H17&lt;&gt;""),(VLOOKUP($C17,'V-LOOKUP'!$C$4:$M$59,6,FALSE)),"0")</f>
        <v>0</v>
      </c>
      <c r="BM17" s="192" t="str">
        <f>IF(AND($C17&lt;&gt;"",$H17&lt;&gt;""),(VLOOKUP($C17,'V-LOOKUP'!$C$4:$M$59,7,FALSE)),"0")</f>
        <v>0</v>
      </c>
      <c r="BN17" s="192" t="str">
        <f>IF(AND($C17&lt;&gt;"",$H17&lt;&gt;""),(VLOOKUP($C17,'V-LOOKUP'!$C$4:$M$59,8,FALSE)),"0")</f>
        <v>0</v>
      </c>
      <c r="BO17" s="192" t="str">
        <f>IF(AND($C17&lt;&gt;"",$H17&lt;&gt;""),(VLOOKUP($C17,'V-LOOKUP'!$C$4:$M$59,9,FALSE)),"0")</f>
        <v>0</v>
      </c>
      <c r="BP17" s="192" t="str">
        <f>IF(AND($C17&lt;&gt;"",$H17&lt;&gt;""),(VLOOKUP($C17,'V-LOOKUP'!$C$4:$M$59,10,FALSE)),"0")</f>
        <v>0</v>
      </c>
      <c r="BQ17" s="192" t="str">
        <f>IF(AND($C17&lt;&gt;"",$H17&lt;&gt;""),(VLOOKUP($C17,'V-LOOKUP'!$C$4:$M$59,11,FALSE)),"0")</f>
        <v>0</v>
      </c>
      <c r="BR17" s="192" t="str">
        <f>IF(AND($C17&lt;&gt;"",$H17&lt;&gt;""),(VLOOKUP($C17,'V-LOOKUP'!$C$4:$N$59,12,FALSE)),"0")</f>
        <v>0</v>
      </c>
      <c r="BS17" s="192" t="str">
        <f>IF(AND($C17&lt;&gt;"",I17&lt;&gt;""),(VLOOKUP($C17,'V-LOOKUP'!$C$4:$M$59,4,FALSE)),"0")</f>
        <v>0</v>
      </c>
      <c r="BT17" s="192" t="str">
        <f>IF(AND($C17&lt;&gt;"",$I17&lt;&gt;""),(VLOOKUP($C17,'V-LOOKUP'!$C$4:$M$59,5,FALSE)),"0")</f>
        <v>0</v>
      </c>
      <c r="BU17" s="192" t="str">
        <f>IF(AND($C17&lt;&gt;"",$I17&lt;&gt;""),(VLOOKUP($C17,'V-LOOKUP'!$C$4:$M$59,6,FALSE)),"0")</f>
        <v>0</v>
      </c>
      <c r="BV17" s="192" t="str">
        <f>IF(AND($C17&lt;&gt;"",$I17&lt;&gt;""),(VLOOKUP($C17,'V-LOOKUP'!$C$4:$M$59,7,FALSE)),"0")</f>
        <v>0</v>
      </c>
      <c r="BW17" s="192" t="str">
        <f>IF(AND($C17&lt;&gt;"",$I17&lt;&gt;""),(VLOOKUP($C17,'V-LOOKUP'!$C$4:$M$59,8,FALSE)),"0")</f>
        <v>0</v>
      </c>
      <c r="BX17" s="192" t="str">
        <f>IF(AND($C17&lt;&gt;"",$I17&lt;&gt;""),(VLOOKUP($C17,'V-LOOKUP'!$C$4:$M$59,9,FALSE)),"0")</f>
        <v>0</v>
      </c>
      <c r="BY17" s="192" t="str">
        <f>IF(AND($C17&lt;&gt;"",$I17&lt;&gt;""),(VLOOKUP($C17,'V-LOOKUP'!$C$4:$M$59,10,FALSE)),"0")</f>
        <v>0</v>
      </c>
      <c r="BZ17" s="192" t="str">
        <f>IF(AND($C17&lt;&gt;"",$I17&lt;&gt;""),(VLOOKUP($C17,'V-LOOKUP'!$C$4:$M$59,11,FALSE)),"0")</f>
        <v>0</v>
      </c>
      <c r="CA17" s="192" t="str">
        <f>IF(AND($C17&lt;&gt;"",$I17&lt;&gt;""),(VLOOKUP($C17,'V-LOOKUP'!$C$4:$N$59,12,FALSE)),"0")</f>
        <v>0</v>
      </c>
      <c r="CB17" s="192" t="str">
        <f>IF(AND($C17&lt;&gt;"",J17&lt;&gt;""),(VLOOKUP($C17,'V-LOOKUP'!$C$4:$M$59,4,FALSE)),"0")</f>
        <v>0</v>
      </c>
      <c r="CC17" s="192" t="str">
        <f>IF(AND($C17&lt;&gt;"",$J17&lt;&gt;""),(VLOOKUP($C17,'V-LOOKUP'!$C$4:$M$59,5,FALSE)),"0")</f>
        <v>0</v>
      </c>
      <c r="CD17" s="192" t="str">
        <f>IF(AND($C17&lt;&gt;"",$J17&lt;&gt;""),(VLOOKUP($C17,'V-LOOKUP'!$C$4:$M$59,6,FALSE)),"0")</f>
        <v>0</v>
      </c>
      <c r="CE17" s="192" t="str">
        <f>IF(AND($C17&lt;&gt;"",$J17&lt;&gt;""),(VLOOKUP($C17,'V-LOOKUP'!$C$4:$M$59,7,FALSE)),"0")</f>
        <v>0</v>
      </c>
      <c r="CF17" s="192" t="str">
        <f>IF(AND($C17&lt;&gt;"",$J17&lt;&gt;""),(VLOOKUP($C17,'V-LOOKUP'!$C$4:$M$59,8,FALSE)),"0")</f>
        <v>0</v>
      </c>
      <c r="CG17" s="192" t="str">
        <f>IF(AND($C17&lt;&gt;"",$J17&lt;&gt;""),(VLOOKUP($C17,'V-LOOKUP'!$C$4:$M$59,9,FALSE)),"0")</f>
        <v>0</v>
      </c>
      <c r="CH17" s="192" t="str">
        <f>IF(AND($C17&lt;&gt;"",$J17&lt;&gt;""),(VLOOKUP($C17,'V-LOOKUP'!$C$4:$M$59,10,FALSE)),"0")</f>
        <v>0</v>
      </c>
      <c r="CI17" s="192" t="str">
        <f>IF(AND($C17&lt;&gt;"",$J17&lt;&gt;""),(VLOOKUP($C17,'V-LOOKUP'!$C$4:$M$59,11,FALSE)),"0")</f>
        <v>0</v>
      </c>
      <c r="CJ17" s="192" t="str">
        <f>IF(AND($C17&lt;&gt;"",$J17&lt;&gt;""),(VLOOKUP($C17,'V-LOOKUP'!$C$4:$N$59,12,FALSE)),"0")</f>
        <v>0</v>
      </c>
      <c r="CK17" s="192" t="str">
        <f>IF(AND($C17&lt;&gt;"",K17&lt;&gt;""),(VLOOKUP($C17,'V-LOOKUP'!$C$4:$M$59,4,FALSE)),"0")</f>
        <v>0</v>
      </c>
      <c r="CL17" s="192" t="str">
        <f>IF(AND($C17&lt;&gt;"",$K17&lt;&gt;""),(VLOOKUP($C17,'V-LOOKUP'!$C$4:$M$59,5,FALSE)),"0")</f>
        <v>0</v>
      </c>
      <c r="CM17" s="192" t="str">
        <f>IF(AND($C17&lt;&gt;"",$K17&lt;&gt;""),(VLOOKUP($C17,'V-LOOKUP'!$C$4:$M$59,6,FALSE)),"0")</f>
        <v>0</v>
      </c>
      <c r="CN17" s="192" t="str">
        <f>IF(AND($C17&lt;&gt;"",$K17&lt;&gt;""),(VLOOKUP($C17,'V-LOOKUP'!$C$4:$M$59,7,FALSE)),"0")</f>
        <v>0</v>
      </c>
      <c r="CO17" s="192" t="str">
        <f>IF(AND($C17&lt;&gt;"",$K17&lt;&gt;""),(VLOOKUP($C17,'V-LOOKUP'!$C$4:$M$59,8,FALSE)),"0")</f>
        <v>0</v>
      </c>
      <c r="CP17" s="192" t="str">
        <f>IF(AND($C17&lt;&gt;"",$K17&lt;&gt;""),(VLOOKUP($C17,'V-LOOKUP'!$C$4:$M$59,9,FALSE)),"0")</f>
        <v>0</v>
      </c>
      <c r="CQ17" s="192" t="str">
        <f>IF(AND($C17&lt;&gt;"",$K17&lt;&gt;""),(VLOOKUP($C17,'V-LOOKUP'!$C$4:$M$59,10,FALSE)),"0")</f>
        <v>0</v>
      </c>
      <c r="CR17" s="192" t="str">
        <f>IF(AND($C17&lt;&gt;"",$K17&lt;&gt;""),(VLOOKUP($C17,'V-LOOKUP'!$C$4:$M$59,11,FALSE)),"0")</f>
        <v>0</v>
      </c>
      <c r="CS17" s="192" t="str">
        <f>IF(AND($C17&lt;&gt;"",$K17&lt;&gt;""),(VLOOKUP($C17,'V-LOOKUP'!$C$4:$N$59,12,FALSE)),"0")</f>
        <v>0</v>
      </c>
      <c r="CT17" s="192" t="str">
        <f>IF(AND($C17&lt;&gt;"",L17&lt;&gt;""),(VLOOKUP($C17,'V-LOOKUP'!$C$4:$M$59,4,FALSE)),"0")</f>
        <v>0</v>
      </c>
      <c r="CU17" s="192" t="str">
        <f>IF(AND($C17&lt;&gt;"",$L17&lt;&gt;""),(VLOOKUP($C17,'V-LOOKUP'!$C$4:$M$59,5,FALSE)),"0")</f>
        <v>0</v>
      </c>
      <c r="CV17" s="192" t="str">
        <f>IF(AND($C17&lt;&gt;"",$L17&lt;&gt;""),(VLOOKUP($C17,'V-LOOKUP'!$C$4:$M$59,6,FALSE)),"0")</f>
        <v>0</v>
      </c>
      <c r="CW17" s="192" t="str">
        <f>IF(AND($C17&lt;&gt;"",$L17&lt;&gt;""),(VLOOKUP($C17,'V-LOOKUP'!$C$4:$M$59,7,FALSE)),"0")</f>
        <v>0</v>
      </c>
      <c r="CX17" s="192" t="str">
        <f>IF(AND($C17&lt;&gt;"",$L17&lt;&gt;""),(VLOOKUP($C17,'V-LOOKUP'!$C$4:$M$59,8,FALSE)),"0")</f>
        <v>0</v>
      </c>
      <c r="CY17" s="192" t="str">
        <f>IF(AND($C17&lt;&gt;"",$L17&lt;&gt;""),(VLOOKUP($C17,'V-LOOKUP'!$C$4:$M$59,9,FALSE)),"0")</f>
        <v>0</v>
      </c>
      <c r="CZ17" s="192" t="str">
        <f>IF(AND($C17&lt;&gt;"",$L17&lt;&gt;""),(VLOOKUP($C17,'V-LOOKUP'!$C$4:$M$59,10,FALSE)),"0")</f>
        <v>0</v>
      </c>
      <c r="DA17" s="192" t="str">
        <f>IF(AND($C17&lt;&gt;"",$L17&lt;&gt;""),(VLOOKUP($C17,'V-LOOKUP'!$C$4:$M$59,11,FALSE)),"0")</f>
        <v>0</v>
      </c>
      <c r="DB17" s="192" t="str">
        <f>IF(AND($C17&lt;&gt;"",$L17&lt;&gt;""),(VLOOKUP($C17,'V-LOOKUP'!$C$4:$N$59,12,FALSE)),"0")</f>
        <v>0</v>
      </c>
      <c r="DC17" s="192" t="str">
        <f>IF(AND($C17&lt;&gt;"",M17&lt;&gt;""),(VLOOKUP($C17,'V-LOOKUP'!$C$4:$M$59,4,FALSE)),"0")</f>
        <v>0</v>
      </c>
      <c r="DD17" s="192" t="str">
        <f>IF(AND($C17&lt;&gt;"",$M17&lt;&gt;""),(VLOOKUP($C17,'V-LOOKUP'!$C$4:$M$59,5,FALSE)),"0")</f>
        <v>0</v>
      </c>
      <c r="DE17" s="192" t="str">
        <f>IF(AND($C17&lt;&gt;"",$M17&lt;&gt;""),(VLOOKUP($C17,'V-LOOKUP'!$C$4:$M$59,6,FALSE)),"0")</f>
        <v>0</v>
      </c>
      <c r="DF17" s="192" t="str">
        <f>IF(AND($C17&lt;&gt;"",$M17&lt;&gt;""),(VLOOKUP($C17,'V-LOOKUP'!$C$4:$M$59,7,FALSE)),"0")</f>
        <v>0</v>
      </c>
      <c r="DG17" s="192" t="str">
        <f>IF(AND($C17&lt;&gt;"",$M17&lt;&gt;""),(VLOOKUP($C17,'V-LOOKUP'!$C$4:$M$59,8,FALSE)),"0")</f>
        <v>0</v>
      </c>
      <c r="DH17" s="192" t="str">
        <f>IF(AND($C17&lt;&gt;"",$M17&lt;&gt;""),(VLOOKUP($C17,'V-LOOKUP'!$C$4:$M$59,9,FALSE)),"0")</f>
        <v>0</v>
      </c>
      <c r="DI17" s="192" t="str">
        <f>IF(AND($C17&lt;&gt;"",$M17&lt;&gt;""),(VLOOKUP($C17,'V-LOOKUP'!$C$4:$M$59,10,FALSE)),"0")</f>
        <v>0</v>
      </c>
      <c r="DJ17" s="192" t="str">
        <f>IF(AND($C17&lt;&gt;"",$M17&lt;&gt;""),(VLOOKUP($C17,'V-LOOKUP'!$C$4:$M$59,11,FALSE)),"0")</f>
        <v>0</v>
      </c>
      <c r="DK17" s="192" t="str">
        <f>IF(AND($C17&lt;&gt;"",$M17&lt;&gt;""),(VLOOKUP($C17,'V-LOOKUP'!$C$4:$N$59,12,FALSE)),"0")</f>
        <v>0</v>
      </c>
      <c r="DL17" s="192" t="str">
        <f>IF(AND($C17&lt;&gt;"",$N17&lt;&gt;""),(VLOOKUP($C17,'V-LOOKUP'!$C$4:$M$59,4,FALSE)),"0")</f>
        <v>0</v>
      </c>
      <c r="DM17" s="192" t="str">
        <f>IF(AND($C17&lt;&gt;"",$N17&lt;&gt;""),(VLOOKUP($C17,'V-LOOKUP'!$C$4:$M$59,5,FALSE)),"0")</f>
        <v>0</v>
      </c>
      <c r="DN17" s="192" t="str">
        <f>IF(AND($C17&lt;&gt;"",$N17&lt;&gt;""),(VLOOKUP($C17,'V-LOOKUP'!$C$4:$M$59,6,FALSE)),"0")</f>
        <v>0</v>
      </c>
      <c r="DO17" s="192" t="str">
        <f>IF(AND($C17&lt;&gt;"",$N17&lt;&gt;""),(VLOOKUP($C17,'V-LOOKUP'!$C$4:$M$59,7,FALSE)),"0")</f>
        <v>0</v>
      </c>
      <c r="DP17" s="192" t="str">
        <f>IF(AND($C17&lt;&gt;"",$N17&lt;&gt;""),(VLOOKUP($C17,'V-LOOKUP'!$C$4:$M$59,8,FALSE)),"0")</f>
        <v>0</v>
      </c>
      <c r="DQ17" s="192" t="str">
        <f>IF(AND($C17&lt;&gt;"",$N17&lt;&gt;""),(VLOOKUP($C17,'V-LOOKUP'!$C$4:$M$59,9,FALSE)),"0")</f>
        <v>0</v>
      </c>
      <c r="DR17" s="192" t="str">
        <f>IF(AND($C17&lt;&gt;"",$N17&lt;&gt;""),(VLOOKUP($C17,'V-LOOKUP'!$C$4:$M$59,10,FALSE)),"0")</f>
        <v>0</v>
      </c>
      <c r="DS17" s="192" t="str">
        <f>IF(AND($C17&lt;&gt;"",$N17&lt;&gt;""),(VLOOKUP($C17,'V-LOOKUP'!$C$4:$M$59,11,FALSE)),"0")</f>
        <v>0</v>
      </c>
      <c r="DT17" s="192" t="str">
        <f>IF(AND($C17&lt;&gt;"",$N17&lt;&gt;""),(VLOOKUP($C17,'V-LOOKUP'!$C$4:$N$59,12,FALSE)),"0")</f>
        <v>0</v>
      </c>
      <c r="DU17" s="192" t="str">
        <f>IF(AND($C17&lt;&gt;"",O17&lt;&gt;""),(VLOOKUP($C17,'V-LOOKUP'!$C$4:$M$59,4,FALSE)),"0")</f>
        <v>0</v>
      </c>
      <c r="DV17" s="192" t="str">
        <f>IF(AND($C17&lt;&gt;"",$O17&lt;&gt;""),(VLOOKUP($C17,'V-LOOKUP'!$C$4:$M$59,5,FALSE)),"0")</f>
        <v>0</v>
      </c>
      <c r="DW17" s="192" t="str">
        <f>IF(AND($C17&lt;&gt;"",$O17&lt;&gt;""),(VLOOKUP($C17,'V-LOOKUP'!$C$4:$M$59,6,FALSE)),"0")</f>
        <v>0</v>
      </c>
      <c r="DX17" s="192" t="str">
        <f>IF(AND($C17&lt;&gt;"",$O17&lt;&gt;""),(VLOOKUP($C17,'V-LOOKUP'!$C$4:$M$59,7,FALSE)),"0")</f>
        <v>0</v>
      </c>
      <c r="DY17" s="192" t="str">
        <f>IF(AND($C17&lt;&gt;"",$O17&lt;&gt;""),(VLOOKUP($C17,'V-LOOKUP'!$C$4:$M$59,8,FALSE)),"0")</f>
        <v>0</v>
      </c>
      <c r="DZ17" s="192" t="str">
        <f>IF(AND($C17&lt;&gt;"",$O17&lt;&gt;""),(VLOOKUP($C17,'V-LOOKUP'!$C$4:$M$59,9,FALSE)),"0")</f>
        <v>0</v>
      </c>
      <c r="EA17" s="192" t="str">
        <f>IF(AND($C17&lt;&gt;"",$O17&lt;&gt;""),(VLOOKUP($C17,'V-LOOKUP'!$C$4:$M$59,10,FALSE)),"0")</f>
        <v>0</v>
      </c>
      <c r="EB17" s="192" t="str">
        <f>IF(AND($C17&lt;&gt;"",$O17&lt;&gt;""),(VLOOKUP($C17,'V-LOOKUP'!$C$4:$M$59,11,FALSE)),"0")</f>
        <v>0</v>
      </c>
      <c r="EC17" s="192" t="str">
        <f>IF(AND($C17&lt;&gt;"",$O17&lt;&gt;""),(VLOOKUP($C17,'V-LOOKUP'!$C$4:$N$59,12,FALSE)),"0")</f>
        <v>0</v>
      </c>
      <c r="ED17" s="192" t="str">
        <f>IF(AND($C17&lt;&gt;"",P17&lt;&gt;""),(VLOOKUP($C17,'V-LOOKUP'!$C$4:$M$59,4,FALSE)),"0")</f>
        <v>0</v>
      </c>
      <c r="EE17" s="192" t="str">
        <f>IF(AND($C17&lt;&gt;"",$P17&lt;&gt;""),(VLOOKUP($C17,'V-LOOKUP'!$C$4:$M$59,5,FALSE)),"0")</f>
        <v>0</v>
      </c>
      <c r="EF17" s="192" t="str">
        <f>IF(AND($C17&lt;&gt;"",$P17&lt;&gt;""),(VLOOKUP($C17,'V-LOOKUP'!$C$4:$M$59,6,FALSE)),"0")</f>
        <v>0</v>
      </c>
      <c r="EG17" s="192" t="str">
        <f>IF(AND($C17&lt;&gt;"",$P17&lt;&gt;""),(VLOOKUP($C17,'V-LOOKUP'!$C$4:$M$59,7,FALSE)),"0")</f>
        <v>0</v>
      </c>
      <c r="EH17" s="192" t="str">
        <f>IF(AND($C17&lt;&gt;"",$P17&lt;&gt;""),(VLOOKUP($C17,'V-LOOKUP'!$C$4:$M$59,8,FALSE)),"0")</f>
        <v>0</v>
      </c>
      <c r="EI17" s="192" t="str">
        <f>IF(AND($C17&lt;&gt;"",$P17&lt;&gt;""),(VLOOKUP($C17,'V-LOOKUP'!$C$4:$M$59,9,FALSE)),"0")</f>
        <v>0</v>
      </c>
      <c r="EJ17" s="192" t="str">
        <f>IF(AND($C17&lt;&gt;"",$P17&lt;&gt;""),(VLOOKUP($C17,'V-LOOKUP'!$C$4:$M$59,10,FALSE)),"0")</f>
        <v>0</v>
      </c>
      <c r="EK17" s="192" t="str">
        <f>IF(AND($C17&lt;&gt;"",$P17&lt;&gt;""),(VLOOKUP($C17,'V-LOOKUP'!$C$4:$M$59,11,FALSE)),"0")</f>
        <v>0</v>
      </c>
      <c r="EL17" s="192" t="str">
        <f>IF(AND($C17&lt;&gt;"",$P17&lt;&gt;""),(VLOOKUP($C17,'V-LOOKUP'!$C$4:$N$59,12,FALSE)),"0")</f>
        <v>0</v>
      </c>
      <c r="EM17" s="192" t="str">
        <f>IF(AND($C17&lt;&gt;"",Q17&lt;&gt;""),(VLOOKUP($C17,'V-LOOKUP'!$C$4:$M$59,4,FALSE)),"0")</f>
        <v>0</v>
      </c>
      <c r="EN17" s="192" t="str">
        <f>IF(AND($C17&lt;&gt;"",$Q17&lt;&gt;""),(VLOOKUP($C17,'V-LOOKUP'!$C$4:$M$59,5,FALSE)),"0")</f>
        <v>0</v>
      </c>
      <c r="EO17" s="192" t="str">
        <f>IF(AND($C17&lt;&gt;"",$Q17&lt;&gt;""),(VLOOKUP($C17,'V-LOOKUP'!$C$4:$M$59,6,FALSE)),"0")</f>
        <v>0</v>
      </c>
      <c r="EP17" s="192" t="str">
        <f>IF(AND($C17&lt;&gt;"",$Q17&lt;&gt;""),(VLOOKUP($C17,'V-LOOKUP'!$C$4:$M$59,7,FALSE)),"0")</f>
        <v>0</v>
      </c>
      <c r="EQ17" s="192" t="str">
        <f>IF(AND($C17&lt;&gt;"",$Q17&lt;&gt;""),(VLOOKUP($C17,'V-LOOKUP'!$C$4:$M$59,8,FALSE)),"0")</f>
        <v>0</v>
      </c>
      <c r="ER17" s="192" t="str">
        <f>IF(AND($C17&lt;&gt;"",$Q17&lt;&gt;""),(VLOOKUP($C17,'V-LOOKUP'!$C$4:$M$59,9,FALSE)),"0")</f>
        <v>0</v>
      </c>
      <c r="ES17" s="192" t="str">
        <f>IF(AND($C17&lt;&gt;"",$Q17&lt;&gt;""),(VLOOKUP($C17,'V-LOOKUP'!$C$4:$M$59,10,FALSE)),"0")</f>
        <v>0</v>
      </c>
      <c r="ET17" s="192" t="str">
        <f>IF(AND($C17&lt;&gt;"",$Q17&lt;&gt;""),(VLOOKUP($C17,'V-LOOKUP'!$C$4:$M$59,11,FALSE)),"0")</f>
        <v>0</v>
      </c>
      <c r="EU17" s="192" t="str">
        <f>IF(AND($C17&lt;&gt;"",$Q17&lt;&gt;""),(VLOOKUP($C17,'V-LOOKUP'!$C$4:$N$59,12,FALSE)),"0")</f>
        <v>0</v>
      </c>
      <c r="EV17" s="192" t="str">
        <f>IF(AND($C17&lt;&gt;"",R17&lt;&gt;""),(VLOOKUP($C17,'V-LOOKUP'!$C$4:$M$59,4,FALSE)),"0")</f>
        <v>0</v>
      </c>
      <c r="EW17" s="192" t="str">
        <f>IF(AND($C17&lt;&gt;"",$R17&lt;&gt;""),(VLOOKUP($C17,'V-LOOKUP'!$C$4:$M$59,5,FALSE)),"0")</f>
        <v>0</v>
      </c>
      <c r="EX17" s="192" t="str">
        <f>IF(AND($C17&lt;&gt;"",$R17&lt;&gt;""),(VLOOKUP($C17,'V-LOOKUP'!$C$4:$M$59,6,FALSE)),"0")</f>
        <v>0</v>
      </c>
      <c r="EY17" s="192" t="str">
        <f>IF(AND($C17&lt;&gt;"",$R17&lt;&gt;""),(VLOOKUP($C17,'V-LOOKUP'!$C$4:$M$59,7,FALSE)),"0")</f>
        <v>0</v>
      </c>
      <c r="EZ17" s="192" t="str">
        <f>IF(AND($C17&lt;&gt;"",$R17&lt;&gt;""),(VLOOKUP($C17,'V-LOOKUP'!$C$4:$M$59,8,FALSE)),"0")</f>
        <v>0</v>
      </c>
      <c r="FA17" s="192" t="str">
        <f>IF(AND($C17&lt;&gt;"",$R17&lt;&gt;""),(VLOOKUP($C17,'V-LOOKUP'!$C$4:$M$59,9,FALSE)),"0")</f>
        <v>0</v>
      </c>
      <c r="FB17" s="192" t="str">
        <f>IF(AND($C17&lt;&gt;"",$R17&lt;&gt;""),(VLOOKUP($C17,'V-LOOKUP'!$C$4:$M$59,10,FALSE)),"0")</f>
        <v>0</v>
      </c>
      <c r="FC17" s="192" t="str">
        <f>IF(AND($C17&lt;&gt;"",$R17&lt;&gt;""),(VLOOKUP($C17,'V-LOOKUP'!$C$4:$M$59,11,FALSE)),"0")</f>
        <v>0</v>
      </c>
      <c r="FD17" s="192" t="str">
        <f>IF(AND($C17&lt;&gt;"",$R17&lt;&gt;""),(VLOOKUP($C17,'V-LOOKUP'!$C$4:$N$59,12,FALSE)),"0")</f>
        <v>0</v>
      </c>
      <c r="FE17" s="192" t="str">
        <f>IF(AND($C17&lt;&gt;"",S17&lt;&gt;""),(VLOOKUP($C17,'V-LOOKUP'!$C$4:$M$59,4,FALSE)),"0")</f>
        <v>0</v>
      </c>
      <c r="FF17" s="192" t="str">
        <f>IF(AND($C17&lt;&gt;"",$S17&lt;&gt;""),(VLOOKUP($C17,'V-LOOKUP'!$C$4:$M$59,5,FALSE)),"0")</f>
        <v>0</v>
      </c>
      <c r="FG17" s="192" t="str">
        <f>IF(AND($C17&lt;&gt;"",$S17&lt;&gt;""),(VLOOKUP($C17,'V-LOOKUP'!$C$4:$M$59,6,FALSE)),"0")</f>
        <v>0</v>
      </c>
      <c r="FH17" s="192" t="str">
        <f>IF(AND($C17&lt;&gt;"",$S17&lt;&gt;""),(VLOOKUP($C17,'V-LOOKUP'!$C$4:$M$59,7,FALSE)),"0")</f>
        <v>0</v>
      </c>
      <c r="FI17" s="192" t="str">
        <f>IF(AND($C17&lt;&gt;"",$S17&lt;&gt;""),(VLOOKUP($C17,'V-LOOKUP'!$C$4:$M$59,8,FALSE)),"0")</f>
        <v>0</v>
      </c>
      <c r="FJ17" s="192" t="str">
        <f>IF(AND($C17&lt;&gt;"",$S17&lt;&gt;""),(VLOOKUP($C17,'V-LOOKUP'!$C$4:$M$59,9,FALSE)),"0")</f>
        <v>0</v>
      </c>
      <c r="FK17" s="192" t="str">
        <f>IF(AND($C17&lt;&gt;"",$S17&lt;&gt;""),(VLOOKUP($C17,'V-LOOKUP'!$C$4:$M$59,10,FALSE)),"0")</f>
        <v>0</v>
      </c>
      <c r="FL17" s="192" t="str">
        <f>IF(AND($C17&lt;&gt;"",$S17&lt;&gt;""),(VLOOKUP($C17,'V-LOOKUP'!$C$4:$M$59,11,FALSE)),"0")</f>
        <v>0</v>
      </c>
      <c r="FM17" s="192" t="str">
        <f>IF(AND($C17&lt;&gt;"",$S17&lt;&gt;""),(VLOOKUP($C17,'V-LOOKUP'!$C$4:$N$59,12,FALSE)),"0")</f>
        <v>0</v>
      </c>
      <c r="FN17" s="192" t="str">
        <f>IF(AND($C17&lt;&gt;"",T17&lt;&gt;""),(VLOOKUP($C17,'V-LOOKUP'!$C$4:$M$59,4,FALSE)),"0")</f>
        <v>0</v>
      </c>
      <c r="FO17" s="192" t="str">
        <f>IF(AND($C17&lt;&gt;"",$T17&lt;&gt;""),(VLOOKUP($C17,'V-LOOKUP'!$C$4:$M$59,5,FALSE)),"0")</f>
        <v>0</v>
      </c>
      <c r="FP17" s="192" t="str">
        <f>IF(AND($C17&lt;&gt;"",$T17&lt;&gt;""),(VLOOKUP($C17,'V-LOOKUP'!$C$4:$M$59,6,FALSE)),"0")</f>
        <v>0</v>
      </c>
      <c r="FQ17" s="192" t="str">
        <f>IF(AND($C17&lt;&gt;"",$T17&lt;&gt;""),(VLOOKUP($C17,'V-LOOKUP'!$C$4:$M$59,7,FALSE)),"0")</f>
        <v>0</v>
      </c>
      <c r="FR17" s="192" t="str">
        <f>IF(AND($C17&lt;&gt;"",$T17&lt;&gt;""),(VLOOKUP($C17,'V-LOOKUP'!$C$4:$M$59,8,FALSE)),"0")</f>
        <v>0</v>
      </c>
      <c r="FS17" s="192" t="str">
        <f>IF(AND($C17&lt;&gt;"",$T17&lt;&gt;""),(VLOOKUP($C17,'V-LOOKUP'!$C$4:$M$59,9,FALSE)),"0")</f>
        <v>0</v>
      </c>
      <c r="FT17" s="192" t="str">
        <f>IF(AND($C17&lt;&gt;"",$T17&lt;&gt;""),(VLOOKUP($C17,'V-LOOKUP'!$C$4:$M$59,10,FALSE)),"0")</f>
        <v>0</v>
      </c>
      <c r="FU17" s="192" t="str">
        <f>IF(AND($C17&lt;&gt;"",$T17&lt;&gt;""),(VLOOKUP($C17,'V-LOOKUP'!$C$4:$M$59,11,FALSE)),"0")</f>
        <v>0</v>
      </c>
      <c r="FV17" s="192" t="str">
        <f>IF(AND($C17&lt;&gt;"",$T17&lt;&gt;""),(VLOOKUP($C17,'V-LOOKUP'!$C$4:$N$59,12,FALSE)),"0")</f>
        <v>0</v>
      </c>
      <c r="FW17" s="192" t="str">
        <f>IF(AND($C17&lt;&gt;"",U17&lt;&gt;""),(VLOOKUP($C17,'V-LOOKUP'!$C$4:$M$59,4,FALSE)),"0")</f>
        <v>0</v>
      </c>
      <c r="FX17" s="192" t="str">
        <f>IF(AND($C17&lt;&gt;"",$U17&lt;&gt;""),(VLOOKUP($C17,'V-LOOKUP'!$C$4:$M$59,5,FALSE)),"0")</f>
        <v>0</v>
      </c>
      <c r="FY17" s="192" t="str">
        <f>IF(AND($C17&lt;&gt;"",$U17&lt;&gt;""),(VLOOKUP($C17,'V-LOOKUP'!$C$4:$M$59,6,FALSE)),"0")</f>
        <v>0</v>
      </c>
      <c r="FZ17" s="192" t="str">
        <f>IF(AND($C17&lt;&gt;"",$U17&lt;&gt;""),(VLOOKUP($C17,'V-LOOKUP'!$C$4:$M$59,7,FALSE)),"0")</f>
        <v>0</v>
      </c>
      <c r="GA17" s="192" t="str">
        <f>IF(AND($C17&lt;&gt;"",$U17&lt;&gt;""),(VLOOKUP($C17,'V-LOOKUP'!$C$4:$M$59,8,FALSE)),"0")</f>
        <v>0</v>
      </c>
      <c r="GB17" s="192" t="str">
        <f>IF(AND($C17&lt;&gt;"",$U17&lt;&gt;""),(VLOOKUP($C17,'V-LOOKUP'!$C$4:$M$59,9,FALSE)),"0")</f>
        <v>0</v>
      </c>
      <c r="GC17" s="192" t="str">
        <f>IF(AND($C17&lt;&gt;"",$U17&lt;&gt;""),(VLOOKUP($C17,'V-LOOKUP'!$C$4:$M$59,10,FALSE)),"0")</f>
        <v>0</v>
      </c>
      <c r="GD17" s="192" t="str">
        <f>IF(AND($C17&lt;&gt;"",$U17&lt;&gt;""),(VLOOKUP($C17,'V-LOOKUP'!$C$4:$M$59,11,FALSE)),"0")</f>
        <v>0</v>
      </c>
      <c r="GE17" s="192" t="str">
        <f>IF(AND($C17&lt;&gt;"",$U17&lt;&gt;""),(VLOOKUP($C17,'V-LOOKUP'!$C$4:$N$59,12,FALSE)),"0")</f>
        <v>0</v>
      </c>
      <c r="GF17" s="192" t="str">
        <f>IF(AND($C17&lt;&gt;"",V17&lt;&gt;""),(VLOOKUP($C17,'V-LOOKUP'!$C$4:$M$59,4,FALSE)),"0")</f>
        <v>0</v>
      </c>
      <c r="GG17" s="192" t="str">
        <f>IF(AND($C17&lt;&gt;"",$V17&lt;&gt;""),(VLOOKUP($C17,'V-LOOKUP'!$C$4:$M$59,5,FALSE)),"0")</f>
        <v>0</v>
      </c>
      <c r="GH17" s="192" t="str">
        <f>IF(AND($C17&lt;&gt;"",$V17&lt;&gt;""),(VLOOKUP($C17,'V-LOOKUP'!$C$4:$M$59,6,FALSE)),"0")</f>
        <v>0</v>
      </c>
      <c r="GI17" s="192" t="str">
        <f>IF(AND($C17&lt;&gt;"",$V17&lt;&gt;""),(VLOOKUP($C17,'V-LOOKUP'!$C$4:$M$59,7,FALSE)),"0")</f>
        <v>0</v>
      </c>
      <c r="GJ17" s="192" t="str">
        <f>IF(AND($C17&lt;&gt;"",$V17&lt;&gt;""),(VLOOKUP($C17,'V-LOOKUP'!$C$4:$M$59,8,FALSE)),"0")</f>
        <v>0</v>
      </c>
      <c r="GK17" s="192" t="str">
        <f>IF(AND($C17&lt;&gt;"",$V17&lt;&gt;""),(VLOOKUP($C17,'V-LOOKUP'!$C$4:$M$59,9,FALSE)),"0")</f>
        <v>0</v>
      </c>
      <c r="GL17" s="192" t="str">
        <f>IF(AND($C17&lt;&gt;"",$V17&lt;&gt;""),(VLOOKUP($C17,'V-LOOKUP'!$C$4:$M$59,10,FALSE)),"0")</f>
        <v>0</v>
      </c>
      <c r="GM17" s="192" t="str">
        <f>IF(AND($C17&lt;&gt;"",$V17&lt;&gt;""),(VLOOKUP($C17,'V-LOOKUP'!$C$4:$M$59,11,FALSE)),"0")</f>
        <v>0</v>
      </c>
      <c r="GN17" s="192" t="str">
        <f>IF(AND($C17&lt;&gt;"",$V17&lt;&gt;""),(VLOOKUP($C17,'V-LOOKUP'!$C$4:$N$59,12,FALSE)),"0")</f>
        <v>0</v>
      </c>
      <c r="GO17" s="192" t="str">
        <f>IF(AND($C17&lt;&gt;"",W17&lt;&gt;""),(VLOOKUP($C17,'V-LOOKUP'!$C$4:$M$59,4,FALSE)),"0")</f>
        <v>0</v>
      </c>
      <c r="GP17" s="192" t="str">
        <f>IF(AND($C17&lt;&gt;"",$W17&lt;&gt;""),(VLOOKUP($C17,'V-LOOKUP'!$C$4:$M$59,5,FALSE)),"0")</f>
        <v>0</v>
      </c>
      <c r="GQ17" s="192" t="str">
        <f>IF(AND($C17&lt;&gt;"",$W17&lt;&gt;""),(VLOOKUP($C17,'V-LOOKUP'!$C$4:$M$59,6,FALSE)),"0")</f>
        <v>0</v>
      </c>
      <c r="GR17" s="192" t="str">
        <f>IF(AND($C17&lt;&gt;"",$W17&lt;&gt;""),(VLOOKUP($C17,'V-LOOKUP'!$C$4:$M$59,7,FALSE)),"0")</f>
        <v>0</v>
      </c>
      <c r="GS17" s="192" t="str">
        <f>IF(AND($C17&lt;&gt;"",$W17&lt;&gt;""),(VLOOKUP($C17,'V-LOOKUP'!$C$4:$M$59,8,FALSE)),"0")</f>
        <v>0</v>
      </c>
      <c r="GT17" s="192" t="str">
        <f>IF(AND($C17&lt;&gt;"",$W17&lt;&gt;""),(VLOOKUP($C17,'V-LOOKUP'!$C$4:$M$59,9,FALSE)),"0")</f>
        <v>0</v>
      </c>
      <c r="GU17" s="192" t="str">
        <f>IF(AND($C17&lt;&gt;"",$W17&lt;&gt;""),(VLOOKUP($C17,'V-LOOKUP'!$C$4:$M$59,10,FALSE)),"0")</f>
        <v>0</v>
      </c>
      <c r="GV17" s="192" t="str">
        <f>IF(AND($C17&lt;&gt;"",$W17&lt;&gt;""),(VLOOKUP($C17,'V-LOOKUP'!$C$4:$M$59,11,FALSE)),"0")</f>
        <v>0</v>
      </c>
      <c r="GW17" s="192" t="str">
        <f>IF(AND($C17&lt;&gt;"",$W17&lt;&gt;""),(VLOOKUP($C17,'V-LOOKUP'!$C$4:$N$59,12,FALSE)),"0")</f>
        <v>0</v>
      </c>
    </row>
    <row r="18" spans="1:205" ht="14.65" hidden="1" customHeight="1">
      <c r="A18" s="193"/>
      <c r="B18" s="245"/>
      <c r="C18" s="201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Y18" s="190"/>
      <c r="Z18" s="192" t="str">
        <f>IF(AND($C18&lt;&gt;"",$D18&lt;&gt;""),(VLOOKUP($C18,'V-LOOKUP'!$C$4:$M$59,4,FALSE)),"0")</f>
        <v>0</v>
      </c>
      <c r="AA18" s="192" t="str">
        <f>IF(AND($C18&lt;&gt;"",$D18&lt;&gt;""),(VLOOKUP($C18,'V-LOOKUP'!$C$4:$M$59,5,FALSE)),"0")</f>
        <v>0</v>
      </c>
      <c r="AB18" s="192" t="str">
        <f>IF(AND($C18&lt;&gt;"",$D18&lt;&gt;""),(VLOOKUP($C18,'V-LOOKUP'!$C$4:$M$59,6,FALSE)),"0")</f>
        <v>0</v>
      </c>
      <c r="AC18" s="192" t="str">
        <f>IF(AND($C18&lt;&gt;"",$D18&lt;&gt;""),(VLOOKUP($C18,'V-LOOKUP'!$C$4:$M$59,7,FALSE)),"0")</f>
        <v>0</v>
      </c>
      <c r="AD18" s="192" t="str">
        <f>IF(AND($C18&lt;&gt;"",$D18&lt;&gt;""),(VLOOKUP($C18,'V-LOOKUP'!$C$4:$M$59,8,FALSE)),"0")</f>
        <v>0</v>
      </c>
      <c r="AE18" s="192" t="str">
        <f>IF(AND($C18&lt;&gt;"",$D18&lt;&gt;""),(VLOOKUP($C18,'V-LOOKUP'!$C$4:$M$59,9,FALSE)),"0")</f>
        <v>0</v>
      </c>
      <c r="AF18" s="192" t="str">
        <f>IF(AND($C18&lt;&gt;"",$D18&lt;&gt;""),(VLOOKUP($C18,'V-LOOKUP'!$C$4:$M$59,10,FALSE)),"0")</f>
        <v>0</v>
      </c>
      <c r="AG18" s="192" t="str">
        <f>IF(AND($C18&lt;&gt;"",$D18&lt;&gt;""),(VLOOKUP($C18,'V-LOOKUP'!$C$4:$M$59,11,FALSE)),"0")</f>
        <v>0</v>
      </c>
      <c r="AH18" s="192" t="str">
        <f>IF(AND($C18&lt;&gt;"",$D18&lt;&gt;""),(VLOOKUP($C18,'V-LOOKUP'!$C$4:$N$59,12,FALSE)),"0")</f>
        <v>0</v>
      </c>
      <c r="AI18" s="192" t="str">
        <f>IF(AND($C18&lt;&gt;"",E18&lt;&gt;""),(VLOOKUP($C18,'V-LOOKUP'!$C$4:$M$59,4,FALSE)),"0")</f>
        <v>0</v>
      </c>
      <c r="AJ18" s="192" t="str">
        <f>IF(AND($C18&lt;&gt;"",$E18&lt;&gt;""),(VLOOKUP($C18,'V-LOOKUP'!$C$4:$M$59,5,FALSE)),"0")</f>
        <v>0</v>
      </c>
      <c r="AK18" s="192" t="str">
        <f>IF(AND($C18&lt;&gt;"",$E18&lt;&gt;""),(VLOOKUP($C18,'V-LOOKUP'!$C$4:$M$59,6,FALSE)),"0")</f>
        <v>0</v>
      </c>
      <c r="AL18" s="192" t="str">
        <f>IF(AND($C18&lt;&gt;"",$E18&lt;&gt;""),(VLOOKUP($C18,'V-LOOKUP'!$C$4:$M$59,7,FALSE)),"0")</f>
        <v>0</v>
      </c>
      <c r="AM18" s="192" t="str">
        <f>IF(AND($C18&lt;&gt;"",$E18&lt;&gt;""),(VLOOKUP($C18,'V-LOOKUP'!$C$4:$M$59,8,FALSE)),"0")</f>
        <v>0</v>
      </c>
      <c r="AN18" s="192" t="str">
        <f>IF(AND($C18&lt;&gt;"",$E18&lt;&gt;""),(VLOOKUP($C18,'V-LOOKUP'!$C$4:$M$59,9,FALSE)),"0")</f>
        <v>0</v>
      </c>
      <c r="AO18" s="192" t="str">
        <f>IF(AND($C18&lt;&gt;"",$E18&lt;&gt;""),(VLOOKUP($C18,'V-LOOKUP'!$C$4:$M$59,10,FALSE)),"0")</f>
        <v>0</v>
      </c>
      <c r="AP18" s="192" t="str">
        <f>IF(AND($C18&lt;&gt;"",$E18&lt;&gt;""),(VLOOKUP($C18,'V-LOOKUP'!$C$4:$M$59,11,FALSE)),"0")</f>
        <v>0</v>
      </c>
      <c r="AQ18" s="192" t="str">
        <f>IF(AND($C18&lt;&gt;"",$E18&lt;&gt;""),(VLOOKUP($C18,'V-LOOKUP'!$C$4:$N$59,12,FALSE)),"0")</f>
        <v>0</v>
      </c>
      <c r="AR18" s="192" t="str">
        <f>IF(AND($C18&lt;&gt;"",$F18&lt;&gt;""),(VLOOKUP($C18,'V-LOOKUP'!$C$4:$M$59,4,FALSE)),"0")</f>
        <v>0</v>
      </c>
      <c r="AS18" s="192" t="str">
        <f>IF(AND($C18&lt;&gt;"",$F18&lt;&gt;""),(VLOOKUP($C18,'V-LOOKUP'!$C$4:$M$59,5,FALSE)),"0")</f>
        <v>0</v>
      </c>
      <c r="AT18" s="192" t="str">
        <f>IF(AND($C18&lt;&gt;"",$F18&lt;&gt;""),(VLOOKUP($C18,'V-LOOKUP'!$C$4:$M$59,6,FALSE)),"0")</f>
        <v>0</v>
      </c>
      <c r="AU18" s="192" t="str">
        <f>IF(AND($C18&lt;&gt;"",$F18&lt;&gt;""),(VLOOKUP($C18,'V-LOOKUP'!$C$4:$M$59,7,FALSE)),"0")</f>
        <v>0</v>
      </c>
      <c r="AV18" s="192" t="str">
        <f>IF(AND($C18&lt;&gt;"",$F18&lt;&gt;""),(VLOOKUP($C18,'V-LOOKUP'!$C$4:$M$59,8,FALSE)),"0")</f>
        <v>0</v>
      </c>
      <c r="AW18" s="192" t="str">
        <f>IF(AND($C18&lt;&gt;"",$F18&lt;&gt;""),(VLOOKUP($C18,'V-LOOKUP'!$C$4:$M$59,9,FALSE)),"0")</f>
        <v>0</v>
      </c>
      <c r="AX18" s="192" t="str">
        <f>IF(AND($C18&lt;&gt;"",$F18&lt;&gt;""),(VLOOKUP($C18,'V-LOOKUP'!$C$4:$M$59,10,FALSE)),"0")</f>
        <v>0</v>
      </c>
      <c r="AY18" s="192" t="str">
        <f>IF(AND($C18&lt;&gt;"",$F18&lt;&gt;""),(VLOOKUP($C18,'V-LOOKUP'!$C$4:$M$59,11,FALSE)),"0")</f>
        <v>0</v>
      </c>
      <c r="AZ18" s="192" t="str">
        <f>IF(AND($C18&lt;&gt;"",$F18&lt;&gt;""),(VLOOKUP($C18,'V-LOOKUP'!$C$4:$N$59,12,FALSE)),"0")</f>
        <v>0</v>
      </c>
      <c r="BA18" s="192" t="str">
        <f>IF(AND($C18&lt;&gt;"",G18&lt;&gt;""),(VLOOKUP($C18,'V-LOOKUP'!$C$4:$M$59,4,FALSE)),"0")</f>
        <v>0</v>
      </c>
      <c r="BB18" s="192" t="str">
        <f>IF(AND($C18&lt;&gt;"",$G18&lt;&gt;""),(VLOOKUP($C18,'V-LOOKUP'!$C$4:$M$59,5,FALSE)),"0")</f>
        <v>0</v>
      </c>
      <c r="BC18" s="192" t="str">
        <f>IF(AND($C18&lt;&gt;"",$G18&lt;&gt;""),(VLOOKUP($C18,'V-LOOKUP'!$C$4:$M$59,6,FALSE)),"0")</f>
        <v>0</v>
      </c>
      <c r="BD18" s="192" t="str">
        <f>IF(AND($C18&lt;&gt;"",$G18&lt;&gt;""),(VLOOKUP($C18,'V-LOOKUP'!$C$4:$M$59,7,FALSE)),"0")</f>
        <v>0</v>
      </c>
      <c r="BE18" s="192" t="str">
        <f>IF(AND($C18&lt;&gt;"",$G18&lt;&gt;""),(VLOOKUP($C18,'V-LOOKUP'!$C$4:$M$59,8,FALSE)),"0")</f>
        <v>0</v>
      </c>
      <c r="BF18" s="192" t="str">
        <f>IF(AND($C18&lt;&gt;"",$G18&lt;&gt;""),(VLOOKUP($C18,'V-LOOKUP'!$C$4:$M$59,9,FALSE)),"0")</f>
        <v>0</v>
      </c>
      <c r="BG18" s="192" t="str">
        <f>IF(AND($C18&lt;&gt;"",$G18&lt;&gt;""),(VLOOKUP($C18,'V-LOOKUP'!$C$4:$M$59,10,FALSE)),"0")</f>
        <v>0</v>
      </c>
      <c r="BH18" s="192" t="str">
        <f>IF(AND($C18&lt;&gt;"",$G18&lt;&gt;""),(VLOOKUP($C18,'V-LOOKUP'!$C$4:$M$59,11,FALSE)),"0")</f>
        <v>0</v>
      </c>
      <c r="BI18" s="192" t="str">
        <f>IF(AND($C18&lt;&gt;"",$G18&lt;&gt;""),(VLOOKUP($C18,'V-LOOKUP'!$C$4:$N$59,12,FALSE)),"0")</f>
        <v>0</v>
      </c>
      <c r="BJ18" s="192" t="str">
        <f>IF(AND($C18&lt;&gt;"",H18&lt;&gt;""),(VLOOKUP($C18,'V-LOOKUP'!$C$4:$M$59,4,FALSE)),"0")</f>
        <v>0</v>
      </c>
      <c r="BK18" s="192" t="str">
        <f>IF(AND($C18&lt;&gt;"",$G18&lt;&gt;""),(VLOOKUP($C18,'V-LOOKUP'!$C$4:$M$59,5,FALSE)),"0")</f>
        <v>0</v>
      </c>
      <c r="BL18" s="192" t="str">
        <f>IF(AND($C18&lt;&gt;"",$H18&lt;&gt;""),(VLOOKUP($C18,'V-LOOKUP'!$C$4:$M$59,6,FALSE)),"0")</f>
        <v>0</v>
      </c>
      <c r="BM18" s="192" t="str">
        <f>IF(AND($C18&lt;&gt;"",$H18&lt;&gt;""),(VLOOKUP($C18,'V-LOOKUP'!$C$4:$M$59,7,FALSE)),"0")</f>
        <v>0</v>
      </c>
      <c r="BN18" s="192" t="str">
        <f>IF(AND($C18&lt;&gt;"",$H18&lt;&gt;""),(VLOOKUP($C18,'V-LOOKUP'!$C$4:$M$59,8,FALSE)),"0")</f>
        <v>0</v>
      </c>
      <c r="BO18" s="192" t="str">
        <f>IF(AND($C18&lt;&gt;"",$H18&lt;&gt;""),(VLOOKUP($C18,'V-LOOKUP'!$C$4:$M$59,9,FALSE)),"0")</f>
        <v>0</v>
      </c>
      <c r="BP18" s="192" t="str">
        <f>IF(AND($C18&lt;&gt;"",$H18&lt;&gt;""),(VLOOKUP($C18,'V-LOOKUP'!$C$4:$M$59,10,FALSE)),"0")</f>
        <v>0</v>
      </c>
      <c r="BQ18" s="192" t="str">
        <f>IF(AND($C18&lt;&gt;"",$H18&lt;&gt;""),(VLOOKUP($C18,'V-LOOKUP'!$C$4:$M$59,11,FALSE)),"0")</f>
        <v>0</v>
      </c>
      <c r="BR18" s="192" t="str">
        <f>IF(AND($C18&lt;&gt;"",$H18&lt;&gt;""),(VLOOKUP($C18,'V-LOOKUP'!$C$4:$N$59,12,FALSE)),"0")</f>
        <v>0</v>
      </c>
      <c r="BS18" s="192" t="str">
        <f>IF(AND($C18&lt;&gt;"",I18&lt;&gt;""),(VLOOKUP($C18,'V-LOOKUP'!$C$4:$M$59,4,FALSE)),"0")</f>
        <v>0</v>
      </c>
      <c r="BT18" s="192" t="str">
        <f>IF(AND($C18&lt;&gt;"",$I18&lt;&gt;""),(VLOOKUP($C18,'V-LOOKUP'!$C$4:$M$59,5,FALSE)),"0")</f>
        <v>0</v>
      </c>
      <c r="BU18" s="192" t="str">
        <f>IF(AND($C18&lt;&gt;"",$I18&lt;&gt;""),(VLOOKUP($C18,'V-LOOKUP'!$C$4:$M$59,6,FALSE)),"0")</f>
        <v>0</v>
      </c>
      <c r="BV18" s="192" t="str">
        <f>IF(AND($C18&lt;&gt;"",$I18&lt;&gt;""),(VLOOKUP($C18,'V-LOOKUP'!$C$4:$M$59,7,FALSE)),"0")</f>
        <v>0</v>
      </c>
      <c r="BW18" s="192" t="str">
        <f>IF(AND($C18&lt;&gt;"",$I18&lt;&gt;""),(VLOOKUP($C18,'V-LOOKUP'!$C$4:$M$59,8,FALSE)),"0")</f>
        <v>0</v>
      </c>
      <c r="BX18" s="192" t="str">
        <f>IF(AND($C18&lt;&gt;"",$I18&lt;&gt;""),(VLOOKUP($C18,'V-LOOKUP'!$C$4:$M$59,9,FALSE)),"0")</f>
        <v>0</v>
      </c>
      <c r="BY18" s="192" t="str">
        <f>IF(AND($C18&lt;&gt;"",$I18&lt;&gt;""),(VLOOKUP($C18,'V-LOOKUP'!$C$4:$M$59,10,FALSE)),"0")</f>
        <v>0</v>
      </c>
      <c r="BZ18" s="192" t="str">
        <f>IF(AND($C18&lt;&gt;"",$I18&lt;&gt;""),(VLOOKUP($C18,'V-LOOKUP'!$C$4:$M$59,11,FALSE)),"0")</f>
        <v>0</v>
      </c>
      <c r="CA18" s="192" t="str">
        <f>IF(AND($C18&lt;&gt;"",$I18&lt;&gt;""),(VLOOKUP($C18,'V-LOOKUP'!$C$4:$N$59,12,FALSE)),"0")</f>
        <v>0</v>
      </c>
      <c r="CB18" s="192" t="str">
        <f>IF(AND($C18&lt;&gt;"",J18&lt;&gt;""),(VLOOKUP($C18,'V-LOOKUP'!$C$4:$M$59,4,FALSE)),"0")</f>
        <v>0</v>
      </c>
      <c r="CC18" s="192" t="str">
        <f>IF(AND($C18&lt;&gt;"",$J18&lt;&gt;""),(VLOOKUP($C18,'V-LOOKUP'!$C$4:$M$59,5,FALSE)),"0")</f>
        <v>0</v>
      </c>
      <c r="CD18" s="192" t="str">
        <f>IF(AND($C18&lt;&gt;"",$J18&lt;&gt;""),(VLOOKUP($C18,'V-LOOKUP'!$C$4:$M$59,6,FALSE)),"0")</f>
        <v>0</v>
      </c>
      <c r="CE18" s="192" t="str">
        <f>IF(AND($C18&lt;&gt;"",$J18&lt;&gt;""),(VLOOKUP($C18,'V-LOOKUP'!$C$4:$M$59,7,FALSE)),"0")</f>
        <v>0</v>
      </c>
      <c r="CF18" s="192" t="str">
        <f>IF(AND($C18&lt;&gt;"",$J18&lt;&gt;""),(VLOOKUP($C18,'V-LOOKUP'!$C$4:$M$59,8,FALSE)),"0")</f>
        <v>0</v>
      </c>
      <c r="CG18" s="192" t="str">
        <f>IF(AND($C18&lt;&gt;"",$J18&lt;&gt;""),(VLOOKUP($C18,'V-LOOKUP'!$C$4:$M$59,9,FALSE)),"0")</f>
        <v>0</v>
      </c>
      <c r="CH18" s="192" t="str">
        <f>IF(AND($C18&lt;&gt;"",$J18&lt;&gt;""),(VLOOKUP($C18,'V-LOOKUP'!$C$4:$M$59,10,FALSE)),"0")</f>
        <v>0</v>
      </c>
      <c r="CI18" s="192" t="str">
        <f>IF(AND($C18&lt;&gt;"",$J18&lt;&gt;""),(VLOOKUP($C18,'V-LOOKUP'!$C$4:$M$59,11,FALSE)),"0")</f>
        <v>0</v>
      </c>
      <c r="CJ18" s="192" t="str">
        <f>IF(AND($C18&lt;&gt;"",$J18&lt;&gt;""),(VLOOKUP($C18,'V-LOOKUP'!$C$4:$N$59,12,FALSE)),"0")</f>
        <v>0</v>
      </c>
      <c r="CK18" s="192" t="str">
        <f>IF(AND($C18&lt;&gt;"",K18&lt;&gt;""),(VLOOKUP($C18,'V-LOOKUP'!$C$4:$M$59,4,FALSE)),"0")</f>
        <v>0</v>
      </c>
      <c r="CL18" s="192" t="str">
        <f>IF(AND($C18&lt;&gt;"",$K18&lt;&gt;""),(VLOOKUP($C18,'V-LOOKUP'!$C$4:$M$59,5,FALSE)),"0")</f>
        <v>0</v>
      </c>
      <c r="CM18" s="192" t="str">
        <f>IF(AND($C18&lt;&gt;"",$K18&lt;&gt;""),(VLOOKUP($C18,'V-LOOKUP'!$C$4:$M$59,6,FALSE)),"0")</f>
        <v>0</v>
      </c>
      <c r="CN18" s="192" t="str">
        <f>IF(AND($C18&lt;&gt;"",$K18&lt;&gt;""),(VLOOKUP($C18,'V-LOOKUP'!$C$4:$M$59,7,FALSE)),"0")</f>
        <v>0</v>
      </c>
      <c r="CO18" s="192" t="str">
        <f>IF(AND($C18&lt;&gt;"",$K18&lt;&gt;""),(VLOOKUP($C18,'V-LOOKUP'!$C$4:$M$59,8,FALSE)),"0")</f>
        <v>0</v>
      </c>
      <c r="CP18" s="192" t="str">
        <f>IF(AND($C18&lt;&gt;"",$K18&lt;&gt;""),(VLOOKUP($C18,'V-LOOKUP'!$C$4:$M$59,9,FALSE)),"0")</f>
        <v>0</v>
      </c>
      <c r="CQ18" s="192" t="str">
        <f>IF(AND($C18&lt;&gt;"",$K18&lt;&gt;""),(VLOOKUP($C18,'V-LOOKUP'!$C$4:$M$59,10,FALSE)),"0")</f>
        <v>0</v>
      </c>
      <c r="CR18" s="192" t="str">
        <f>IF(AND($C18&lt;&gt;"",$K18&lt;&gt;""),(VLOOKUP($C18,'V-LOOKUP'!$C$4:$M$59,11,FALSE)),"0")</f>
        <v>0</v>
      </c>
      <c r="CS18" s="192" t="str">
        <f>IF(AND($C18&lt;&gt;"",$K18&lt;&gt;""),(VLOOKUP($C18,'V-LOOKUP'!$C$4:$N$59,12,FALSE)),"0")</f>
        <v>0</v>
      </c>
      <c r="CT18" s="192" t="str">
        <f>IF(AND($C18&lt;&gt;"",L18&lt;&gt;""),(VLOOKUP($C18,'V-LOOKUP'!$C$4:$M$59,4,FALSE)),"0")</f>
        <v>0</v>
      </c>
      <c r="CU18" s="192" t="str">
        <f>IF(AND($C18&lt;&gt;"",$L18&lt;&gt;""),(VLOOKUP($C18,'V-LOOKUP'!$C$4:$M$59,5,FALSE)),"0")</f>
        <v>0</v>
      </c>
      <c r="CV18" s="192" t="str">
        <f>IF(AND($C18&lt;&gt;"",$L18&lt;&gt;""),(VLOOKUP($C18,'V-LOOKUP'!$C$4:$M$59,6,FALSE)),"0")</f>
        <v>0</v>
      </c>
      <c r="CW18" s="192" t="str">
        <f>IF(AND($C18&lt;&gt;"",$L18&lt;&gt;""),(VLOOKUP($C18,'V-LOOKUP'!$C$4:$M$59,7,FALSE)),"0")</f>
        <v>0</v>
      </c>
      <c r="CX18" s="192" t="str">
        <f>IF(AND($C18&lt;&gt;"",$L18&lt;&gt;""),(VLOOKUP($C18,'V-LOOKUP'!$C$4:$M$59,8,FALSE)),"0")</f>
        <v>0</v>
      </c>
      <c r="CY18" s="192" t="str">
        <f>IF(AND($C18&lt;&gt;"",$L18&lt;&gt;""),(VLOOKUP($C18,'V-LOOKUP'!$C$4:$M$59,9,FALSE)),"0")</f>
        <v>0</v>
      </c>
      <c r="CZ18" s="192" t="str">
        <f>IF(AND($C18&lt;&gt;"",$L18&lt;&gt;""),(VLOOKUP($C18,'V-LOOKUP'!$C$4:$M$59,10,FALSE)),"0")</f>
        <v>0</v>
      </c>
      <c r="DA18" s="192" t="str">
        <f>IF(AND($C18&lt;&gt;"",$L18&lt;&gt;""),(VLOOKUP($C18,'V-LOOKUP'!$C$4:$M$59,11,FALSE)),"0")</f>
        <v>0</v>
      </c>
      <c r="DB18" s="192" t="str">
        <f>IF(AND($C18&lt;&gt;"",$L18&lt;&gt;""),(VLOOKUP($C18,'V-LOOKUP'!$C$4:$N$59,12,FALSE)),"0")</f>
        <v>0</v>
      </c>
      <c r="DC18" s="192" t="str">
        <f>IF(AND($C18&lt;&gt;"",M18&lt;&gt;""),(VLOOKUP($C18,'V-LOOKUP'!$C$4:$M$59,4,FALSE)),"0")</f>
        <v>0</v>
      </c>
      <c r="DD18" s="192" t="str">
        <f>IF(AND($C18&lt;&gt;"",$M18&lt;&gt;""),(VLOOKUP($C18,'V-LOOKUP'!$C$4:$M$59,5,FALSE)),"0")</f>
        <v>0</v>
      </c>
      <c r="DE18" s="192" t="str">
        <f>IF(AND($C18&lt;&gt;"",$M18&lt;&gt;""),(VLOOKUP($C18,'V-LOOKUP'!$C$4:$M$59,6,FALSE)),"0")</f>
        <v>0</v>
      </c>
      <c r="DF18" s="192" t="str">
        <f>IF(AND($C18&lt;&gt;"",$M18&lt;&gt;""),(VLOOKUP($C18,'V-LOOKUP'!$C$4:$M$59,7,FALSE)),"0")</f>
        <v>0</v>
      </c>
      <c r="DG18" s="192" t="str">
        <f>IF(AND($C18&lt;&gt;"",$M18&lt;&gt;""),(VLOOKUP($C18,'V-LOOKUP'!$C$4:$M$59,8,FALSE)),"0")</f>
        <v>0</v>
      </c>
      <c r="DH18" s="192" t="str">
        <f>IF(AND($C18&lt;&gt;"",$M18&lt;&gt;""),(VLOOKUP($C18,'V-LOOKUP'!$C$4:$M$59,9,FALSE)),"0")</f>
        <v>0</v>
      </c>
      <c r="DI18" s="192" t="str">
        <f>IF(AND($C18&lt;&gt;"",$M18&lt;&gt;""),(VLOOKUP($C18,'V-LOOKUP'!$C$4:$M$59,10,FALSE)),"0")</f>
        <v>0</v>
      </c>
      <c r="DJ18" s="192" t="str">
        <f>IF(AND($C18&lt;&gt;"",$M18&lt;&gt;""),(VLOOKUP($C18,'V-LOOKUP'!$C$4:$M$59,11,FALSE)),"0")</f>
        <v>0</v>
      </c>
      <c r="DK18" s="192" t="str">
        <f>IF(AND($C18&lt;&gt;"",$M18&lt;&gt;""),(VLOOKUP($C18,'V-LOOKUP'!$C$4:$N$59,12,FALSE)),"0")</f>
        <v>0</v>
      </c>
      <c r="DL18" s="192" t="str">
        <f>IF(AND($C18&lt;&gt;"",$N18&lt;&gt;""),(VLOOKUP($C18,'V-LOOKUP'!$C$4:$M$59,4,FALSE)),"0")</f>
        <v>0</v>
      </c>
      <c r="DM18" s="192" t="str">
        <f>IF(AND($C18&lt;&gt;"",$N18&lt;&gt;""),(VLOOKUP($C18,'V-LOOKUP'!$C$4:$M$59,5,FALSE)),"0")</f>
        <v>0</v>
      </c>
      <c r="DN18" s="192" t="str">
        <f>IF(AND($C18&lt;&gt;"",$N18&lt;&gt;""),(VLOOKUP($C18,'V-LOOKUP'!$C$4:$M$59,6,FALSE)),"0")</f>
        <v>0</v>
      </c>
      <c r="DO18" s="192" t="str">
        <f>IF(AND($C18&lt;&gt;"",$N18&lt;&gt;""),(VLOOKUP($C18,'V-LOOKUP'!$C$4:$M$59,7,FALSE)),"0")</f>
        <v>0</v>
      </c>
      <c r="DP18" s="192" t="str">
        <f>IF(AND($C18&lt;&gt;"",$N18&lt;&gt;""),(VLOOKUP($C18,'V-LOOKUP'!$C$4:$M$59,8,FALSE)),"0")</f>
        <v>0</v>
      </c>
      <c r="DQ18" s="192" t="str">
        <f>IF(AND($C18&lt;&gt;"",$N18&lt;&gt;""),(VLOOKUP($C18,'V-LOOKUP'!$C$4:$M$59,9,FALSE)),"0")</f>
        <v>0</v>
      </c>
      <c r="DR18" s="192" t="str">
        <f>IF(AND($C18&lt;&gt;"",$N18&lt;&gt;""),(VLOOKUP($C18,'V-LOOKUP'!$C$4:$M$59,10,FALSE)),"0")</f>
        <v>0</v>
      </c>
      <c r="DS18" s="192" t="str">
        <f>IF(AND($C18&lt;&gt;"",$N18&lt;&gt;""),(VLOOKUP($C18,'V-LOOKUP'!$C$4:$M$59,11,FALSE)),"0")</f>
        <v>0</v>
      </c>
      <c r="DT18" s="192" t="str">
        <f>IF(AND($C18&lt;&gt;"",$N18&lt;&gt;""),(VLOOKUP($C18,'V-LOOKUP'!$C$4:$N$59,12,FALSE)),"0")</f>
        <v>0</v>
      </c>
      <c r="DU18" s="192" t="str">
        <f>IF(AND($C18&lt;&gt;"",O18&lt;&gt;""),(VLOOKUP($C18,'V-LOOKUP'!$C$4:$M$59,4,FALSE)),"0")</f>
        <v>0</v>
      </c>
      <c r="DV18" s="192" t="str">
        <f>IF(AND($C18&lt;&gt;"",$O18&lt;&gt;""),(VLOOKUP($C18,'V-LOOKUP'!$C$4:$M$59,5,FALSE)),"0")</f>
        <v>0</v>
      </c>
      <c r="DW18" s="192" t="str">
        <f>IF(AND($C18&lt;&gt;"",$O18&lt;&gt;""),(VLOOKUP($C18,'V-LOOKUP'!$C$4:$M$59,6,FALSE)),"0")</f>
        <v>0</v>
      </c>
      <c r="DX18" s="192" t="str">
        <f>IF(AND($C18&lt;&gt;"",$O18&lt;&gt;""),(VLOOKUP($C18,'V-LOOKUP'!$C$4:$M$59,7,FALSE)),"0")</f>
        <v>0</v>
      </c>
      <c r="DY18" s="192" t="str">
        <f>IF(AND($C18&lt;&gt;"",$O18&lt;&gt;""),(VLOOKUP($C18,'V-LOOKUP'!$C$4:$M$59,8,FALSE)),"0")</f>
        <v>0</v>
      </c>
      <c r="DZ18" s="192" t="str">
        <f>IF(AND($C18&lt;&gt;"",$O18&lt;&gt;""),(VLOOKUP($C18,'V-LOOKUP'!$C$4:$M$59,9,FALSE)),"0")</f>
        <v>0</v>
      </c>
      <c r="EA18" s="192" t="str">
        <f>IF(AND($C18&lt;&gt;"",$O18&lt;&gt;""),(VLOOKUP($C18,'V-LOOKUP'!$C$4:$M$59,10,FALSE)),"0")</f>
        <v>0</v>
      </c>
      <c r="EB18" s="192" t="str">
        <f>IF(AND($C18&lt;&gt;"",$O18&lt;&gt;""),(VLOOKUP($C18,'V-LOOKUP'!$C$4:$M$59,11,FALSE)),"0")</f>
        <v>0</v>
      </c>
      <c r="EC18" s="192" t="str">
        <f>IF(AND($C18&lt;&gt;"",$O18&lt;&gt;""),(VLOOKUP($C18,'V-LOOKUP'!$C$4:$N$59,12,FALSE)),"0")</f>
        <v>0</v>
      </c>
      <c r="ED18" s="192" t="str">
        <f>IF(AND($C18&lt;&gt;"",P18&lt;&gt;""),(VLOOKUP($C18,'V-LOOKUP'!$C$4:$M$59,4,FALSE)),"0")</f>
        <v>0</v>
      </c>
      <c r="EE18" s="192" t="str">
        <f>IF(AND($C18&lt;&gt;"",$P18&lt;&gt;""),(VLOOKUP($C18,'V-LOOKUP'!$C$4:$M$59,5,FALSE)),"0")</f>
        <v>0</v>
      </c>
      <c r="EF18" s="192" t="str">
        <f>IF(AND($C18&lt;&gt;"",$P18&lt;&gt;""),(VLOOKUP($C18,'V-LOOKUP'!$C$4:$M$59,6,FALSE)),"0")</f>
        <v>0</v>
      </c>
      <c r="EG18" s="192" t="str">
        <f>IF(AND($C18&lt;&gt;"",$P18&lt;&gt;""),(VLOOKUP($C18,'V-LOOKUP'!$C$4:$M$59,7,FALSE)),"0")</f>
        <v>0</v>
      </c>
      <c r="EH18" s="192" t="str">
        <f>IF(AND($C18&lt;&gt;"",$P18&lt;&gt;""),(VLOOKUP($C18,'V-LOOKUP'!$C$4:$M$59,8,FALSE)),"0")</f>
        <v>0</v>
      </c>
      <c r="EI18" s="192" t="str">
        <f>IF(AND($C18&lt;&gt;"",$P18&lt;&gt;""),(VLOOKUP($C18,'V-LOOKUP'!$C$4:$M$59,9,FALSE)),"0")</f>
        <v>0</v>
      </c>
      <c r="EJ18" s="192" t="str">
        <f>IF(AND($C18&lt;&gt;"",$P18&lt;&gt;""),(VLOOKUP($C18,'V-LOOKUP'!$C$4:$M$59,10,FALSE)),"0")</f>
        <v>0</v>
      </c>
      <c r="EK18" s="192" t="str">
        <f>IF(AND($C18&lt;&gt;"",$P18&lt;&gt;""),(VLOOKUP($C18,'V-LOOKUP'!$C$4:$M$59,11,FALSE)),"0")</f>
        <v>0</v>
      </c>
      <c r="EL18" s="192" t="str">
        <f>IF(AND($C18&lt;&gt;"",$P18&lt;&gt;""),(VLOOKUP($C18,'V-LOOKUP'!$C$4:$N$59,12,FALSE)),"0")</f>
        <v>0</v>
      </c>
      <c r="EM18" s="192" t="str">
        <f>IF(AND($C18&lt;&gt;"",Q18&lt;&gt;""),(VLOOKUP($C18,'V-LOOKUP'!$C$4:$M$59,4,FALSE)),"0")</f>
        <v>0</v>
      </c>
      <c r="EN18" s="192" t="str">
        <f>IF(AND($C18&lt;&gt;"",$Q18&lt;&gt;""),(VLOOKUP($C18,'V-LOOKUP'!$C$4:$M$59,5,FALSE)),"0")</f>
        <v>0</v>
      </c>
      <c r="EO18" s="192" t="str">
        <f>IF(AND($C18&lt;&gt;"",$Q18&lt;&gt;""),(VLOOKUP($C18,'V-LOOKUP'!$C$4:$M$59,6,FALSE)),"0")</f>
        <v>0</v>
      </c>
      <c r="EP18" s="192" t="str">
        <f>IF(AND($C18&lt;&gt;"",$Q18&lt;&gt;""),(VLOOKUP($C18,'V-LOOKUP'!$C$4:$M$59,7,FALSE)),"0")</f>
        <v>0</v>
      </c>
      <c r="EQ18" s="192" t="str">
        <f>IF(AND($C18&lt;&gt;"",$Q18&lt;&gt;""),(VLOOKUP($C18,'V-LOOKUP'!$C$4:$M$59,8,FALSE)),"0")</f>
        <v>0</v>
      </c>
      <c r="ER18" s="192" t="str">
        <f>IF(AND($C18&lt;&gt;"",$Q18&lt;&gt;""),(VLOOKUP($C18,'V-LOOKUP'!$C$4:$M$59,9,FALSE)),"0")</f>
        <v>0</v>
      </c>
      <c r="ES18" s="192" t="str">
        <f>IF(AND($C18&lt;&gt;"",$Q18&lt;&gt;""),(VLOOKUP($C18,'V-LOOKUP'!$C$4:$M$59,10,FALSE)),"0")</f>
        <v>0</v>
      </c>
      <c r="ET18" s="192" t="str">
        <f>IF(AND($C18&lt;&gt;"",$Q18&lt;&gt;""),(VLOOKUP($C18,'V-LOOKUP'!$C$4:$M$59,11,FALSE)),"0")</f>
        <v>0</v>
      </c>
      <c r="EU18" s="192" t="str">
        <f>IF(AND($C18&lt;&gt;"",$Q18&lt;&gt;""),(VLOOKUP($C18,'V-LOOKUP'!$C$4:$N$59,12,FALSE)),"0")</f>
        <v>0</v>
      </c>
      <c r="EV18" s="192" t="str">
        <f>IF(AND($C18&lt;&gt;"",R18&lt;&gt;""),(VLOOKUP($C18,'V-LOOKUP'!$C$4:$M$59,4,FALSE)),"0")</f>
        <v>0</v>
      </c>
      <c r="EW18" s="192" t="str">
        <f>IF(AND($C18&lt;&gt;"",$R18&lt;&gt;""),(VLOOKUP($C18,'V-LOOKUP'!$C$4:$M$59,5,FALSE)),"0")</f>
        <v>0</v>
      </c>
      <c r="EX18" s="192" t="str">
        <f>IF(AND($C18&lt;&gt;"",$R18&lt;&gt;""),(VLOOKUP($C18,'V-LOOKUP'!$C$4:$M$59,6,FALSE)),"0")</f>
        <v>0</v>
      </c>
      <c r="EY18" s="192" t="str">
        <f>IF(AND($C18&lt;&gt;"",$R18&lt;&gt;""),(VLOOKUP($C18,'V-LOOKUP'!$C$4:$M$59,7,FALSE)),"0")</f>
        <v>0</v>
      </c>
      <c r="EZ18" s="192" t="str">
        <f>IF(AND($C18&lt;&gt;"",$R18&lt;&gt;""),(VLOOKUP($C18,'V-LOOKUP'!$C$4:$M$59,8,FALSE)),"0")</f>
        <v>0</v>
      </c>
      <c r="FA18" s="192" t="str">
        <f>IF(AND($C18&lt;&gt;"",$R18&lt;&gt;""),(VLOOKUP($C18,'V-LOOKUP'!$C$4:$M$59,9,FALSE)),"0")</f>
        <v>0</v>
      </c>
      <c r="FB18" s="192" t="str">
        <f>IF(AND($C18&lt;&gt;"",$R18&lt;&gt;""),(VLOOKUP($C18,'V-LOOKUP'!$C$4:$M$59,10,FALSE)),"0")</f>
        <v>0</v>
      </c>
      <c r="FC18" s="192" t="str">
        <f>IF(AND($C18&lt;&gt;"",$R18&lt;&gt;""),(VLOOKUP($C18,'V-LOOKUP'!$C$4:$M$59,11,FALSE)),"0")</f>
        <v>0</v>
      </c>
      <c r="FD18" s="192" t="str">
        <f>IF(AND($C18&lt;&gt;"",$R18&lt;&gt;""),(VLOOKUP($C18,'V-LOOKUP'!$C$4:$N$59,12,FALSE)),"0")</f>
        <v>0</v>
      </c>
      <c r="FE18" s="192" t="str">
        <f>IF(AND($C18&lt;&gt;"",S18&lt;&gt;""),(VLOOKUP($C18,'V-LOOKUP'!$C$4:$M$59,4,FALSE)),"0")</f>
        <v>0</v>
      </c>
      <c r="FF18" s="192" t="str">
        <f>IF(AND($C18&lt;&gt;"",$S18&lt;&gt;""),(VLOOKUP($C18,'V-LOOKUP'!$C$4:$M$59,5,FALSE)),"0")</f>
        <v>0</v>
      </c>
      <c r="FG18" s="192" t="str">
        <f>IF(AND($C18&lt;&gt;"",$S18&lt;&gt;""),(VLOOKUP($C18,'V-LOOKUP'!$C$4:$M$59,6,FALSE)),"0")</f>
        <v>0</v>
      </c>
      <c r="FH18" s="192" t="str">
        <f>IF(AND($C18&lt;&gt;"",$S18&lt;&gt;""),(VLOOKUP($C18,'V-LOOKUP'!$C$4:$M$59,7,FALSE)),"0")</f>
        <v>0</v>
      </c>
      <c r="FI18" s="192" t="str">
        <f>IF(AND($C18&lt;&gt;"",$S18&lt;&gt;""),(VLOOKUP($C18,'V-LOOKUP'!$C$4:$M$59,8,FALSE)),"0")</f>
        <v>0</v>
      </c>
      <c r="FJ18" s="192" t="str">
        <f>IF(AND($C18&lt;&gt;"",$S18&lt;&gt;""),(VLOOKUP($C18,'V-LOOKUP'!$C$4:$M$59,9,FALSE)),"0")</f>
        <v>0</v>
      </c>
      <c r="FK18" s="192" t="str">
        <f>IF(AND($C18&lt;&gt;"",$S18&lt;&gt;""),(VLOOKUP($C18,'V-LOOKUP'!$C$4:$M$59,10,FALSE)),"0")</f>
        <v>0</v>
      </c>
      <c r="FL18" s="192" t="str">
        <f>IF(AND($C18&lt;&gt;"",$S18&lt;&gt;""),(VLOOKUP($C18,'V-LOOKUP'!$C$4:$M$59,11,FALSE)),"0")</f>
        <v>0</v>
      </c>
      <c r="FM18" s="192" t="str">
        <f>IF(AND($C18&lt;&gt;"",$S18&lt;&gt;""),(VLOOKUP($C18,'V-LOOKUP'!$C$4:$N$59,12,FALSE)),"0")</f>
        <v>0</v>
      </c>
      <c r="FN18" s="192" t="str">
        <f>IF(AND($C18&lt;&gt;"",T18&lt;&gt;""),(VLOOKUP($C18,'V-LOOKUP'!$C$4:$M$59,4,FALSE)),"0")</f>
        <v>0</v>
      </c>
      <c r="FO18" s="192" t="str">
        <f>IF(AND($C18&lt;&gt;"",$T18&lt;&gt;""),(VLOOKUP($C18,'V-LOOKUP'!$C$4:$M$59,5,FALSE)),"0")</f>
        <v>0</v>
      </c>
      <c r="FP18" s="192" t="str">
        <f>IF(AND($C18&lt;&gt;"",$T18&lt;&gt;""),(VLOOKUP($C18,'V-LOOKUP'!$C$4:$M$59,6,FALSE)),"0")</f>
        <v>0</v>
      </c>
      <c r="FQ18" s="192" t="str">
        <f>IF(AND($C18&lt;&gt;"",$T18&lt;&gt;""),(VLOOKUP($C18,'V-LOOKUP'!$C$4:$M$59,7,FALSE)),"0")</f>
        <v>0</v>
      </c>
      <c r="FR18" s="192" t="str">
        <f>IF(AND($C18&lt;&gt;"",$T18&lt;&gt;""),(VLOOKUP($C18,'V-LOOKUP'!$C$4:$M$59,8,FALSE)),"0")</f>
        <v>0</v>
      </c>
      <c r="FS18" s="192" t="str">
        <f>IF(AND($C18&lt;&gt;"",$T18&lt;&gt;""),(VLOOKUP($C18,'V-LOOKUP'!$C$4:$M$59,9,FALSE)),"0")</f>
        <v>0</v>
      </c>
      <c r="FT18" s="192" t="str">
        <f>IF(AND($C18&lt;&gt;"",$T18&lt;&gt;""),(VLOOKUP($C18,'V-LOOKUP'!$C$4:$M$59,10,FALSE)),"0")</f>
        <v>0</v>
      </c>
      <c r="FU18" s="192" t="str">
        <f>IF(AND($C18&lt;&gt;"",$T18&lt;&gt;""),(VLOOKUP($C18,'V-LOOKUP'!$C$4:$M$59,11,FALSE)),"0")</f>
        <v>0</v>
      </c>
      <c r="FV18" s="192" t="str">
        <f>IF(AND($C18&lt;&gt;"",$T18&lt;&gt;""),(VLOOKUP($C18,'V-LOOKUP'!$C$4:$N$59,12,FALSE)),"0")</f>
        <v>0</v>
      </c>
      <c r="FW18" s="192" t="str">
        <f>IF(AND($C18&lt;&gt;"",U18&lt;&gt;""),(VLOOKUP($C18,'V-LOOKUP'!$C$4:$M$59,4,FALSE)),"0")</f>
        <v>0</v>
      </c>
      <c r="FX18" s="192" t="str">
        <f>IF(AND($C18&lt;&gt;"",$U18&lt;&gt;""),(VLOOKUP($C18,'V-LOOKUP'!$C$4:$M$59,5,FALSE)),"0")</f>
        <v>0</v>
      </c>
      <c r="FY18" s="192" t="str">
        <f>IF(AND($C18&lt;&gt;"",$U18&lt;&gt;""),(VLOOKUP($C18,'V-LOOKUP'!$C$4:$M$59,6,FALSE)),"0")</f>
        <v>0</v>
      </c>
      <c r="FZ18" s="192" t="str">
        <f>IF(AND($C18&lt;&gt;"",$U18&lt;&gt;""),(VLOOKUP($C18,'V-LOOKUP'!$C$4:$M$59,7,FALSE)),"0")</f>
        <v>0</v>
      </c>
      <c r="GA18" s="192" t="str">
        <f>IF(AND($C18&lt;&gt;"",$U18&lt;&gt;""),(VLOOKUP($C18,'V-LOOKUP'!$C$4:$M$59,8,FALSE)),"0")</f>
        <v>0</v>
      </c>
      <c r="GB18" s="192" t="str">
        <f>IF(AND($C18&lt;&gt;"",$U18&lt;&gt;""),(VLOOKUP($C18,'V-LOOKUP'!$C$4:$M$59,9,FALSE)),"0")</f>
        <v>0</v>
      </c>
      <c r="GC18" s="192" t="str">
        <f>IF(AND($C18&lt;&gt;"",$U18&lt;&gt;""),(VLOOKUP($C18,'V-LOOKUP'!$C$4:$M$59,10,FALSE)),"0")</f>
        <v>0</v>
      </c>
      <c r="GD18" s="192" t="str">
        <f>IF(AND($C18&lt;&gt;"",$U18&lt;&gt;""),(VLOOKUP($C18,'V-LOOKUP'!$C$4:$M$59,11,FALSE)),"0")</f>
        <v>0</v>
      </c>
      <c r="GE18" s="192" t="str">
        <f>IF(AND($C18&lt;&gt;"",$U18&lt;&gt;""),(VLOOKUP($C18,'V-LOOKUP'!$C$4:$N$59,12,FALSE)),"0")</f>
        <v>0</v>
      </c>
      <c r="GF18" s="192" t="str">
        <f>IF(AND($C18&lt;&gt;"",V18&lt;&gt;""),(VLOOKUP($C18,'V-LOOKUP'!$C$4:$M$59,4,FALSE)),"0")</f>
        <v>0</v>
      </c>
      <c r="GG18" s="192" t="str">
        <f>IF(AND($C18&lt;&gt;"",$V18&lt;&gt;""),(VLOOKUP($C18,'V-LOOKUP'!$C$4:$M$59,5,FALSE)),"0")</f>
        <v>0</v>
      </c>
      <c r="GH18" s="192" t="str">
        <f>IF(AND($C18&lt;&gt;"",$V18&lt;&gt;""),(VLOOKUP($C18,'V-LOOKUP'!$C$4:$M$59,6,FALSE)),"0")</f>
        <v>0</v>
      </c>
      <c r="GI18" s="192" t="str">
        <f>IF(AND($C18&lt;&gt;"",$V18&lt;&gt;""),(VLOOKUP($C18,'V-LOOKUP'!$C$4:$M$59,7,FALSE)),"0")</f>
        <v>0</v>
      </c>
      <c r="GJ18" s="192" t="str">
        <f>IF(AND($C18&lt;&gt;"",$V18&lt;&gt;""),(VLOOKUP($C18,'V-LOOKUP'!$C$4:$M$59,8,FALSE)),"0")</f>
        <v>0</v>
      </c>
      <c r="GK18" s="192" t="str">
        <f>IF(AND($C18&lt;&gt;"",$V18&lt;&gt;""),(VLOOKUP($C18,'V-LOOKUP'!$C$4:$M$59,9,FALSE)),"0")</f>
        <v>0</v>
      </c>
      <c r="GL18" s="192" t="str">
        <f>IF(AND($C18&lt;&gt;"",$V18&lt;&gt;""),(VLOOKUP($C18,'V-LOOKUP'!$C$4:$M$59,10,FALSE)),"0")</f>
        <v>0</v>
      </c>
      <c r="GM18" s="192" t="str">
        <f>IF(AND($C18&lt;&gt;"",$V18&lt;&gt;""),(VLOOKUP($C18,'V-LOOKUP'!$C$4:$M$59,11,FALSE)),"0")</f>
        <v>0</v>
      </c>
      <c r="GN18" s="192" t="str">
        <f>IF(AND($C18&lt;&gt;"",$V18&lt;&gt;""),(VLOOKUP($C18,'V-LOOKUP'!$C$4:$N$59,12,FALSE)),"0")</f>
        <v>0</v>
      </c>
      <c r="GO18" s="192" t="str">
        <f>IF(AND($C18&lt;&gt;"",W18&lt;&gt;""),(VLOOKUP($C18,'V-LOOKUP'!$C$4:$M$59,4,FALSE)),"0")</f>
        <v>0</v>
      </c>
      <c r="GP18" s="192" t="str">
        <f>IF(AND($C18&lt;&gt;"",$W18&lt;&gt;""),(VLOOKUP($C18,'V-LOOKUP'!$C$4:$M$59,5,FALSE)),"0")</f>
        <v>0</v>
      </c>
      <c r="GQ18" s="192" t="str">
        <f>IF(AND($C18&lt;&gt;"",$W18&lt;&gt;""),(VLOOKUP($C18,'V-LOOKUP'!$C$4:$M$59,6,FALSE)),"0")</f>
        <v>0</v>
      </c>
      <c r="GR18" s="192" t="str">
        <f>IF(AND($C18&lt;&gt;"",$W18&lt;&gt;""),(VLOOKUP($C18,'V-LOOKUP'!$C$4:$M$59,7,FALSE)),"0")</f>
        <v>0</v>
      </c>
      <c r="GS18" s="192" t="str">
        <f>IF(AND($C18&lt;&gt;"",$W18&lt;&gt;""),(VLOOKUP($C18,'V-LOOKUP'!$C$4:$M$59,8,FALSE)),"0")</f>
        <v>0</v>
      </c>
      <c r="GT18" s="192" t="str">
        <f>IF(AND($C18&lt;&gt;"",$W18&lt;&gt;""),(VLOOKUP($C18,'V-LOOKUP'!$C$4:$M$59,9,FALSE)),"0")</f>
        <v>0</v>
      </c>
      <c r="GU18" s="192" t="str">
        <f>IF(AND($C18&lt;&gt;"",$W18&lt;&gt;""),(VLOOKUP($C18,'V-LOOKUP'!$C$4:$M$59,10,FALSE)),"0")</f>
        <v>0</v>
      </c>
      <c r="GV18" s="192" t="str">
        <f>IF(AND($C18&lt;&gt;"",$W18&lt;&gt;""),(VLOOKUP($C18,'V-LOOKUP'!$C$4:$M$59,11,FALSE)),"0")</f>
        <v>0</v>
      </c>
      <c r="GW18" s="192" t="str">
        <f>IF(AND($C18&lt;&gt;"",$W18&lt;&gt;""),(VLOOKUP($C18,'V-LOOKUP'!$C$4:$N$59,12,FALSE)),"0")</f>
        <v>0</v>
      </c>
    </row>
    <row r="19" spans="1:205" ht="14.65" hidden="1" customHeight="1">
      <c r="A19" s="193"/>
      <c r="B19" s="245"/>
      <c r="C19" s="201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Y19" s="190"/>
      <c r="Z19" s="192" t="str">
        <f>IF(AND($C19&lt;&gt;"",$D19&lt;&gt;""),(VLOOKUP($C19,'V-LOOKUP'!$C$4:$M$59,4,FALSE)),"0")</f>
        <v>0</v>
      </c>
      <c r="AA19" s="192" t="str">
        <f>IF(AND($C19&lt;&gt;"",$D19&lt;&gt;""),(VLOOKUP($C19,'V-LOOKUP'!$C$4:$M$59,5,FALSE)),"0")</f>
        <v>0</v>
      </c>
      <c r="AB19" s="192" t="str">
        <f>IF(AND($C19&lt;&gt;"",$D19&lt;&gt;""),(VLOOKUP($C19,'V-LOOKUP'!$C$4:$M$59,6,FALSE)),"0")</f>
        <v>0</v>
      </c>
      <c r="AC19" s="192" t="str">
        <f>IF(AND($C19&lt;&gt;"",$D19&lt;&gt;""),(VLOOKUP($C19,'V-LOOKUP'!$C$4:$M$59,7,FALSE)),"0")</f>
        <v>0</v>
      </c>
      <c r="AD19" s="192" t="str">
        <f>IF(AND($C19&lt;&gt;"",$D19&lt;&gt;""),(VLOOKUP($C19,'V-LOOKUP'!$C$4:$M$59,8,FALSE)),"0")</f>
        <v>0</v>
      </c>
      <c r="AE19" s="192" t="str">
        <f>IF(AND($C19&lt;&gt;"",$D19&lt;&gt;""),(VLOOKUP($C19,'V-LOOKUP'!$C$4:$M$59,9,FALSE)),"0")</f>
        <v>0</v>
      </c>
      <c r="AF19" s="192" t="str">
        <f>IF(AND($C19&lt;&gt;"",$D19&lt;&gt;""),(VLOOKUP($C19,'V-LOOKUP'!$C$4:$M$59,10,FALSE)),"0")</f>
        <v>0</v>
      </c>
      <c r="AG19" s="192" t="str">
        <f>IF(AND($C19&lt;&gt;"",$D19&lt;&gt;""),(VLOOKUP($C19,'V-LOOKUP'!$C$4:$M$59,11,FALSE)),"0")</f>
        <v>0</v>
      </c>
      <c r="AH19" s="192" t="str">
        <f>IF(AND($C19&lt;&gt;"",$D19&lt;&gt;""),(VLOOKUP($C19,'V-LOOKUP'!$C$4:$N$59,12,FALSE)),"0")</f>
        <v>0</v>
      </c>
      <c r="AI19" s="192" t="str">
        <f>IF(AND($C19&lt;&gt;"",E19&lt;&gt;""),(VLOOKUP($C19,'V-LOOKUP'!$C$4:$M$59,4,FALSE)),"0")</f>
        <v>0</v>
      </c>
      <c r="AJ19" s="192" t="str">
        <f>IF(AND($C19&lt;&gt;"",$E19&lt;&gt;""),(VLOOKUP($C19,'V-LOOKUP'!$C$4:$M$59,5,FALSE)),"0")</f>
        <v>0</v>
      </c>
      <c r="AK19" s="192" t="str">
        <f>IF(AND($C19&lt;&gt;"",$E19&lt;&gt;""),(VLOOKUP($C19,'V-LOOKUP'!$C$4:$M$59,6,FALSE)),"0")</f>
        <v>0</v>
      </c>
      <c r="AL19" s="192" t="str">
        <f>IF(AND($C19&lt;&gt;"",$E19&lt;&gt;""),(VLOOKUP($C19,'V-LOOKUP'!$C$4:$M$59,7,FALSE)),"0")</f>
        <v>0</v>
      </c>
      <c r="AM19" s="192" t="str">
        <f>IF(AND($C19&lt;&gt;"",$E19&lt;&gt;""),(VLOOKUP($C19,'V-LOOKUP'!$C$4:$M$59,8,FALSE)),"0")</f>
        <v>0</v>
      </c>
      <c r="AN19" s="192" t="str">
        <f>IF(AND($C19&lt;&gt;"",$E19&lt;&gt;""),(VLOOKUP($C19,'V-LOOKUP'!$C$4:$M$59,9,FALSE)),"0")</f>
        <v>0</v>
      </c>
      <c r="AO19" s="192" t="str">
        <f>IF(AND($C19&lt;&gt;"",$E19&lt;&gt;""),(VLOOKUP($C19,'V-LOOKUP'!$C$4:$M$59,10,FALSE)),"0")</f>
        <v>0</v>
      </c>
      <c r="AP19" s="192" t="str">
        <f>IF(AND($C19&lt;&gt;"",$E19&lt;&gt;""),(VLOOKUP($C19,'V-LOOKUP'!$C$4:$M$59,11,FALSE)),"0")</f>
        <v>0</v>
      </c>
      <c r="AQ19" s="192" t="str">
        <f>IF(AND($C19&lt;&gt;"",$E19&lt;&gt;""),(VLOOKUP($C19,'V-LOOKUP'!$C$4:$N$59,12,FALSE)),"0")</f>
        <v>0</v>
      </c>
      <c r="AR19" s="192" t="str">
        <f>IF(AND($C19&lt;&gt;"",$F19&lt;&gt;""),(VLOOKUP($C19,'V-LOOKUP'!$C$4:$M$59,4,FALSE)),"0")</f>
        <v>0</v>
      </c>
      <c r="AS19" s="192" t="str">
        <f>IF(AND($C19&lt;&gt;"",$F19&lt;&gt;""),(VLOOKUP($C19,'V-LOOKUP'!$C$4:$M$59,5,FALSE)),"0")</f>
        <v>0</v>
      </c>
      <c r="AT19" s="192" t="str">
        <f>IF(AND($C19&lt;&gt;"",$F19&lt;&gt;""),(VLOOKUP($C19,'V-LOOKUP'!$C$4:$M$59,6,FALSE)),"0")</f>
        <v>0</v>
      </c>
      <c r="AU19" s="192" t="str">
        <f>IF(AND($C19&lt;&gt;"",$F19&lt;&gt;""),(VLOOKUP($C19,'V-LOOKUP'!$C$4:$M$59,7,FALSE)),"0")</f>
        <v>0</v>
      </c>
      <c r="AV19" s="192" t="str">
        <f>IF(AND($C19&lt;&gt;"",$F19&lt;&gt;""),(VLOOKUP($C19,'V-LOOKUP'!$C$4:$M$59,8,FALSE)),"0")</f>
        <v>0</v>
      </c>
      <c r="AW19" s="192" t="str">
        <f>IF(AND($C19&lt;&gt;"",$F19&lt;&gt;""),(VLOOKUP($C19,'V-LOOKUP'!$C$4:$M$59,9,FALSE)),"0")</f>
        <v>0</v>
      </c>
      <c r="AX19" s="192" t="str">
        <f>IF(AND($C19&lt;&gt;"",$F19&lt;&gt;""),(VLOOKUP($C19,'V-LOOKUP'!$C$4:$M$59,10,FALSE)),"0")</f>
        <v>0</v>
      </c>
      <c r="AY19" s="192" t="str">
        <f>IF(AND($C19&lt;&gt;"",$F19&lt;&gt;""),(VLOOKUP($C19,'V-LOOKUP'!$C$4:$M$59,11,FALSE)),"0")</f>
        <v>0</v>
      </c>
      <c r="AZ19" s="192" t="str">
        <f>IF(AND($C19&lt;&gt;"",$F19&lt;&gt;""),(VLOOKUP($C19,'V-LOOKUP'!$C$4:$N$59,12,FALSE)),"0")</f>
        <v>0</v>
      </c>
      <c r="BA19" s="192" t="str">
        <f>IF(AND($C19&lt;&gt;"",G19&lt;&gt;""),(VLOOKUP($C19,'V-LOOKUP'!$C$4:$M$59,4,FALSE)),"0")</f>
        <v>0</v>
      </c>
      <c r="BB19" s="192" t="str">
        <f>IF(AND($C19&lt;&gt;"",$G19&lt;&gt;""),(VLOOKUP($C19,'V-LOOKUP'!$C$4:$M$59,5,FALSE)),"0")</f>
        <v>0</v>
      </c>
      <c r="BC19" s="192" t="str">
        <f>IF(AND($C19&lt;&gt;"",$G19&lt;&gt;""),(VLOOKUP($C19,'V-LOOKUP'!$C$4:$M$59,6,FALSE)),"0")</f>
        <v>0</v>
      </c>
      <c r="BD19" s="192" t="str">
        <f>IF(AND($C19&lt;&gt;"",$G19&lt;&gt;""),(VLOOKUP($C19,'V-LOOKUP'!$C$4:$M$59,7,FALSE)),"0")</f>
        <v>0</v>
      </c>
      <c r="BE19" s="192" t="str">
        <f>IF(AND($C19&lt;&gt;"",$G19&lt;&gt;""),(VLOOKUP($C19,'V-LOOKUP'!$C$4:$M$59,8,FALSE)),"0")</f>
        <v>0</v>
      </c>
      <c r="BF19" s="192" t="str">
        <f>IF(AND($C19&lt;&gt;"",$G19&lt;&gt;""),(VLOOKUP($C19,'V-LOOKUP'!$C$4:$M$59,9,FALSE)),"0")</f>
        <v>0</v>
      </c>
      <c r="BG19" s="192" t="str">
        <f>IF(AND($C19&lt;&gt;"",$G19&lt;&gt;""),(VLOOKUP($C19,'V-LOOKUP'!$C$4:$M$59,10,FALSE)),"0")</f>
        <v>0</v>
      </c>
      <c r="BH19" s="192" t="str">
        <f>IF(AND($C19&lt;&gt;"",$G19&lt;&gt;""),(VLOOKUP($C19,'V-LOOKUP'!$C$4:$M$59,11,FALSE)),"0")</f>
        <v>0</v>
      </c>
      <c r="BI19" s="192" t="str">
        <f>IF(AND($C19&lt;&gt;"",$G19&lt;&gt;""),(VLOOKUP($C19,'V-LOOKUP'!$C$4:$N$59,12,FALSE)),"0")</f>
        <v>0</v>
      </c>
      <c r="BJ19" s="192" t="str">
        <f>IF(AND($C19&lt;&gt;"",H19&lt;&gt;""),(VLOOKUP($C19,'V-LOOKUP'!$C$4:$M$59,4,FALSE)),"0")</f>
        <v>0</v>
      </c>
      <c r="BK19" s="192" t="str">
        <f>IF(AND($C19&lt;&gt;"",$G19&lt;&gt;""),(VLOOKUP($C19,'V-LOOKUP'!$C$4:$M$59,5,FALSE)),"0")</f>
        <v>0</v>
      </c>
      <c r="BL19" s="192" t="str">
        <f>IF(AND($C19&lt;&gt;"",$H19&lt;&gt;""),(VLOOKUP($C19,'V-LOOKUP'!$C$4:$M$59,6,FALSE)),"0")</f>
        <v>0</v>
      </c>
      <c r="BM19" s="192" t="str">
        <f>IF(AND($C19&lt;&gt;"",$H19&lt;&gt;""),(VLOOKUP($C19,'V-LOOKUP'!$C$4:$M$59,7,FALSE)),"0")</f>
        <v>0</v>
      </c>
      <c r="BN19" s="192" t="str">
        <f>IF(AND($C19&lt;&gt;"",$H19&lt;&gt;""),(VLOOKUP($C19,'V-LOOKUP'!$C$4:$M$59,8,FALSE)),"0")</f>
        <v>0</v>
      </c>
      <c r="BO19" s="192" t="str">
        <f>IF(AND($C19&lt;&gt;"",$H19&lt;&gt;""),(VLOOKUP($C19,'V-LOOKUP'!$C$4:$M$59,9,FALSE)),"0")</f>
        <v>0</v>
      </c>
      <c r="BP19" s="192" t="str">
        <f>IF(AND($C19&lt;&gt;"",$H19&lt;&gt;""),(VLOOKUP($C19,'V-LOOKUP'!$C$4:$M$59,10,FALSE)),"0")</f>
        <v>0</v>
      </c>
      <c r="BQ19" s="192" t="str">
        <f>IF(AND($C19&lt;&gt;"",$H19&lt;&gt;""),(VLOOKUP($C19,'V-LOOKUP'!$C$4:$M$59,11,FALSE)),"0")</f>
        <v>0</v>
      </c>
      <c r="BR19" s="192" t="str">
        <f>IF(AND($C19&lt;&gt;"",$H19&lt;&gt;""),(VLOOKUP($C19,'V-LOOKUP'!$C$4:$N$59,12,FALSE)),"0")</f>
        <v>0</v>
      </c>
      <c r="BS19" s="192" t="str">
        <f>IF(AND($C19&lt;&gt;"",I19&lt;&gt;""),(VLOOKUP($C19,'V-LOOKUP'!$C$4:$M$59,4,FALSE)),"0")</f>
        <v>0</v>
      </c>
      <c r="BT19" s="192" t="str">
        <f>IF(AND($C19&lt;&gt;"",$I19&lt;&gt;""),(VLOOKUP($C19,'V-LOOKUP'!$C$4:$M$59,5,FALSE)),"0")</f>
        <v>0</v>
      </c>
      <c r="BU19" s="192" t="str">
        <f>IF(AND($C19&lt;&gt;"",$I19&lt;&gt;""),(VLOOKUP($C19,'V-LOOKUP'!$C$4:$M$59,6,FALSE)),"0")</f>
        <v>0</v>
      </c>
      <c r="BV19" s="192" t="str">
        <f>IF(AND($C19&lt;&gt;"",$I19&lt;&gt;""),(VLOOKUP($C19,'V-LOOKUP'!$C$4:$M$59,7,FALSE)),"0")</f>
        <v>0</v>
      </c>
      <c r="BW19" s="192" t="str">
        <f>IF(AND($C19&lt;&gt;"",$I19&lt;&gt;""),(VLOOKUP($C19,'V-LOOKUP'!$C$4:$M$59,8,FALSE)),"0")</f>
        <v>0</v>
      </c>
      <c r="BX19" s="192" t="str">
        <f>IF(AND($C19&lt;&gt;"",$I19&lt;&gt;""),(VLOOKUP($C19,'V-LOOKUP'!$C$4:$M$59,9,FALSE)),"0")</f>
        <v>0</v>
      </c>
      <c r="BY19" s="192" t="str">
        <f>IF(AND($C19&lt;&gt;"",$I19&lt;&gt;""),(VLOOKUP($C19,'V-LOOKUP'!$C$4:$M$59,10,FALSE)),"0")</f>
        <v>0</v>
      </c>
      <c r="BZ19" s="192" t="str">
        <f>IF(AND($C19&lt;&gt;"",$I19&lt;&gt;""),(VLOOKUP($C19,'V-LOOKUP'!$C$4:$M$59,11,FALSE)),"0")</f>
        <v>0</v>
      </c>
      <c r="CA19" s="192" t="str">
        <f>IF(AND($C19&lt;&gt;"",$I19&lt;&gt;""),(VLOOKUP($C19,'V-LOOKUP'!$C$4:$N$59,12,FALSE)),"0")</f>
        <v>0</v>
      </c>
      <c r="CB19" s="192" t="str">
        <f>IF(AND($C19&lt;&gt;"",J19&lt;&gt;""),(VLOOKUP($C19,'V-LOOKUP'!$C$4:$M$59,4,FALSE)),"0")</f>
        <v>0</v>
      </c>
      <c r="CC19" s="192" t="str">
        <f>IF(AND($C19&lt;&gt;"",$J19&lt;&gt;""),(VLOOKUP($C19,'V-LOOKUP'!$C$4:$M$59,5,FALSE)),"0")</f>
        <v>0</v>
      </c>
      <c r="CD19" s="192" t="str">
        <f>IF(AND($C19&lt;&gt;"",$J19&lt;&gt;""),(VLOOKUP($C19,'V-LOOKUP'!$C$4:$M$59,6,FALSE)),"0")</f>
        <v>0</v>
      </c>
      <c r="CE19" s="192" t="str">
        <f>IF(AND($C19&lt;&gt;"",$J19&lt;&gt;""),(VLOOKUP($C19,'V-LOOKUP'!$C$4:$M$59,7,FALSE)),"0")</f>
        <v>0</v>
      </c>
      <c r="CF19" s="192" t="str">
        <f>IF(AND($C19&lt;&gt;"",$J19&lt;&gt;""),(VLOOKUP($C19,'V-LOOKUP'!$C$4:$M$59,8,FALSE)),"0")</f>
        <v>0</v>
      </c>
      <c r="CG19" s="192" t="str">
        <f>IF(AND($C19&lt;&gt;"",$J19&lt;&gt;""),(VLOOKUP($C19,'V-LOOKUP'!$C$4:$M$59,9,FALSE)),"0")</f>
        <v>0</v>
      </c>
      <c r="CH19" s="192" t="str">
        <f>IF(AND($C19&lt;&gt;"",$J19&lt;&gt;""),(VLOOKUP($C19,'V-LOOKUP'!$C$4:$M$59,10,FALSE)),"0")</f>
        <v>0</v>
      </c>
      <c r="CI19" s="192" t="str">
        <f>IF(AND($C19&lt;&gt;"",$J19&lt;&gt;""),(VLOOKUP($C19,'V-LOOKUP'!$C$4:$M$59,11,FALSE)),"0")</f>
        <v>0</v>
      </c>
      <c r="CJ19" s="192" t="str">
        <f>IF(AND($C19&lt;&gt;"",$J19&lt;&gt;""),(VLOOKUP($C19,'V-LOOKUP'!$C$4:$N$59,12,FALSE)),"0")</f>
        <v>0</v>
      </c>
      <c r="CK19" s="192" t="str">
        <f>IF(AND($C19&lt;&gt;"",K19&lt;&gt;""),(VLOOKUP($C19,'V-LOOKUP'!$C$4:$M$59,4,FALSE)),"0")</f>
        <v>0</v>
      </c>
      <c r="CL19" s="192" t="str">
        <f>IF(AND($C19&lt;&gt;"",$K19&lt;&gt;""),(VLOOKUP($C19,'V-LOOKUP'!$C$4:$M$59,5,FALSE)),"0")</f>
        <v>0</v>
      </c>
      <c r="CM19" s="192" t="str">
        <f>IF(AND($C19&lt;&gt;"",$K19&lt;&gt;""),(VLOOKUP($C19,'V-LOOKUP'!$C$4:$M$59,6,FALSE)),"0")</f>
        <v>0</v>
      </c>
      <c r="CN19" s="192" t="str">
        <f>IF(AND($C19&lt;&gt;"",$K19&lt;&gt;""),(VLOOKUP($C19,'V-LOOKUP'!$C$4:$M$59,7,FALSE)),"0")</f>
        <v>0</v>
      </c>
      <c r="CO19" s="192" t="str">
        <f>IF(AND($C19&lt;&gt;"",$K19&lt;&gt;""),(VLOOKUP($C19,'V-LOOKUP'!$C$4:$M$59,8,FALSE)),"0")</f>
        <v>0</v>
      </c>
      <c r="CP19" s="192" t="str">
        <f>IF(AND($C19&lt;&gt;"",$K19&lt;&gt;""),(VLOOKUP($C19,'V-LOOKUP'!$C$4:$M$59,9,FALSE)),"0")</f>
        <v>0</v>
      </c>
      <c r="CQ19" s="192" t="str">
        <f>IF(AND($C19&lt;&gt;"",$K19&lt;&gt;""),(VLOOKUP($C19,'V-LOOKUP'!$C$4:$M$59,10,FALSE)),"0")</f>
        <v>0</v>
      </c>
      <c r="CR19" s="192" t="str">
        <f>IF(AND($C19&lt;&gt;"",$K19&lt;&gt;""),(VLOOKUP($C19,'V-LOOKUP'!$C$4:$M$59,11,FALSE)),"0")</f>
        <v>0</v>
      </c>
      <c r="CS19" s="192" t="str">
        <f>IF(AND($C19&lt;&gt;"",$K19&lt;&gt;""),(VLOOKUP($C19,'V-LOOKUP'!$C$4:$N$59,12,FALSE)),"0")</f>
        <v>0</v>
      </c>
      <c r="CT19" s="192" t="str">
        <f>IF(AND($C19&lt;&gt;"",L19&lt;&gt;""),(VLOOKUP($C19,'V-LOOKUP'!$C$4:$M$59,4,FALSE)),"0")</f>
        <v>0</v>
      </c>
      <c r="CU19" s="192" t="str">
        <f>IF(AND($C19&lt;&gt;"",$L19&lt;&gt;""),(VLOOKUP($C19,'V-LOOKUP'!$C$4:$M$59,5,FALSE)),"0")</f>
        <v>0</v>
      </c>
      <c r="CV19" s="192" t="str">
        <f>IF(AND($C19&lt;&gt;"",$L19&lt;&gt;""),(VLOOKUP($C19,'V-LOOKUP'!$C$4:$M$59,6,FALSE)),"0")</f>
        <v>0</v>
      </c>
      <c r="CW19" s="192" t="str">
        <f>IF(AND($C19&lt;&gt;"",$L19&lt;&gt;""),(VLOOKUP($C19,'V-LOOKUP'!$C$4:$M$59,7,FALSE)),"0")</f>
        <v>0</v>
      </c>
      <c r="CX19" s="192" t="str">
        <f>IF(AND($C19&lt;&gt;"",$L19&lt;&gt;""),(VLOOKUP($C19,'V-LOOKUP'!$C$4:$M$59,8,FALSE)),"0")</f>
        <v>0</v>
      </c>
      <c r="CY19" s="192" t="str">
        <f>IF(AND($C19&lt;&gt;"",$L19&lt;&gt;""),(VLOOKUP($C19,'V-LOOKUP'!$C$4:$M$59,9,FALSE)),"0")</f>
        <v>0</v>
      </c>
      <c r="CZ19" s="192" t="str">
        <f>IF(AND($C19&lt;&gt;"",$L19&lt;&gt;""),(VLOOKUP($C19,'V-LOOKUP'!$C$4:$M$59,10,FALSE)),"0")</f>
        <v>0</v>
      </c>
      <c r="DA19" s="192" t="str">
        <f>IF(AND($C19&lt;&gt;"",$L19&lt;&gt;""),(VLOOKUP($C19,'V-LOOKUP'!$C$4:$M$59,11,FALSE)),"0")</f>
        <v>0</v>
      </c>
      <c r="DB19" s="192" t="str">
        <f>IF(AND($C19&lt;&gt;"",$L19&lt;&gt;""),(VLOOKUP($C19,'V-LOOKUP'!$C$4:$N$59,12,FALSE)),"0")</f>
        <v>0</v>
      </c>
      <c r="DC19" s="192" t="str">
        <f>IF(AND($C19&lt;&gt;"",M19&lt;&gt;""),(VLOOKUP($C19,'V-LOOKUP'!$C$4:$M$59,4,FALSE)),"0")</f>
        <v>0</v>
      </c>
      <c r="DD19" s="192" t="str">
        <f>IF(AND($C19&lt;&gt;"",$M19&lt;&gt;""),(VLOOKUP($C19,'V-LOOKUP'!$C$4:$M$59,5,FALSE)),"0")</f>
        <v>0</v>
      </c>
      <c r="DE19" s="192" t="str">
        <f>IF(AND($C19&lt;&gt;"",$M19&lt;&gt;""),(VLOOKUP($C19,'V-LOOKUP'!$C$4:$M$59,6,FALSE)),"0")</f>
        <v>0</v>
      </c>
      <c r="DF19" s="192" t="str">
        <f>IF(AND($C19&lt;&gt;"",$M19&lt;&gt;""),(VLOOKUP($C19,'V-LOOKUP'!$C$4:$M$59,7,FALSE)),"0")</f>
        <v>0</v>
      </c>
      <c r="DG19" s="192" t="str">
        <f>IF(AND($C19&lt;&gt;"",$M19&lt;&gt;""),(VLOOKUP($C19,'V-LOOKUP'!$C$4:$M$59,8,FALSE)),"0")</f>
        <v>0</v>
      </c>
      <c r="DH19" s="192" t="str">
        <f>IF(AND($C19&lt;&gt;"",$M19&lt;&gt;""),(VLOOKUP($C19,'V-LOOKUP'!$C$4:$M$59,9,FALSE)),"0")</f>
        <v>0</v>
      </c>
      <c r="DI19" s="192" t="str">
        <f>IF(AND($C19&lt;&gt;"",$M19&lt;&gt;""),(VLOOKUP($C19,'V-LOOKUP'!$C$4:$M$59,10,FALSE)),"0")</f>
        <v>0</v>
      </c>
      <c r="DJ19" s="192" t="str">
        <f>IF(AND($C19&lt;&gt;"",$M19&lt;&gt;""),(VLOOKUP($C19,'V-LOOKUP'!$C$4:$M$59,11,FALSE)),"0")</f>
        <v>0</v>
      </c>
      <c r="DK19" s="192" t="str">
        <f>IF(AND($C19&lt;&gt;"",$M19&lt;&gt;""),(VLOOKUP($C19,'V-LOOKUP'!$C$4:$N$59,12,FALSE)),"0")</f>
        <v>0</v>
      </c>
      <c r="DL19" s="192" t="str">
        <f>IF(AND($C19&lt;&gt;"",$N19&lt;&gt;""),(VLOOKUP($C19,'V-LOOKUP'!$C$4:$M$59,4,FALSE)),"0")</f>
        <v>0</v>
      </c>
      <c r="DM19" s="192" t="str">
        <f>IF(AND($C19&lt;&gt;"",$N19&lt;&gt;""),(VLOOKUP($C19,'V-LOOKUP'!$C$4:$M$59,5,FALSE)),"0")</f>
        <v>0</v>
      </c>
      <c r="DN19" s="192" t="str">
        <f>IF(AND($C19&lt;&gt;"",$N19&lt;&gt;""),(VLOOKUP($C19,'V-LOOKUP'!$C$4:$M$59,6,FALSE)),"0")</f>
        <v>0</v>
      </c>
      <c r="DO19" s="192" t="str">
        <f>IF(AND($C19&lt;&gt;"",$N19&lt;&gt;""),(VLOOKUP($C19,'V-LOOKUP'!$C$4:$M$59,7,FALSE)),"0")</f>
        <v>0</v>
      </c>
      <c r="DP19" s="192" t="str">
        <f>IF(AND($C19&lt;&gt;"",$N19&lt;&gt;""),(VLOOKUP($C19,'V-LOOKUP'!$C$4:$M$59,8,FALSE)),"0")</f>
        <v>0</v>
      </c>
      <c r="DQ19" s="192" t="str">
        <f>IF(AND($C19&lt;&gt;"",$N19&lt;&gt;""),(VLOOKUP($C19,'V-LOOKUP'!$C$4:$M$59,9,FALSE)),"0")</f>
        <v>0</v>
      </c>
      <c r="DR19" s="192" t="str">
        <f>IF(AND($C19&lt;&gt;"",$N19&lt;&gt;""),(VLOOKUP($C19,'V-LOOKUP'!$C$4:$M$59,10,FALSE)),"0")</f>
        <v>0</v>
      </c>
      <c r="DS19" s="192" t="str">
        <f>IF(AND($C19&lt;&gt;"",$N19&lt;&gt;""),(VLOOKUP($C19,'V-LOOKUP'!$C$4:$M$59,11,FALSE)),"0")</f>
        <v>0</v>
      </c>
      <c r="DT19" s="192" t="str">
        <f>IF(AND($C19&lt;&gt;"",$N19&lt;&gt;""),(VLOOKUP($C19,'V-LOOKUP'!$C$4:$N$59,12,FALSE)),"0")</f>
        <v>0</v>
      </c>
      <c r="DU19" s="192" t="str">
        <f>IF(AND($C19&lt;&gt;"",O19&lt;&gt;""),(VLOOKUP($C19,'V-LOOKUP'!$C$4:$M$59,4,FALSE)),"0")</f>
        <v>0</v>
      </c>
      <c r="DV19" s="192" t="str">
        <f>IF(AND($C19&lt;&gt;"",$O19&lt;&gt;""),(VLOOKUP($C19,'V-LOOKUP'!$C$4:$M$59,5,FALSE)),"0")</f>
        <v>0</v>
      </c>
      <c r="DW19" s="192" t="str">
        <f>IF(AND($C19&lt;&gt;"",$O19&lt;&gt;""),(VLOOKUP($C19,'V-LOOKUP'!$C$4:$M$59,6,FALSE)),"0")</f>
        <v>0</v>
      </c>
      <c r="DX19" s="192" t="str">
        <f>IF(AND($C19&lt;&gt;"",$O19&lt;&gt;""),(VLOOKUP($C19,'V-LOOKUP'!$C$4:$M$59,7,FALSE)),"0")</f>
        <v>0</v>
      </c>
      <c r="DY19" s="192" t="str">
        <f>IF(AND($C19&lt;&gt;"",$O19&lt;&gt;""),(VLOOKUP($C19,'V-LOOKUP'!$C$4:$M$59,8,FALSE)),"0")</f>
        <v>0</v>
      </c>
      <c r="DZ19" s="192" t="str">
        <f>IF(AND($C19&lt;&gt;"",$O19&lt;&gt;""),(VLOOKUP($C19,'V-LOOKUP'!$C$4:$M$59,9,FALSE)),"0")</f>
        <v>0</v>
      </c>
      <c r="EA19" s="192" t="str">
        <f>IF(AND($C19&lt;&gt;"",$O19&lt;&gt;""),(VLOOKUP($C19,'V-LOOKUP'!$C$4:$M$59,10,FALSE)),"0")</f>
        <v>0</v>
      </c>
      <c r="EB19" s="192" t="str">
        <f>IF(AND($C19&lt;&gt;"",$O19&lt;&gt;""),(VLOOKUP($C19,'V-LOOKUP'!$C$4:$M$59,11,FALSE)),"0")</f>
        <v>0</v>
      </c>
      <c r="EC19" s="192" t="str">
        <f>IF(AND($C19&lt;&gt;"",$O19&lt;&gt;""),(VLOOKUP($C19,'V-LOOKUP'!$C$4:$N$59,12,FALSE)),"0")</f>
        <v>0</v>
      </c>
      <c r="ED19" s="192" t="str">
        <f>IF(AND($C19&lt;&gt;"",P19&lt;&gt;""),(VLOOKUP($C19,'V-LOOKUP'!$C$4:$M$59,4,FALSE)),"0")</f>
        <v>0</v>
      </c>
      <c r="EE19" s="192" t="str">
        <f>IF(AND($C19&lt;&gt;"",$P19&lt;&gt;""),(VLOOKUP($C19,'V-LOOKUP'!$C$4:$M$59,5,FALSE)),"0")</f>
        <v>0</v>
      </c>
      <c r="EF19" s="192" t="str">
        <f>IF(AND($C19&lt;&gt;"",$P19&lt;&gt;""),(VLOOKUP($C19,'V-LOOKUP'!$C$4:$M$59,6,FALSE)),"0")</f>
        <v>0</v>
      </c>
      <c r="EG19" s="192" t="str">
        <f>IF(AND($C19&lt;&gt;"",$P19&lt;&gt;""),(VLOOKUP($C19,'V-LOOKUP'!$C$4:$M$59,7,FALSE)),"0")</f>
        <v>0</v>
      </c>
      <c r="EH19" s="192" t="str">
        <f>IF(AND($C19&lt;&gt;"",$P19&lt;&gt;""),(VLOOKUP($C19,'V-LOOKUP'!$C$4:$M$59,8,FALSE)),"0")</f>
        <v>0</v>
      </c>
      <c r="EI19" s="192" t="str">
        <f>IF(AND($C19&lt;&gt;"",$P19&lt;&gt;""),(VLOOKUP($C19,'V-LOOKUP'!$C$4:$M$59,9,FALSE)),"0")</f>
        <v>0</v>
      </c>
      <c r="EJ19" s="192" t="str">
        <f>IF(AND($C19&lt;&gt;"",$P19&lt;&gt;""),(VLOOKUP($C19,'V-LOOKUP'!$C$4:$M$59,10,FALSE)),"0")</f>
        <v>0</v>
      </c>
      <c r="EK19" s="192" t="str">
        <f>IF(AND($C19&lt;&gt;"",$P19&lt;&gt;""),(VLOOKUP($C19,'V-LOOKUP'!$C$4:$M$59,11,FALSE)),"0")</f>
        <v>0</v>
      </c>
      <c r="EL19" s="192" t="str">
        <f>IF(AND($C19&lt;&gt;"",$P19&lt;&gt;""),(VLOOKUP($C19,'V-LOOKUP'!$C$4:$N$59,12,FALSE)),"0")</f>
        <v>0</v>
      </c>
      <c r="EM19" s="192" t="str">
        <f>IF(AND($C19&lt;&gt;"",Q19&lt;&gt;""),(VLOOKUP($C19,'V-LOOKUP'!$C$4:$M$59,4,FALSE)),"0")</f>
        <v>0</v>
      </c>
      <c r="EN19" s="192" t="str">
        <f>IF(AND($C19&lt;&gt;"",$Q19&lt;&gt;""),(VLOOKUP($C19,'V-LOOKUP'!$C$4:$M$59,5,FALSE)),"0")</f>
        <v>0</v>
      </c>
      <c r="EO19" s="192" t="str">
        <f>IF(AND($C19&lt;&gt;"",$Q19&lt;&gt;""),(VLOOKUP($C19,'V-LOOKUP'!$C$4:$M$59,6,FALSE)),"0")</f>
        <v>0</v>
      </c>
      <c r="EP19" s="192" t="str">
        <f>IF(AND($C19&lt;&gt;"",$Q19&lt;&gt;""),(VLOOKUP($C19,'V-LOOKUP'!$C$4:$M$59,7,FALSE)),"0")</f>
        <v>0</v>
      </c>
      <c r="EQ19" s="192" t="str">
        <f>IF(AND($C19&lt;&gt;"",$Q19&lt;&gt;""),(VLOOKUP($C19,'V-LOOKUP'!$C$4:$M$59,8,FALSE)),"0")</f>
        <v>0</v>
      </c>
      <c r="ER19" s="192" t="str">
        <f>IF(AND($C19&lt;&gt;"",$Q19&lt;&gt;""),(VLOOKUP($C19,'V-LOOKUP'!$C$4:$M$59,9,FALSE)),"0")</f>
        <v>0</v>
      </c>
      <c r="ES19" s="192" t="str">
        <f>IF(AND($C19&lt;&gt;"",$Q19&lt;&gt;""),(VLOOKUP($C19,'V-LOOKUP'!$C$4:$M$59,10,FALSE)),"0")</f>
        <v>0</v>
      </c>
      <c r="ET19" s="192" t="str">
        <f>IF(AND($C19&lt;&gt;"",$Q19&lt;&gt;""),(VLOOKUP($C19,'V-LOOKUP'!$C$4:$M$59,11,FALSE)),"0")</f>
        <v>0</v>
      </c>
      <c r="EU19" s="192" t="str">
        <f>IF(AND($C19&lt;&gt;"",$Q19&lt;&gt;""),(VLOOKUP($C19,'V-LOOKUP'!$C$4:$N$59,12,FALSE)),"0")</f>
        <v>0</v>
      </c>
      <c r="EV19" s="192" t="str">
        <f>IF(AND($C19&lt;&gt;"",R19&lt;&gt;""),(VLOOKUP($C19,'V-LOOKUP'!$C$4:$M$59,4,FALSE)),"0")</f>
        <v>0</v>
      </c>
      <c r="EW19" s="192" t="str">
        <f>IF(AND($C19&lt;&gt;"",$R19&lt;&gt;""),(VLOOKUP($C19,'V-LOOKUP'!$C$4:$M$59,5,FALSE)),"0")</f>
        <v>0</v>
      </c>
      <c r="EX19" s="192" t="str">
        <f>IF(AND($C19&lt;&gt;"",$R19&lt;&gt;""),(VLOOKUP($C19,'V-LOOKUP'!$C$4:$M$59,6,FALSE)),"0")</f>
        <v>0</v>
      </c>
      <c r="EY19" s="192" t="str">
        <f>IF(AND($C19&lt;&gt;"",$R19&lt;&gt;""),(VLOOKUP($C19,'V-LOOKUP'!$C$4:$M$59,7,FALSE)),"0")</f>
        <v>0</v>
      </c>
      <c r="EZ19" s="192" t="str">
        <f>IF(AND($C19&lt;&gt;"",$R19&lt;&gt;""),(VLOOKUP($C19,'V-LOOKUP'!$C$4:$M$59,8,FALSE)),"0")</f>
        <v>0</v>
      </c>
      <c r="FA19" s="192" t="str">
        <f>IF(AND($C19&lt;&gt;"",$R19&lt;&gt;""),(VLOOKUP($C19,'V-LOOKUP'!$C$4:$M$59,9,FALSE)),"0")</f>
        <v>0</v>
      </c>
      <c r="FB19" s="192" t="str">
        <f>IF(AND($C19&lt;&gt;"",$R19&lt;&gt;""),(VLOOKUP($C19,'V-LOOKUP'!$C$4:$M$59,10,FALSE)),"0")</f>
        <v>0</v>
      </c>
      <c r="FC19" s="192" t="str">
        <f>IF(AND($C19&lt;&gt;"",$R19&lt;&gt;""),(VLOOKUP($C19,'V-LOOKUP'!$C$4:$M$59,11,FALSE)),"0")</f>
        <v>0</v>
      </c>
      <c r="FD19" s="192" t="str">
        <f>IF(AND($C19&lt;&gt;"",$R19&lt;&gt;""),(VLOOKUP($C19,'V-LOOKUP'!$C$4:$N$59,12,FALSE)),"0")</f>
        <v>0</v>
      </c>
      <c r="FE19" s="192" t="str">
        <f>IF(AND($C19&lt;&gt;"",S19&lt;&gt;""),(VLOOKUP($C19,'V-LOOKUP'!$C$4:$M$59,4,FALSE)),"0")</f>
        <v>0</v>
      </c>
      <c r="FF19" s="192" t="str">
        <f>IF(AND($C19&lt;&gt;"",$S19&lt;&gt;""),(VLOOKUP($C19,'V-LOOKUP'!$C$4:$M$59,5,FALSE)),"0")</f>
        <v>0</v>
      </c>
      <c r="FG19" s="192" t="str">
        <f>IF(AND($C19&lt;&gt;"",$S19&lt;&gt;""),(VLOOKUP($C19,'V-LOOKUP'!$C$4:$M$59,6,FALSE)),"0")</f>
        <v>0</v>
      </c>
      <c r="FH19" s="192" t="str">
        <f>IF(AND($C19&lt;&gt;"",$S19&lt;&gt;""),(VLOOKUP($C19,'V-LOOKUP'!$C$4:$M$59,7,FALSE)),"0")</f>
        <v>0</v>
      </c>
      <c r="FI19" s="192" t="str">
        <f>IF(AND($C19&lt;&gt;"",$S19&lt;&gt;""),(VLOOKUP($C19,'V-LOOKUP'!$C$4:$M$59,8,FALSE)),"0")</f>
        <v>0</v>
      </c>
      <c r="FJ19" s="192" t="str">
        <f>IF(AND($C19&lt;&gt;"",$S19&lt;&gt;""),(VLOOKUP($C19,'V-LOOKUP'!$C$4:$M$59,9,FALSE)),"0")</f>
        <v>0</v>
      </c>
      <c r="FK19" s="192" t="str">
        <f>IF(AND($C19&lt;&gt;"",$S19&lt;&gt;""),(VLOOKUP($C19,'V-LOOKUP'!$C$4:$M$59,10,FALSE)),"0")</f>
        <v>0</v>
      </c>
      <c r="FL19" s="192" t="str">
        <f>IF(AND($C19&lt;&gt;"",$S19&lt;&gt;""),(VLOOKUP($C19,'V-LOOKUP'!$C$4:$M$59,11,FALSE)),"0")</f>
        <v>0</v>
      </c>
      <c r="FM19" s="192" t="str">
        <f>IF(AND($C19&lt;&gt;"",$S19&lt;&gt;""),(VLOOKUP($C19,'V-LOOKUP'!$C$4:$N$59,12,FALSE)),"0")</f>
        <v>0</v>
      </c>
      <c r="FN19" s="192" t="str">
        <f>IF(AND($C19&lt;&gt;"",T19&lt;&gt;""),(VLOOKUP($C19,'V-LOOKUP'!$C$4:$M$59,4,FALSE)),"0")</f>
        <v>0</v>
      </c>
      <c r="FO19" s="192" t="str">
        <f>IF(AND($C19&lt;&gt;"",$T19&lt;&gt;""),(VLOOKUP($C19,'V-LOOKUP'!$C$4:$M$59,5,FALSE)),"0")</f>
        <v>0</v>
      </c>
      <c r="FP19" s="192" t="str">
        <f>IF(AND($C19&lt;&gt;"",$T19&lt;&gt;""),(VLOOKUP($C19,'V-LOOKUP'!$C$4:$M$59,6,FALSE)),"0")</f>
        <v>0</v>
      </c>
      <c r="FQ19" s="192" t="str">
        <f>IF(AND($C19&lt;&gt;"",$T19&lt;&gt;""),(VLOOKUP($C19,'V-LOOKUP'!$C$4:$M$59,7,FALSE)),"0")</f>
        <v>0</v>
      </c>
      <c r="FR19" s="192" t="str">
        <f>IF(AND($C19&lt;&gt;"",$T19&lt;&gt;""),(VLOOKUP($C19,'V-LOOKUP'!$C$4:$M$59,8,FALSE)),"0")</f>
        <v>0</v>
      </c>
      <c r="FS19" s="192" t="str">
        <f>IF(AND($C19&lt;&gt;"",$T19&lt;&gt;""),(VLOOKUP($C19,'V-LOOKUP'!$C$4:$M$59,9,FALSE)),"0")</f>
        <v>0</v>
      </c>
      <c r="FT19" s="192" t="str">
        <f>IF(AND($C19&lt;&gt;"",$T19&lt;&gt;""),(VLOOKUP($C19,'V-LOOKUP'!$C$4:$M$59,10,FALSE)),"0")</f>
        <v>0</v>
      </c>
      <c r="FU19" s="192" t="str">
        <f>IF(AND($C19&lt;&gt;"",$T19&lt;&gt;""),(VLOOKUP($C19,'V-LOOKUP'!$C$4:$M$59,11,FALSE)),"0")</f>
        <v>0</v>
      </c>
      <c r="FV19" s="192" t="str">
        <f>IF(AND($C19&lt;&gt;"",$T19&lt;&gt;""),(VLOOKUP($C19,'V-LOOKUP'!$C$4:$N$59,12,FALSE)),"0")</f>
        <v>0</v>
      </c>
      <c r="FW19" s="192" t="str">
        <f>IF(AND($C19&lt;&gt;"",U19&lt;&gt;""),(VLOOKUP($C19,'V-LOOKUP'!$C$4:$M$59,4,FALSE)),"0")</f>
        <v>0</v>
      </c>
      <c r="FX19" s="192" t="str">
        <f>IF(AND($C19&lt;&gt;"",$U19&lt;&gt;""),(VLOOKUP($C19,'V-LOOKUP'!$C$4:$M$59,5,FALSE)),"0")</f>
        <v>0</v>
      </c>
      <c r="FY19" s="192" t="str">
        <f>IF(AND($C19&lt;&gt;"",$U19&lt;&gt;""),(VLOOKUP($C19,'V-LOOKUP'!$C$4:$M$59,6,FALSE)),"0")</f>
        <v>0</v>
      </c>
      <c r="FZ19" s="192" t="str">
        <f>IF(AND($C19&lt;&gt;"",$U19&lt;&gt;""),(VLOOKUP($C19,'V-LOOKUP'!$C$4:$M$59,7,FALSE)),"0")</f>
        <v>0</v>
      </c>
      <c r="GA19" s="192" t="str">
        <f>IF(AND($C19&lt;&gt;"",$U19&lt;&gt;""),(VLOOKUP($C19,'V-LOOKUP'!$C$4:$M$59,8,FALSE)),"0")</f>
        <v>0</v>
      </c>
      <c r="GB19" s="192" t="str">
        <f>IF(AND($C19&lt;&gt;"",$U19&lt;&gt;""),(VLOOKUP($C19,'V-LOOKUP'!$C$4:$M$59,9,FALSE)),"0")</f>
        <v>0</v>
      </c>
      <c r="GC19" s="192" t="str">
        <f>IF(AND($C19&lt;&gt;"",$U19&lt;&gt;""),(VLOOKUP($C19,'V-LOOKUP'!$C$4:$M$59,10,FALSE)),"0")</f>
        <v>0</v>
      </c>
      <c r="GD19" s="192" t="str">
        <f>IF(AND($C19&lt;&gt;"",$U19&lt;&gt;""),(VLOOKUP($C19,'V-LOOKUP'!$C$4:$M$59,11,FALSE)),"0")</f>
        <v>0</v>
      </c>
      <c r="GE19" s="192" t="str">
        <f>IF(AND($C19&lt;&gt;"",$U19&lt;&gt;""),(VLOOKUP($C19,'V-LOOKUP'!$C$4:$N$59,12,FALSE)),"0")</f>
        <v>0</v>
      </c>
      <c r="GF19" s="192" t="str">
        <f>IF(AND($C19&lt;&gt;"",V19&lt;&gt;""),(VLOOKUP($C19,'V-LOOKUP'!$C$4:$M$59,4,FALSE)),"0")</f>
        <v>0</v>
      </c>
      <c r="GG19" s="192" t="str">
        <f>IF(AND($C19&lt;&gt;"",$V19&lt;&gt;""),(VLOOKUP($C19,'V-LOOKUP'!$C$4:$M$59,5,FALSE)),"0")</f>
        <v>0</v>
      </c>
      <c r="GH19" s="192" t="str">
        <f>IF(AND($C19&lt;&gt;"",$V19&lt;&gt;""),(VLOOKUP($C19,'V-LOOKUP'!$C$4:$M$59,6,FALSE)),"0")</f>
        <v>0</v>
      </c>
      <c r="GI19" s="192" t="str">
        <f>IF(AND($C19&lt;&gt;"",$V19&lt;&gt;""),(VLOOKUP($C19,'V-LOOKUP'!$C$4:$M$59,7,FALSE)),"0")</f>
        <v>0</v>
      </c>
      <c r="GJ19" s="192" t="str">
        <f>IF(AND($C19&lt;&gt;"",$V19&lt;&gt;""),(VLOOKUP($C19,'V-LOOKUP'!$C$4:$M$59,8,FALSE)),"0")</f>
        <v>0</v>
      </c>
      <c r="GK19" s="192" t="str">
        <f>IF(AND($C19&lt;&gt;"",$V19&lt;&gt;""),(VLOOKUP($C19,'V-LOOKUP'!$C$4:$M$59,9,FALSE)),"0")</f>
        <v>0</v>
      </c>
      <c r="GL19" s="192" t="str">
        <f>IF(AND($C19&lt;&gt;"",$V19&lt;&gt;""),(VLOOKUP($C19,'V-LOOKUP'!$C$4:$M$59,10,FALSE)),"0")</f>
        <v>0</v>
      </c>
      <c r="GM19" s="192" t="str">
        <f>IF(AND($C19&lt;&gt;"",$V19&lt;&gt;""),(VLOOKUP($C19,'V-LOOKUP'!$C$4:$M$59,11,FALSE)),"0")</f>
        <v>0</v>
      </c>
      <c r="GN19" s="192" t="str">
        <f>IF(AND($C19&lt;&gt;"",$V19&lt;&gt;""),(VLOOKUP($C19,'V-LOOKUP'!$C$4:$N$59,12,FALSE)),"0")</f>
        <v>0</v>
      </c>
      <c r="GO19" s="192" t="str">
        <f>IF(AND($C19&lt;&gt;"",W19&lt;&gt;""),(VLOOKUP($C19,'V-LOOKUP'!$C$4:$M$59,4,FALSE)),"0")</f>
        <v>0</v>
      </c>
      <c r="GP19" s="192" t="str">
        <f>IF(AND($C19&lt;&gt;"",$W19&lt;&gt;""),(VLOOKUP($C19,'V-LOOKUP'!$C$4:$M$59,5,FALSE)),"0")</f>
        <v>0</v>
      </c>
      <c r="GQ19" s="192" t="str">
        <f>IF(AND($C19&lt;&gt;"",$W19&lt;&gt;""),(VLOOKUP($C19,'V-LOOKUP'!$C$4:$M$59,6,FALSE)),"0")</f>
        <v>0</v>
      </c>
      <c r="GR19" s="192" t="str">
        <f>IF(AND($C19&lt;&gt;"",$W19&lt;&gt;""),(VLOOKUP($C19,'V-LOOKUP'!$C$4:$M$59,7,FALSE)),"0")</f>
        <v>0</v>
      </c>
      <c r="GS19" s="192" t="str">
        <f>IF(AND($C19&lt;&gt;"",$W19&lt;&gt;""),(VLOOKUP($C19,'V-LOOKUP'!$C$4:$M$59,8,FALSE)),"0")</f>
        <v>0</v>
      </c>
      <c r="GT19" s="192" t="str">
        <f>IF(AND($C19&lt;&gt;"",$W19&lt;&gt;""),(VLOOKUP($C19,'V-LOOKUP'!$C$4:$M$59,9,FALSE)),"0")</f>
        <v>0</v>
      </c>
      <c r="GU19" s="192" t="str">
        <f>IF(AND($C19&lt;&gt;"",$W19&lt;&gt;""),(VLOOKUP($C19,'V-LOOKUP'!$C$4:$M$59,10,FALSE)),"0")</f>
        <v>0</v>
      </c>
      <c r="GV19" s="192" t="str">
        <f>IF(AND($C19&lt;&gt;"",$W19&lt;&gt;""),(VLOOKUP($C19,'V-LOOKUP'!$C$4:$M$59,11,FALSE)),"0")</f>
        <v>0</v>
      </c>
      <c r="GW19" s="192" t="str">
        <f>IF(AND($C19&lt;&gt;"",$W19&lt;&gt;""),(VLOOKUP($C19,'V-LOOKUP'!$C$4:$N$59,12,FALSE)),"0")</f>
        <v>0</v>
      </c>
    </row>
    <row r="20" spans="1:205" ht="14.65" hidden="1" customHeight="1">
      <c r="A20" s="193"/>
      <c r="B20" s="245"/>
      <c r="C20" s="201"/>
      <c r="D20" s="202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Y20" s="190"/>
      <c r="Z20" s="192" t="str">
        <f>IF(AND($C20&lt;&gt;"",$D20&lt;&gt;""),(VLOOKUP($C20,'V-LOOKUP'!$C$4:$M$59,4,FALSE)),"0")</f>
        <v>0</v>
      </c>
      <c r="AA20" s="192" t="str">
        <f>IF(AND($C20&lt;&gt;"",$D20&lt;&gt;""),(VLOOKUP($C20,'V-LOOKUP'!$C$4:$M$59,5,FALSE)),"0")</f>
        <v>0</v>
      </c>
      <c r="AB20" s="192" t="str">
        <f>IF(AND($C20&lt;&gt;"",$D20&lt;&gt;""),(VLOOKUP($C20,'V-LOOKUP'!$C$4:$M$59,6,FALSE)),"0")</f>
        <v>0</v>
      </c>
      <c r="AC20" s="192" t="str">
        <f>IF(AND($C20&lt;&gt;"",$D20&lt;&gt;""),(VLOOKUP($C20,'V-LOOKUP'!$C$4:$M$59,7,FALSE)),"0")</f>
        <v>0</v>
      </c>
      <c r="AD20" s="192" t="str">
        <f>IF(AND($C20&lt;&gt;"",$D20&lt;&gt;""),(VLOOKUP($C20,'V-LOOKUP'!$C$4:$M$59,8,FALSE)),"0")</f>
        <v>0</v>
      </c>
      <c r="AE20" s="192" t="str">
        <f>IF(AND($C20&lt;&gt;"",$D20&lt;&gt;""),(VLOOKUP($C20,'V-LOOKUP'!$C$4:$M$59,9,FALSE)),"0")</f>
        <v>0</v>
      </c>
      <c r="AF20" s="192" t="str">
        <f>IF(AND($C20&lt;&gt;"",$D20&lt;&gt;""),(VLOOKUP($C20,'V-LOOKUP'!$C$4:$M$59,10,FALSE)),"0")</f>
        <v>0</v>
      </c>
      <c r="AG20" s="192" t="str">
        <f>IF(AND($C20&lt;&gt;"",$D20&lt;&gt;""),(VLOOKUP($C20,'V-LOOKUP'!$C$4:$M$59,11,FALSE)),"0")</f>
        <v>0</v>
      </c>
      <c r="AH20" s="192" t="str">
        <f>IF(AND($C20&lt;&gt;"",$D20&lt;&gt;""),(VLOOKUP($C20,'V-LOOKUP'!$C$4:$N$59,12,FALSE)),"0")</f>
        <v>0</v>
      </c>
      <c r="AI20" s="192" t="str">
        <f>IF(AND($C20&lt;&gt;"",E20&lt;&gt;""),(VLOOKUP($C20,'V-LOOKUP'!$C$4:$M$59,4,FALSE)),"0")</f>
        <v>0</v>
      </c>
      <c r="AJ20" s="192" t="str">
        <f>IF(AND($C20&lt;&gt;"",$E20&lt;&gt;""),(VLOOKUP($C20,'V-LOOKUP'!$C$4:$M$59,5,FALSE)),"0")</f>
        <v>0</v>
      </c>
      <c r="AK20" s="192" t="str">
        <f>IF(AND($C20&lt;&gt;"",$E20&lt;&gt;""),(VLOOKUP($C20,'V-LOOKUP'!$C$4:$M$59,6,FALSE)),"0")</f>
        <v>0</v>
      </c>
      <c r="AL20" s="192" t="str">
        <f>IF(AND($C20&lt;&gt;"",$E20&lt;&gt;""),(VLOOKUP($C20,'V-LOOKUP'!$C$4:$M$59,7,FALSE)),"0")</f>
        <v>0</v>
      </c>
      <c r="AM20" s="192" t="str">
        <f>IF(AND($C20&lt;&gt;"",$E20&lt;&gt;""),(VLOOKUP($C20,'V-LOOKUP'!$C$4:$M$59,8,FALSE)),"0")</f>
        <v>0</v>
      </c>
      <c r="AN20" s="192" t="str">
        <f>IF(AND($C20&lt;&gt;"",$E20&lt;&gt;""),(VLOOKUP($C20,'V-LOOKUP'!$C$4:$M$59,9,FALSE)),"0")</f>
        <v>0</v>
      </c>
      <c r="AO20" s="192" t="str">
        <f>IF(AND($C20&lt;&gt;"",$E20&lt;&gt;""),(VLOOKUP($C20,'V-LOOKUP'!$C$4:$M$59,10,FALSE)),"0")</f>
        <v>0</v>
      </c>
      <c r="AP20" s="192" t="str">
        <f>IF(AND($C20&lt;&gt;"",$E20&lt;&gt;""),(VLOOKUP($C20,'V-LOOKUP'!$C$4:$M$59,11,FALSE)),"0")</f>
        <v>0</v>
      </c>
      <c r="AQ20" s="192" t="str">
        <f>IF(AND($C20&lt;&gt;"",$E20&lt;&gt;""),(VLOOKUP($C20,'V-LOOKUP'!$C$4:$N$59,12,FALSE)),"0")</f>
        <v>0</v>
      </c>
      <c r="AR20" s="192" t="str">
        <f>IF(AND($C20&lt;&gt;"",$F20&lt;&gt;""),(VLOOKUP($C20,'V-LOOKUP'!$C$4:$M$59,4,FALSE)),"0")</f>
        <v>0</v>
      </c>
      <c r="AS20" s="192" t="str">
        <f>IF(AND($C20&lt;&gt;"",$F20&lt;&gt;""),(VLOOKUP($C20,'V-LOOKUP'!$C$4:$M$59,5,FALSE)),"0")</f>
        <v>0</v>
      </c>
      <c r="AT20" s="192" t="str">
        <f>IF(AND($C20&lt;&gt;"",$F20&lt;&gt;""),(VLOOKUP($C20,'V-LOOKUP'!$C$4:$M$59,6,FALSE)),"0")</f>
        <v>0</v>
      </c>
      <c r="AU20" s="192" t="str">
        <f>IF(AND($C20&lt;&gt;"",$F20&lt;&gt;""),(VLOOKUP($C20,'V-LOOKUP'!$C$4:$M$59,7,FALSE)),"0")</f>
        <v>0</v>
      </c>
      <c r="AV20" s="192" t="str">
        <f>IF(AND($C20&lt;&gt;"",$F20&lt;&gt;""),(VLOOKUP($C20,'V-LOOKUP'!$C$4:$M$59,8,FALSE)),"0")</f>
        <v>0</v>
      </c>
      <c r="AW20" s="192" t="str">
        <f>IF(AND($C20&lt;&gt;"",$F20&lt;&gt;""),(VLOOKUP($C20,'V-LOOKUP'!$C$4:$M$59,9,FALSE)),"0")</f>
        <v>0</v>
      </c>
      <c r="AX20" s="192" t="str">
        <f>IF(AND($C20&lt;&gt;"",$F20&lt;&gt;""),(VLOOKUP($C20,'V-LOOKUP'!$C$4:$M$59,10,FALSE)),"0")</f>
        <v>0</v>
      </c>
      <c r="AY20" s="192" t="str">
        <f>IF(AND($C20&lt;&gt;"",$F20&lt;&gt;""),(VLOOKUP($C20,'V-LOOKUP'!$C$4:$M$59,11,FALSE)),"0")</f>
        <v>0</v>
      </c>
      <c r="AZ20" s="192" t="str">
        <f>IF(AND($C20&lt;&gt;"",$F20&lt;&gt;""),(VLOOKUP($C20,'V-LOOKUP'!$C$4:$N$59,12,FALSE)),"0")</f>
        <v>0</v>
      </c>
      <c r="BA20" s="192" t="str">
        <f>IF(AND($C20&lt;&gt;"",G20&lt;&gt;""),(VLOOKUP($C20,'V-LOOKUP'!$C$4:$M$59,4,FALSE)),"0")</f>
        <v>0</v>
      </c>
      <c r="BB20" s="192" t="str">
        <f>IF(AND($C20&lt;&gt;"",$G20&lt;&gt;""),(VLOOKUP($C20,'V-LOOKUP'!$C$4:$M$59,5,FALSE)),"0")</f>
        <v>0</v>
      </c>
      <c r="BC20" s="192" t="str">
        <f>IF(AND($C20&lt;&gt;"",$G20&lt;&gt;""),(VLOOKUP($C20,'V-LOOKUP'!$C$4:$M$59,6,FALSE)),"0")</f>
        <v>0</v>
      </c>
      <c r="BD20" s="192" t="str">
        <f>IF(AND($C20&lt;&gt;"",$G20&lt;&gt;""),(VLOOKUP($C20,'V-LOOKUP'!$C$4:$M$59,7,FALSE)),"0")</f>
        <v>0</v>
      </c>
      <c r="BE20" s="192" t="str">
        <f>IF(AND($C20&lt;&gt;"",$G20&lt;&gt;""),(VLOOKUP($C20,'V-LOOKUP'!$C$4:$M$59,8,FALSE)),"0")</f>
        <v>0</v>
      </c>
      <c r="BF20" s="192" t="str">
        <f>IF(AND($C20&lt;&gt;"",$G20&lt;&gt;""),(VLOOKUP($C20,'V-LOOKUP'!$C$4:$M$59,9,FALSE)),"0")</f>
        <v>0</v>
      </c>
      <c r="BG20" s="192" t="str">
        <f>IF(AND($C20&lt;&gt;"",$G20&lt;&gt;""),(VLOOKUP($C20,'V-LOOKUP'!$C$4:$M$59,10,FALSE)),"0")</f>
        <v>0</v>
      </c>
      <c r="BH20" s="192" t="str">
        <f>IF(AND($C20&lt;&gt;"",$G20&lt;&gt;""),(VLOOKUP($C20,'V-LOOKUP'!$C$4:$M$59,11,FALSE)),"0")</f>
        <v>0</v>
      </c>
      <c r="BI20" s="192" t="str">
        <f>IF(AND($C20&lt;&gt;"",$G20&lt;&gt;""),(VLOOKUP($C20,'V-LOOKUP'!$C$4:$N$59,12,FALSE)),"0")</f>
        <v>0</v>
      </c>
      <c r="BJ20" s="192" t="str">
        <f>IF(AND($C20&lt;&gt;"",H20&lt;&gt;""),(VLOOKUP($C20,'V-LOOKUP'!$C$4:$M$59,4,FALSE)),"0")</f>
        <v>0</v>
      </c>
      <c r="BK20" s="192" t="str">
        <f>IF(AND($C20&lt;&gt;"",$G20&lt;&gt;""),(VLOOKUP($C20,'V-LOOKUP'!$C$4:$M$59,5,FALSE)),"0")</f>
        <v>0</v>
      </c>
      <c r="BL20" s="192" t="str">
        <f>IF(AND($C20&lt;&gt;"",$H20&lt;&gt;""),(VLOOKUP($C20,'V-LOOKUP'!$C$4:$M$59,6,FALSE)),"0")</f>
        <v>0</v>
      </c>
      <c r="BM20" s="192" t="str">
        <f>IF(AND($C20&lt;&gt;"",$H20&lt;&gt;""),(VLOOKUP($C20,'V-LOOKUP'!$C$4:$M$59,7,FALSE)),"0")</f>
        <v>0</v>
      </c>
      <c r="BN20" s="192" t="str">
        <f>IF(AND($C20&lt;&gt;"",$H20&lt;&gt;""),(VLOOKUP($C20,'V-LOOKUP'!$C$4:$M$59,8,FALSE)),"0")</f>
        <v>0</v>
      </c>
      <c r="BO20" s="192" t="str">
        <f>IF(AND($C20&lt;&gt;"",$H20&lt;&gt;""),(VLOOKUP($C20,'V-LOOKUP'!$C$4:$M$59,9,FALSE)),"0")</f>
        <v>0</v>
      </c>
      <c r="BP20" s="192" t="str">
        <f>IF(AND($C20&lt;&gt;"",$H20&lt;&gt;""),(VLOOKUP($C20,'V-LOOKUP'!$C$4:$M$59,10,FALSE)),"0")</f>
        <v>0</v>
      </c>
      <c r="BQ20" s="192" t="str">
        <f>IF(AND($C20&lt;&gt;"",$H20&lt;&gt;""),(VLOOKUP($C20,'V-LOOKUP'!$C$4:$M$59,11,FALSE)),"0")</f>
        <v>0</v>
      </c>
      <c r="BR20" s="192" t="str">
        <f>IF(AND($C20&lt;&gt;"",$H20&lt;&gt;""),(VLOOKUP($C20,'V-LOOKUP'!$C$4:$N$59,12,FALSE)),"0")</f>
        <v>0</v>
      </c>
      <c r="BS20" s="192" t="str">
        <f>IF(AND($C20&lt;&gt;"",I20&lt;&gt;""),(VLOOKUP($C20,'V-LOOKUP'!$C$4:$M$59,4,FALSE)),"0")</f>
        <v>0</v>
      </c>
      <c r="BT20" s="192" t="str">
        <f>IF(AND($C20&lt;&gt;"",$I20&lt;&gt;""),(VLOOKUP($C20,'V-LOOKUP'!$C$4:$M$59,5,FALSE)),"0")</f>
        <v>0</v>
      </c>
      <c r="BU20" s="192" t="str">
        <f>IF(AND($C20&lt;&gt;"",$I20&lt;&gt;""),(VLOOKUP($C20,'V-LOOKUP'!$C$4:$M$59,6,FALSE)),"0")</f>
        <v>0</v>
      </c>
      <c r="BV20" s="192" t="str">
        <f>IF(AND($C20&lt;&gt;"",$I20&lt;&gt;""),(VLOOKUP($C20,'V-LOOKUP'!$C$4:$M$59,7,FALSE)),"0")</f>
        <v>0</v>
      </c>
      <c r="BW20" s="192" t="str">
        <f>IF(AND($C20&lt;&gt;"",$I20&lt;&gt;""),(VLOOKUP($C20,'V-LOOKUP'!$C$4:$M$59,8,FALSE)),"0")</f>
        <v>0</v>
      </c>
      <c r="BX20" s="192" t="str">
        <f>IF(AND($C20&lt;&gt;"",$I20&lt;&gt;""),(VLOOKUP($C20,'V-LOOKUP'!$C$4:$M$59,9,FALSE)),"0")</f>
        <v>0</v>
      </c>
      <c r="BY20" s="192" t="str">
        <f>IF(AND($C20&lt;&gt;"",$I20&lt;&gt;""),(VLOOKUP($C20,'V-LOOKUP'!$C$4:$M$59,10,FALSE)),"0")</f>
        <v>0</v>
      </c>
      <c r="BZ20" s="192" t="str">
        <f>IF(AND($C20&lt;&gt;"",$I20&lt;&gt;""),(VLOOKUP($C20,'V-LOOKUP'!$C$4:$M$59,11,FALSE)),"0")</f>
        <v>0</v>
      </c>
      <c r="CA20" s="192" t="str">
        <f>IF(AND($C20&lt;&gt;"",$I20&lt;&gt;""),(VLOOKUP($C20,'V-LOOKUP'!$C$4:$N$59,12,FALSE)),"0")</f>
        <v>0</v>
      </c>
      <c r="CB20" s="192" t="str">
        <f>IF(AND($C20&lt;&gt;"",J20&lt;&gt;""),(VLOOKUP($C20,'V-LOOKUP'!$C$4:$M$59,4,FALSE)),"0")</f>
        <v>0</v>
      </c>
      <c r="CC20" s="192" t="str">
        <f>IF(AND($C20&lt;&gt;"",$J20&lt;&gt;""),(VLOOKUP($C20,'V-LOOKUP'!$C$4:$M$59,5,FALSE)),"0")</f>
        <v>0</v>
      </c>
      <c r="CD20" s="192" t="str">
        <f>IF(AND($C20&lt;&gt;"",$J20&lt;&gt;""),(VLOOKUP($C20,'V-LOOKUP'!$C$4:$M$59,6,FALSE)),"0")</f>
        <v>0</v>
      </c>
      <c r="CE20" s="192" t="str">
        <f>IF(AND($C20&lt;&gt;"",$J20&lt;&gt;""),(VLOOKUP($C20,'V-LOOKUP'!$C$4:$M$59,7,FALSE)),"0")</f>
        <v>0</v>
      </c>
      <c r="CF20" s="192" t="str">
        <f>IF(AND($C20&lt;&gt;"",$J20&lt;&gt;""),(VLOOKUP($C20,'V-LOOKUP'!$C$4:$M$59,8,FALSE)),"0")</f>
        <v>0</v>
      </c>
      <c r="CG20" s="192" t="str">
        <f>IF(AND($C20&lt;&gt;"",$J20&lt;&gt;""),(VLOOKUP($C20,'V-LOOKUP'!$C$4:$M$59,9,FALSE)),"0")</f>
        <v>0</v>
      </c>
      <c r="CH20" s="192" t="str">
        <f>IF(AND($C20&lt;&gt;"",$J20&lt;&gt;""),(VLOOKUP($C20,'V-LOOKUP'!$C$4:$M$59,10,FALSE)),"0")</f>
        <v>0</v>
      </c>
      <c r="CI20" s="192" t="str">
        <f>IF(AND($C20&lt;&gt;"",$J20&lt;&gt;""),(VLOOKUP($C20,'V-LOOKUP'!$C$4:$M$59,11,FALSE)),"0")</f>
        <v>0</v>
      </c>
      <c r="CJ20" s="192" t="str">
        <f>IF(AND($C20&lt;&gt;"",$J20&lt;&gt;""),(VLOOKUP($C20,'V-LOOKUP'!$C$4:$N$59,12,FALSE)),"0")</f>
        <v>0</v>
      </c>
      <c r="CK20" s="192" t="str">
        <f>IF(AND($C20&lt;&gt;"",K20&lt;&gt;""),(VLOOKUP($C20,'V-LOOKUP'!$C$4:$M$59,4,FALSE)),"0")</f>
        <v>0</v>
      </c>
      <c r="CL20" s="192" t="str">
        <f>IF(AND($C20&lt;&gt;"",$K20&lt;&gt;""),(VLOOKUP($C20,'V-LOOKUP'!$C$4:$M$59,5,FALSE)),"0")</f>
        <v>0</v>
      </c>
      <c r="CM20" s="192" t="str">
        <f>IF(AND($C20&lt;&gt;"",$K20&lt;&gt;""),(VLOOKUP($C20,'V-LOOKUP'!$C$4:$M$59,6,FALSE)),"0")</f>
        <v>0</v>
      </c>
      <c r="CN20" s="192" t="str">
        <f>IF(AND($C20&lt;&gt;"",$K20&lt;&gt;""),(VLOOKUP($C20,'V-LOOKUP'!$C$4:$M$59,7,FALSE)),"0")</f>
        <v>0</v>
      </c>
      <c r="CO20" s="192" t="str">
        <f>IF(AND($C20&lt;&gt;"",$K20&lt;&gt;""),(VLOOKUP($C20,'V-LOOKUP'!$C$4:$M$59,8,FALSE)),"0")</f>
        <v>0</v>
      </c>
      <c r="CP20" s="192" t="str">
        <f>IF(AND($C20&lt;&gt;"",$K20&lt;&gt;""),(VLOOKUP($C20,'V-LOOKUP'!$C$4:$M$59,9,FALSE)),"0")</f>
        <v>0</v>
      </c>
      <c r="CQ20" s="192" t="str">
        <f>IF(AND($C20&lt;&gt;"",$K20&lt;&gt;""),(VLOOKUP($C20,'V-LOOKUP'!$C$4:$M$59,10,FALSE)),"0")</f>
        <v>0</v>
      </c>
      <c r="CR20" s="192" t="str">
        <f>IF(AND($C20&lt;&gt;"",$K20&lt;&gt;""),(VLOOKUP($C20,'V-LOOKUP'!$C$4:$M$59,11,FALSE)),"0")</f>
        <v>0</v>
      </c>
      <c r="CS20" s="192" t="str">
        <f>IF(AND($C20&lt;&gt;"",$K20&lt;&gt;""),(VLOOKUP($C20,'V-LOOKUP'!$C$4:$N$59,12,FALSE)),"0")</f>
        <v>0</v>
      </c>
      <c r="CT20" s="192" t="str">
        <f>IF(AND($C20&lt;&gt;"",L20&lt;&gt;""),(VLOOKUP($C20,'V-LOOKUP'!$C$4:$M$59,4,FALSE)),"0")</f>
        <v>0</v>
      </c>
      <c r="CU20" s="192" t="str">
        <f>IF(AND($C20&lt;&gt;"",$L20&lt;&gt;""),(VLOOKUP($C20,'V-LOOKUP'!$C$4:$M$59,5,FALSE)),"0")</f>
        <v>0</v>
      </c>
      <c r="CV20" s="192" t="str">
        <f>IF(AND($C20&lt;&gt;"",$L20&lt;&gt;""),(VLOOKUP($C20,'V-LOOKUP'!$C$4:$M$59,6,FALSE)),"0")</f>
        <v>0</v>
      </c>
      <c r="CW20" s="192" t="str">
        <f>IF(AND($C20&lt;&gt;"",$L20&lt;&gt;""),(VLOOKUP($C20,'V-LOOKUP'!$C$4:$M$59,7,FALSE)),"0")</f>
        <v>0</v>
      </c>
      <c r="CX20" s="192" t="str">
        <f>IF(AND($C20&lt;&gt;"",$L20&lt;&gt;""),(VLOOKUP($C20,'V-LOOKUP'!$C$4:$M$59,8,FALSE)),"0")</f>
        <v>0</v>
      </c>
      <c r="CY20" s="192" t="str">
        <f>IF(AND($C20&lt;&gt;"",$L20&lt;&gt;""),(VLOOKUP($C20,'V-LOOKUP'!$C$4:$M$59,9,FALSE)),"0")</f>
        <v>0</v>
      </c>
      <c r="CZ20" s="192" t="str">
        <f>IF(AND($C20&lt;&gt;"",$L20&lt;&gt;""),(VLOOKUP($C20,'V-LOOKUP'!$C$4:$M$59,10,FALSE)),"0")</f>
        <v>0</v>
      </c>
      <c r="DA20" s="192" t="str">
        <f>IF(AND($C20&lt;&gt;"",$L20&lt;&gt;""),(VLOOKUP($C20,'V-LOOKUP'!$C$4:$M$59,11,FALSE)),"0")</f>
        <v>0</v>
      </c>
      <c r="DB20" s="192" t="str">
        <f>IF(AND($C20&lt;&gt;"",$L20&lt;&gt;""),(VLOOKUP($C20,'V-LOOKUP'!$C$4:$N$59,12,FALSE)),"0")</f>
        <v>0</v>
      </c>
      <c r="DC20" s="192" t="str">
        <f>IF(AND($C20&lt;&gt;"",M20&lt;&gt;""),(VLOOKUP($C20,'V-LOOKUP'!$C$4:$M$59,4,FALSE)),"0")</f>
        <v>0</v>
      </c>
      <c r="DD20" s="192" t="str">
        <f>IF(AND($C20&lt;&gt;"",$M20&lt;&gt;""),(VLOOKUP($C20,'V-LOOKUP'!$C$4:$M$59,5,FALSE)),"0")</f>
        <v>0</v>
      </c>
      <c r="DE20" s="192" t="str">
        <f>IF(AND($C20&lt;&gt;"",$M20&lt;&gt;""),(VLOOKUP($C20,'V-LOOKUP'!$C$4:$M$59,6,FALSE)),"0")</f>
        <v>0</v>
      </c>
      <c r="DF20" s="192" t="str">
        <f>IF(AND($C20&lt;&gt;"",$M20&lt;&gt;""),(VLOOKUP($C20,'V-LOOKUP'!$C$4:$M$59,7,FALSE)),"0")</f>
        <v>0</v>
      </c>
      <c r="DG20" s="192" t="str">
        <f>IF(AND($C20&lt;&gt;"",$M20&lt;&gt;""),(VLOOKUP($C20,'V-LOOKUP'!$C$4:$M$59,8,FALSE)),"0")</f>
        <v>0</v>
      </c>
      <c r="DH20" s="192" t="str">
        <f>IF(AND($C20&lt;&gt;"",$M20&lt;&gt;""),(VLOOKUP($C20,'V-LOOKUP'!$C$4:$M$59,9,FALSE)),"0")</f>
        <v>0</v>
      </c>
      <c r="DI20" s="192" t="str">
        <f>IF(AND($C20&lt;&gt;"",$M20&lt;&gt;""),(VLOOKUP($C20,'V-LOOKUP'!$C$4:$M$59,10,FALSE)),"0")</f>
        <v>0</v>
      </c>
      <c r="DJ20" s="192" t="str">
        <f>IF(AND($C20&lt;&gt;"",$M20&lt;&gt;""),(VLOOKUP($C20,'V-LOOKUP'!$C$4:$M$59,11,FALSE)),"0")</f>
        <v>0</v>
      </c>
      <c r="DK20" s="192" t="str">
        <f>IF(AND($C20&lt;&gt;"",$M20&lt;&gt;""),(VLOOKUP($C20,'V-LOOKUP'!$C$4:$N$59,12,FALSE)),"0")</f>
        <v>0</v>
      </c>
      <c r="DL20" s="192" t="str">
        <f>IF(AND($C20&lt;&gt;"",$N20&lt;&gt;""),(VLOOKUP($C20,'V-LOOKUP'!$C$4:$M$59,4,FALSE)),"0")</f>
        <v>0</v>
      </c>
      <c r="DM20" s="192" t="str">
        <f>IF(AND($C20&lt;&gt;"",$N20&lt;&gt;""),(VLOOKUP($C20,'V-LOOKUP'!$C$4:$M$59,5,FALSE)),"0")</f>
        <v>0</v>
      </c>
      <c r="DN20" s="192" t="str">
        <f>IF(AND($C20&lt;&gt;"",$N20&lt;&gt;""),(VLOOKUP($C20,'V-LOOKUP'!$C$4:$M$59,6,FALSE)),"0")</f>
        <v>0</v>
      </c>
      <c r="DO20" s="192" t="str">
        <f>IF(AND($C20&lt;&gt;"",$N20&lt;&gt;""),(VLOOKUP($C20,'V-LOOKUP'!$C$4:$M$59,7,FALSE)),"0")</f>
        <v>0</v>
      </c>
      <c r="DP20" s="192" t="str">
        <f>IF(AND($C20&lt;&gt;"",$N20&lt;&gt;""),(VLOOKUP($C20,'V-LOOKUP'!$C$4:$M$59,8,FALSE)),"0")</f>
        <v>0</v>
      </c>
      <c r="DQ20" s="192" t="str">
        <f>IF(AND($C20&lt;&gt;"",$N20&lt;&gt;""),(VLOOKUP($C20,'V-LOOKUP'!$C$4:$M$59,9,FALSE)),"0")</f>
        <v>0</v>
      </c>
      <c r="DR20" s="192" t="str">
        <f>IF(AND($C20&lt;&gt;"",$N20&lt;&gt;""),(VLOOKUP($C20,'V-LOOKUP'!$C$4:$M$59,10,FALSE)),"0")</f>
        <v>0</v>
      </c>
      <c r="DS20" s="192" t="str">
        <f>IF(AND($C20&lt;&gt;"",$N20&lt;&gt;""),(VLOOKUP($C20,'V-LOOKUP'!$C$4:$M$59,11,FALSE)),"0")</f>
        <v>0</v>
      </c>
      <c r="DT20" s="192" t="str">
        <f>IF(AND($C20&lt;&gt;"",$N20&lt;&gt;""),(VLOOKUP($C20,'V-LOOKUP'!$C$4:$N$59,12,FALSE)),"0")</f>
        <v>0</v>
      </c>
      <c r="DU20" s="192" t="str">
        <f>IF(AND($C20&lt;&gt;"",O20&lt;&gt;""),(VLOOKUP($C20,'V-LOOKUP'!$C$4:$M$59,4,FALSE)),"0")</f>
        <v>0</v>
      </c>
      <c r="DV20" s="192" t="str">
        <f>IF(AND($C20&lt;&gt;"",$O20&lt;&gt;""),(VLOOKUP($C20,'V-LOOKUP'!$C$4:$M$59,5,FALSE)),"0")</f>
        <v>0</v>
      </c>
      <c r="DW20" s="192" t="str">
        <f>IF(AND($C20&lt;&gt;"",$O20&lt;&gt;""),(VLOOKUP($C20,'V-LOOKUP'!$C$4:$M$59,6,FALSE)),"0")</f>
        <v>0</v>
      </c>
      <c r="DX20" s="192" t="str">
        <f>IF(AND($C20&lt;&gt;"",$O20&lt;&gt;""),(VLOOKUP($C20,'V-LOOKUP'!$C$4:$M$59,7,FALSE)),"0")</f>
        <v>0</v>
      </c>
      <c r="DY20" s="192" t="str">
        <f>IF(AND($C20&lt;&gt;"",$O20&lt;&gt;""),(VLOOKUP($C20,'V-LOOKUP'!$C$4:$M$59,8,FALSE)),"0")</f>
        <v>0</v>
      </c>
      <c r="DZ20" s="192" t="str">
        <f>IF(AND($C20&lt;&gt;"",$O20&lt;&gt;""),(VLOOKUP($C20,'V-LOOKUP'!$C$4:$M$59,9,FALSE)),"0")</f>
        <v>0</v>
      </c>
      <c r="EA20" s="192" t="str">
        <f>IF(AND($C20&lt;&gt;"",$O20&lt;&gt;""),(VLOOKUP($C20,'V-LOOKUP'!$C$4:$M$59,10,FALSE)),"0")</f>
        <v>0</v>
      </c>
      <c r="EB20" s="192" t="str">
        <f>IF(AND($C20&lt;&gt;"",$O20&lt;&gt;""),(VLOOKUP($C20,'V-LOOKUP'!$C$4:$M$59,11,FALSE)),"0")</f>
        <v>0</v>
      </c>
      <c r="EC20" s="192" t="str">
        <f>IF(AND($C20&lt;&gt;"",$O20&lt;&gt;""),(VLOOKUP($C20,'V-LOOKUP'!$C$4:$N$59,12,FALSE)),"0")</f>
        <v>0</v>
      </c>
      <c r="ED20" s="192" t="str">
        <f>IF(AND($C20&lt;&gt;"",P20&lt;&gt;""),(VLOOKUP($C20,'V-LOOKUP'!$C$4:$M$59,4,FALSE)),"0")</f>
        <v>0</v>
      </c>
      <c r="EE20" s="192" t="str">
        <f>IF(AND($C20&lt;&gt;"",$P20&lt;&gt;""),(VLOOKUP($C20,'V-LOOKUP'!$C$4:$M$59,5,FALSE)),"0")</f>
        <v>0</v>
      </c>
      <c r="EF20" s="192" t="str">
        <f>IF(AND($C20&lt;&gt;"",$P20&lt;&gt;""),(VLOOKUP($C20,'V-LOOKUP'!$C$4:$M$59,6,FALSE)),"0")</f>
        <v>0</v>
      </c>
      <c r="EG20" s="192" t="str">
        <f>IF(AND($C20&lt;&gt;"",$P20&lt;&gt;""),(VLOOKUP($C20,'V-LOOKUP'!$C$4:$M$59,7,FALSE)),"0")</f>
        <v>0</v>
      </c>
      <c r="EH20" s="192" t="str">
        <f>IF(AND($C20&lt;&gt;"",$P20&lt;&gt;""),(VLOOKUP($C20,'V-LOOKUP'!$C$4:$M$59,8,FALSE)),"0")</f>
        <v>0</v>
      </c>
      <c r="EI20" s="192" t="str">
        <f>IF(AND($C20&lt;&gt;"",$P20&lt;&gt;""),(VLOOKUP($C20,'V-LOOKUP'!$C$4:$M$59,9,FALSE)),"0")</f>
        <v>0</v>
      </c>
      <c r="EJ20" s="192" t="str">
        <f>IF(AND($C20&lt;&gt;"",$P20&lt;&gt;""),(VLOOKUP($C20,'V-LOOKUP'!$C$4:$M$59,10,FALSE)),"0")</f>
        <v>0</v>
      </c>
      <c r="EK20" s="192" t="str">
        <f>IF(AND($C20&lt;&gt;"",$P20&lt;&gt;""),(VLOOKUP($C20,'V-LOOKUP'!$C$4:$M$59,11,FALSE)),"0")</f>
        <v>0</v>
      </c>
      <c r="EL20" s="192" t="str">
        <f>IF(AND($C20&lt;&gt;"",$P20&lt;&gt;""),(VLOOKUP($C20,'V-LOOKUP'!$C$4:$N$59,12,FALSE)),"0")</f>
        <v>0</v>
      </c>
      <c r="EM20" s="192" t="str">
        <f>IF(AND($C20&lt;&gt;"",Q20&lt;&gt;""),(VLOOKUP($C20,'V-LOOKUP'!$C$4:$M$59,4,FALSE)),"0")</f>
        <v>0</v>
      </c>
      <c r="EN20" s="192" t="str">
        <f>IF(AND($C20&lt;&gt;"",$Q20&lt;&gt;""),(VLOOKUP($C20,'V-LOOKUP'!$C$4:$M$59,5,FALSE)),"0")</f>
        <v>0</v>
      </c>
      <c r="EO20" s="192" t="str">
        <f>IF(AND($C20&lt;&gt;"",$Q20&lt;&gt;""),(VLOOKUP($C20,'V-LOOKUP'!$C$4:$M$59,6,FALSE)),"0")</f>
        <v>0</v>
      </c>
      <c r="EP20" s="192" t="str">
        <f>IF(AND($C20&lt;&gt;"",$Q20&lt;&gt;""),(VLOOKUP($C20,'V-LOOKUP'!$C$4:$M$59,7,FALSE)),"0")</f>
        <v>0</v>
      </c>
      <c r="EQ20" s="192" t="str">
        <f>IF(AND($C20&lt;&gt;"",$Q20&lt;&gt;""),(VLOOKUP($C20,'V-LOOKUP'!$C$4:$M$59,8,FALSE)),"0")</f>
        <v>0</v>
      </c>
      <c r="ER20" s="192" t="str">
        <f>IF(AND($C20&lt;&gt;"",$Q20&lt;&gt;""),(VLOOKUP($C20,'V-LOOKUP'!$C$4:$M$59,9,FALSE)),"0")</f>
        <v>0</v>
      </c>
      <c r="ES20" s="192" t="str">
        <f>IF(AND($C20&lt;&gt;"",$Q20&lt;&gt;""),(VLOOKUP($C20,'V-LOOKUP'!$C$4:$M$59,10,FALSE)),"0")</f>
        <v>0</v>
      </c>
      <c r="ET20" s="192" t="str">
        <f>IF(AND($C20&lt;&gt;"",$Q20&lt;&gt;""),(VLOOKUP($C20,'V-LOOKUP'!$C$4:$M$59,11,FALSE)),"0")</f>
        <v>0</v>
      </c>
      <c r="EU20" s="192" t="str">
        <f>IF(AND($C20&lt;&gt;"",$Q20&lt;&gt;""),(VLOOKUP($C20,'V-LOOKUP'!$C$4:$N$59,12,FALSE)),"0")</f>
        <v>0</v>
      </c>
      <c r="EV20" s="192" t="str">
        <f>IF(AND($C20&lt;&gt;"",R20&lt;&gt;""),(VLOOKUP($C20,'V-LOOKUP'!$C$4:$M$59,4,FALSE)),"0")</f>
        <v>0</v>
      </c>
      <c r="EW20" s="192" t="str">
        <f>IF(AND($C20&lt;&gt;"",$R20&lt;&gt;""),(VLOOKUP($C20,'V-LOOKUP'!$C$4:$M$59,5,FALSE)),"0")</f>
        <v>0</v>
      </c>
      <c r="EX20" s="192" t="str">
        <f>IF(AND($C20&lt;&gt;"",$R20&lt;&gt;""),(VLOOKUP($C20,'V-LOOKUP'!$C$4:$M$59,6,FALSE)),"0")</f>
        <v>0</v>
      </c>
      <c r="EY20" s="192" t="str">
        <f>IF(AND($C20&lt;&gt;"",$R20&lt;&gt;""),(VLOOKUP($C20,'V-LOOKUP'!$C$4:$M$59,7,FALSE)),"0")</f>
        <v>0</v>
      </c>
      <c r="EZ20" s="192" t="str">
        <f>IF(AND($C20&lt;&gt;"",$R20&lt;&gt;""),(VLOOKUP($C20,'V-LOOKUP'!$C$4:$M$59,8,FALSE)),"0")</f>
        <v>0</v>
      </c>
      <c r="FA20" s="192" t="str">
        <f>IF(AND($C20&lt;&gt;"",$R20&lt;&gt;""),(VLOOKUP($C20,'V-LOOKUP'!$C$4:$M$59,9,FALSE)),"0")</f>
        <v>0</v>
      </c>
      <c r="FB20" s="192" t="str">
        <f>IF(AND($C20&lt;&gt;"",$R20&lt;&gt;""),(VLOOKUP($C20,'V-LOOKUP'!$C$4:$M$59,10,FALSE)),"0")</f>
        <v>0</v>
      </c>
      <c r="FC20" s="192" t="str">
        <f>IF(AND($C20&lt;&gt;"",$R20&lt;&gt;""),(VLOOKUP($C20,'V-LOOKUP'!$C$4:$M$59,11,FALSE)),"0")</f>
        <v>0</v>
      </c>
      <c r="FD20" s="192" t="str">
        <f>IF(AND($C20&lt;&gt;"",$R20&lt;&gt;""),(VLOOKUP($C20,'V-LOOKUP'!$C$4:$N$59,12,FALSE)),"0")</f>
        <v>0</v>
      </c>
      <c r="FE20" s="192" t="str">
        <f>IF(AND($C20&lt;&gt;"",S20&lt;&gt;""),(VLOOKUP($C20,'V-LOOKUP'!$C$4:$M$59,4,FALSE)),"0")</f>
        <v>0</v>
      </c>
      <c r="FF20" s="192" t="str">
        <f>IF(AND($C20&lt;&gt;"",$S20&lt;&gt;""),(VLOOKUP($C20,'V-LOOKUP'!$C$4:$M$59,5,FALSE)),"0")</f>
        <v>0</v>
      </c>
      <c r="FG20" s="192" t="str">
        <f>IF(AND($C20&lt;&gt;"",$S20&lt;&gt;""),(VLOOKUP($C20,'V-LOOKUP'!$C$4:$M$59,6,FALSE)),"0")</f>
        <v>0</v>
      </c>
      <c r="FH20" s="192" t="str">
        <f>IF(AND($C20&lt;&gt;"",$S20&lt;&gt;""),(VLOOKUP($C20,'V-LOOKUP'!$C$4:$M$59,7,FALSE)),"0")</f>
        <v>0</v>
      </c>
      <c r="FI20" s="192" t="str">
        <f>IF(AND($C20&lt;&gt;"",$S20&lt;&gt;""),(VLOOKUP($C20,'V-LOOKUP'!$C$4:$M$59,8,FALSE)),"0")</f>
        <v>0</v>
      </c>
      <c r="FJ20" s="192" t="str">
        <f>IF(AND($C20&lt;&gt;"",$S20&lt;&gt;""),(VLOOKUP($C20,'V-LOOKUP'!$C$4:$M$59,9,FALSE)),"0")</f>
        <v>0</v>
      </c>
      <c r="FK20" s="192" t="str">
        <f>IF(AND($C20&lt;&gt;"",$S20&lt;&gt;""),(VLOOKUP($C20,'V-LOOKUP'!$C$4:$M$59,10,FALSE)),"0")</f>
        <v>0</v>
      </c>
      <c r="FL20" s="192" t="str">
        <f>IF(AND($C20&lt;&gt;"",$S20&lt;&gt;""),(VLOOKUP($C20,'V-LOOKUP'!$C$4:$M$59,11,FALSE)),"0")</f>
        <v>0</v>
      </c>
      <c r="FM20" s="192" t="str">
        <f>IF(AND($C20&lt;&gt;"",$S20&lt;&gt;""),(VLOOKUP($C20,'V-LOOKUP'!$C$4:$N$59,12,FALSE)),"0")</f>
        <v>0</v>
      </c>
      <c r="FN20" s="192" t="str">
        <f>IF(AND($C20&lt;&gt;"",T20&lt;&gt;""),(VLOOKUP($C20,'V-LOOKUP'!$C$4:$M$59,4,FALSE)),"0")</f>
        <v>0</v>
      </c>
      <c r="FO20" s="192" t="str">
        <f>IF(AND($C20&lt;&gt;"",$T20&lt;&gt;""),(VLOOKUP($C20,'V-LOOKUP'!$C$4:$M$59,5,FALSE)),"0")</f>
        <v>0</v>
      </c>
      <c r="FP20" s="192" t="str">
        <f>IF(AND($C20&lt;&gt;"",$T20&lt;&gt;""),(VLOOKUP($C20,'V-LOOKUP'!$C$4:$M$59,6,FALSE)),"0")</f>
        <v>0</v>
      </c>
      <c r="FQ20" s="192" t="str">
        <f>IF(AND($C20&lt;&gt;"",$T20&lt;&gt;""),(VLOOKUP($C20,'V-LOOKUP'!$C$4:$M$59,7,FALSE)),"0")</f>
        <v>0</v>
      </c>
      <c r="FR20" s="192" t="str">
        <f>IF(AND($C20&lt;&gt;"",$T20&lt;&gt;""),(VLOOKUP($C20,'V-LOOKUP'!$C$4:$M$59,8,FALSE)),"0")</f>
        <v>0</v>
      </c>
      <c r="FS20" s="192" t="str">
        <f>IF(AND($C20&lt;&gt;"",$T20&lt;&gt;""),(VLOOKUP($C20,'V-LOOKUP'!$C$4:$M$59,9,FALSE)),"0")</f>
        <v>0</v>
      </c>
      <c r="FT20" s="192" t="str">
        <f>IF(AND($C20&lt;&gt;"",$T20&lt;&gt;""),(VLOOKUP($C20,'V-LOOKUP'!$C$4:$M$59,10,FALSE)),"0")</f>
        <v>0</v>
      </c>
      <c r="FU20" s="192" t="str">
        <f>IF(AND($C20&lt;&gt;"",$T20&lt;&gt;""),(VLOOKUP($C20,'V-LOOKUP'!$C$4:$M$59,11,FALSE)),"0")</f>
        <v>0</v>
      </c>
      <c r="FV20" s="192" t="str">
        <f>IF(AND($C20&lt;&gt;"",$T20&lt;&gt;""),(VLOOKUP($C20,'V-LOOKUP'!$C$4:$N$59,12,FALSE)),"0")</f>
        <v>0</v>
      </c>
      <c r="FW20" s="192" t="str">
        <f>IF(AND($C20&lt;&gt;"",U20&lt;&gt;""),(VLOOKUP($C20,'V-LOOKUP'!$C$4:$M$59,4,FALSE)),"0")</f>
        <v>0</v>
      </c>
      <c r="FX20" s="192" t="str">
        <f>IF(AND($C20&lt;&gt;"",$U20&lt;&gt;""),(VLOOKUP($C20,'V-LOOKUP'!$C$4:$M$59,5,FALSE)),"0")</f>
        <v>0</v>
      </c>
      <c r="FY20" s="192" t="str">
        <f>IF(AND($C20&lt;&gt;"",$U20&lt;&gt;""),(VLOOKUP($C20,'V-LOOKUP'!$C$4:$M$59,6,FALSE)),"0")</f>
        <v>0</v>
      </c>
      <c r="FZ20" s="192" t="str">
        <f>IF(AND($C20&lt;&gt;"",$U20&lt;&gt;""),(VLOOKUP($C20,'V-LOOKUP'!$C$4:$M$59,7,FALSE)),"0")</f>
        <v>0</v>
      </c>
      <c r="GA20" s="192" t="str">
        <f>IF(AND($C20&lt;&gt;"",$U20&lt;&gt;""),(VLOOKUP($C20,'V-LOOKUP'!$C$4:$M$59,8,FALSE)),"0")</f>
        <v>0</v>
      </c>
      <c r="GB20" s="192" t="str">
        <f>IF(AND($C20&lt;&gt;"",$U20&lt;&gt;""),(VLOOKUP($C20,'V-LOOKUP'!$C$4:$M$59,9,FALSE)),"0")</f>
        <v>0</v>
      </c>
      <c r="GC20" s="192" t="str">
        <f>IF(AND($C20&lt;&gt;"",$U20&lt;&gt;""),(VLOOKUP($C20,'V-LOOKUP'!$C$4:$M$59,10,FALSE)),"0")</f>
        <v>0</v>
      </c>
      <c r="GD20" s="192" t="str">
        <f>IF(AND($C20&lt;&gt;"",$U20&lt;&gt;""),(VLOOKUP($C20,'V-LOOKUP'!$C$4:$M$59,11,FALSE)),"0")</f>
        <v>0</v>
      </c>
      <c r="GE20" s="192" t="str">
        <f>IF(AND($C20&lt;&gt;"",$U20&lt;&gt;""),(VLOOKUP($C20,'V-LOOKUP'!$C$4:$N$59,12,FALSE)),"0")</f>
        <v>0</v>
      </c>
      <c r="GF20" s="192" t="str">
        <f>IF(AND($C20&lt;&gt;"",V20&lt;&gt;""),(VLOOKUP($C20,'V-LOOKUP'!$C$4:$M$59,4,FALSE)),"0")</f>
        <v>0</v>
      </c>
      <c r="GG20" s="192" t="str">
        <f>IF(AND($C20&lt;&gt;"",$V20&lt;&gt;""),(VLOOKUP($C20,'V-LOOKUP'!$C$4:$M$59,5,FALSE)),"0")</f>
        <v>0</v>
      </c>
      <c r="GH20" s="192" t="str">
        <f>IF(AND($C20&lt;&gt;"",$V20&lt;&gt;""),(VLOOKUP($C20,'V-LOOKUP'!$C$4:$M$59,6,FALSE)),"0")</f>
        <v>0</v>
      </c>
      <c r="GI20" s="192" t="str">
        <f>IF(AND($C20&lt;&gt;"",$V20&lt;&gt;""),(VLOOKUP($C20,'V-LOOKUP'!$C$4:$M$59,7,FALSE)),"0")</f>
        <v>0</v>
      </c>
      <c r="GJ20" s="192" t="str">
        <f>IF(AND($C20&lt;&gt;"",$V20&lt;&gt;""),(VLOOKUP($C20,'V-LOOKUP'!$C$4:$M$59,8,FALSE)),"0")</f>
        <v>0</v>
      </c>
      <c r="GK20" s="192" t="str">
        <f>IF(AND($C20&lt;&gt;"",$V20&lt;&gt;""),(VLOOKUP($C20,'V-LOOKUP'!$C$4:$M$59,9,FALSE)),"0")</f>
        <v>0</v>
      </c>
      <c r="GL20" s="192" t="str">
        <f>IF(AND($C20&lt;&gt;"",$V20&lt;&gt;""),(VLOOKUP($C20,'V-LOOKUP'!$C$4:$M$59,10,FALSE)),"0")</f>
        <v>0</v>
      </c>
      <c r="GM20" s="192" t="str">
        <f>IF(AND($C20&lt;&gt;"",$V20&lt;&gt;""),(VLOOKUP($C20,'V-LOOKUP'!$C$4:$M$59,11,FALSE)),"0")</f>
        <v>0</v>
      </c>
      <c r="GN20" s="192" t="str">
        <f>IF(AND($C20&lt;&gt;"",$V20&lt;&gt;""),(VLOOKUP($C20,'V-LOOKUP'!$C$4:$N$59,12,FALSE)),"0")</f>
        <v>0</v>
      </c>
      <c r="GO20" s="192" t="str">
        <f>IF(AND($C20&lt;&gt;"",W20&lt;&gt;""),(VLOOKUP($C20,'V-LOOKUP'!$C$4:$M$59,4,FALSE)),"0")</f>
        <v>0</v>
      </c>
      <c r="GP20" s="192" t="str">
        <f>IF(AND($C20&lt;&gt;"",$W20&lt;&gt;""),(VLOOKUP($C20,'V-LOOKUP'!$C$4:$M$59,5,FALSE)),"0")</f>
        <v>0</v>
      </c>
      <c r="GQ20" s="192" t="str">
        <f>IF(AND($C20&lt;&gt;"",$W20&lt;&gt;""),(VLOOKUP($C20,'V-LOOKUP'!$C$4:$M$59,6,FALSE)),"0")</f>
        <v>0</v>
      </c>
      <c r="GR20" s="192" t="str">
        <f>IF(AND($C20&lt;&gt;"",$W20&lt;&gt;""),(VLOOKUP($C20,'V-LOOKUP'!$C$4:$M$59,7,FALSE)),"0")</f>
        <v>0</v>
      </c>
      <c r="GS20" s="192" t="str">
        <f>IF(AND($C20&lt;&gt;"",$W20&lt;&gt;""),(VLOOKUP($C20,'V-LOOKUP'!$C$4:$M$59,8,FALSE)),"0")</f>
        <v>0</v>
      </c>
      <c r="GT20" s="192" t="str">
        <f>IF(AND($C20&lt;&gt;"",$W20&lt;&gt;""),(VLOOKUP($C20,'V-LOOKUP'!$C$4:$M$59,9,FALSE)),"0")</f>
        <v>0</v>
      </c>
      <c r="GU20" s="192" t="str">
        <f>IF(AND($C20&lt;&gt;"",$W20&lt;&gt;""),(VLOOKUP($C20,'V-LOOKUP'!$C$4:$M$59,10,FALSE)),"0")</f>
        <v>0</v>
      </c>
      <c r="GV20" s="192" t="str">
        <f>IF(AND($C20&lt;&gt;"",$W20&lt;&gt;""),(VLOOKUP($C20,'V-LOOKUP'!$C$4:$M$59,11,FALSE)),"0")</f>
        <v>0</v>
      </c>
      <c r="GW20" s="192" t="str">
        <f>IF(AND($C20&lt;&gt;"",$W20&lt;&gt;""),(VLOOKUP($C20,'V-LOOKUP'!$C$4:$N$59,12,FALSE)),"0")</f>
        <v>0</v>
      </c>
    </row>
    <row r="21" spans="1:205" ht="14.65" hidden="1" customHeight="1">
      <c r="A21" s="193"/>
      <c r="B21" s="245"/>
      <c r="C21" s="201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Y21" s="190"/>
      <c r="Z21" s="192" t="str">
        <f>IF(AND($C21&lt;&gt;"",$D21&lt;&gt;""),(VLOOKUP($C21,'V-LOOKUP'!$C$4:$M$59,4,FALSE)),"0")</f>
        <v>0</v>
      </c>
      <c r="AA21" s="192" t="str">
        <f>IF(AND($C21&lt;&gt;"",$D21&lt;&gt;""),(VLOOKUP($C21,'V-LOOKUP'!$C$4:$M$59,5,FALSE)),"0")</f>
        <v>0</v>
      </c>
      <c r="AB21" s="192" t="str">
        <f>IF(AND($C21&lt;&gt;"",$D21&lt;&gt;""),(VLOOKUP($C21,'V-LOOKUP'!$C$4:$M$59,6,FALSE)),"0")</f>
        <v>0</v>
      </c>
      <c r="AC21" s="192" t="str">
        <f>IF(AND($C21&lt;&gt;"",$D21&lt;&gt;""),(VLOOKUP($C21,'V-LOOKUP'!$C$4:$M$59,7,FALSE)),"0")</f>
        <v>0</v>
      </c>
      <c r="AD21" s="192" t="str">
        <f>IF(AND($C21&lt;&gt;"",$D21&lt;&gt;""),(VLOOKUP($C21,'V-LOOKUP'!$C$4:$M$59,8,FALSE)),"0")</f>
        <v>0</v>
      </c>
      <c r="AE21" s="192" t="str">
        <f>IF(AND($C21&lt;&gt;"",$D21&lt;&gt;""),(VLOOKUP($C21,'V-LOOKUP'!$C$4:$M$59,9,FALSE)),"0")</f>
        <v>0</v>
      </c>
      <c r="AF21" s="192" t="str">
        <f>IF(AND($C21&lt;&gt;"",$D21&lt;&gt;""),(VLOOKUP($C21,'V-LOOKUP'!$C$4:$M$59,10,FALSE)),"0")</f>
        <v>0</v>
      </c>
      <c r="AG21" s="192" t="str">
        <f>IF(AND($C21&lt;&gt;"",$D21&lt;&gt;""),(VLOOKUP($C21,'V-LOOKUP'!$C$4:$M$59,11,FALSE)),"0")</f>
        <v>0</v>
      </c>
      <c r="AH21" s="192" t="str">
        <f>IF(AND($C21&lt;&gt;"",$D21&lt;&gt;""),(VLOOKUP($C21,'V-LOOKUP'!$C$4:$N$59,12,FALSE)),"0")</f>
        <v>0</v>
      </c>
      <c r="AI21" s="192" t="str">
        <f>IF(AND($C21&lt;&gt;"",E21&lt;&gt;""),(VLOOKUP($C21,'V-LOOKUP'!$C$4:$M$59,4,FALSE)),"0")</f>
        <v>0</v>
      </c>
      <c r="AJ21" s="192" t="str">
        <f>IF(AND($C21&lt;&gt;"",$E21&lt;&gt;""),(VLOOKUP($C21,'V-LOOKUP'!$C$4:$M$59,5,FALSE)),"0")</f>
        <v>0</v>
      </c>
      <c r="AK21" s="192" t="str">
        <f>IF(AND($C21&lt;&gt;"",$E21&lt;&gt;""),(VLOOKUP($C21,'V-LOOKUP'!$C$4:$M$59,6,FALSE)),"0")</f>
        <v>0</v>
      </c>
      <c r="AL21" s="192" t="str">
        <f>IF(AND($C21&lt;&gt;"",$E21&lt;&gt;""),(VLOOKUP($C21,'V-LOOKUP'!$C$4:$M$59,7,FALSE)),"0")</f>
        <v>0</v>
      </c>
      <c r="AM21" s="192" t="str">
        <f>IF(AND($C21&lt;&gt;"",$E21&lt;&gt;""),(VLOOKUP($C21,'V-LOOKUP'!$C$4:$M$59,8,FALSE)),"0")</f>
        <v>0</v>
      </c>
      <c r="AN21" s="192" t="str">
        <f>IF(AND($C21&lt;&gt;"",$E21&lt;&gt;""),(VLOOKUP($C21,'V-LOOKUP'!$C$4:$M$59,9,FALSE)),"0")</f>
        <v>0</v>
      </c>
      <c r="AO21" s="192" t="str">
        <f>IF(AND($C21&lt;&gt;"",$E21&lt;&gt;""),(VLOOKUP($C21,'V-LOOKUP'!$C$4:$M$59,10,FALSE)),"0")</f>
        <v>0</v>
      </c>
      <c r="AP21" s="192" t="str">
        <f>IF(AND($C21&lt;&gt;"",$E21&lt;&gt;""),(VLOOKUP($C21,'V-LOOKUP'!$C$4:$M$59,11,FALSE)),"0")</f>
        <v>0</v>
      </c>
      <c r="AQ21" s="192" t="str">
        <f>IF(AND($C21&lt;&gt;"",$E21&lt;&gt;""),(VLOOKUP($C21,'V-LOOKUP'!$C$4:$N$59,12,FALSE)),"0")</f>
        <v>0</v>
      </c>
      <c r="AR21" s="192" t="str">
        <f>IF(AND($C21&lt;&gt;"",$F21&lt;&gt;""),(VLOOKUP($C21,'V-LOOKUP'!$C$4:$M$59,4,FALSE)),"0")</f>
        <v>0</v>
      </c>
      <c r="AS21" s="192" t="str">
        <f>IF(AND($C21&lt;&gt;"",$F21&lt;&gt;""),(VLOOKUP($C21,'V-LOOKUP'!$C$4:$M$59,5,FALSE)),"0")</f>
        <v>0</v>
      </c>
      <c r="AT21" s="192" t="str">
        <f>IF(AND($C21&lt;&gt;"",$F21&lt;&gt;""),(VLOOKUP($C21,'V-LOOKUP'!$C$4:$M$59,6,FALSE)),"0")</f>
        <v>0</v>
      </c>
      <c r="AU21" s="192" t="str">
        <f>IF(AND($C21&lt;&gt;"",$F21&lt;&gt;""),(VLOOKUP($C21,'V-LOOKUP'!$C$4:$M$59,7,FALSE)),"0")</f>
        <v>0</v>
      </c>
      <c r="AV21" s="192" t="str">
        <f>IF(AND($C21&lt;&gt;"",$F21&lt;&gt;""),(VLOOKUP($C21,'V-LOOKUP'!$C$4:$M$59,8,FALSE)),"0")</f>
        <v>0</v>
      </c>
      <c r="AW21" s="192" t="str">
        <f>IF(AND($C21&lt;&gt;"",$F21&lt;&gt;""),(VLOOKUP($C21,'V-LOOKUP'!$C$4:$M$59,9,FALSE)),"0")</f>
        <v>0</v>
      </c>
      <c r="AX21" s="192" t="str">
        <f>IF(AND($C21&lt;&gt;"",$F21&lt;&gt;""),(VLOOKUP($C21,'V-LOOKUP'!$C$4:$M$59,10,FALSE)),"0")</f>
        <v>0</v>
      </c>
      <c r="AY21" s="192" t="str">
        <f>IF(AND($C21&lt;&gt;"",$F21&lt;&gt;""),(VLOOKUP($C21,'V-LOOKUP'!$C$4:$M$59,11,FALSE)),"0")</f>
        <v>0</v>
      </c>
      <c r="AZ21" s="192" t="str">
        <f>IF(AND($C21&lt;&gt;"",$F21&lt;&gt;""),(VLOOKUP($C21,'V-LOOKUP'!$C$4:$N$59,12,FALSE)),"0")</f>
        <v>0</v>
      </c>
      <c r="BA21" s="192" t="str">
        <f>IF(AND($C21&lt;&gt;"",G21&lt;&gt;""),(VLOOKUP($C21,'V-LOOKUP'!$C$4:$M$59,4,FALSE)),"0")</f>
        <v>0</v>
      </c>
      <c r="BB21" s="192" t="str">
        <f>IF(AND($C21&lt;&gt;"",$G21&lt;&gt;""),(VLOOKUP($C21,'V-LOOKUP'!$C$4:$M$59,5,FALSE)),"0")</f>
        <v>0</v>
      </c>
      <c r="BC21" s="192" t="str">
        <f>IF(AND($C21&lt;&gt;"",$G21&lt;&gt;""),(VLOOKUP($C21,'V-LOOKUP'!$C$4:$M$59,6,FALSE)),"0")</f>
        <v>0</v>
      </c>
      <c r="BD21" s="192" t="str">
        <f>IF(AND($C21&lt;&gt;"",$G21&lt;&gt;""),(VLOOKUP($C21,'V-LOOKUP'!$C$4:$M$59,7,FALSE)),"0")</f>
        <v>0</v>
      </c>
      <c r="BE21" s="192" t="str">
        <f>IF(AND($C21&lt;&gt;"",$G21&lt;&gt;""),(VLOOKUP($C21,'V-LOOKUP'!$C$4:$M$59,8,FALSE)),"0")</f>
        <v>0</v>
      </c>
      <c r="BF21" s="192" t="str">
        <f>IF(AND($C21&lt;&gt;"",$G21&lt;&gt;""),(VLOOKUP($C21,'V-LOOKUP'!$C$4:$M$59,9,FALSE)),"0")</f>
        <v>0</v>
      </c>
      <c r="BG21" s="192" t="str">
        <f>IF(AND($C21&lt;&gt;"",$G21&lt;&gt;""),(VLOOKUP($C21,'V-LOOKUP'!$C$4:$M$59,10,FALSE)),"0")</f>
        <v>0</v>
      </c>
      <c r="BH21" s="192" t="str">
        <f>IF(AND($C21&lt;&gt;"",$G21&lt;&gt;""),(VLOOKUP($C21,'V-LOOKUP'!$C$4:$M$59,11,FALSE)),"0")</f>
        <v>0</v>
      </c>
      <c r="BI21" s="192" t="str">
        <f>IF(AND($C21&lt;&gt;"",$G21&lt;&gt;""),(VLOOKUP($C21,'V-LOOKUP'!$C$4:$N$59,12,FALSE)),"0")</f>
        <v>0</v>
      </c>
      <c r="BJ21" s="192" t="str">
        <f>IF(AND($C21&lt;&gt;"",H21&lt;&gt;""),(VLOOKUP($C21,'V-LOOKUP'!$C$4:$M$59,4,FALSE)),"0")</f>
        <v>0</v>
      </c>
      <c r="BK21" s="192" t="str">
        <f>IF(AND($C21&lt;&gt;"",$G21&lt;&gt;""),(VLOOKUP($C21,'V-LOOKUP'!$C$4:$M$59,5,FALSE)),"0")</f>
        <v>0</v>
      </c>
      <c r="BL21" s="192" t="str">
        <f>IF(AND($C21&lt;&gt;"",$H21&lt;&gt;""),(VLOOKUP($C21,'V-LOOKUP'!$C$4:$M$59,6,FALSE)),"0")</f>
        <v>0</v>
      </c>
      <c r="BM21" s="192" t="str">
        <f>IF(AND($C21&lt;&gt;"",$H21&lt;&gt;""),(VLOOKUP($C21,'V-LOOKUP'!$C$4:$M$59,7,FALSE)),"0")</f>
        <v>0</v>
      </c>
      <c r="BN21" s="192" t="str">
        <f>IF(AND($C21&lt;&gt;"",$H21&lt;&gt;""),(VLOOKUP($C21,'V-LOOKUP'!$C$4:$M$59,8,FALSE)),"0")</f>
        <v>0</v>
      </c>
      <c r="BO21" s="192" t="str">
        <f>IF(AND($C21&lt;&gt;"",$H21&lt;&gt;""),(VLOOKUP($C21,'V-LOOKUP'!$C$4:$M$59,9,FALSE)),"0")</f>
        <v>0</v>
      </c>
      <c r="BP21" s="192" t="str">
        <f>IF(AND($C21&lt;&gt;"",$H21&lt;&gt;""),(VLOOKUP($C21,'V-LOOKUP'!$C$4:$M$59,10,FALSE)),"0")</f>
        <v>0</v>
      </c>
      <c r="BQ21" s="192" t="str">
        <f>IF(AND($C21&lt;&gt;"",$H21&lt;&gt;""),(VLOOKUP($C21,'V-LOOKUP'!$C$4:$M$59,11,FALSE)),"0")</f>
        <v>0</v>
      </c>
      <c r="BR21" s="192" t="str">
        <f>IF(AND($C21&lt;&gt;"",$H21&lt;&gt;""),(VLOOKUP($C21,'V-LOOKUP'!$C$4:$N$59,12,FALSE)),"0")</f>
        <v>0</v>
      </c>
      <c r="BS21" s="192" t="str">
        <f>IF(AND($C21&lt;&gt;"",I21&lt;&gt;""),(VLOOKUP($C21,'V-LOOKUP'!$C$4:$M$59,4,FALSE)),"0")</f>
        <v>0</v>
      </c>
      <c r="BT21" s="192" t="str">
        <f>IF(AND($C21&lt;&gt;"",$I21&lt;&gt;""),(VLOOKUP($C21,'V-LOOKUP'!$C$4:$M$59,5,FALSE)),"0")</f>
        <v>0</v>
      </c>
      <c r="BU21" s="192" t="str">
        <f>IF(AND($C21&lt;&gt;"",$I21&lt;&gt;""),(VLOOKUP($C21,'V-LOOKUP'!$C$4:$M$59,6,FALSE)),"0")</f>
        <v>0</v>
      </c>
      <c r="BV21" s="192" t="str">
        <f>IF(AND($C21&lt;&gt;"",$I21&lt;&gt;""),(VLOOKUP($C21,'V-LOOKUP'!$C$4:$M$59,7,FALSE)),"0")</f>
        <v>0</v>
      </c>
      <c r="BW21" s="192" t="str">
        <f>IF(AND($C21&lt;&gt;"",$I21&lt;&gt;""),(VLOOKUP($C21,'V-LOOKUP'!$C$4:$M$59,8,FALSE)),"0")</f>
        <v>0</v>
      </c>
      <c r="BX21" s="192" t="str">
        <f>IF(AND($C21&lt;&gt;"",$I21&lt;&gt;""),(VLOOKUP($C21,'V-LOOKUP'!$C$4:$M$59,9,FALSE)),"0")</f>
        <v>0</v>
      </c>
      <c r="BY21" s="192" t="str">
        <f>IF(AND($C21&lt;&gt;"",$I21&lt;&gt;""),(VLOOKUP($C21,'V-LOOKUP'!$C$4:$M$59,10,FALSE)),"0")</f>
        <v>0</v>
      </c>
      <c r="BZ21" s="192" t="str">
        <f>IF(AND($C21&lt;&gt;"",$I21&lt;&gt;""),(VLOOKUP($C21,'V-LOOKUP'!$C$4:$M$59,11,FALSE)),"0")</f>
        <v>0</v>
      </c>
      <c r="CA21" s="192" t="str">
        <f>IF(AND($C21&lt;&gt;"",$I21&lt;&gt;""),(VLOOKUP($C21,'V-LOOKUP'!$C$4:$N$59,12,FALSE)),"0")</f>
        <v>0</v>
      </c>
      <c r="CB21" s="192" t="str">
        <f>IF(AND($C21&lt;&gt;"",J21&lt;&gt;""),(VLOOKUP($C21,'V-LOOKUP'!$C$4:$M$59,4,FALSE)),"0")</f>
        <v>0</v>
      </c>
      <c r="CC21" s="192" t="str">
        <f>IF(AND($C21&lt;&gt;"",$J21&lt;&gt;""),(VLOOKUP($C21,'V-LOOKUP'!$C$4:$M$59,5,FALSE)),"0")</f>
        <v>0</v>
      </c>
      <c r="CD21" s="192" t="str">
        <f>IF(AND($C21&lt;&gt;"",$J21&lt;&gt;""),(VLOOKUP($C21,'V-LOOKUP'!$C$4:$M$59,6,FALSE)),"0")</f>
        <v>0</v>
      </c>
      <c r="CE21" s="192" t="str">
        <f>IF(AND($C21&lt;&gt;"",$J21&lt;&gt;""),(VLOOKUP($C21,'V-LOOKUP'!$C$4:$M$59,7,FALSE)),"0")</f>
        <v>0</v>
      </c>
      <c r="CF21" s="192" t="str">
        <f>IF(AND($C21&lt;&gt;"",$J21&lt;&gt;""),(VLOOKUP($C21,'V-LOOKUP'!$C$4:$M$59,8,FALSE)),"0")</f>
        <v>0</v>
      </c>
      <c r="CG21" s="192" t="str">
        <f>IF(AND($C21&lt;&gt;"",$J21&lt;&gt;""),(VLOOKUP($C21,'V-LOOKUP'!$C$4:$M$59,9,FALSE)),"0")</f>
        <v>0</v>
      </c>
      <c r="CH21" s="192" t="str">
        <f>IF(AND($C21&lt;&gt;"",$J21&lt;&gt;""),(VLOOKUP($C21,'V-LOOKUP'!$C$4:$M$59,10,FALSE)),"0")</f>
        <v>0</v>
      </c>
      <c r="CI21" s="192" t="str">
        <f>IF(AND($C21&lt;&gt;"",$J21&lt;&gt;""),(VLOOKUP($C21,'V-LOOKUP'!$C$4:$M$59,11,FALSE)),"0")</f>
        <v>0</v>
      </c>
      <c r="CJ21" s="192" t="str">
        <f>IF(AND($C21&lt;&gt;"",$J21&lt;&gt;""),(VLOOKUP($C21,'V-LOOKUP'!$C$4:$N$59,12,FALSE)),"0")</f>
        <v>0</v>
      </c>
      <c r="CK21" s="192" t="str">
        <f>IF(AND($C21&lt;&gt;"",K21&lt;&gt;""),(VLOOKUP($C21,'V-LOOKUP'!$C$4:$M$59,4,FALSE)),"0")</f>
        <v>0</v>
      </c>
      <c r="CL21" s="192" t="str">
        <f>IF(AND($C21&lt;&gt;"",$K21&lt;&gt;""),(VLOOKUP($C21,'V-LOOKUP'!$C$4:$M$59,5,FALSE)),"0")</f>
        <v>0</v>
      </c>
      <c r="CM21" s="192" t="str">
        <f>IF(AND($C21&lt;&gt;"",$K21&lt;&gt;""),(VLOOKUP($C21,'V-LOOKUP'!$C$4:$M$59,6,FALSE)),"0")</f>
        <v>0</v>
      </c>
      <c r="CN21" s="192" t="str">
        <f>IF(AND($C21&lt;&gt;"",$K21&lt;&gt;""),(VLOOKUP($C21,'V-LOOKUP'!$C$4:$M$59,7,FALSE)),"0")</f>
        <v>0</v>
      </c>
      <c r="CO21" s="192" t="str">
        <f>IF(AND($C21&lt;&gt;"",$K21&lt;&gt;""),(VLOOKUP($C21,'V-LOOKUP'!$C$4:$M$59,8,FALSE)),"0")</f>
        <v>0</v>
      </c>
      <c r="CP21" s="192" t="str">
        <f>IF(AND($C21&lt;&gt;"",$K21&lt;&gt;""),(VLOOKUP($C21,'V-LOOKUP'!$C$4:$M$59,9,FALSE)),"0")</f>
        <v>0</v>
      </c>
      <c r="CQ21" s="192" t="str">
        <f>IF(AND($C21&lt;&gt;"",$K21&lt;&gt;""),(VLOOKUP($C21,'V-LOOKUP'!$C$4:$M$59,10,FALSE)),"0")</f>
        <v>0</v>
      </c>
      <c r="CR21" s="192" t="str">
        <f>IF(AND($C21&lt;&gt;"",$K21&lt;&gt;""),(VLOOKUP($C21,'V-LOOKUP'!$C$4:$M$59,11,FALSE)),"0")</f>
        <v>0</v>
      </c>
      <c r="CS21" s="192" t="str">
        <f>IF(AND($C21&lt;&gt;"",$K21&lt;&gt;""),(VLOOKUP($C21,'V-LOOKUP'!$C$4:$N$59,12,FALSE)),"0")</f>
        <v>0</v>
      </c>
      <c r="CT21" s="192" t="str">
        <f>IF(AND($C21&lt;&gt;"",L21&lt;&gt;""),(VLOOKUP($C21,'V-LOOKUP'!$C$4:$M$59,4,FALSE)),"0")</f>
        <v>0</v>
      </c>
      <c r="CU21" s="192" t="str">
        <f>IF(AND($C21&lt;&gt;"",$L21&lt;&gt;""),(VLOOKUP($C21,'V-LOOKUP'!$C$4:$M$59,5,FALSE)),"0")</f>
        <v>0</v>
      </c>
      <c r="CV21" s="192" t="str">
        <f>IF(AND($C21&lt;&gt;"",$L21&lt;&gt;""),(VLOOKUP($C21,'V-LOOKUP'!$C$4:$M$59,6,FALSE)),"0")</f>
        <v>0</v>
      </c>
      <c r="CW21" s="192" t="str">
        <f>IF(AND($C21&lt;&gt;"",$L21&lt;&gt;""),(VLOOKUP($C21,'V-LOOKUP'!$C$4:$M$59,7,FALSE)),"0")</f>
        <v>0</v>
      </c>
      <c r="CX21" s="192" t="str">
        <f>IF(AND($C21&lt;&gt;"",$L21&lt;&gt;""),(VLOOKUP($C21,'V-LOOKUP'!$C$4:$M$59,8,FALSE)),"0")</f>
        <v>0</v>
      </c>
      <c r="CY21" s="192" t="str">
        <f>IF(AND($C21&lt;&gt;"",$L21&lt;&gt;""),(VLOOKUP($C21,'V-LOOKUP'!$C$4:$M$59,9,FALSE)),"0")</f>
        <v>0</v>
      </c>
      <c r="CZ21" s="192" t="str">
        <f>IF(AND($C21&lt;&gt;"",$L21&lt;&gt;""),(VLOOKUP($C21,'V-LOOKUP'!$C$4:$M$59,10,FALSE)),"0")</f>
        <v>0</v>
      </c>
      <c r="DA21" s="192" t="str">
        <f>IF(AND($C21&lt;&gt;"",$L21&lt;&gt;""),(VLOOKUP($C21,'V-LOOKUP'!$C$4:$M$59,11,FALSE)),"0")</f>
        <v>0</v>
      </c>
      <c r="DB21" s="192" t="str">
        <f>IF(AND($C21&lt;&gt;"",$L21&lt;&gt;""),(VLOOKUP($C21,'V-LOOKUP'!$C$4:$N$59,12,FALSE)),"0")</f>
        <v>0</v>
      </c>
      <c r="DC21" s="192" t="str">
        <f>IF(AND($C21&lt;&gt;"",M21&lt;&gt;""),(VLOOKUP($C21,'V-LOOKUP'!$C$4:$M$59,4,FALSE)),"0")</f>
        <v>0</v>
      </c>
      <c r="DD21" s="192" t="str">
        <f>IF(AND($C21&lt;&gt;"",$M21&lt;&gt;""),(VLOOKUP($C21,'V-LOOKUP'!$C$4:$M$59,5,FALSE)),"0")</f>
        <v>0</v>
      </c>
      <c r="DE21" s="192" t="str">
        <f>IF(AND($C21&lt;&gt;"",$M21&lt;&gt;""),(VLOOKUP($C21,'V-LOOKUP'!$C$4:$M$59,6,FALSE)),"0")</f>
        <v>0</v>
      </c>
      <c r="DF21" s="192" t="str">
        <f>IF(AND($C21&lt;&gt;"",$M21&lt;&gt;""),(VLOOKUP($C21,'V-LOOKUP'!$C$4:$M$59,7,FALSE)),"0")</f>
        <v>0</v>
      </c>
      <c r="DG21" s="192" t="str">
        <f>IF(AND($C21&lt;&gt;"",$M21&lt;&gt;""),(VLOOKUP($C21,'V-LOOKUP'!$C$4:$M$59,8,FALSE)),"0")</f>
        <v>0</v>
      </c>
      <c r="DH21" s="192" t="str">
        <f>IF(AND($C21&lt;&gt;"",$M21&lt;&gt;""),(VLOOKUP($C21,'V-LOOKUP'!$C$4:$M$59,9,FALSE)),"0")</f>
        <v>0</v>
      </c>
      <c r="DI21" s="192" t="str">
        <f>IF(AND($C21&lt;&gt;"",$M21&lt;&gt;""),(VLOOKUP($C21,'V-LOOKUP'!$C$4:$M$59,10,FALSE)),"0")</f>
        <v>0</v>
      </c>
      <c r="DJ21" s="192" t="str">
        <f>IF(AND($C21&lt;&gt;"",$M21&lt;&gt;""),(VLOOKUP($C21,'V-LOOKUP'!$C$4:$M$59,11,FALSE)),"0")</f>
        <v>0</v>
      </c>
      <c r="DK21" s="192" t="str">
        <f>IF(AND($C21&lt;&gt;"",$M21&lt;&gt;""),(VLOOKUP($C21,'V-LOOKUP'!$C$4:$N$59,12,FALSE)),"0")</f>
        <v>0</v>
      </c>
      <c r="DL21" s="192" t="str">
        <f>IF(AND($C21&lt;&gt;"",$N21&lt;&gt;""),(VLOOKUP($C21,'V-LOOKUP'!$C$4:$M$59,4,FALSE)),"0")</f>
        <v>0</v>
      </c>
      <c r="DM21" s="192" t="str">
        <f>IF(AND($C21&lt;&gt;"",$N21&lt;&gt;""),(VLOOKUP($C21,'V-LOOKUP'!$C$4:$M$59,5,FALSE)),"0")</f>
        <v>0</v>
      </c>
      <c r="DN21" s="192" t="str">
        <f>IF(AND($C21&lt;&gt;"",$N21&lt;&gt;""),(VLOOKUP($C21,'V-LOOKUP'!$C$4:$M$59,6,FALSE)),"0")</f>
        <v>0</v>
      </c>
      <c r="DO21" s="192" t="str">
        <f>IF(AND($C21&lt;&gt;"",$N21&lt;&gt;""),(VLOOKUP($C21,'V-LOOKUP'!$C$4:$M$59,7,FALSE)),"0")</f>
        <v>0</v>
      </c>
      <c r="DP21" s="192" t="str">
        <f>IF(AND($C21&lt;&gt;"",$N21&lt;&gt;""),(VLOOKUP($C21,'V-LOOKUP'!$C$4:$M$59,8,FALSE)),"0")</f>
        <v>0</v>
      </c>
      <c r="DQ21" s="192" t="str">
        <f>IF(AND($C21&lt;&gt;"",$N21&lt;&gt;""),(VLOOKUP($C21,'V-LOOKUP'!$C$4:$M$59,9,FALSE)),"0")</f>
        <v>0</v>
      </c>
      <c r="DR21" s="192" t="str">
        <f>IF(AND($C21&lt;&gt;"",$N21&lt;&gt;""),(VLOOKUP($C21,'V-LOOKUP'!$C$4:$M$59,10,FALSE)),"0")</f>
        <v>0</v>
      </c>
      <c r="DS21" s="192" t="str">
        <f>IF(AND($C21&lt;&gt;"",$N21&lt;&gt;""),(VLOOKUP($C21,'V-LOOKUP'!$C$4:$M$59,11,FALSE)),"0")</f>
        <v>0</v>
      </c>
      <c r="DT21" s="192" t="str">
        <f>IF(AND($C21&lt;&gt;"",$N21&lt;&gt;""),(VLOOKUP($C21,'V-LOOKUP'!$C$4:$N$59,12,FALSE)),"0")</f>
        <v>0</v>
      </c>
      <c r="DU21" s="192" t="str">
        <f>IF(AND($C21&lt;&gt;"",O21&lt;&gt;""),(VLOOKUP($C21,'V-LOOKUP'!$C$4:$M$59,4,FALSE)),"0")</f>
        <v>0</v>
      </c>
      <c r="DV21" s="192" t="str">
        <f>IF(AND($C21&lt;&gt;"",$O21&lt;&gt;""),(VLOOKUP($C21,'V-LOOKUP'!$C$4:$M$59,5,FALSE)),"0")</f>
        <v>0</v>
      </c>
      <c r="DW21" s="192" t="str">
        <f>IF(AND($C21&lt;&gt;"",$O21&lt;&gt;""),(VLOOKUP($C21,'V-LOOKUP'!$C$4:$M$59,6,FALSE)),"0")</f>
        <v>0</v>
      </c>
      <c r="DX21" s="192" t="str">
        <f>IF(AND($C21&lt;&gt;"",$O21&lt;&gt;""),(VLOOKUP($C21,'V-LOOKUP'!$C$4:$M$59,7,FALSE)),"0")</f>
        <v>0</v>
      </c>
      <c r="DY21" s="192" t="str">
        <f>IF(AND($C21&lt;&gt;"",$O21&lt;&gt;""),(VLOOKUP($C21,'V-LOOKUP'!$C$4:$M$59,8,FALSE)),"0")</f>
        <v>0</v>
      </c>
      <c r="DZ21" s="192" t="str">
        <f>IF(AND($C21&lt;&gt;"",$O21&lt;&gt;""),(VLOOKUP($C21,'V-LOOKUP'!$C$4:$M$59,9,FALSE)),"0")</f>
        <v>0</v>
      </c>
      <c r="EA21" s="192" t="str">
        <f>IF(AND($C21&lt;&gt;"",$O21&lt;&gt;""),(VLOOKUP($C21,'V-LOOKUP'!$C$4:$M$59,10,FALSE)),"0")</f>
        <v>0</v>
      </c>
      <c r="EB21" s="192" t="str">
        <f>IF(AND($C21&lt;&gt;"",$O21&lt;&gt;""),(VLOOKUP($C21,'V-LOOKUP'!$C$4:$M$59,11,FALSE)),"0")</f>
        <v>0</v>
      </c>
      <c r="EC21" s="192" t="str">
        <f>IF(AND($C21&lt;&gt;"",$O21&lt;&gt;""),(VLOOKUP($C21,'V-LOOKUP'!$C$4:$N$59,12,FALSE)),"0")</f>
        <v>0</v>
      </c>
      <c r="ED21" s="192" t="str">
        <f>IF(AND($C21&lt;&gt;"",P21&lt;&gt;""),(VLOOKUP($C21,'V-LOOKUP'!$C$4:$M$59,4,FALSE)),"0")</f>
        <v>0</v>
      </c>
      <c r="EE21" s="192" t="str">
        <f>IF(AND($C21&lt;&gt;"",$P21&lt;&gt;""),(VLOOKUP($C21,'V-LOOKUP'!$C$4:$M$59,5,FALSE)),"0")</f>
        <v>0</v>
      </c>
      <c r="EF21" s="192" t="str">
        <f>IF(AND($C21&lt;&gt;"",$P21&lt;&gt;""),(VLOOKUP($C21,'V-LOOKUP'!$C$4:$M$59,6,FALSE)),"0")</f>
        <v>0</v>
      </c>
      <c r="EG21" s="192" t="str">
        <f>IF(AND($C21&lt;&gt;"",$P21&lt;&gt;""),(VLOOKUP($C21,'V-LOOKUP'!$C$4:$M$59,7,FALSE)),"0")</f>
        <v>0</v>
      </c>
      <c r="EH21" s="192" t="str">
        <f>IF(AND($C21&lt;&gt;"",$P21&lt;&gt;""),(VLOOKUP($C21,'V-LOOKUP'!$C$4:$M$59,8,FALSE)),"0")</f>
        <v>0</v>
      </c>
      <c r="EI21" s="192" t="str">
        <f>IF(AND($C21&lt;&gt;"",$P21&lt;&gt;""),(VLOOKUP($C21,'V-LOOKUP'!$C$4:$M$59,9,FALSE)),"0")</f>
        <v>0</v>
      </c>
      <c r="EJ21" s="192" t="str">
        <f>IF(AND($C21&lt;&gt;"",$P21&lt;&gt;""),(VLOOKUP($C21,'V-LOOKUP'!$C$4:$M$59,10,FALSE)),"0")</f>
        <v>0</v>
      </c>
      <c r="EK21" s="192" t="str">
        <f>IF(AND($C21&lt;&gt;"",$P21&lt;&gt;""),(VLOOKUP($C21,'V-LOOKUP'!$C$4:$M$59,11,FALSE)),"0")</f>
        <v>0</v>
      </c>
      <c r="EL21" s="192" t="str">
        <f>IF(AND($C21&lt;&gt;"",$P21&lt;&gt;""),(VLOOKUP($C21,'V-LOOKUP'!$C$4:$N$59,12,FALSE)),"0")</f>
        <v>0</v>
      </c>
      <c r="EM21" s="192" t="str">
        <f>IF(AND($C21&lt;&gt;"",Q21&lt;&gt;""),(VLOOKUP($C21,'V-LOOKUP'!$C$4:$M$59,4,FALSE)),"0")</f>
        <v>0</v>
      </c>
      <c r="EN21" s="192" t="str">
        <f>IF(AND($C21&lt;&gt;"",$Q21&lt;&gt;""),(VLOOKUP($C21,'V-LOOKUP'!$C$4:$M$59,5,FALSE)),"0")</f>
        <v>0</v>
      </c>
      <c r="EO21" s="192" t="str">
        <f>IF(AND($C21&lt;&gt;"",$Q21&lt;&gt;""),(VLOOKUP($C21,'V-LOOKUP'!$C$4:$M$59,6,FALSE)),"0")</f>
        <v>0</v>
      </c>
      <c r="EP21" s="192" t="str">
        <f>IF(AND($C21&lt;&gt;"",$Q21&lt;&gt;""),(VLOOKUP($C21,'V-LOOKUP'!$C$4:$M$59,7,FALSE)),"0")</f>
        <v>0</v>
      </c>
      <c r="EQ21" s="192" t="str">
        <f>IF(AND($C21&lt;&gt;"",$Q21&lt;&gt;""),(VLOOKUP($C21,'V-LOOKUP'!$C$4:$M$59,8,FALSE)),"0")</f>
        <v>0</v>
      </c>
      <c r="ER21" s="192" t="str">
        <f>IF(AND($C21&lt;&gt;"",$Q21&lt;&gt;""),(VLOOKUP($C21,'V-LOOKUP'!$C$4:$M$59,9,FALSE)),"0")</f>
        <v>0</v>
      </c>
      <c r="ES21" s="192" t="str">
        <f>IF(AND($C21&lt;&gt;"",$Q21&lt;&gt;""),(VLOOKUP($C21,'V-LOOKUP'!$C$4:$M$59,10,FALSE)),"0")</f>
        <v>0</v>
      </c>
      <c r="ET21" s="192" t="str">
        <f>IF(AND($C21&lt;&gt;"",$Q21&lt;&gt;""),(VLOOKUP($C21,'V-LOOKUP'!$C$4:$M$59,11,FALSE)),"0")</f>
        <v>0</v>
      </c>
      <c r="EU21" s="192" t="str">
        <f>IF(AND($C21&lt;&gt;"",$Q21&lt;&gt;""),(VLOOKUP($C21,'V-LOOKUP'!$C$4:$N$59,12,FALSE)),"0")</f>
        <v>0</v>
      </c>
      <c r="EV21" s="192" t="str">
        <f>IF(AND($C21&lt;&gt;"",R21&lt;&gt;""),(VLOOKUP($C21,'V-LOOKUP'!$C$4:$M$59,4,FALSE)),"0")</f>
        <v>0</v>
      </c>
      <c r="EW21" s="192" t="str">
        <f>IF(AND($C21&lt;&gt;"",$R21&lt;&gt;""),(VLOOKUP($C21,'V-LOOKUP'!$C$4:$M$59,5,FALSE)),"0")</f>
        <v>0</v>
      </c>
      <c r="EX21" s="192" t="str">
        <f>IF(AND($C21&lt;&gt;"",$R21&lt;&gt;""),(VLOOKUP($C21,'V-LOOKUP'!$C$4:$M$59,6,FALSE)),"0")</f>
        <v>0</v>
      </c>
      <c r="EY21" s="192" t="str">
        <f>IF(AND($C21&lt;&gt;"",$R21&lt;&gt;""),(VLOOKUP($C21,'V-LOOKUP'!$C$4:$M$59,7,FALSE)),"0")</f>
        <v>0</v>
      </c>
      <c r="EZ21" s="192" t="str">
        <f>IF(AND($C21&lt;&gt;"",$R21&lt;&gt;""),(VLOOKUP($C21,'V-LOOKUP'!$C$4:$M$59,8,FALSE)),"0")</f>
        <v>0</v>
      </c>
      <c r="FA21" s="192" t="str">
        <f>IF(AND($C21&lt;&gt;"",$R21&lt;&gt;""),(VLOOKUP($C21,'V-LOOKUP'!$C$4:$M$59,9,FALSE)),"0")</f>
        <v>0</v>
      </c>
      <c r="FB21" s="192" t="str">
        <f>IF(AND($C21&lt;&gt;"",$R21&lt;&gt;""),(VLOOKUP($C21,'V-LOOKUP'!$C$4:$M$59,10,FALSE)),"0")</f>
        <v>0</v>
      </c>
      <c r="FC21" s="192" t="str">
        <f>IF(AND($C21&lt;&gt;"",$R21&lt;&gt;""),(VLOOKUP($C21,'V-LOOKUP'!$C$4:$M$59,11,FALSE)),"0")</f>
        <v>0</v>
      </c>
      <c r="FD21" s="192" t="str">
        <f>IF(AND($C21&lt;&gt;"",$R21&lt;&gt;""),(VLOOKUP($C21,'V-LOOKUP'!$C$4:$N$59,12,FALSE)),"0")</f>
        <v>0</v>
      </c>
      <c r="FE21" s="192" t="str">
        <f>IF(AND($C21&lt;&gt;"",S21&lt;&gt;""),(VLOOKUP($C21,'V-LOOKUP'!$C$4:$M$59,4,FALSE)),"0")</f>
        <v>0</v>
      </c>
      <c r="FF21" s="192" t="str">
        <f>IF(AND($C21&lt;&gt;"",$S21&lt;&gt;""),(VLOOKUP($C21,'V-LOOKUP'!$C$4:$M$59,5,FALSE)),"0")</f>
        <v>0</v>
      </c>
      <c r="FG21" s="192" t="str">
        <f>IF(AND($C21&lt;&gt;"",$S21&lt;&gt;""),(VLOOKUP($C21,'V-LOOKUP'!$C$4:$M$59,6,FALSE)),"0")</f>
        <v>0</v>
      </c>
      <c r="FH21" s="192" t="str">
        <f>IF(AND($C21&lt;&gt;"",$S21&lt;&gt;""),(VLOOKUP($C21,'V-LOOKUP'!$C$4:$M$59,7,FALSE)),"0")</f>
        <v>0</v>
      </c>
      <c r="FI21" s="192" t="str">
        <f>IF(AND($C21&lt;&gt;"",$S21&lt;&gt;""),(VLOOKUP($C21,'V-LOOKUP'!$C$4:$M$59,8,FALSE)),"0")</f>
        <v>0</v>
      </c>
      <c r="FJ21" s="192" t="str">
        <f>IF(AND($C21&lt;&gt;"",$S21&lt;&gt;""),(VLOOKUP($C21,'V-LOOKUP'!$C$4:$M$59,9,FALSE)),"0")</f>
        <v>0</v>
      </c>
      <c r="FK21" s="192" t="str">
        <f>IF(AND($C21&lt;&gt;"",$S21&lt;&gt;""),(VLOOKUP($C21,'V-LOOKUP'!$C$4:$M$59,10,FALSE)),"0")</f>
        <v>0</v>
      </c>
      <c r="FL21" s="192" t="str">
        <f>IF(AND($C21&lt;&gt;"",$S21&lt;&gt;""),(VLOOKUP($C21,'V-LOOKUP'!$C$4:$M$59,11,FALSE)),"0")</f>
        <v>0</v>
      </c>
      <c r="FM21" s="192" t="str">
        <f>IF(AND($C21&lt;&gt;"",$S21&lt;&gt;""),(VLOOKUP($C21,'V-LOOKUP'!$C$4:$N$59,12,FALSE)),"0")</f>
        <v>0</v>
      </c>
      <c r="FN21" s="192" t="str">
        <f>IF(AND($C21&lt;&gt;"",T21&lt;&gt;""),(VLOOKUP($C21,'V-LOOKUP'!$C$4:$M$59,4,FALSE)),"0")</f>
        <v>0</v>
      </c>
      <c r="FO21" s="192" t="str">
        <f>IF(AND($C21&lt;&gt;"",$T21&lt;&gt;""),(VLOOKUP($C21,'V-LOOKUP'!$C$4:$M$59,5,FALSE)),"0")</f>
        <v>0</v>
      </c>
      <c r="FP21" s="192" t="str">
        <f>IF(AND($C21&lt;&gt;"",$T21&lt;&gt;""),(VLOOKUP($C21,'V-LOOKUP'!$C$4:$M$59,6,FALSE)),"0")</f>
        <v>0</v>
      </c>
      <c r="FQ21" s="192" t="str">
        <f>IF(AND($C21&lt;&gt;"",$T21&lt;&gt;""),(VLOOKUP($C21,'V-LOOKUP'!$C$4:$M$59,7,FALSE)),"0")</f>
        <v>0</v>
      </c>
      <c r="FR21" s="192" t="str">
        <f>IF(AND($C21&lt;&gt;"",$T21&lt;&gt;""),(VLOOKUP($C21,'V-LOOKUP'!$C$4:$M$59,8,FALSE)),"0")</f>
        <v>0</v>
      </c>
      <c r="FS21" s="192" t="str">
        <f>IF(AND($C21&lt;&gt;"",$T21&lt;&gt;""),(VLOOKUP($C21,'V-LOOKUP'!$C$4:$M$59,9,FALSE)),"0")</f>
        <v>0</v>
      </c>
      <c r="FT21" s="192" t="str">
        <f>IF(AND($C21&lt;&gt;"",$T21&lt;&gt;""),(VLOOKUP($C21,'V-LOOKUP'!$C$4:$M$59,10,FALSE)),"0")</f>
        <v>0</v>
      </c>
      <c r="FU21" s="192" t="str">
        <f>IF(AND($C21&lt;&gt;"",$T21&lt;&gt;""),(VLOOKUP($C21,'V-LOOKUP'!$C$4:$M$59,11,FALSE)),"0")</f>
        <v>0</v>
      </c>
      <c r="FV21" s="192" t="str">
        <f>IF(AND($C21&lt;&gt;"",$T21&lt;&gt;""),(VLOOKUP($C21,'V-LOOKUP'!$C$4:$N$59,12,FALSE)),"0")</f>
        <v>0</v>
      </c>
      <c r="FW21" s="192" t="str">
        <f>IF(AND($C21&lt;&gt;"",U21&lt;&gt;""),(VLOOKUP($C21,'V-LOOKUP'!$C$4:$M$59,4,FALSE)),"0")</f>
        <v>0</v>
      </c>
      <c r="FX21" s="192" t="str">
        <f>IF(AND($C21&lt;&gt;"",$U21&lt;&gt;""),(VLOOKUP($C21,'V-LOOKUP'!$C$4:$M$59,5,FALSE)),"0")</f>
        <v>0</v>
      </c>
      <c r="FY21" s="192" t="str">
        <f>IF(AND($C21&lt;&gt;"",$U21&lt;&gt;""),(VLOOKUP($C21,'V-LOOKUP'!$C$4:$M$59,6,FALSE)),"0")</f>
        <v>0</v>
      </c>
      <c r="FZ21" s="192" t="str">
        <f>IF(AND($C21&lt;&gt;"",$U21&lt;&gt;""),(VLOOKUP($C21,'V-LOOKUP'!$C$4:$M$59,7,FALSE)),"0")</f>
        <v>0</v>
      </c>
      <c r="GA21" s="192" t="str">
        <f>IF(AND($C21&lt;&gt;"",$U21&lt;&gt;""),(VLOOKUP($C21,'V-LOOKUP'!$C$4:$M$59,8,FALSE)),"0")</f>
        <v>0</v>
      </c>
      <c r="GB21" s="192" t="str">
        <f>IF(AND($C21&lt;&gt;"",$U21&lt;&gt;""),(VLOOKUP($C21,'V-LOOKUP'!$C$4:$M$59,9,FALSE)),"0")</f>
        <v>0</v>
      </c>
      <c r="GC21" s="192" t="str">
        <f>IF(AND($C21&lt;&gt;"",$U21&lt;&gt;""),(VLOOKUP($C21,'V-LOOKUP'!$C$4:$M$59,10,FALSE)),"0")</f>
        <v>0</v>
      </c>
      <c r="GD21" s="192" t="str">
        <f>IF(AND($C21&lt;&gt;"",$U21&lt;&gt;""),(VLOOKUP($C21,'V-LOOKUP'!$C$4:$M$59,11,FALSE)),"0")</f>
        <v>0</v>
      </c>
      <c r="GE21" s="192" t="str">
        <f>IF(AND($C21&lt;&gt;"",$U21&lt;&gt;""),(VLOOKUP($C21,'V-LOOKUP'!$C$4:$N$59,12,FALSE)),"0")</f>
        <v>0</v>
      </c>
      <c r="GF21" s="192" t="str">
        <f>IF(AND($C21&lt;&gt;"",V21&lt;&gt;""),(VLOOKUP($C21,'V-LOOKUP'!$C$4:$M$59,4,FALSE)),"0")</f>
        <v>0</v>
      </c>
      <c r="GG21" s="192" t="str">
        <f>IF(AND($C21&lt;&gt;"",$V21&lt;&gt;""),(VLOOKUP($C21,'V-LOOKUP'!$C$4:$M$59,5,FALSE)),"0")</f>
        <v>0</v>
      </c>
      <c r="GH21" s="192" t="str">
        <f>IF(AND($C21&lt;&gt;"",$V21&lt;&gt;""),(VLOOKUP($C21,'V-LOOKUP'!$C$4:$M$59,6,FALSE)),"0")</f>
        <v>0</v>
      </c>
      <c r="GI21" s="192" t="str">
        <f>IF(AND($C21&lt;&gt;"",$V21&lt;&gt;""),(VLOOKUP($C21,'V-LOOKUP'!$C$4:$M$59,7,FALSE)),"0")</f>
        <v>0</v>
      </c>
      <c r="GJ21" s="192" t="str">
        <f>IF(AND($C21&lt;&gt;"",$V21&lt;&gt;""),(VLOOKUP($C21,'V-LOOKUP'!$C$4:$M$59,8,FALSE)),"0")</f>
        <v>0</v>
      </c>
      <c r="GK21" s="192" t="str">
        <f>IF(AND($C21&lt;&gt;"",$V21&lt;&gt;""),(VLOOKUP($C21,'V-LOOKUP'!$C$4:$M$59,9,FALSE)),"0")</f>
        <v>0</v>
      </c>
      <c r="GL21" s="192" t="str">
        <f>IF(AND($C21&lt;&gt;"",$V21&lt;&gt;""),(VLOOKUP($C21,'V-LOOKUP'!$C$4:$M$59,10,FALSE)),"0")</f>
        <v>0</v>
      </c>
      <c r="GM21" s="192" t="str">
        <f>IF(AND($C21&lt;&gt;"",$V21&lt;&gt;""),(VLOOKUP($C21,'V-LOOKUP'!$C$4:$M$59,11,FALSE)),"0")</f>
        <v>0</v>
      </c>
      <c r="GN21" s="192" t="str">
        <f>IF(AND($C21&lt;&gt;"",$V21&lt;&gt;""),(VLOOKUP($C21,'V-LOOKUP'!$C$4:$N$59,12,FALSE)),"0")</f>
        <v>0</v>
      </c>
      <c r="GO21" s="192" t="str">
        <f>IF(AND($C21&lt;&gt;"",W21&lt;&gt;""),(VLOOKUP($C21,'V-LOOKUP'!$C$4:$M$59,4,FALSE)),"0")</f>
        <v>0</v>
      </c>
      <c r="GP21" s="192" t="str">
        <f>IF(AND($C21&lt;&gt;"",$W21&lt;&gt;""),(VLOOKUP($C21,'V-LOOKUP'!$C$4:$M$59,5,FALSE)),"0")</f>
        <v>0</v>
      </c>
      <c r="GQ21" s="192" t="str">
        <f>IF(AND($C21&lt;&gt;"",$W21&lt;&gt;""),(VLOOKUP($C21,'V-LOOKUP'!$C$4:$M$59,6,FALSE)),"0")</f>
        <v>0</v>
      </c>
      <c r="GR21" s="192" t="str">
        <f>IF(AND($C21&lt;&gt;"",$W21&lt;&gt;""),(VLOOKUP($C21,'V-LOOKUP'!$C$4:$M$59,7,FALSE)),"0")</f>
        <v>0</v>
      </c>
      <c r="GS21" s="192" t="str">
        <f>IF(AND($C21&lt;&gt;"",$W21&lt;&gt;""),(VLOOKUP($C21,'V-LOOKUP'!$C$4:$M$59,8,FALSE)),"0")</f>
        <v>0</v>
      </c>
      <c r="GT21" s="192" t="str">
        <f>IF(AND($C21&lt;&gt;"",$W21&lt;&gt;""),(VLOOKUP($C21,'V-LOOKUP'!$C$4:$M$59,9,FALSE)),"0")</f>
        <v>0</v>
      </c>
      <c r="GU21" s="192" t="str">
        <f>IF(AND($C21&lt;&gt;"",$W21&lt;&gt;""),(VLOOKUP($C21,'V-LOOKUP'!$C$4:$M$59,10,FALSE)),"0")</f>
        <v>0</v>
      </c>
      <c r="GV21" s="192" t="str">
        <f>IF(AND($C21&lt;&gt;"",$W21&lt;&gt;""),(VLOOKUP($C21,'V-LOOKUP'!$C$4:$M$59,11,FALSE)),"0")</f>
        <v>0</v>
      </c>
      <c r="GW21" s="192" t="str">
        <f>IF(AND($C21&lt;&gt;"",$W21&lt;&gt;""),(VLOOKUP($C21,'V-LOOKUP'!$C$4:$N$59,12,FALSE)),"0")</f>
        <v>0</v>
      </c>
    </row>
    <row r="22" spans="1:205" ht="14.65" hidden="1" customHeight="1">
      <c r="A22" s="193"/>
      <c r="B22" s="245"/>
      <c r="C22" s="201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Y22" s="190"/>
      <c r="Z22" s="192" t="str">
        <f>IF(AND($C22&lt;&gt;"",$D22&lt;&gt;""),(VLOOKUP($C22,'V-LOOKUP'!$C$4:$M$59,4,FALSE)),"0")</f>
        <v>0</v>
      </c>
      <c r="AA22" s="192" t="str">
        <f>IF(AND($C22&lt;&gt;"",$D22&lt;&gt;""),(VLOOKUP($C22,'V-LOOKUP'!$C$4:$M$59,5,FALSE)),"0")</f>
        <v>0</v>
      </c>
      <c r="AB22" s="192" t="str">
        <f>IF(AND($C22&lt;&gt;"",$D22&lt;&gt;""),(VLOOKUP($C22,'V-LOOKUP'!$C$4:$M$59,6,FALSE)),"0")</f>
        <v>0</v>
      </c>
      <c r="AC22" s="192" t="str">
        <f>IF(AND($C22&lt;&gt;"",$D22&lt;&gt;""),(VLOOKUP($C22,'V-LOOKUP'!$C$4:$M$59,7,FALSE)),"0")</f>
        <v>0</v>
      </c>
      <c r="AD22" s="192" t="str">
        <f>IF(AND($C22&lt;&gt;"",$D22&lt;&gt;""),(VLOOKUP($C22,'V-LOOKUP'!$C$4:$M$59,8,FALSE)),"0")</f>
        <v>0</v>
      </c>
      <c r="AE22" s="192" t="str">
        <f>IF(AND($C22&lt;&gt;"",$D22&lt;&gt;""),(VLOOKUP($C22,'V-LOOKUP'!$C$4:$M$59,9,FALSE)),"0")</f>
        <v>0</v>
      </c>
      <c r="AF22" s="192" t="str">
        <f>IF(AND($C22&lt;&gt;"",$D22&lt;&gt;""),(VLOOKUP($C22,'V-LOOKUP'!$C$4:$M$59,10,FALSE)),"0")</f>
        <v>0</v>
      </c>
      <c r="AG22" s="192" t="str">
        <f>IF(AND($C22&lt;&gt;"",$D22&lt;&gt;""),(VLOOKUP($C22,'V-LOOKUP'!$C$4:$M$59,11,FALSE)),"0")</f>
        <v>0</v>
      </c>
      <c r="AH22" s="192" t="str">
        <f>IF(AND($C22&lt;&gt;"",$D22&lt;&gt;""),(VLOOKUP($C22,'V-LOOKUP'!$C$4:$N$59,12,FALSE)),"0")</f>
        <v>0</v>
      </c>
      <c r="AI22" s="192" t="str">
        <f>IF(AND($C22&lt;&gt;"",E22&lt;&gt;""),(VLOOKUP($C22,'V-LOOKUP'!$C$4:$M$59,4,FALSE)),"0")</f>
        <v>0</v>
      </c>
      <c r="AJ22" s="192" t="str">
        <f>IF(AND($C22&lt;&gt;"",$E22&lt;&gt;""),(VLOOKUP($C22,'V-LOOKUP'!$C$4:$M$59,5,FALSE)),"0")</f>
        <v>0</v>
      </c>
      <c r="AK22" s="192" t="str">
        <f>IF(AND($C22&lt;&gt;"",$E22&lt;&gt;""),(VLOOKUP($C22,'V-LOOKUP'!$C$4:$M$59,6,FALSE)),"0")</f>
        <v>0</v>
      </c>
      <c r="AL22" s="192" t="str">
        <f>IF(AND($C22&lt;&gt;"",$E22&lt;&gt;""),(VLOOKUP($C22,'V-LOOKUP'!$C$4:$M$59,7,FALSE)),"0")</f>
        <v>0</v>
      </c>
      <c r="AM22" s="192" t="str">
        <f>IF(AND($C22&lt;&gt;"",$E22&lt;&gt;""),(VLOOKUP($C22,'V-LOOKUP'!$C$4:$M$59,8,FALSE)),"0")</f>
        <v>0</v>
      </c>
      <c r="AN22" s="192" t="str">
        <f>IF(AND($C22&lt;&gt;"",$E22&lt;&gt;""),(VLOOKUP($C22,'V-LOOKUP'!$C$4:$M$59,9,FALSE)),"0")</f>
        <v>0</v>
      </c>
      <c r="AO22" s="192" t="str">
        <f>IF(AND($C22&lt;&gt;"",$E22&lt;&gt;""),(VLOOKUP($C22,'V-LOOKUP'!$C$4:$M$59,10,FALSE)),"0")</f>
        <v>0</v>
      </c>
      <c r="AP22" s="192" t="str">
        <f>IF(AND($C22&lt;&gt;"",$E22&lt;&gt;""),(VLOOKUP($C22,'V-LOOKUP'!$C$4:$M$59,11,FALSE)),"0")</f>
        <v>0</v>
      </c>
      <c r="AQ22" s="192" t="str">
        <f>IF(AND($C22&lt;&gt;"",$E22&lt;&gt;""),(VLOOKUP($C22,'V-LOOKUP'!$C$4:$N$59,12,FALSE)),"0")</f>
        <v>0</v>
      </c>
      <c r="AR22" s="192" t="str">
        <f>IF(AND($C22&lt;&gt;"",$F22&lt;&gt;""),(VLOOKUP($C22,'V-LOOKUP'!$C$4:$M$59,4,FALSE)),"0")</f>
        <v>0</v>
      </c>
      <c r="AS22" s="192" t="str">
        <f>IF(AND($C22&lt;&gt;"",$F22&lt;&gt;""),(VLOOKUP($C22,'V-LOOKUP'!$C$4:$M$59,5,FALSE)),"0")</f>
        <v>0</v>
      </c>
      <c r="AT22" s="192" t="str">
        <f>IF(AND($C22&lt;&gt;"",$F22&lt;&gt;""),(VLOOKUP($C22,'V-LOOKUP'!$C$4:$M$59,6,FALSE)),"0")</f>
        <v>0</v>
      </c>
      <c r="AU22" s="192" t="str">
        <f>IF(AND($C22&lt;&gt;"",$F22&lt;&gt;""),(VLOOKUP($C22,'V-LOOKUP'!$C$4:$M$59,7,FALSE)),"0")</f>
        <v>0</v>
      </c>
      <c r="AV22" s="192" t="str">
        <f>IF(AND($C22&lt;&gt;"",$F22&lt;&gt;""),(VLOOKUP($C22,'V-LOOKUP'!$C$4:$M$59,8,FALSE)),"0")</f>
        <v>0</v>
      </c>
      <c r="AW22" s="192" t="str">
        <f>IF(AND($C22&lt;&gt;"",$F22&lt;&gt;""),(VLOOKUP($C22,'V-LOOKUP'!$C$4:$M$59,9,FALSE)),"0")</f>
        <v>0</v>
      </c>
      <c r="AX22" s="192" t="str">
        <f>IF(AND($C22&lt;&gt;"",$F22&lt;&gt;""),(VLOOKUP($C22,'V-LOOKUP'!$C$4:$M$59,10,FALSE)),"0")</f>
        <v>0</v>
      </c>
      <c r="AY22" s="192" t="str">
        <f>IF(AND($C22&lt;&gt;"",$F22&lt;&gt;""),(VLOOKUP($C22,'V-LOOKUP'!$C$4:$M$59,11,FALSE)),"0")</f>
        <v>0</v>
      </c>
      <c r="AZ22" s="192" t="str">
        <f>IF(AND($C22&lt;&gt;"",$F22&lt;&gt;""),(VLOOKUP($C22,'V-LOOKUP'!$C$4:$N$59,12,FALSE)),"0")</f>
        <v>0</v>
      </c>
      <c r="BA22" s="192" t="str">
        <f>IF(AND($C22&lt;&gt;"",G22&lt;&gt;""),(VLOOKUP($C22,'V-LOOKUP'!$C$4:$M$59,4,FALSE)),"0")</f>
        <v>0</v>
      </c>
      <c r="BB22" s="192" t="str">
        <f>IF(AND($C22&lt;&gt;"",$G22&lt;&gt;""),(VLOOKUP($C22,'V-LOOKUP'!$C$4:$M$59,5,FALSE)),"0")</f>
        <v>0</v>
      </c>
      <c r="BC22" s="192" t="str">
        <f>IF(AND($C22&lt;&gt;"",$G22&lt;&gt;""),(VLOOKUP($C22,'V-LOOKUP'!$C$4:$M$59,6,FALSE)),"0")</f>
        <v>0</v>
      </c>
      <c r="BD22" s="192" t="str">
        <f>IF(AND($C22&lt;&gt;"",$G22&lt;&gt;""),(VLOOKUP($C22,'V-LOOKUP'!$C$4:$M$59,7,FALSE)),"0")</f>
        <v>0</v>
      </c>
      <c r="BE22" s="192" t="str">
        <f>IF(AND($C22&lt;&gt;"",$G22&lt;&gt;""),(VLOOKUP($C22,'V-LOOKUP'!$C$4:$M$59,8,FALSE)),"0")</f>
        <v>0</v>
      </c>
      <c r="BF22" s="192" t="str">
        <f>IF(AND($C22&lt;&gt;"",$G22&lt;&gt;""),(VLOOKUP($C22,'V-LOOKUP'!$C$4:$M$59,9,FALSE)),"0")</f>
        <v>0</v>
      </c>
      <c r="BG22" s="192" t="str">
        <f>IF(AND($C22&lt;&gt;"",$G22&lt;&gt;""),(VLOOKUP($C22,'V-LOOKUP'!$C$4:$M$59,10,FALSE)),"0")</f>
        <v>0</v>
      </c>
      <c r="BH22" s="192" t="str">
        <f>IF(AND($C22&lt;&gt;"",$G22&lt;&gt;""),(VLOOKUP($C22,'V-LOOKUP'!$C$4:$M$59,11,FALSE)),"0")</f>
        <v>0</v>
      </c>
      <c r="BI22" s="192" t="str">
        <f>IF(AND($C22&lt;&gt;"",$G22&lt;&gt;""),(VLOOKUP($C22,'V-LOOKUP'!$C$4:$N$59,12,FALSE)),"0")</f>
        <v>0</v>
      </c>
      <c r="BJ22" s="192" t="str">
        <f>IF(AND($C22&lt;&gt;"",H22&lt;&gt;""),(VLOOKUP($C22,'V-LOOKUP'!$C$4:$M$59,4,FALSE)),"0")</f>
        <v>0</v>
      </c>
      <c r="BK22" s="192" t="str">
        <f>IF(AND($C22&lt;&gt;"",$G22&lt;&gt;""),(VLOOKUP($C22,'V-LOOKUP'!$C$4:$M$59,5,FALSE)),"0")</f>
        <v>0</v>
      </c>
      <c r="BL22" s="192" t="str">
        <f>IF(AND($C22&lt;&gt;"",$H22&lt;&gt;""),(VLOOKUP($C22,'V-LOOKUP'!$C$4:$M$59,6,FALSE)),"0")</f>
        <v>0</v>
      </c>
      <c r="BM22" s="192" t="str">
        <f>IF(AND($C22&lt;&gt;"",$H22&lt;&gt;""),(VLOOKUP($C22,'V-LOOKUP'!$C$4:$M$59,7,FALSE)),"0")</f>
        <v>0</v>
      </c>
      <c r="BN22" s="192" t="str">
        <f>IF(AND($C22&lt;&gt;"",$H22&lt;&gt;""),(VLOOKUP($C22,'V-LOOKUP'!$C$4:$M$59,8,FALSE)),"0")</f>
        <v>0</v>
      </c>
      <c r="BO22" s="192" t="str">
        <f>IF(AND($C22&lt;&gt;"",$H22&lt;&gt;""),(VLOOKUP($C22,'V-LOOKUP'!$C$4:$M$59,9,FALSE)),"0")</f>
        <v>0</v>
      </c>
      <c r="BP22" s="192" t="str">
        <f>IF(AND($C22&lt;&gt;"",$H22&lt;&gt;""),(VLOOKUP($C22,'V-LOOKUP'!$C$4:$M$59,10,FALSE)),"0")</f>
        <v>0</v>
      </c>
      <c r="BQ22" s="192" t="str">
        <f>IF(AND($C22&lt;&gt;"",$H22&lt;&gt;""),(VLOOKUP($C22,'V-LOOKUP'!$C$4:$M$59,11,FALSE)),"0")</f>
        <v>0</v>
      </c>
      <c r="BR22" s="192" t="str">
        <f>IF(AND($C22&lt;&gt;"",$H22&lt;&gt;""),(VLOOKUP($C22,'V-LOOKUP'!$C$4:$N$59,12,FALSE)),"0")</f>
        <v>0</v>
      </c>
      <c r="BS22" s="192" t="str">
        <f>IF(AND($C22&lt;&gt;"",I22&lt;&gt;""),(VLOOKUP($C22,'V-LOOKUP'!$C$4:$M$59,4,FALSE)),"0")</f>
        <v>0</v>
      </c>
      <c r="BT22" s="192" t="str">
        <f>IF(AND($C22&lt;&gt;"",$I22&lt;&gt;""),(VLOOKUP($C22,'V-LOOKUP'!$C$4:$M$59,5,FALSE)),"0")</f>
        <v>0</v>
      </c>
      <c r="BU22" s="192" t="str">
        <f>IF(AND($C22&lt;&gt;"",$I22&lt;&gt;""),(VLOOKUP($C22,'V-LOOKUP'!$C$4:$M$59,6,FALSE)),"0")</f>
        <v>0</v>
      </c>
      <c r="BV22" s="192" t="str">
        <f>IF(AND($C22&lt;&gt;"",$I22&lt;&gt;""),(VLOOKUP($C22,'V-LOOKUP'!$C$4:$M$59,7,FALSE)),"0")</f>
        <v>0</v>
      </c>
      <c r="BW22" s="192" t="str">
        <f>IF(AND($C22&lt;&gt;"",$I22&lt;&gt;""),(VLOOKUP($C22,'V-LOOKUP'!$C$4:$M$59,8,FALSE)),"0")</f>
        <v>0</v>
      </c>
      <c r="BX22" s="192" t="str">
        <f>IF(AND($C22&lt;&gt;"",$I22&lt;&gt;""),(VLOOKUP($C22,'V-LOOKUP'!$C$4:$M$59,9,FALSE)),"0")</f>
        <v>0</v>
      </c>
      <c r="BY22" s="192" t="str">
        <f>IF(AND($C22&lt;&gt;"",$I22&lt;&gt;""),(VLOOKUP($C22,'V-LOOKUP'!$C$4:$M$59,10,FALSE)),"0")</f>
        <v>0</v>
      </c>
      <c r="BZ22" s="192" t="str">
        <f>IF(AND($C22&lt;&gt;"",$I22&lt;&gt;""),(VLOOKUP($C22,'V-LOOKUP'!$C$4:$M$59,11,FALSE)),"0")</f>
        <v>0</v>
      </c>
      <c r="CA22" s="192" t="str">
        <f>IF(AND($C22&lt;&gt;"",$I22&lt;&gt;""),(VLOOKUP($C22,'V-LOOKUP'!$C$4:$N$59,12,FALSE)),"0")</f>
        <v>0</v>
      </c>
      <c r="CB22" s="192" t="str">
        <f>IF(AND($C22&lt;&gt;"",J22&lt;&gt;""),(VLOOKUP($C22,'V-LOOKUP'!$C$4:$M$59,4,FALSE)),"0")</f>
        <v>0</v>
      </c>
      <c r="CC22" s="192" t="str">
        <f>IF(AND($C22&lt;&gt;"",$J22&lt;&gt;""),(VLOOKUP($C22,'V-LOOKUP'!$C$4:$M$59,5,FALSE)),"0")</f>
        <v>0</v>
      </c>
      <c r="CD22" s="192" t="str">
        <f>IF(AND($C22&lt;&gt;"",$J22&lt;&gt;""),(VLOOKUP($C22,'V-LOOKUP'!$C$4:$M$59,6,FALSE)),"0")</f>
        <v>0</v>
      </c>
      <c r="CE22" s="192" t="str">
        <f>IF(AND($C22&lt;&gt;"",$J22&lt;&gt;""),(VLOOKUP($C22,'V-LOOKUP'!$C$4:$M$59,7,FALSE)),"0")</f>
        <v>0</v>
      </c>
      <c r="CF22" s="192" t="str">
        <f>IF(AND($C22&lt;&gt;"",$J22&lt;&gt;""),(VLOOKUP($C22,'V-LOOKUP'!$C$4:$M$59,8,FALSE)),"0")</f>
        <v>0</v>
      </c>
      <c r="CG22" s="192" t="str">
        <f>IF(AND($C22&lt;&gt;"",$J22&lt;&gt;""),(VLOOKUP($C22,'V-LOOKUP'!$C$4:$M$59,9,FALSE)),"0")</f>
        <v>0</v>
      </c>
      <c r="CH22" s="192" t="str">
        <f>IF(AND($C22&lt;&gt;"",$J22&lt;&gt;""),(VLOOKUP($C22,'V-LOOKUP'!$C$4:$M$59,10,FALSE)),"0")</f>
        <v>0</v>
      </c>
      <c r="CI22" s="192" t="str">
        <f>IF(AND($C22&lt;&gt;"",$J22&lt;&gt;""),(VLOOKUP($C22,'V-LOOKUP'!$C$4:$M$59,11,FALSE)),"0")</f>
        <v>0</v>
      </c>
      <c r="CJ22" s="192" t="str">
        <f>IF(AND($C22&lt;&gt;"",$J22&lt;&gt;""),(VLOOKUP($C22,'V-LOOKUP'!$C$4:$N$59,12,FALSE)),"0")</f>
        <v>0</v>
      </c>
      <c r="CK22" s="192" t="str">
        <f>IF(AND($C22&lt;&gt;"",K22&lt;&gt;""),(VLOOKUP($C22,'V-LOOKUP'!$C$4:$M$59,4,FALSE)),"0")</f>
        <v>0</v>
      </c>
      <c r="CL22" s="192" t="str">
        <f>IF(AND($C22&lt;&gt;"",$K22&lt;&gt;""),(VLOOKUP($C22,'V-LOOKUP'!$C$4:$M$59,5,FALSE)),"0")</f>
        <v>0</v>
      </c>
      <c r="CM22" s="192" t="str">
        <f>IF(AND($C22&lt;&gt;"",$K22&lt;&gt;""),(VLOOKUP($C22,'V-LOOKUP'!$C$4:$M$59,6,FALSE)),"0")</f>
        <v>0</v>
      </c>
      <c r="CN22" s="192" t="str">
        <f>IF(AND($C22&lt;&gt;"",$K22&lt;&gt;""),(VLOOKUP($C22,'V-LOOKUP'!$C$4:$M$59,7,FALSE)),"0")</f>
        <v>0</v>
      </c>
      <c r="CO22" s="192" t="str">
        <f>IF(AND($C22&lt;&gt;"",$K22&lt;&gt;""),(VLOOKUP($C22,'V-LOOKUP'!$C$4:$M$59,8,FALSE)),"0")</f>
        <v>0</v>
      </c>
      <c r="CP22" s="192" t="str">
        <f>IF(AND($C22&lt;&gt;"",$K22&lt;&gt;""),(VLOOKUP($C22,'V-LOOKUP'!$C$4:$M$59,9,FALSE)),"0")</f>
        <v>0</v>
      </c>
      <c r="CQ22" s="192" t="str">
        <f>IF(AND($C22&lt;&gt;"",$K22&lt;&gt;""),(VLOOKUP($C22,'V-LOOKUP'!$C$4:$M$59,10,FALSE)),"0")</f>
        <v>0</v>
      </c>
      <c r="CR22" s="192" t="str">
        <f>IF(AND($C22&lt;&gt;"",$K22&lt;&gt;""),(VLOOKUP($C22,'V-LOOKUP'!$C$4:$M$59,11,FALSE)),"0")</f>
        <v>0</v>
      </c>
      <c r="CS22" s="192" t="str">
        <f>IF(AND($C22&lt;&gt;"",$K22&lt;&gt;""),(VLOOKUP($C22,'V-LOOKUP'!$C$4:$N$59,12,FALSE)),"0")</f>
        <v>0</v>
      </c>
      <c r="CT22" s="192" t="str">
        <f>IF(AND($C22&lt;&gt;"",L22&lt;&gt;""),(VLOOKUP($C22,'V-LOOKUP'!$C$4:$M$59,4,FALSE)),"0")</f>
        <v>0</v>
      </c>
      <c r="CU22" s="192" t="str">
        <f>IF(AND($C22&lt;&gt;"",$L22&lt;&gt;""),(VLOOKUP($C22,'V-LOOKUP'!$C$4:$M$59,5,FALSE)),"0")</f>
        <v>0</v>
      </c>
      <c r="CV22" s="192" t="str">
        <f>IF(AND($C22&lt;&gt;"",$L22&lt;&gt;""),(VLOOKUP($C22,'V-LOOKUP'!$C$4:$M$59,6,FALSE)),"0")</f>
        <v>0</v>
      </c>
      <c r="CW22" s="192" t="str">
        <f>IF(AND($C22&lt;&gt;"",$L22&lt;&gt;""),(VLOOKUP($C22,'V-LOOKUP'!$C$4:$M$59,7,FALSE)),"0")</f>
        <v>0</v>
      </c>
      <c r="CX22" s="192" t="str">
        <f>IF(AND($C22&lt;&gt;"",$L22&lt;&gt;""),(VLOOKUP($C22,'V-LOOKUP'!$C$4:$M$59,8,FALSE)),"0")</f>
        <v>0</v>
      </c>
      <c r="CY22" s="192" t="str">
        <f>IF(AND($C22&lt;&gt;"",$L22&lt;&gt;""),(VLOOKUP($C22,'V-LOOKUP'!$C$4:$M$59,9,FALSE)),"0")</f>
        <v>0</v>
      </c>
      <c r="CZ22" s="192" t="str">
        <f>IF(AND($C22&lt;&gt;"",$L22&lt;&gt;""),(VLOOKUP($C22,'V-LOOKUP'!$C$4:$M$59,10,FALSE)),"0")</f>
        <v>0</v>
      </c>
      <c r="DA22" s="192" t="str">
        <f>IF(AND($C22&lt;&gt;"",$L22&lt;&gt;""),(VLOOKUP($C22,'V-LOOKUP'!$C$4:$M$59,11,FALSE)),"0")</f>
        <v>0</v>
      </c>
      <c r="DB22" s="192" t="str">
        <f>IF(AND($C22&lt;&gt;"",$L22&lt;&gt;""),(VLOOKUP($C22,'V-LOOKUP'!$C$4:$N$59,12,FALSE)),"0")</f>
        <v>0</v>
      </c>
      <c r="DC22" s="192" t="str">
        <f>IF(AND($C22&lt;&gt;"",M22&lt;&gt;""),(VLOOKUP($C22,'V-LOOKUP'!$C$4:$M$59,4,FALSE)),"0")</f>
        <v>0</v>
      </c>
      <c r="DD22" s="192" t="str">
        <f>IF(AND($C22&lt;&gt;"",$M22&lt;&gt;""),(VLOOKUP($C22,'V-LOOKUP'!$C$4:$M$59,5,FALSE)),"0")</f>
        <v>0</v>
      </c>
      <c r="DE22" s="192" t="str">
        <f>IF(AND($C22&lt;&gt;"",$M22&lt;&gt;""),(VLOOKUP($C22,'V-LOOKUP'!$C$4:$M$59,6,FALSE)),"0")</f>
        <v>0</v>
      </c>
      <c r="DF22" s="192" t="str">
        <f>IF(AND($C22&lt;&gt;"",$M22&lt;&gt;""),(VLOOKUP($C22,'V-LOOKUP'!$C$4:$M$59,7,FALSE)),"0")</f>
        <v>0</v>
      </c>
      <c r="DG22" s="192" t="str">
        <f>IF(AND($C22&lt;&gt;"",$M22&lt;&gt;""),(VLOOKUP($C22,'V-LOOKUP'!$C$4:$M$59,8,FALSE)),"0")</f>
        <v>0</v>
      </c>
      <c r="DH22" s="192" t="str">
        <f>IF(AND($C22&lt;&gt;"",$M22&lt;&gt;""),(VLOOKUP($C22,'V-LOOKUP'!$C$4:$M$59,9,FALSE)),"0")</f>
        <v>0</v>
      </c>
      <c r="DI22" s="192" t="str">
        <f>IF(AND($C22&lt;&gt;"",$M22&lt;&gt;""),(VLOOKUP($C22,'V-LOOKUP'!$C$4:$M$59,10,FALSE)),"0")</f>
        <v>0</v>
      </c>
      <c r="DJ22" s="192" t="str">
        <f>IF(AND($C22&lt;&gt;"",$M22&lt;&gt;""),(VLOOKUP($C22,'V-LOOKUP'!$C$4:$M$59,11,FALSE)),"0")</f>
        <v>0</v>
      </c>
      <c r="DK22" s="192" t="str">
        <f>IF(AND($C22&lt;&gt;"",$M22&lt;&gt;""),(VLOOKUP($C22,'V-LOOKUP'!$C$4:$N$59,12,FALSE)),"0")</f>
        <v>0</v>
      </c>
      <c r="DL22" s="192" t="str">
        <f>IF(AND($C22&lt;&gt;"",$N22&lt;&gt;""),(VLOOKUP($C22,'V-LOOKUP'!$C$4:$M$59,4,FALSE)),"0")</f>
        <v>0</v>
      </c>
      <c r="DM22" s="192" t="str">
        <f>IF(AND($C22&lt;&gt;"",$N22&lt;&gt;""),(VLOOKUP($C22,'V-LOOKUP'!$C$4:$M$59,5,FALSE)),"0")</f>
        <v>0</v>
      </c>
      <c r="DN22" s="192" t="str">
        <f>IF(AND($C22&lt;&gt;"",$N22&lt;&gt;""),(VLOOKUP($C22,'V-LOOKUP'!$C$4:$M$59,6,FALSE)),"0")</f>
        <v>0</v>
      </c>
      <c r="DO22" s="192" t="str">
        <f>IF(AND($C22&lt;&gt;"",$N22&lt;&gt;""),(VLOOKUP($C22,'V-LOOKUP'!$C$4:$M$59,7,FALSE)),"0")</f>
        <v>0</v>
      </c>
      <c r="DP22" s="192" t="str">
        <f>IF(AND($C22&lt;&gt;"",$N22&lt;&gt;""),(VLOOKUP($C22,'V-LOOKUP'!$C$4:$M$59,8,FALSE)),"0")</f>
        <v>0</v>
      </c>
      <c r="DQ22" s="192" t="str">
        <f>IF(AND($C22&lt;&gt;"",$N22&lt;&gt;""),(VLOOKUP($C22,'V-LOOKUP'!$C$4:$M$59,9,FALSE)),"0")</f>
        <v>0</v>
      </c>
      <c r="DR22" s="192" t="str">
        <f>IF(AND($C22&lt;&gt;"",$N22&lt;&gt;""),(VLOOKUP($C22,'V-LOOKUP'!$C$4:$M$59,10,FALSE)),"0")</f>
        <v>0</v>
      </c>
      <c r="DS22" s="192" t="str">
        <f>IF(AND($C22&lt;&gt;"",$N22&lt;&gt;""),(VLOOKUP($C22,'V-LOOKUP'!$C$4:$M$59,11,FALSE)),"0")</f>
        <v>0</v>
      </c>
      <c r="DT22" s="192" t="str">
        <f>IF(AND($C22&lt;&gt;"",$N22&lt;&gt;""),(VLOOKUP($C22,'V-LOOKUP'!$C$4:$N$59,12,FALSE)),"0")</f>
        <v>0</v>
      </c>
      <c r="DU22" s="192" t="str">
        <f>IF(AND($C22&lt;&gt;"",O22&lt;&gt;""),(VLOOKUP($C22,'V-LOOKUP'!$C$4:$M$59,4,FALSE)),"0")</f>
        <v>0</v>
      </c>
      <c r="DV22" s="192" t="str">
        <f>IF(AND($C22&lt;&gt;"",$O22&lt;&gt;""),(VLOOKUP($C22,'V-LOOKUP'!$C$4:$M$59,5,FALSE)),"0")</f>
        <v>0</v>
      </c>
      <c r="DW22" s="192" t="str">
        <f>IF(AND($C22&lt;&gt;"",$O22&lt;&gt;""),(VLOOKUP($C22,'V-LOOKUP'!$C$4:$M$59,6,FALSE)),"0")</f>
        <v>0</v>
      </c>
      <c r="DX22" s="192" t="str">
        <f>IF(AND($C22&lt;&gt;"",$O22&lt;&gt;""),(VLOOKUP($C22,'V-LOOKUP'!$C$4:$M$59,7,FALSE)),"0")</f>
        <v>0</v>
      </c>
      <c r="DY22" s="192" t="str">
        <f>IF(AND($C22&lt;&gt;"",$O22&lt;&gt;""),(VLOOKUP($C22,'V-LOOKUP'!$C$4:$M$59,8,FALSE)),"0")</f>
        <v>0</v>
      </c>
      <c r="DZ22" s="192" t="str">
        <f>IF(AND($C22&lt;&gt;"",$O22&lt;&gt;""),(VLOOKUP($C22,'V-LOOKUP'!$C$4:$M$59,9,FALSE)),"0")</f>
        <v>0</v>
      </c>
      <c r="EA22" s="192" t="str">
        <f>IF(AND($C22&lt;&gt;"",$O22&lt;&gt;""),(VLOOKUP($C22,'V-LOOKUP'!$C$4:$M$59,10,FALSE)),"0")</f>
        <v>0</v>
      </c>
      <c r="EB22" s="192" t="str">
        <f>IF(AND($C22&lt;&gt;"",$O22&lt;&gt;""),(VLOOKUP($C22,'V-LOOKUP'!$C$4:$M$59,11,FALSE)),"0")</f>
        <v>0</v>
      </c>
      <c r="EC22" s="192" t="str">
        <f>IF(AND($C22&lt;&gt;"",$O22&lt;&gt;""),(VLOOKUP($C22,'V-LOOKUP'!$C$4:$N$59,12,FALSE)),"0")</f>
        <v>0</v>
      </c>
      <c r="ED22" s="192" t="str">
        <f>IF(AND($C22&lt;&gt;"",P22&lt;&gt;""),(VLOOKUP($C22,'V-LOOKUP'!$C$4:$M$59,4,FALSE)),"0")</f>
        <v>0</v>
      </c>
      <c r="EE22" s="192" t="str">
        <f>IF(AND($C22&lt;&gt;"",$P22&lt;&gt;""),(VLOOKUP($C22,'V-LOOKUP'!$C$4:$M$59,5,FALSE)),"0")</f>
        <v>0</v>
      </c>
      <c r="EF22" s="192" t="str">
        <f>IF(AND($C22&lt;&gt;"",$P22&lt;&gt;""),(VLOOKUP($C22,'V-LOOKUP'!$C$4:$M$59,6,FALSE)),"0")</f>
        <v>0</v>
      </c>
      <c r="EG22" s="192" t="str">
        <f>IF(AND($C22&lt;&gt;"",$P22&lt;&gt;""),(VLOOKUP($C22,'V-LOOKUP'!$C$4:$M$59,7,FALSE)),"0")</f>
        <v>0</v>
      </c>
      <c r="EH22" s="192" t="str">
        <f>IF(AND($C22&lt;&gt;"",$P22&lt;&gt;""),(VLOOKUP($C22,'V-LOOKUP'!$C$4:$M$59,8,FALSE)),"0")</f>
        <v>0</v>
      </c>
      <c r="EI22" s="192" t="str">
        <f>IF(AND($C22&lt;&gt;"",$P22&lt;&gt;""),(VLOOKUP($C22,'V-LOOKUP'!$C$4:$M$59,9,FALSE)),"0")</f>
        <v>0</v>
      </c>
      <c r="EJ22" s="192" t="str">
        <f>IF(AND($C22&lt;&gt;"",$P22&lt;&gt;""),(VLOOKUP($C22,'V-LOOKUP'!$C$4:$M$59,10,FALSE)),"0")</f>
        <v>0</v>
      </c>
      <c r="EK22" s="192" t="str">
        <f>IF(AND($C22&lt;&gt;"",$P22&lt;&gt;""),(VLOOKUP($C22,'V-LOOKUP'!$C$4:$M$59,11,FALSE)),"0")</f>
        <v>0</v>
      </c>
      <c r="EL22" s="192" t="str">
        <f>IF(AND($C22&lt;&gt;"",$P22&lt;&gt;""),(VLOOKUP($C22,'V-LOOKUP'!$C$4:$N$59,12,FALSE)),"0")</f>
        <v>0</v>
      </c>
      <c r="EM22" s="192" t="str">
        <f>IF(AND($C22&lt;&gt;"",Q22&lt;&gt;""),(VLOOKUP($C22,'V-LOOKUP'!$C$4:$M$59,4,FALSE)),"0")</f>
        <v>0</v>
      </c>
      <c r="EN22" s="192" t="str">
        <f>IF(AND($C22&lt;&gt;"",$Q22&lt;&gt;""),(VLOOKUP($C22,'V-LOOKUP'!$C$4:$M$59,5,FALSE)),"0")</f>
        <v>0</v>
      </c>
      <c r="EO22" s="192" t="str">
        <f>IF(AND($C22&lt;&gt;"",$Q22&lt;&gt;""),(VLOOKUP($C22,'V-LOOKUP'!$C$4:$M$59,6,FALSE)),"0")</f>
        <v>0</v>
      </c>
      <c r="EP22" s="192" t="str">
        <f>IF(AND($C22&lt;&gt;"",$Q22&lt;&gt;""),(VLOOKUP($C22,'V-LOOKUP'!$C$4:$M$59,7,FALSE)),"0")</f>
        <v>0</v>
      </c>
      <c r="EQ22" s="192" t="str">
        <f>IF(AND($C22&lt;&gt;"",$Q22&lt;&gt;""),(VLOOKUP($C22,'V-LOOKUP'!$C$4:$M$59,8,FALSE)),"0")</f>
        <v>0</v>
      </c>
      <c r="ER22" s="192" t="str">
        <f>IF(AND($C22&lt;&gt;"",$Q22&lt;&gt;""),(VLOOKUP($C22,'V-LOOKUP'!$C$4:$M$59,9,FALSE)),"0")</f>
        <v>0</v>
      </c>
      <c r="ES22" s="192" t="str">
        <f>IF(AND($C22&lt;&gt;"",$Q22&lt;&gt;""),(VLOOKUP($C22,'V-LOOKUP'!$C$4:$M$59,10,FALSE)),"0")</f>
        <v>0</v>
      </c>
      <c r="ET22" s="192" t="str">
        <f>IF(AND($C22&lt;&gt;"",$Q22&lt;&gt;""),(VLOOKUP($C22,'V-LOOKUP'!$C$4:$M$59,11,FALSE)),"0")</f>
        <v>0</v>
      </c>
      <c r="EU22" s="192" t="str">
        <f>IF(AND($C22&lt;&gt;"",$Q22&lt;&gt;""),(VLOOKUP($C22,'V-LOOKUP'!$C$4:$N$59,12,FALSE)),"0")</f>
        <v>0</v>
      </c>
      <c r="EV22" s="192" t="str">
        <f>IF(AND($C22&lt;&gt;"",R22&lt;&gt;""),(VLOOKUP($C22,'V-LOOKUP'!$C$4:$M$59,4,FALSE)),"0")</f>
        <v>0</v>
      </c>
      <c r="EW22" s="192" t="str">
        <f>IF(AND($C22&lt;&gt;"",$R22&lt;&gt;""),(VLOOKUP($C22,'V-LOOKUP'!$C$4:$M$59,5,FALSE)),"0")</f>
        <v>0</v>
      </c>
      <c r="EX22" s="192" t="str">
        <f>IF(AND($C22&lt;&gt;"",$R22&lt;&gt;""),(VLOOKUP($C22,'V-LOOKUP'!$C$4:$M$59,6,FALSE)),"0")</f>
        <v>0</v>
      </c>
      <c r="EY22" s="192" t="str">
        <f>IF(AND($C22&lt;&gt;"",$R22&lt;&gt;""),(VLOOKUP($C22,'V-LOOKUP'!$C$4:$M$59,7,FALSE)),"0")</f>
        <v>0</v>
      </c>
      <c r="EZ22" s="192" t="str">
        <f>IF(AND($C22&lt;&gt;"",$R22&lt;&gt;""),(VLOOKUP($C22,'V-LOOKUP'!$C$4:$M$59,8,FALSE)),"0")</f>
        <v>0</v>
      </c>
      <c r="FA22" s="192" t="str">
        <f>IF(AND($C22&lt;&gt;"",$R22&lt;&gt;""),(VLOOKUP($C22,'V-LOOKUP'!$C$4:$M$59,9,FALSE)),"0")</f>
        <v>0</v>
      </c>
      <c r="FB22" s="192" t="str">
        <f>IF(AND($C22&lt;&gt;"",$R22&lt;&gt;""),(VLOOKUP($C22,'V-LOOKUP'!$C$4:$M$59,10,FALSE)),"0")</f>
        <v>0</v>
      </c>
      <c r="FC22" s="192" t="str">
        <f>IF(AND($C22&lt;&gt;"",$R22&lt;&gt;""),(VLOOKUP($C22,'V-LOOKUP'!$C$4:$M$59,11,FALSE)),"0")</f>
        <v>0</v>
      </c>
      <c r="FD22" s="192" t="str">
        <f>IF(AND($C22&lt;&gt;"",$R22&lt;&gt;""),(VLOOKUP($C22,'V-LOOKUP'!$C$4:$N$59,12,FALSE)),"0")</f>
        <v>0</v>
      </c>
      <c r="FE22" s="192" t="str">
        <f>IF(AND($C22&lt;&gt;"",S22&lt;&gt;""),(VLOOKUP($C22,'V-LOOKUP'!$C$4:$M$59,4,FALSE)),"0")</f>
        <v>0</v>
      </c>
      <c r="FF22" s="192" t="str">
        <f>IF(AND($C22&lt;&gt;"",$S22&lt;&gt;""),(VLOOKUP($C22,'V-LOOKUP'!$C$4:$M$59,5,FALSE)),"0")</f>
        <v>0</v>
      </c>
      <c r="FG22" s="192" t="str">
        <f>IF(AND($C22&lt;&gt;"",$S22&lt;&gt;""),(VLOOKUP($C22,'V-LOOKUP'!$C$4:$M$59,6,FALSE)),"0")</f>
        <v>0</v>
      </c>
      <c r="FH22" s="192" t="str">
        <f>IF(AND($C22&lt;&gt;"",$S22&lt;&gt;""),(VLOOKUP($C22,'V-LOOKUP'!$C$4:$M$59,7,FALSE)),"0")</f>
        <v>0</v>
      </c>
      <c r="FI22" s="192" t="str">
        <f>IF(AND($C22&lt;&gt;"",$S22&lt;&gt;""),(VLOOKUP($C22,'V-LOOKUP'!$C$4:$M$59,8,FALSE)),"0")</f>
        <v>0</v>
      </c>
      <c r="FJ22" s="192" t="str">
        <f>IF(AND($C22&lt;&gt;"",$S22&lt;&gt;""),(VLOOKUP($C22,'V-LOOKUP'!$C$4:$M$59,9,FALSE)),"0")</f>
        <v>0</v>
      </c>
      <c r="FK22" s="192" t="str">
        <f>IF(AND($C22&lt;&gt;"",$S22&lt;&gt;""),(VLOOKUP($C22,'V-LOOKUP'!$C$4:$M$59,10,FALSE)),"0")</f>
        <v>0</v>
      </c>
      <c r="FL22" s="192" t="str">
        <f>IF(AND($C22&lt;&gt;"",$S22&lt;&gt;""),(VLOOKUP($C22,'V-LOOKUP'!$C$4:$M$59,11,FALSE)),"0")</f>
        <v>0</v>
      </c>
      <c r="FM22" s="192" t="str">
        <f>IF(AND($C22&lt;&gt;"",$S22&lt;&gt;""),(VLOOKUP($C22,'V-LOOKUP'!$C$4:$N$59,12,FALSE)),"0")</f>
        <v>0</v>
      </c>
      <c r="FN22" s="192" t="str">
        <f>IF(AND($C22&lt;&gt;"",T22&lt;&gt;""),(VLOOKUP($C22,'V-LOOKUP'!$C$4:$M$59,4,FALSE)),"0")</f>
        <v>0</v>
      </c>
      <c r="FO22" s="192" t="str">
        <f>IF(AND($C22&lt;&gt;"",$T22&lt;&gt;""),(VLOOKUP($C22,'V-LOOKUP'!$C$4:$M$59,5,FALSE)),"0")</f>
        <v>0</v>
      </c>
      <c r="FP22" s="192" t="str">
        <f>IF(AND($C22&lt;&gt;"",$T22&lt;&gt;""),(VLOOKUP($C22,'V-LOOKUP'!$C$4:$M$59,6,FALSE)),"0")</f>
        <v>0</v>
      </c>
      <c r="FQ22" s="192" t="str">
        <f>IF(AND($C22&lt;&gt;"",$T22&lt;&gt;""),(VLOOKUP($C22,'V-LOOKUP'!$C$4:$M$59,7,FALSE)),"0")</f>
        <v>0</v>
      </c>
      <c r="FR22" s="192" t="str">
        <f>IF(AND($C22&lt;&gt;"",$T22&lt;&gt;""),(VLOOKUP($C22,'V-LOOKUP'!$C$4:$M$59,8,FALSE)),"0")</f>
        <v>0</v>
      </c>
      <c r="FS22" s="192" t="str">
        <f>IF(AND($C22&lt;&gt;"",$T22&lt;&gt;""),(VLOOKUP($C22,'V-LOOKUP'!$C$4:$M$59,9,FALSE)),"0")</f>
        <v>0</v>
      </c>
      <c r="FT22" s="192" t="str">
        <f>IF(AND($C22&lt;&gt;"",$T22&lt;&gt;""),(VLOOKUP($C22,'V-LOOKUP'!$C$4:$M$59,10,FALSE)),"0")</f>
        <v>0</v>
      </c>
      <c r="FU22" s="192" t="str">
        <f>IF(AND($C22&lt;&gt;"",$T22&lt;&gt;""),(VLOOKUP($C22,'V-LOOKUP'!$C$4:$M$59,11,FALSE)),"0")</f>
        <v>0</v>
      </c>
      <c r="FV22" s="192" t="str">
        <f>IF(AND($C22&lt;&gt;"",$T22&lt;&gt;""),(VLOOKUP($C22,'V-LOOKUP'!$C$4:$N$59,12,FALSE)),"0")</f>
        <v>0</v>
      </c>
      <c r="FW22" s="192" t="str">
        <f>IF(AND($C22&lt;&gt;"",U22&lt;&gt;""),(VLOOKUP($C22,'V-LOOKUP'!$C$4:$M$59,4,FALSE)),"0")</f>
        <v>0</v>
      </c>
      <c r="FX22" s="192" t="str">
        <f>IF(AND($C22&lt;&gt;"",$U22&lt;&gt;""),(VLOOKUP($C22,'V-LOOKUP'!$C$4:$M$59,5,FALSE)),"0")</f>
        <v>0</v>
      </c>
      <c r="FY22" s="192" t="str">
        <f>IF(AND($C22&lt;&gt;"",$U22&lt;&gt;""),(VLOOKUP($C22,'V-LOOKUP'!$C$4:$M$59,6,FALSE)),"0")</f>
        <v>0</v>
      </c>
      <c r="FZ22" s="192" t="str">
        <f>IF(AND($C22&lt;&gt;"",$U22&lt;&gt;""),(VLOOKUP($C22,'V-LOOKUP'!$C$4:$M$59,7,FALSE)),"0")</f>
        <v>0</v>
      </c>
      <c r="GA22" s="192" t="str">
        <f>IF(AND($C22&lt;&gt;"",$U22&lt;&gt;""),(VLOOKUP($C22,'V-LOOKUP'!$C$4:$M$59,8,FALSE)),"0")</f>
        <v>0</v>
      </c>
      <c r="GB22" s="192" t="str">
        <f>IF(AND($C22&lt;&gt;"",$U22&lt;&gt;""),(VLOOKUP($C22,'V-LOOKUP'!$C$4:$M$59,9,FALSE)),"0")</f>
        <v>0</v>
      </c>
      <c r="GC22" s="192" t="str">
        <f>IF(AND($C22&lt;&gt;"",$U22&lt;&gt;""),(VLOOKUP($C22,'V-LOOKUP'!$C$4:$M$59,10,FALSE)),"0")</f>
        <v>0</v>
      </c>
      <c r="GD22" s="192" t="str">
        <f>IF(AND($C22&lt;&gt;"",$U22&lt;&gt;""),(VLOOKUP($C22,'V-LOOKUP'!$C$4:$M$59,11,FALSE)),"0")</f>
        <v>0</v>
      </c>
      <c r="GE22" s="192" t="str">
        <f>IF(AND($C22&lt;&gt;"",$U22&lt;&gt;""),(VLOOKUP($C22,'V-LOOKUP'!$C$4:$N$59,12,FALSE)),"0")</f>
        <v>0</v>
      </c>
      <c r="GF22" s="192" t="str">
        <f>IF(AND($C22&lt;&gt;"",V22&lt;&gt;""),(VLOOKUP($C22,'V-LOOKUP'!$C$4:$M$59,4,FALSE)),"0")</f>
        <v>0</v>
      </c>
      <c r="GG22" s="192" t="str">
        <f>IF(AND($C22&lt;&gt;"",$V22&lt;&gt;""),(VLOOKUP($C22,'V-LOOKUP'!$C$4:$M$59,5,FALSE)),"0")</f>
        <v>0</v>
      </c>
      <c r="GH22" s="192" t="str">
        <f>IF(AND($C22&lt;&gt;"",$V22&lt;&gt;""),(VLOOKUP($C22,'V-LOOKUP'!$C$4:$M$59,6,FALSE)),"0")</f>
        <v>0</v>
      </c>
      <c r="GI22" s="192" t="str">
        <f>IF(AND($C22&lt;&gt;"",$V22&lt;&gt;""),(VLOOKUP($C22,'V-LOOKUP'!$C$4:$M$59,7,FALSE)),"0")</f>
        <v>0</v>
      </c>
      <c r="GJ22" s="192" t="str">
        <f>IF(AND($C22&lt;&gt;"",$V22&lt;&gt;""),(VLOOKUP($C22,'V-LOOKUP'!$C$4:$M$59,8,FALSE)),"0")</f>
        <v>0</v>
      </c>
      <c r="GK22" s="192" t="str">
        <f>IF(AND($C22&lt;&gt;"",$V22&lt;&gt;""),(VLOOKUP($C22,'V-LOOKUP'!$C$4:$M$59,9,FALSE)),"0")</f>
        <v>0</v>
      </c>
      <c r="GL22" s="192" t="str">
        <f>IF(AND($C22&lt;&gt;"",$V22&lt;&gt;""),(VLOOKUP($C22,'V-LOOKUP'!$C$4:$M$59,10,FALSE)),"0")</f>
        <v>0</v>
      </c>
      <c r="GM22" s="192" t="str">
        <f>IF(AND($C22&lt;&gt;"",$V22&lt;&gt;""),(VLOOKUP($C22,'V-LOOKUP'!$C$4:$M$59,11,FALSE)),"0")</f>
        <v>0</v>
      </c>
      <c r="GN22" s="192" t="str">
        <f>IF(AND($C22&lt;&gt;"",$V22&lt;&gt;""),(VLOOKUP($C22,'V-LOOKUP'!$C$4:$N$59,12,FALSE)),"0")</f>
        <v>0</v>
      </c>
      <c r="GO22" s="192" t="str">
        <f>IF(AND($C22&lt;&gt;"",W22&lt;&gt;""),(VLOOKUP($C22,'V-LOOKUP'!$C$4:$M$59,4,FALSE)),"0")</f>
        <v>0</v>
      </c>
      <c r="GP22" s="192" t="str">
        <f>IF(AND($C22&lt;&gt;"",$W22&lt;&gt;""),(VLOOKUP($C22,'V-LOOKUP'!$C$4:$M$59,5,FALSE)),"0")</f>
        <v>0</v>
      </c>
      <c r="GQ22" s="192" t="str">
        <f>IF(AND($C22&lt;&gt;"",$W22&lt;&gt;""),(VLOOKUP($C22,'V-LOOKUP'!$C$4:$M$59,6,FALSE)),"0")</f>
        <v>0</v>
      </c>
      <c r="GR22" s="192" t="str">
        <f>IF(AND($C22&lt;&gt;"",$W22&lt;&gt;""),(VLOOKUP($C22,'V-LOOKUP'!$C$4:$M$59,7,FALSE)),"0")</f>
        <v>0</v>
      </c>
      <c r="GS22" s="192" t="str">
        <f>IF(AND($C22&lt;&gt;"",$W22&lt;&gt;""),(VLOOKUP($C22,'V-LOOKUP'!$C$4:$M$59,8,FALSE)),"0")</f>
        <v>0</v>
      </c>
      <c r="GT22" s="192" t="str">
        <f>IF(AND($C22&lt;&gt;"",$W22&lt;&gt;""),(VLOOKUP($C22,'V-LOOKUP'!$C$4:$M$59,9,FALSE)),"0")</f>
        <v>0</v>
      </c>
      <c r="GU22" s="192" t="str">
        <f>IF(AND($C22&lt;&gt;"",$W22&lt;&gt;""),(VLOOKUP($C22,'V-LOOKUP'!$C$4:$M$59,10,FALSE)),"0")</f>
        <v>0</v>
      </c>
      <c r="GV22" s="192" t="str">
        <f>IF(AND($C22&lt;&gt;"",$W22&lt;&gt;""),(VLOOKUP($C22,'V-LOOKUP'!$C$4:$M$59,11,FALSE)),"0")</f>
        <v>0</v>
      </c>
      <c r="GW22" s="192" t="str">
        <f>IF(AND($C22&lt;&gt;"",$W22&lt;&gt;""),(VLOOKUP($C22,'V-LOOKUP'!$C$4:$N$59,12,FALSE)),"0")</f>
        <v>0</v>
      </c>
    </row>
    <row r="23" spans="1:205" ht="14.65" hidden="1" customHeight="1">
      <c r="A23" s="193"/>
      <c r="B23" s="245"/>
      <c r="C23" s="201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Y23" s="190"/>
      <c r="Z23" s="192" t="str">
        <f>IF(AND($C23&lt;&gt;"",$D23&lt;&gt;""),(VLOOKUP($C23,'V-LOOKUP'!$C$4:$M$59,4,FALSE)),"0")</f>
        <v>0</v>
      </c>
      <c r="AA23" s="192" t="str">
        <f>IF(AND($C23&lt;&gt;"",$D23&lt;&gt;""),(VLOOKUP($C23,'V-LOOKUP'!$C$4:$M$59,5,FALSE)),"0")</f>
        <v>0</v>
      </c>
      <c r="AB23" s="192" t="str">
        <f>IF(AND($C23&lt;&gt;"",$D23&lt;&gt;""),(VLOOKUP($C23,'V-LOOKUP'!$C$4:$M$59,6,FALSE)),"0")</f>
        <v>0</v>
      </c>
      <c r="AC23" s="192" t="str">
        <f>IF(AND($C23&lt;&gt;"",$D23&lt;&gt;""),(VLOOKUP($C23,'V-LOOKUP'!$C$4:$M$59,7,FALSE)),"0")</f>
        <v>0</v>
      </c>
      <c r="AD23" s="192" t="str">
        <f>IF(AND($C23&lt;&gt;"",$D23&lt;&gt;""),(VLOOKUP($C23,'V-LOOKUP'!$C$4:$M$59,8,FALSE)),"0")</f>
        <v>0</v>
      </c>
      <c r="AE23" s="192" t="str">
        <f>IF(AND($C23&lt;&gt;"",$D23&lt;&gt;""),(VLOOKUP($C23,'V-LOOKUP'!$C$4:$M$59,9,FALSE)),"0")</f>
        <v>0</v>
      </c>
      <c r="AF23" s="192" t="str">
        <f>IF(AND($C23&lt;&gt;"",$D23&lt;&gt;""),(VLOOKUP($C23,'V-LOOKUP'!$C$4:$M$59,10,FALSE)),"0")</f>
        <v>0</v>
      </c>
      <c r="AG23" s="192" t="str">
        <f>IF(AND($C23&lt;&gt;"",$D23&lt;&gt;""),(VLOOKUP($C23,'V-LOOKUP'!$C$4:$M$59,11,FALSE)),"0")</f>
        <v>0</v>
      </c>
      <c r="AH23" s="192" t="str">
        <f>IF(AND($C23&lt;&gt;"",$D23&lt;&gt;""),(VLOOKUP($C23,'V-LOOKUP'!$C$4:$N$59,12,FALSE)),"0")</f>
        <v>0</v>
      </c>
      <c r="AI23" s="192" t="str">
        <f>IF(AND($C23&lt;&gt;"",E23&lt;&gt;""),(VLOOKUP($C23,'V-LOOKUP'!$C$4:$M$59,4,FALSE)),"0")</f>
        <v>0</v>
      </c>
      <c r="AJ23" s="192" t="str">
        <f>IF(AND($C23&lt;&gt;"",$E23&lt;&gt;""),(VLOOKUP($C23,'V-LOOKUP'!$C$4:$M$59,5,FALSE)),"0")</f>
        <v>0</v>
      </c>
      <c r="AK23" s="192" t="str">
        <f>IF(AND($C23&lt;&gt;"",$E23&lt;&gt;""),(VLOOKUP($C23,'V-LOOKUP'!$C$4:$M$59,6,FALSE)),"0")</f>
        <v>0</v>
      </c>
      <c r="AL23" s="192" t="str">
        <f>IF(AND($C23&lt;&gt;"",$E23&lt;&gt;""),(VLOOKUP($C23,'V-LOOKUP'!$C$4:$M$59,7,FALSE)),"0")</f>
        <v>0</v>
      </c>
      <c r="AM23" s="192" t="str">
        <f>IF(AND($C23&lt;&gt;"",$E23&lt;&gt;""),(VLOOKUP($C23,'V-LOOKUP'!$C$4:$M$59,8,FALSE)),"0")</f>
        <v>0</v>
      </c>
      <c r="AN23" s="192" t="str">
        <f>IF(AND($C23&lt;&gt;"",$E23&lt;&gt;""),(VLOOKUP($C23,'V-LOOKUP'!$C$4:$M$59,9,FALSE)),"0")</f>
        <v>0</v>
      </c>
      <c r="AO23" s="192" t="str">
        <f>IF(AND($C23&lt;&gt;"",$E23&lt;&gt;""),(VLOOKUP($C23,'V-LOOKUP'!$C$4:$M$59,10,FALSE)),"0")</f>
        <v>0</v>
      </c>
      <c r="AP23" s="192" t="str">
        <f>IF(AND($C23&lt;&gt;"",$E23&lt;&gt;""),(VLOOKUP($C23,'V-LOOKUP'!$C$4:$M$59,11,FALSE)),"0")</f>
        <v>0</v>
      </c>
      <c r="AQ23" s="192" t="str">
        <f>IF(AND($C23&lt;&gt;"",$E23&lt;&gt;""),(VLOOKUP($C23,'V-LOOKUP'!$C$4:$N$59,12,FALSE)),"0")</f>
        <v>0</v>
      </c>
      <c r="AR23" s="192" t="str">
        <f>IF(AND($C23&lt;&gt;"",$F23&lt;&gt;""),(VLOOKUP($C23,'V-LOOKUP'!$C$4:$M$59,4,FALSE)),"0")</f>
        <v>0</v>
      </c>
      <c r="AS23" s="192" t="str">
        <f>IF(AND($C23&lt;&gt;"",$F23&lt;&gt;""),(VLOOKUP($C23,'V-LOOKUP'!$C$4:$M$59,5,FALSE)),"0")</f>
        <v>0</v>
      </c>
      <c r="AT23" s="192" t="str">
        <f>IF(AND($C23&lt;&gt;"",$F23&lt;&gt;""),(VLOOKUP($C23,'V-LOOKUP'!$C$4:$M$59,6,FALSE)),"0")</f>
        <v>0</v>
      </c>
      <c r="AU23" s="192" t="str">
        <f>IF(AND($C23&lt;&gt;"",$F23&lt;&gt;""),(VLOOKUP($C23,'V-LOOKUP'!$C$4:$M$59,7,FALSE)),"0")</f>
        <v>0</v>
      </c>
      <c r="AV23" s="192" t="str">
        <f>IF(AND($C23&lt;&gt;"",$F23&lt;&gt;""),(VLOOKUP($C23,'V-LOOKUP'!$C$4:$M$59,8,FALSE)),"0")</f>
        <v>0</v>
      </c>
      <c r="AW23" s="192" t="str">
        <f>IF(AND($C23&lt;&gt;"",$F23&lt;&gt;""),(VLOOKUP($C23,'V-LOOKUP'!$C$4:$M$59,9,FALSE)),"0")</f>
        <v>0</v>
      </c>
      <c r="AX23" s="192" t="str">
        <f>IF(AND($C23&lt;&gt;"",$F23&lt;&gt;""),(VLOOKUP($C23,'V-LOOKUP'!$C$4:$M$59,10,FALSE)),"0")</f>
        <v>0</v>
      </c>
      <c r="AY23" s="192" t="str">
        <f>IF(AND($C23&lt;&gt;"",$F23&lt;&gt;""),(VLOOKUP($C23,'V-LOOKUP'!$C$4:$M$59,11,FALSE)),"0")</f>
        <v>0</v>
      </c>
      <c r="AZ23" s="192" t="str">
        <f>IF(AND($C23&lt;&gt;"",$F23&lt;&gt;""),(VLOOKUP($C23,'V-LOOKUP'!$C$4:$N$59,12,FALSE)),"0")</f>
        <v>0</v>
      </c>
      <c r="BA23" s="192" t="str">
        <f>IF(AND($C23&lt;&gt;"",G23&lt;&gt;""),(VLOOKUP($C23,'V-LOOKUP'!$C$4:$M$59,4,FALSE)),"0")</f>
        <v>0</v>
      </c>
      <c r="BB23" s="192" t="str">
        <f>IF(AND($C23&lt;&gt;"",$G23&lt;&gt;""),(VLOOKUP($C23,'V-LOOKUP'!$C$4:$M$59,5,FALSE)),"0")</f>
        <v>0</v>
      </c>
      <c r="BC23" s="192" t="str">
        <f>IF(AND($C23&lt;&gt;"",$G23&lt;&gt;""),(VLOOKUP($C23,'V-LOOKUP'!$C$4:$M$59,6,FALSE)),"0")</f>
        <v>0</v>
      </c>
      <c r="BD23" s="192" t="str">
        <f>IF(AND($C23&lt;&gt;"",$G23&lt;&gt;""),(VLOOKUP($C23,'V-LOOKUP'!$C$4:$M$59,7,FALSE)),"0")</f>
        <v>0</v>
      </c>
      <c r="BE23" s="192" t="str">
        <f>IF(AND($C23&lt;&gt;"",$G23&lt;&gt;""),(VLOOKUP($C23,'V-LOOKUP'!$C$4:$M$59,8,FALSE)),"0")</f>
        <v>0</v>
      </c>
      <c r="BF23" s="192" t="str">
        <f>IF(AND($C23&lt;&gt;"",$G23&lt;&gt;""),(VLOOKUP($C23,'V-LOOKUP'!$C$4:$M$59,9,FALSE)),"0")</f>
        <v>0</v>
      </c>
      <c r="BG23" s="192" t="str">
        <f>IF(AND($C23&lt;&gt;"",$G23&lt;&gt;""),(VLOOKUP($C23,'V-LOOKUP'!$C$4:$M$59,10,FALSE)),"0")</f>
        <v>0</v>
      </c>
      <c r="BH23" s="192" t="str">
        <f>IF(AND($C23&lt;&gt;"",$G23&lt;&gt;""),(VLOOKUP($C23,'V-LOOKUP'!$C$4:$M$59,11,FALSE)),"0")</f>
        <v>0</v>
      </c>
      <c r="BI23" s="192" t="str">
        <f>IF(AND($C23&lt;&gt;"",$G23&lt;&gt;""),(VLOOKUP($C23,'V-LOOKUP'!$C$4:$N$59,12,FALSE)),"0")</f>
        <v>0</v>
      </c>
      <c r="BJ23" s="192" t="str">
        <f>IF(AND($C23&lt;&gt;"",H23&lt;&gt;""),(VLOOKUP($C23,'V-LOOKUP'!$C$4:$M$59,4,FALSE)),"0")</f>
        <v>0</v>
      </c>
      <c r="BK23" s="192" t="str">
        <f>IF(AND($C23&lt;&gt;"",$G23&lt;&gt;""),(VLOOKUP($C23,'V-LOOKUP'!$C$4:$M$59,5,FALSE)),"0")</f>
        <v>0</v>
      </c>
      <c r="BL23" s="192" t="str">
        <f>IF(AND($C23&lt;&gt;"",$H23&lt;&gt;""),(VLOOKUP($C23,'V-LOOKUP'!$C$4:$M$59,6,FALSE)),"0")</f>
        <v>0</v>
      </c>
      <c r="BM23" s="192" t="str">
        <f>IF(AND($C23&lt;&gt;"",$H23&lt;&gt;""),(VLOOKUP($C23,'V-LOOKUP'!$C$4:$M$59,7,FALSE)),"0")</f>
        <v>0</v>
      </c>
      <c r="BN23" s="192" t="str">
        <f>IF(AND($C23&lt;&gt;"",$H23&lt;&gt;""),(VLOOKUP($C23,'V-LOOKUP'!$C$4:$M$59,8,FALSE)),"0")</f>
        <v>0</v>
      </c>
      <c r="BO23" s="192" t="str">
        <f>IF(AND($C23&lt;&gt;"",$H23&lt;&gt;""),(VLOOKUP($C23,'V-LOOKUP'!$C$4:$M$59,9,FALSE)),"0")</f>
        <v>0</v>
      </c>
      <c r="BP23" s="192" t="str">
        <f>IF(AND($C23&lt;&gt;"",$H23&lt;&gt;""),(VLOOKUP($C23,'V-LOOKUP'!$C$4:$M$59,10,FALSE)),"0")</f>
        <v>0</v>
      </c>
      <c r="BQ23" s="192" t="str">
        <f>IF(AND($C23&lt;&gt;"",$H23&lt;&gt;""),(VLOOKUP($C23,'V-LOOKUP'!$C$4:$M$59,11,FALSE)),"0")</f>
        <v>0</v>
      </c>
      <c r="BR23" s="192" t="str">
        <f>IF(AND($C23&lt;&gt;"",$H23&lt;&gt;""),(VLOOKUP($C23,'V-LOOKUP'!$C$4:$N$59,12,FALSE)),"0")</f>
        <v>0</v>
      </c>
      <c r="BS23" s="192" t="str">
        <f>IF(AND($C23&lt;&gt;"",I23&lt;&gt;""),(VLOOKUP($C23,'V-LOOKUP'!$C$4:$M$59,4,FALSE)),"0")</f>
        <v>0</v>
      </c>
      <c r="BT23" s="192" t="str">
        <f>IF(AND($C23&lt;&gt;"",$I23&lt;&gt;""),(VLOOKUP($C23,'V-LOOKUP'!$C$4:$M$59,5,FALSE)),"0")</f>
        <v>0</v>
      </c>
      <c r="BU23" s="192" t="str">
        <f>IF(AND($C23&lt;&gt;"",$I23&lt;&gt;""),(VLOOKUP($C23,'V-LOOKUP'!$C$4:$M$59,6,FALSE)),"0")</f>
        <v>0</v>
      </c>
      <c r="BV23" s="192" t="str">
        <f>IF(AND($C23&lt;&gt;"",$I23&lt;&gt;""),(VLOOKUP($C23,'V-LOOKUP'!$C$4:$M$59,7,FALSE)),"0")</f>
        <v>0</v>
      </c>
      <c r="BW23" s="192" t="str">
        <f>IF(AND($C23&lt;&gt;"",$I23&lt;&gt;""),(VLOOKUP($C23,'V-LOOKUP'!$C$4:$M$59,8,FALSE)),"0")</f>
        <v>0</v>
      </c>
      <c r="BX23" s="192" t="str">
        <f>IF(AND($C23&lt;&gt;"",$I23&lt;&gt;""),(VLOOKUP($C23,'V-LOOKUP'!$C$4:$M$59,9,FALSE)),"0")</f>
        <v>0</v>
      </c>
      <c r="BY23" s="192" t="str">
        <f>IF(AND($C23&lt;&gt;"",$I23&lt;&gt;""),(VLOOKUP($C23,'V-LOOKUP'!$C$4:$M$59,10,FALSE)),"0")</f>
        <v>0</v>
      </c>
      <c r="BZ23" s="192" t="str">
        <f>IF(AND($C23&lt;&gt;"",$I23&lt;&gt;""),(VLOOKUP($C23,'V-LOOKUP'!$C$4:$M$59,11,FALSE)),"0")</f>
        <v>0</v>
      </c>
      <c r="CA23" s="192" t="str">
        <f>IF(AND($C23&lt;&gt;"",$I23&lt;&gt;""),(VLOOKUP($C23,'V-LOOKUP'!$C$4:$N$59,12,FALSE)),"0")</f>
        <v>0</v>
      </c>
      <c r="CB23" s="192" t="str">
        <f>IF(AND($C23&lt;&gt;"",J23&lt;&gt;""),(VLOOKUP($C23,'V-LOOKUP'!$C$4:$M$59,4,FALSE)),"0")</f>
        <v>0</v>
      </c>
      <c r="CC23" s="192" t="str">
        <f>IF(AND($C23&lt;&gt;"",$J23&lt;&gt;""),(VLOOKUP($C23,'V-LOOKUP'!$C$4:$M$59,5,FALSE)),"0")</f>
        <v>0</v>
      </c>
      <c r="CD23" s="192" t="str">
        <f>IF(AND($C23&lt;&gt;"",$J23&lt;&gt;""),(VLOOKUP($C23,'V-LOOKUP'!$C$4:$M$59,6,FALSE)),"0")</f>
        <v>0</v>
      </c>
      <c r="CE23" s="192" t="str">
        <f>IF(AND($C23&lt;&gt;"",$J23&lt;&gt;""),(VLOOKUP($C23,'V-LOOKUP'!$C$4:$M$59,7,FALSE)),"0")</f>
        <v>0</v>
      </c>
      <c r="CF23" s="192" t="str">
        <f>IF(AND($C23&lt;&gt;"",$J23&lt;&gt;""),(VLOOKUP($C23,'V-LOOKUP'!$C$4:$M$59,8,FALSE)),"0")</f>
        <v>0</v>
      </c>
      <c r="CG23" s="192" t="str">
        <f>IF(AND($C23&lt;&gt;"",$J23&lt;&gt;""),(VLOOKUP($C23,'V-LOOKUP'!$C$4:$M$59,9,FALSE)),"0")</f>
        <v>0</v>
      </c>
      <c r="CH23" s="192" t="str">
        <f>IF(AND($C23&lt;&gt;"",$J23&lt;&gt;""),(VLOOKUP($C23,'V-LOOKUP'!$C$4:$M$59,10,FALSE)),"0")</f>
        <v>0</v>
      </c>
      <c r="CI23" s="192" t="str">
        <f>IF(AND($C23&lt;&gt;"",$J23&lt;&gt;""),(VLOOKUP($C23,'V-LOOKUP'!$C$4:$M$59,11,FALSE)),"0")</f>
        <v>0</v>
      </c>
      <c r="CJ23" s="192" t="str">
        <f>IF(AND($C23&lt;&gt;"",$J23&lt;&gt;""),(VLOOKUP($C23,'V-LOOKUP'!$C$4:$N$59,12,FALSE)),"0")</f>
        <v>0</v>
      </c>
      <c r="CK23" s="192" t="str">
        <f>IF(AND($C23&lt;&gt;"",K23&lt;&gt;""),(VLOOKUP($C23,'V-LOOKUP'!$C$4:$M$59,4,FALSE)),"0")</f>
        <v>0</v>
      </c>
      <c r="CL23" s="192" t="str">
        <f>IF(AND($C23&lt;&gt;"",$K23&lt;&gt;""),(VLOOKUP($C23,'V-LOOKUP'!$C$4:$M$59,5,FALSE)),"0")</f>
        <v>0</v>
      </c>
      <c r="CM23" s="192" t="str">
        <f>IF(AND($C23&lt;&gt;"",$K23&lt;&gt;""),(VLOOKUP($C23,'V-LOOKUP'!$C$4:$M$59,6,FALSE)),"0")</f>
        <v>0</v>
      </c>
      <c r="CN23" s="192" t="str">
        <f>IF(AND($C23&lt;&gt;"",$K23&lt;&gt;""),(VLOOKUP($C23,'V-LOOKUP'!$C$4:$M$59,7,FALSE)),"0")</f>
        <v>0</v>
      </c>
      <c r="CO23" s="192" t="str">
        <f>IF(AND($C23&lt;&gt;"",$K23&lt;&gt;""),(VLOOKUP($C23,'V-LOOKUP'!$C$4:$M$59,8,FALSE)),"0")</f>
        <v>0</v>
      </c>
      <c r="CP23" s="192" t="str">
        <f>IF(AND($C23&lt;&gt;"",$K23&lt;&gt;""),(VLOOKUP($C23,'V-LOOKUP'!$C$4:$M$59,9,FALSE)),"0")</f>
        <v>0</v>
      </c>
      <c r="CQ23" s="192" t="str">
        <f>IF(AND($C23&lt;&gt;"",$K23&lt;&gt;""),(VLOOKUP($C23,'V-LOOKUP'!$C$4:$M$59,10,FALSE)),"0")</f>
        <v>0</v>
      </c>
      <c r="CR23" s="192" t="str">
        <f>IF(AND($C23&lt;&gt;"",$K23&lt;&gt;""),(VLOOKUP($C23,'V-LOOKUP'!$C$4:$M$59,11,FALSE)),"0")</f>
        <v>0</v>
      </c>
      <c r="CS23" s="192" t="str">
        <f>IF(AND($C23&lt;&gt;"",$K23&lt;&gt;""),(VLOOKUP($C23,'V-LOOKUP'!$C$4:$N$59,12,FALSE)),"0")</f>
        <v>0</v>
      </c>
      <c r="CT23" s="192" t="str">
        <f>IF(AND($C23&lt;&gt;"",L23&lt;&gt;""),(VLOOKUP($C23,'V-LOOKUP'!$C$4:$M$59,4,FALSE)),"0")</f>
        <v>0</v>
      </c>
      <c r="CU23" s="192" t="str">
        <f>IF(AND($C23&lt;&gt;"",$L23&lt;&gt;""),(VLOOKUP($C23,'V-LOOKUP'!$C$4:$M$59,5,FALSE)),"0")</f>
        <v>0</v>
      </c>
      <c r="CV23" s="192" t="str">
        <f>IF(AND($C23&lt;&gt;"",$L23&lt;&gt;""),(VLOOKUP($C23,'V-LOOKUP'!$C$4:$M$59,6,FALSE)),"0")</f>
        <v>0</v>
      </c>
      <c r="CW23" s="192" t="str">
        <f>IF(AND($C23&lt;&gt;"",$L23&lt;&gt;""),(VLOOKUP($C23,'V-LOOKUP'!$C$4:$M$59,7,FALSE)),"0")</f>
        <v>0</v>
      </c>
      <c r="CX23" s="192" t="str">
        <f>IF(AND($C23&lt;&gt;"",$L23&lt;&gt;""),(VLOOKUP($C23,'V-LOOKUP'!$C$4:$M$59,8,FALSE)),"0")</f>
        <v>0</v>
      </c>
      <c r="CY23" s="192" t="str">
        <f>IF(AND($C23&lt;&gt;"",$L23&lt;&gt;""),(VLOOKUP($C23,'V-LOOKUP'!$C$4:$M$59,9,FALSE)),"0")</f>
        <v>0</v>
      </c>
      <c r="CZ23" s="192" t="str">
        <f>IF(AND($C23&lt;&gt;"",$L23&lt;&gt;""),(VLOOKUP($C23,'V-LOOKUP'!$C$4:$M$59,10,FALSE)),"0")</f>
        <v>0</v>
      </c>
      <c r="DA23" s="192" t="str">
        <f>IF(AND($C23&lt;&gt;"",$L23&lt;&gt;""),(VLOOKUP($C23,'V-LOOKUP'!$C$4:$M$59,11,FALSE)),"0")</f>
        <v>0</v>
      </c>
      <c r="DB23" s="192" t="str">
        <f>IF(AND($C23&lt;&gt;"",$L23&lt;&gt;""),(VLOOKUP($C23,'V-LOOKUP'!$C$4:$N$59,12,FALSE)),"0")</f>
        <v>0</v>
      </c>
      <c r="DC23" s="192" t="str">
        <f>IF(AND($C23&lt;&gt;"",M23&lt;&gt;""),(VLOOKUP($C23,'V-LOOKUP'!$C$4:$M$59,4,FALSE)),"0")</f>
        <v>0</v>
      </c>
      <c r="DD23" s="192" t="str">
        <f>IF(AND($C23&lt;&gt;"",$M23&lt;&gt;""),(VLOOKUP($C23,'V-LOOKUP'!$C$4:$M$59,5,FALSE)),"0")</f>
        <v>0</v>
      </c>
      <c r="DE23" s="192" t="str">
        <f>IF(AND($C23&lt;&gt;"",$M23&lt;&gt;""),(VLOOKUP($C23,'V-LOOKUP'!$C$4:$M$59,6,FALSE)),"0")</f>
        <v>0</v>
      </c>
      <c r="DF23" s="192" t="str">
        <f>IF(AND($C23&lt;&gt;"",$M23&lt;&gt;""),(VLOOKUP($C23,'V-LOOKUP'!$C$4:$M$59,7,FALSE)),"0")</f>
        <v>0</v>
      </c>
      <c r="DG23" s="192" t="str">
        <f>IF(AND($C23&lt;&gt;"",$M23&lt;&gt;""),(VLOOKUP($C23,'V-LOOKUP'!$C$4:$M$59,8,FALSE)),"0")</f>
        <v>0</v>
      </c>
      <c r="DH23" s="192" t="str">
        <f>IF(AND($C23&lt;&gt;"",$M23&lt;&gt;""),(VLOOKUP($C23,'V-LOOKUP'!$C$4:$M$59,9,FALSE)),"0")</f>
        <v>0</v>
      </c>
      <c r="DI23" s="192" t="str">
        <f>IF(AND($C23&lt;&gt;"",$M23&lt;&gt;""),(VLOOKUP($C23,'V-LOOKUP'!$C$4:$M$59,10,FALSE)),"0")</f>
        <v>0</v>
      </c>
      <c r="DJ23" s="192" t="str">
        <f>IF(AND($C23&lt;&gt;"",$M23&lt;&gt;""),(VLOOKUP($C23,'V-LOOKUP'!$C$4:$M$59,11,FALSE)),"0")</f>
        <v>0</v>
      </c>
      <c r="DK23" s="192" t="str">
        <f>IF(AND($C23&lt;&gt;"",$M23&lt;&gt;""),(VLOOKUP($C23,'V-LOOKUP'!$C$4:$N$59,12,FALSE)),"0")</f>
        <v>0</v>
      </c>
      <c r="DL23" s="192" t="str">
        <f>IF(AND($C23&lt;&gt;"",$N23&lt;&gt;""),(VLOOKUP($C23,'V-LOOKUP'!$C$4:$M$59,4,FALSE)),"0")</f>
        <v>0</v>
      </c>
      <c r="DM23" s="192" t="str">
        <f>IF(AND($C23&lt;&gt;"",$N23&lt;&gt;""),(VLOOKUP($C23,'V-LOOKUP'!$C$4:$M$59,5,FALSE)),"0")</f>
        <v>0</v>
      </c>
      <c r="DN23" s="192" t="str">
        <f>IF(AND($C23&lt;&gt;"",$N23&lt;&gt;""),(VLOOKUP($C23,'V-LOOKUP'!$C$4:$M$59,6,FALSE)),"0")</f>
        <v>0</v>
      </c>
      <c r="DO23" s="192" t="str">
        <f>IF(AND($C23&lt;&gt;"",$N23&lt;&gt;""),(VLOOKUP($C23,'V-LOOKUP'!$C$4:$M$59,7,FALSE)),"0")</f>
        <v>0</v>
      </c>
      <c r="DP23" s="192" t="str">
        <f>IF(AND($C23&lt;&gt;"",$N23&lt;&gt;""),(VLOOKUP($C23,'V-LOOKUP'!$C$4:$M$59,8,FALSE)),"0")</f>
        <v>0</v>
      </c>
      <c r="DQ23" s="192" t="str">
        <f>IF(AND($C23&lt;&gt;"",$N23&lt;&gt;""),(VLOOKUP($C23,'V-LOOKUP'!$C$4:$M$59,9,FALSE)),"0")</f>
        <v>0</v>
      </c>
      <c r="DR23" s="192" t="str">
        <f>IF(AND($C23&lt;&gt;"",$N23&lt;&gt;""),(VLOOKUP($C23,'V-LOOKUP'!$C$4:$M$59,10,FALSE)),"0")</f>
        <v>0</v>
      </c>
      <c r="DS23" s="192" t="str">
        <f>IF(AND($C23&lt;&gt;"",$N23&lt;&gt;""),(VLOOKUP($C23,'V-LOOKUP'!$C$4:$M$59,11,FALSE)),"0")</f>
        <v>0</v>
      </c>
      <c r="DT23" s="192" t="str">
        <f>IF(AND($C23&lt;&gt;"",$N23&lt;&gt;""),(VLOOKUP($C23,'V-LOOKUP'!$C$4:$N$59,12,FALSE)),"0")</f>
        <v>0</v>
      </c>
      <c r="DU23" s="192" t="str">
        <f>IF(AND($C23&lt;&gt;"",O23&lt;&gt;""),(VLOOKUP($C23,'V-LOOKUP'!$C$4:$M$59,4,FALSE)),"0")</f>
        <v>0</v>
      </c>
      <c r="DV23" s="192" t="str">
        <f>IF(AND($C23&lt;&gt;"",$O23&lt;&gt;""),(VLOOKUP($C23,'V-LOOKUP'!$C$4:$M$59,5,FALSE)),"0")</f>
        <v>0</v>
      </c>
      <c r="DW23" s="192" t="str">
        <f>IF(AND($C23&lt;&gt;"",$O23&lt;&gt;""),(VLOOKUP($C23,'V-LOOKUP'!$C$4:$M$59,6,FALSE)),"0")</f>
        <v>0</v>
      </c>
      <c r="DX23" s="192" t="str">
        <f>IF(AND($C23&lt;&gt;"",$O23&lt;&gt;""),(VLOOKUP($C23,'V-LOOKUP'!$C$4:$M$59,7,FALSE)),"0")</f>
        <v>0</v>
      </c>
      <c r="DY23" s="192" t="str">
        <f>IF(AND($C23&lt;&gt;"",$O23&lt;&gt;""),(VLOOKUP($C23,'V-LOOKUP'!$C$4:$M$59,8,FALSE)),"0")</f>
        <v>0</v>
      </c>
      <c r="DZ23" s="192" t="str">
        <f>IF(AND($C23&lt;&gt;"",$O23&lt;&gt;""),(VLOOKUP($C23,'V-LOOKUP'!$C$4:$M$59,9,FALSE)),"0")</f>
        <v>0</v>
      </c>
      <c r="EA23" s="192" t="str">
        <f>IF(AND($C23&lt;&gt;"",$O23&lt;&gt;""),(VLOOKUP($C23,'V-LOOKUP'!$C$4:$M$59,10,FALSE)),"0")</f>
        <v>0</v>
      </c>
      <c r="EB23" s="192" t="str">
        <f>IF(AND($C23&lt;&gt;"",$O23&lt;&gt;""),(VLOOKUP($C23,'V-LOOKUP'!$C$4:$M$59,11,FALSE)),"0")</f>
        <v>0</v>
      </c>
      <c r="EC23" s="192" t="str">
        <f>IF(AND($C23&lt;&gt;"",$O23&lt;&gt;""),(VLOOKUP($C23,'V-LOOKUP'!$C$4:$N$59,12,FALSE)),"0")</f>
        <v>0</v>
      </c>
      <c r="ED23" s="192" t="str">
        <f>IF(AND($C23&lt;&gt;"",P23&lt;&gt;""),(VLOOKUP($C23,'V-LOOKUP'!$C$4:$M$59,4,FALSE)),"0")</f>
        <v>0</v>
      </c>
      <c r="EE23" s="192" t="str">
        <f>IF(AND($C23&lt;&gt;"",$P23&lt;&gt;""),(VLOOKUP($C23,'V-LOOKUP'!$C$4:$M$59,5,FALSE)),"0")</f>
        <v>0</v>
      </c>
      <c r="EF23" s="192" t="str">
        <f>IF(AND($C23&lt;&gt;"",$P23&lt;&gt;""),(VLOOKUP($C23,'V-LOOKUP'!$C$4:$M$59,6,FALSE)),"0")</f>
        <v>0</v>
      </c>
      <c r="EG23" s="192" t="str">
        <f>IF(AND($C23&lt;&gt;"",$P23&lt;&gt;""),(VLOOKUP($C23,'V-LOOKUP'!$C$4:$M$59,7,FALSE)),"0")</f>
        <v>0</v>
      </c>
      <c r="EH23" s="192" t="str">
        <f>IF(AND($C23&lt;&gt;"",$P23&lt;&gt;""),(VLOOKUP($C23,'V-LOOKUP'!$C$4:$M$59,8,FALSE)),"0")</f>
        <v>0</v>
      </c>
      <c r="EI23" s="192" t="str">
        <f>IF(AND($C23&lt;&gt;"",$P23&lt;&gt;""),(VLOOKUP($C23,'V-LOOKUP'!$C$4:$M$59,9,FALSE)),"0")</f>
        <v>0</v>
      </c>
      <c r="EJ23" s="192" t="str">
        <f>IF(AND($C23&lt;&gt;"",$P23&lt;&gt;""),(VLOOKUP($C23,'V-LOOKUP'!$C$4:$M$59,10,FALSE)),"0")</f>
        <v>0</v>
      </c>
      <c r="EK23" s="192" t="str">
        <f>IF(AND($C23&lt;&gt;"",$P23&lt;&gt;""),(VLOOKUP($C23,'V-LOOKUP'!$C$4:$M$59,11,FALSE)),"0")</f>
        <v>0</v>
      </c>
      <c r="EL23" s="192" t="str">
        <f>IF(AND($C23&lt;&gt;"",$P23&lt;&gt;""),(VLOOKUP($C23,'V-LOOKUP'!$C$4:$N$59,12,FALSE)),"0")</f>
        <v>0</v>
      </c>
      <c r="EM23" s="192" t="str">
        <f>IF(AND($C23&lt;&gt;"",Q23&lt;&gt;""),(VLOOKUP($C23,'V-LOOKUP'!$C$4:$M$59,4,FALSE)),"0")</f>
        <v>0</v>
      </c>
      <c r="EN23" s="192" t="str">
        <f>IF(AND($C23&lt;&gt;"",$Q23&lt;&gt;""),(VLOOKUP($C23,'V-LOOKUP'!$C$4:$M$59,5,FALSE)),"0")</f>
        <v>0</v>
      </c>
      <c r="EO23" s="192" t="str">
        <f>IF(AND($C23&lt;&gt;"",$Q23&lt;&gt;""),(VLOOKUP($C23,'V-LOOKUP'!$C$4:$M$59,6,FALSE)),"0")</f>
        <v>0</v>
      </c>
      <c r="EP23" s="192" t="str">
        <f>IF(AND($C23&lt;&gt;"",$Q23&lt;&gt;""),(VLOOKUP($C23,'V-LOOKUP'!$C$4:$M$59,7,FALSE)),"0")</f>
        <v>0</v>
      </c>
      <c r="EQ23" s="192" t="str">
        <f>IF(AND($C23&lt;&gt;"",$Q23&lt;&gt;""),(VLOOKUP($C23,'V-LOOKUP'!$C$4:$M$59,8,FALSE)),"0")</f>
        <v>0</v>
      </c>
      <c r="ER23" s="192" t="str">
        <f>IF(AND($C23&lt;&gt;"",$Q23&lt;&gt;""),(VLOOKUP($C23,'V-LOOKUP'!$C$4:$M$59,9,FALSE)),"0")</f>
        <v>0</v>
      </c>
      <c r="ES23" s="192" t="str">
        <f>IF(AND($C23&lt;&gt;"",$Q23&lt;&gt;""),(VLOOKUP($C23,'V-LOOKUP'!$C$4:$M$59,10,FALSE)),"0")</f>
        <v>0</v>
      </c>
      <c r="ET23" s="192" t="str">
        <f>IF(AND($C23&lt;&gt;"",$Q23&lt;&gt;""),(VLOOKUP($C23,'V-LOOKUP'!$C$4:$M$59,11,FALSE)),"0")</f>
        <v>0</v>
      </c>
      <c r="EU23" s="192" t="str">
        <f>IF(AND($C23&lt;&gt;"",$Q23&lt;&gt;""),(VLOOKUP($C23,'V-LOOKUP'!$C$4:$N$59,12,FALSE)),"0")</f>
        <v>0</v>
      </c>
      <c r="EV23" s="192" t="str">
        <f>IF(AND($C23&lt;&gt;"",R23&lt;&gt;""),(VLOOKUP($C23,'V-LOOKUP'!$C$4:$M$59,4,FALSE)),"0")</f>
        <v>0</v>
      </c>
      <c r="EW23" s="192" t="str">
        <f>IF(AND($C23&lt;&gt;"",$R23&lt;&gt;""),(VLOOKUP($C23,'V-LOOKUP'!$C$4:$M$59,5,FALSE)),"0")</f>
        <v>0</v>
      </c>
      <c r="EX23" s="192" t="str">
        <f>IF(AND($C23&lt;&gt;"",$R23&lt;&gt;""),(VLOOKUP($C23,'V-LOOKUP'!$C$4:$M$59,6,FALSE)),"0")</f>
        <v>0</v>
      </c>
      <c r="EY23" s="192" t="str">
        <f>IF(AND($C23&lt;&gt;"",$R23&lt;&gt;""),(VLOOKUP($C23,'V-LOOKUP'!$C$4:$M$59,7,FALSE)),"0")</f>
        <v>0</v>
      </c>
      <c r="EZ23" s="192" t="str">
        <f>IF(AND($C23&lt;&gt;"",$R23&lt;&gt;""),(VLOOKUP($C23,'V-LOOKUP'!$C$4:$M$59,8,FALSE)),"0")</f>
        <v>0</v>
      </c>
      <c r="FA23" s="192" t="str">
        <f>IF(AND($C23&lt;&gt;"",$R23&lt;&gt;""),(VLOOKUP($C23,'V-LOOKUP'!$C$4:$M$59,9,FALSE)),"0")</f>
        <v>0</v>
      </c>
      <c r="FB23" s="192" t="str">
        <f>IF(AND($C23&lt;&gt;"",$R23&lt;&gt;""),(VLOOKUP($C23,'V-LOOKUP'!$C$4:$M$59,10,FALSE)),"0")</f>
        <v>0</v>
      </c>
      <c r="FC23" s="192" t="str">
        <f>IF(AND($C23&lt;&gt;"",$R23&lt;&gt;""),(VLOOKUP($C23,'V-LOOKUP'!$C$4:$M$59,11,FALSE)),"0")</f>
        <v>0</v>
      </c>
      <c r="FD23" s="192" t="str">
        <f>IF(AND($C23&lt;&gt;"",$R23&lt;&gt;""),(VLOOKUP($C23,'V-LOOKUP'!$C$4:$N$59,12,FALSE)),"0")</f>
        <v>0</v>
      </c>
      <c r="FE23" s="192" t="str">
        <f>IF(AND($C23&lt;&gt;"",S23&lt;&gt;""),(VLOOKUP($C23,'V-LOOKUP'!$C$4:$M$59,4,FALSE)),"0")</f>
        <v>0</v>
      </c>
      <c r="FF23" s="192" t="str">
        <f>IF(AND($C23&lt;&gt;"",$S23&lt;&gt;""),(VLOOKUP($C23,'V-LOOKUP'!$C$4:$M$59,5,FALSE)),"0")</f>
        <v>0</v>
      </c>
      <c r="FG23" s="192" t="str">
        <f>IF(AND($C23&lt;&gt;"",$S23&lt;&gt;""),(VLOOKUP($C23,'V-LOOKUP'!$C$4:$M$59,6,FALSE)),"0")</f>
        <v>0</v>
      </c>
      <c r="FH23" s="192" t="str">
        <f>IF(AND($C23&lt;&gt;"",$S23&lt;&gt;""),(VLOOKUP($C23,'V-LOOKUP'!$C$4:$M$59,7,FALSE)),"0")</f>
        <v>0</v>
      </c>
      <c r="FI23" s="192" t="str">
        <f>IF(AND($C23&lt;&gt;"",$S23&lt;&gt;""),(VLOOKUP($C23,'V-LOOKUP'!$C$4:$M$59,8,FALSE)),"0")</f>
        <v>0</v>
      </c>
      <c r="FJ23" s="192" t="str">
        <f>IF(AND($C23&lt;&gt;"",$S23&lt;&gt;""),(VLOOKUP($C23,'V-LOOKUP'!$C$4:$M$59,9,FALSE)),"0")</f>
        <v>0</v>
      </c>
      <c r="FK23" s="192" t="str">
        <f>IF(AND($C23&lt;&gt;"",$S23&lt;&gt;""),(VLOOKUP($C23,'V-LOOKUP'!$C$4:$M$59,10,FALSE)),"0")</f>
        <v>0</v>
      </c>
      <c r="FL23" s="192" t="str">
        <f>IF(AND($C23&lt;&gt;"",$S23&lt;&gt;""),(VLOOKUP($C23,'V-LOOKUP'!$C$4:$M$59,11,FALSE)),"0")</f>
        <v>0</v>
      </c>
      <c r="FM23" s="192" t="str">
        <f>IF(AND($C23&lt;&gt;"",$S23&lt;&gt;""),(VLOOKUP($C23,'V-LOOKUP'!$C$4:$N$59,12,FALSE)),"0")</f>
        <v>0</v>
      </c>
      <c r="FN23" s="192" t="str">
        <f>IF(AND($C23&lt;&gt;"",T23&lt;&gt;""),(VLOOKUP($C23,'V-LOOKUP'!$C$4:$M$59,4,FALSE)),"0")</f>
        <v>0</v>
      </c>
      <c r="FO23" s="192" t="str">
        <f>IF(AND($C23&lt;&gt;"",$T23&lt;&gt;""),(VLOOKUP($C23,'V-LOOKUP'!$C$4:$M$59,5,FALSE)),"0")</f>
        <v>0</v>
      </c>
      <c r="FP23" s="192" t="str">
        <f>IF(AND($C23&lt;&gt;"",$T23&lt;&gt;""),(VLOOKUP($C23,'V-LOOKUP'!$C$4:$M$59,6,FALSE)),"0")</f>
        <v>0</v>
      </c>
      <c r="FQ23" s="192" t="str">
        <f>IF(AND($C23&lt;&gt;"",$T23&lt;&gt;""),(VLOOKUP($C23,'V-LOOKUP'!$C$4:$M$59,7,FALSE)),"0")</f>
        <v>0</v>
      </c>
      <c r="FR23" s="192" t="str">
        <f>IF(AND($C23&lt;&gt;"",$T23&lt;&gt;""),(VLOOKUP($C23,'V-LOOKUP'!$C$4:$M$59,8,FALSE)),"0")</f>
        <v>0</v>
      </c>
      <c r="FS23" s="192" t="str">
        <f>IF(AND($C23&lt;&gt;"",$T23&lt;&gt;""),(VLOOKUP($C23,'V-LOOKUP'!$C$4:$M$59,9,FALSE)),"0")</f>
        <v>0</v>
      </c>
      <c r="FT23" s="192" t="str">
        <f>IF(AND($C23&lt;&gt;"",$T23&lt;&gt;""),(VLOOKUP($C23,'V-LOOKUP'!$C$4:$M$59,10,FALSE)),"0")</f>
        <v>0</v>
      </c>
      <c r="FU23" s="192" t="str">
        <f>IF(AND($C23&lt;&gt;"",$T23&lt;&gt;""),(VLOOKUP($C23,'V-LOOKUP'!$C$4:$M$59,11,FALSE)),"0")</f>
        <v>0</v>
      </c>
      <c r="FV23" s="192" t="str">
        <f>IF(AND($C23&lt;&gt;"",$T23&lt;&gt;""),(VLOOKUP($C23,'V-LOOKUP'!$C$4:$N$59,12,FALSE)),"0")</f>
        <v>0</v>
      </c>
      <c r="FW23" s="192" t="str">
        <f>IF(AND($C23&lt;&gt;"",U23&lt;&gt;""),(VLOOKUP($C23,'V-LOOKUP'!$C$4:$M$59,4,FALSE)),"0")</f>
        <v>0</v>
      </c>
      <c r="FX23" s="192" t="str">
        <f>IF(AND($C23&lt;&gt;"",$U23&lt;&gt;""),(VLOOKUP($C23,'V-LOOKUP'!$C$4:$M$59,5,FALSE)),"0")</f>
        <v>0</v>
      </c>
      <c r="FY23" s="192" t="str">
        <f>IF(AND($C23&lt;&gt;"",$U23&lt;&gt;""),(VLOOKUP($C23,'V-LOOKUP'!$C$4:$M$59,6,FALSE)),"0")</f>
        <v>0</v>
      </c>
      <c r="FZ23" s="192" t="str">
        <f>IF(AND($C23&lt;&gt;"",$U23&lt;&gt;""),(VLOOKUP($C23,'V-LOOKUP'!$C$4:$M$59,7,FALSE)),"0")</f>
        <v>0</v>
      </c>
      <c r="GA23" s="192" t="str">
        <f>IF(AND($C23&lt;&gt;"",$U23&lt;&gt;""),(VLOOKUP($C23,'V-LOOKUP'!$C$4:$M$59,8,FALSE)),"0")</f>
        <v>0</v>
      </c>
      <c r="GB23" s="192" t="str">
        <f>IF(AND($C23&lt;&gt;"",$U23&lt;&gt;""),(VLOOKUP($C23,'V-LOOKUP'!$C$4:$M$59,9,FALSE)),"0")</f>
        <v>0</v>
      </c>
      <c r="GC23" s="192" t="str">
        <f>IF(AND($C23&lt;&gt;"",$U23&lt;&gt;""),(VLOOKUP($C23,'V-LOOKUP'!$C$4:$M$59,10,FALSE)),"0")</f>
        <v>0</v>
      </c>
      <c r="GD23" s="192" t="str">
        <f>IF(AND($C23&lt;&gt;"",$U23&lt;&gt;""),(VLOOKUP($C23,'V-LOOKUP'!$C$4:$M$59,11,FALSE)),"0")</f>
        <v>0</v>
      </c>
      <c r="GE23" s="192" t="str">
        <f>IF(AND($C23&lt;&gt;"",$U23&lt;&gt;""),(VLOOKUP($C23,'V-LOOKUP'!$C$4:$N$59,12,FALSE)),"0")</f>
        <v>0</v>
      </c>
      <c r="GF23" s="192" t="str">
        <f>IF(AND($C23&lt;&gt;"",V23&lt;&gt;""),(VLOOKUP($C23,'V-LOOKUP'!$C$4:$M$59,4,FALSE)),"0")</f>
        <v>0</v>
      </c>
      <c r="GG23" s="192" t="str">
        <f>IF(AND($C23&lt;&gt;"",$V23&lt;&gt;""),(VLOOKUP($C23,'V-LOOKUP'!$C$4:$M$59,5,FALSE)),"0")</f>
        <v>0</v>
      </c>
      <c r="GH23" s="192" t="str">
        <f>IF(AND($C23&lt;&gt;"",$V23&lt;&gt;""),(VLOOKUP($C23,'V-LOOKUP'!$C$4:$M$59,6,FALSE)),"0")</f>
        <v>0</v>
      </c>
      <c r="GI23" s="192" t="str">
        <f>IF(AND($C23&lt;&gt;"",$V23&lt;&gt;""),(VLOOKUP($C23,'V-LOOKUP'!$C$4:$M$59,7,FALSE)),"0")</f>
        <v>0</v>
      </c>
      <c r="GJ23" s="192" t="str">
        <f>IF(AND($C23&lt;&gt;"",$V23&lt;&gt;""),(VLOOKUP($C23,'V-LOOKUP'!$C$4:$M$59,8,FALSE)),"0")</f>
        <v>0</v>
      </c>
      <c r="GK23" s="192" t="str">
        <f>IF(AND($C23&lt;&gt;"",$V23&lt;&gt;""),(VLOOKUP($C23,'V-LOOKUP'!$C$4:$M$59,9,FALSE)),"0")</f>
        <v>0</v>
      </c>
      <c r="GL23" s="192" t="str">
        <f>IF(AND($C23&lt;&gt;"",$V23&lt;&gt;""),(VLOOKUP($C23,'V-LOOKUP'!$C$4:$M$59,10,FALSE)),"0")</f>
        <v>0</v>
      </c>
      <c r="GM23" s="192" t="str">
        <f>IF(AND($C23&lt;&gt;"",$V23&lt;&gt;""),(VLOOKUP($C23,'V-LOOKUP'!$C$4:$M$59,11,FALSE)),"0")</f>
        <v>0</v>
      </c>
      <c r="GN23" s="192" t="str">
        <f>IF(AND($C23&lt;&gt;"",$V23&lt;&gt;""),(VLOOKUP($C23,'V-LOOKUP'!$C$4:$N$59,12,FALSE)),"0")</f>
        <v>0</v>
      </c>
      <c r="GO23" s="192" t="str">
        <f>IF(AND($C23&lt;&gt;"",W23&lt;&gt;""),(VLOOKUP($C23,'V-LOOKUP'!$C$4:$M$59,4,FALSE)),"0")</f>
        <v>0</v>
      </c>
      <c r="GP23" s="192" t="str">
        <f>IF(AND($C23&lt;&gt;"",$W23&lt;&gt;""),(VLOOKUP($C23,'V-LOOKUP'!$C$4:$M$59,5,FALSE)),"0")</f>
        <v>0</v>
      </c>
      <c r="GQ23" s="192" t="str">
        <f>IF(AND($C23&lt;&gt;"",$W23&lt;&gt;""),(VLOOKUP($C23,'V-LOOKUP'!$C$4:$M$59,6,FALSE)),"0")</f>
        <v>0</v>
      </c>
      <c r="GR23" s="192" t="str">
        <f>IF(AND($C23&lt;&gt;"",$W23&lt;&gt;""),(VLOOKUP($C23,'V-LOOKUP'!$C$4:$M$59,7,FALSE)),"0")</f>
        <v>0</v>
      </c>
      <c r="GS23" s="192" t="str">
        <f>IF(AND($C23&lt;&gt;"",$W23&lt;&gt;""),(VLOOKUP($C23,'V-LOOKUP'!$C$4:$M$59,8,FALSE)),"0")</f>
        <v>0</v>
      </c>
      <c r="GT23" s="192" t="str">
        <f>IF(AND($C23&lt;&gt;"",$W23&lt;&gt;""),(VLOOKUP($C23,'V-LOOKUP'!$C$4:$M$59,9,FALSE)),"0")</f>
        <v>0</v>
      </c>
      <c r="GU23" s="192" t="str">
        <f>IF(AND($C23&lt;&gt;"",$W23&lt;&gt;""),(VLOOKUP($C23,'V-LOOKUP'!$C$4:$M$59,10,FALSE)),"0")</f>
        <v>0</v>
      </c>
      <c r="GV23" s="192" t="str">
        <f>IF(AND($C23&lt;&gt;"",$W23&lt;&gt;""),(VLOOKUP($C23,'V-LOOKUP'!$C$4:$M$59,11,FALSE)),"0")</f>
        <v>0</v>
      </c>
      <c r="GW23" s="192" t="str">
        <f>IF(AND($C23&lt;&gt;"",$W23&lt;&gt;""),(VLOOKUP($C23,'V-LOOKUP'!$C$4:$N$59,12,FALSE)),"0")</f>
        <v>0</v>
      </c>
    </row>
    <row r="24" spans="1:205" ht="14.65" hidden="1" customHeight="1">
      <c r="A24" s="193"/>
      <c r="B24" s="245"/>
      <c r="C24" s="201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Y24" s="190"/>
      <c r="Z24" s="192" t="str">
        <f>IF(AND($C24&lt;&gt;"",$D24&lt;&gt;""),(VLOOKUP($C24,'V-LOOKUP'!$C$4:$M$59,4,FALSE)),"0")</f>
        <v>0</v>
      </c>
      <c r="AA24" s="192" t="str">
        <f>IF(AND($C24&lt;&gt;"",$D24&lt;&gt;""),(VLOOKUP($C24,'V-LOOKUP'!$C$4:$M$59,5,FALSE)),"0")</f>
        <v>0</v>
      </c>
      <c r="AB24" s="192" t="str">
        <f>IF(AND($C24&lt;&gt;"",$D24&lt;&gt;""),(VLOOKUP($C24,'V-LOOKUP'!$C$4:$M$59,6,FALSE)),"0")</f>
        <v>0</v>
      </c>
      <c r="AC24" s="192" t="str">
        <f>IF(AND($C24&lt;&gt;"",$D24&lt;&gt;""),(VLOOKUP($C24,'V-LOOKUP'!$C$4:$M$59,7,FALSE)),"0")</f>
        <v>0</v>
      </c>
      <c r="AD24" s="192" t="str">
        <f>IF(AND($C24&lt;&gt;"",$D24&lt;&gt;""),(VLOOKUP($C24,'V-LOOKUP'!$C$4:$M$59,8,FALSE)),"0")</f>
        <v>0</v>
      </c>
      <c r="AE24" s="192" t="str">
        <f>IF(AND($C24&lt;&gt;"",$D24&lt;&gt;""),(VLOOKUP($C24,'V-LOOKUP'!$C$4:$M$59,9,FALSE)),"0")</f>
        <v>0</v>
      </c>
      <c r="AF24" s="192" t="str">
        <f>IF(AND($C24&lt;&gt;"",$D24&lt;&gt;""),(VLOOKUP($C24,'V-LOOKUP'!$C$4:$M$59,10,FALSE)),"0")</f>
        <v>0</v>
      </c>
      <c r="AG24" s="192" t="str">
        <f>IF(AND($C24&lt;&gt;"",$D24&lt;&gt;""),(VLOOKUP($C24,'V-LOOKUP'!$C$4:$M$59,11,FALSE)),"0")</f>
        <v>0</v>
      </c>
      <c r="AH24" s="192" t="str">
        <f>IF(AND($C24&lt;&gt;"",$D24&lt;&gt;""),(VLOOKUP($C24,'V-LOOKUP'!$C$4:$N$59,12,FALSE)),"0")</f>
        <v>0</v>
      </c>
      <c r="AI24" s="192" t="str">
        <f>IF(AND($C24&lt;&gt;"",E24&lt;&gt;""),(VLOOKUP($C24,'V-LOOKUP'!$C$4:$M$59,4,FALSE)),"0")</f>
        <v>0</v>
      </c>
      <c r="AJ24" s="192" t="str">
        <f>IF(AND($C24&lt;&gt;"",$E24&lt;&gt;""),(VLOOKUP($C24,'V-LOOKUP'!$C$4:$M$59,5,FALSE)),"0")</f>
        <v>0</v>
      </c>
      <c r="AK24" s="192" t="str">
        <f>IF(AND($C24&lt;&gt;"",$E24&lt;&gt;""),(VLOOKUP($C24,'V-LOOKUP'!$C$4:$M$59,6,FALSE)),"0")</f>
        <v>0</v>
      </c>
      <c r="AL24" s="192" t="str">
        <f>IF(AND($C24&lt;&gt;"",$E24&lt;&gt;""),(VLOOKUP($C24,'V-LOOKUP'!$C$4:$M$59,7,FALSE)),"0")</f>
        <v>0</v>
      </c>
      <c r="AM24" s="192" t="str">
        <f>IF(AND($C24&lt;&gt;"",$E24&lt;&gt;""),(VLOOKUP($C24,'V-LOOKUP'!$C$4:$M$59,8,FALSE)),"0")</f>
        <v>0</v>
      </c>
      <c r="AN24" s="192" t="str">
        <f>IF(AND($C24&lt;&gt;"",$E24&lt;&gt;""),(VLOOKUP($C24,'V-LOOKUP'!$C$4:$M$59,9,FALSE)),"0")</f>
        <v>0</v>
      </c>
      <c r="AO24" s="192" t="str">
        <f>IF(AND($C24&lt;&gt;"",$E24&lt;&gt;""),(VLOOKUP($C24,'V-LOOKUP'!$C$4:$M$59,10,FALSE)),"0")</f>
        <v>0</v>
      </c>
      <c r="AP24" s="192" t="str">
        <f>IF(AND($C24&lt;&gt;"",$E24&lt;&gt;""),(VLOOKUP($C24,'V-LOOKUP'!$C$4:$M$59,11,FALSE)),"0")</f>
        <v>0</v>
      </c>
      <c r="AQ24" s="192" t="str">
        <f>IF(AND($C24&lt;&gt;"",$E24&lt;&gt;""),(VLOOKUP($C24,'V-LOOKUP'!$C$4:$N$59,12,FALSE)),"0")</f>
        <v>0</v>
      </c>
      <c r="AR24" s="192" t="str">
        <f>IF(AND($C24&lt;&gt;"",$F24&lt;&gt;""),(VLOOKUP($C24,'V-LOOKUP'!$C$4:$M$59,4,FALSE)),"0")</f>
        <v>0</v>
      </c>
      <c r="AS24" s="192" t="str">
        <f>IF(AND($C24&lt;&gt;"",$F24&lt;&gt;""),(VLOOKUP($C24,'V-LOOKUP'!$C$4:$M$59,5,FALSE)),"0")</f>
        <v>0</v>
      </c>
      <c r="AT24" s="192" t="str">
        <f>IF(AND($C24&lt;&gt;"",$F24&lt;&gt;""),(VLOOKUP($C24,'V-LOOKUP'!$C$4:$M$59,6,FALSE)),"0")</f>
        <v>0</v>
      </c>
      <c r="AU24" s="192" t="str">
        <f>IF(AND($C24&lt;&gt;"",$F24&lt;&gt;""),(VLOOKUP($C24,'V-LOOKUP'!$C$4:$M$59,7,FALSE)),"0")</f>
        <v>0</v>
      </c>
      <c r="AV24" s="192" t="str">
        <f>IF(AND($C24&lt;&gt;"",$F24&lt;&gt;""),(VLOOKUP($C24,'V-LOOKUP'!$C$4:$M$59,8,FALSE)),"0")</f>
        <v>0</v>
      </c>
      <c r="AW24" s="192" t="str">
        <f>IF(AND($C24&lt;&gt;"",$F24&lt;&gt;""),(VLOOKUP($C24,'V-LOOKUP'!$C$4:$M$59,9,FALSE)),"0")</f>
        <v>0</v>
      </c>
      <c r="AX24" s="192" t="str">
        <f>IF(AND($C24&lt;&gt;"",$F24&lt;&gt;""),(VLOOKUP($C24,'V-LOOKUP'!$C$4:$M$59,10,FALSE)),"0")</f>
        <v>0</v>
      </c>
      <c r="AY24" s="192" t="str">
        <f>IF(AND($C24&lt;&gt;"",$F24&lt;&gt;""),(VLOOKUP($C24,'V-LOOKUP'!$C$4:$M$59,11,FALSE)),"0")</f>
        <v>0</v>
      </c>
      <c r="AZ24" s="192" t="str">
        <f>IF(AND($C24&lt;&gt;"",$F24&lt;&gt;""),(VLOOKUP($C24,'V-LOOKUP'!$C$4:$N$59,12,FALSE)),"0")</f>
        <v>0</v>
      </c>
      <c r="BA24" s="192" t="str">
        <f>IF(AND($C24&lt;&gt;"",G24&lt;&gt;""),(VLOOKUP($C24,'V-LOOKUP'!$C$4:$M$59,4,FALSE)),"0")</f>
        <v>0</v>
      </c>
      <c r="BB24" s="192" t="str">
        <f>IF(AND($C24&lt;&gt;"",$G24&lt;&gt;""),(VLOOKUP($C24,'V-LOOKUP'!$C$4:$M$59,5,FALSE)),"0")</f>
        <v>0</v>
      </c>
      <c r="BC24" s="192" t="str">
        <f>IF(AND($C24&lt;&gt;"",$G24&lt;&gt;""),(VLOOKUP($C24,'V-LOOKUP'!$C$4:$M$59,6,FALSE)),"0")</f>
        <v>0</v>
      </c>
      <c r="BD24" s="192" t="str">
        <f>IF(AND($C24&lt;&gt;"",$G24&lt;&gt;""),(VLOOKUP($C24,'V-LOOKUP'!$C$4:$M$59,7,FALSE)),"0")</f>
        <v>0</v>
      </c>
      <c r="BE24" s="192" t="str">
        <f>IF(AND($C24&lt;&gt;"",$G24&lt;&gt;""),(VLOOKUP($C24,'V-LOOKUP'!$C$4:$M$59,8,FALSE)),"0")</f>
        <v>0</v>
      </c>
      <c r="BF24" s="192" t="str">
        <f>IF(AND($C24&lt;&gt;"",$G24&lt;&gt;""),(VLOOKUP($C24,'V-LOOKUP'!$C$4:$M$59,9,FALSE)),"0")</f>
        <v>0</v>
      </c>
      <c r="BG24" s="192" t="str">
        <f>IF(AND($C24&lt;&gt;"",$G24&lt;&gt;""),(VLOOKUP($C24,'V-LOOKUP'!$C$4:$M$59,10,FALSE)),"0")</f>
        <v>0</v>
      </c>
      <c r="BH24" s="192" t="str">
        <f>IF(AND($C24&lt;&gt;"",$G24&lt;&gt;""),(VLOOKUP($C24,'V-LOOKUP'!$C$4:$M$59,11,FALSE)),"0")</f>
        <v>0</v>
      </c>
      <c r="BI24" s="192" t="str">
        <f>IF(AND($C24&lt;&gt;"",$G24&lt;&gt;""),(VLOOKUP($C24,'V-LOOKUP'!$C$4:$N$59,12,FALSE)),"0")</f>
        <v>0</v>
      </c>
      <c r="BJ24" s="192" t="str">
        <f>IF(AND($C24&lt;&gt;"",H24&lt;&gt;""),(VLOOKUP($C24,'V-LOOKUP'!$C$4:$M$59,4,FALSE)),"0")</f>
        <v>0</v>
      </c>
      <c r="BK24" s="192" t="str">
        <f>IF(AND($C24&lt;&gt;"",$G24&lt;&gt;""),(VLOOKUP($C24,'V-LOOKUP'!$C$4:$M$59,5,FALSE)),"0")</f>
        <v>0</v>
      </c>
      <c r="BL24" s="192" t="str">
        <f>IF(AND($C24&lt;&gt;"",$H24&lt;&gt;""),(VLOOKUP($C24,'V-LOOKUP'!$C$4:$M$59,6,FALSE)),"0")</f>
        <v>0</v>
      </c>
      <c r="BM24" s="192" t="str">
        <f>IF(AND($C24&lt;&gt;"",$H24&lt;&gt;""),(VLOOKUP($C24,'V-LOOKUP'!$C$4:$M$59,7,FALSE)),"0")</f>
        <v>0</v>
      </c>
      <c r="BN24" s="192" t="str">
        <f>IF(AND($C24&lt;&gt;"",$H24&lt;&gt;""),(VLOOKUP($C24,'V-LOOKUP'!$C$4:$M$59,8,FALSE)),"0")</f>
        <v>0</v>
      </c>
      <c r="BO24" s="192" t="str">
        <f>IF(AND($C24&lt;&gt;"",$H24&lt;&gt;""),(VLOOKUP($C24,'V-LOOKUP'!$C$4:$M$59,9,FALSE)),"0")</f>
        <v>0</v>
      </c>
      <c r="BP24" s="192" t="str">
        <f>IF(AND($C24&lt;&gt;"",$H24&lt;&gt;""),(VLOOKUP($C24,'V-LOOKUP'!$C$4:$M$59,10,FALSE)),"0")</f>
        <v>0</v>
      </c>
      <c r="BQ24" s="192" t="str">
        <f>IF(AND($C24&lt;&gt;"",$H24&lt;&gt;""),(VLOOKUP($C24,'V-LOOKUP'!$C$4:$M$59,11,FALSE)),"0")</f>
        <v>0</v>
      </c>
      <c r="BR24" s="192" t="str">
        <f>IF(AND($C24&lt;&gt;"",$H24&lt;&gt;""),(VLOOKUP($C24,'V-LOOKUP'!$C$4:$N$59,12,FALSE)),"0")</f>
        <v>0</v>
      </c>
      <c r="BS24" s="192" t="str">
        <f>IF(AND($C24&lt;&gt;"",I24&lt;&gt;""),(VLOOKUP($C24,'V-LOOKUP'!$C$4:$M$59,4,FALSE)),"0")</f>
        <v>0</v>
      </c>
      <c r="BT24" s="192" t="str">
        <f>IF(AND($C24&lt;&gt;"",$I24&lt;&gt;""),(VLOOKUP($C24,'V-LOOKUP'!$C$4:$M$59,5,FALSE)),"0")</f>
        <v>0</v>
      </c>
      <c r="BU24" s="192" t="str">
        <f>IF(AND($C24&lt;&gt;"",$I24&lt;&gt;""),(VLOOKUP($C24,'V-LOOKUP'!$C$4:$M$59,6,FALSE)),"0")</f>
        <v>0</v>
      </c>
      <c r="BV24" s="192" t="str">
        <f>IF(AND($C24&lt;&gt;"",$I24&lt;&gt;""),(VLOOKUP($C24,'V-LOOKUP'!$C$4:$M$59,7,FALSE)),"0")</f>
        <v>0</v>
      </c>
      <c r="BW24" s="192" t="str">
        <f>IF(AND($C24&lt;&gt;"",$I24&lt;&gt;""),(VLOOKUP($C24,'V-LOOKUP'!$C$4:$M$59,8,FALSE)),"0")</f>
        <v>0</v>
      </c>
      <c r="BX24" s="192" t="str">
        <f>IF(AND($C24&lt;&gt;"",$I24&lt;&gt;""),(VLOOKUP($C24,'V-LOOKUP'!$C$4:$M$59,9,FALSE)),"0")</f>
        <v>0</v>
      </c>
      <c r="BY24" s="192" t="str">
        <f>IF(AND($C24&lt;&gt;"",$I24&lt;&gt;""),(VLOOKUP($C24,'V-LOOKUP'!$C$4:$M$59,10,FALSE)),"0")</f>
        <v>0</v>
      </c>
      <c r="BZ24" s="192" t="str">
        <f>IF(AND($C24&lt;&gt;"",$I24&lt;&gt;""),(VLOOKUP($C24,'V-LOOKUP'!$C$4:$M$59,11,FALSE)),"0")</f>
        <v>0</v>
      </c>
      <c r="CA24" s="192" t="str">
        <f>IF(AND($C24&lt;&gt;"",$I24&lt;&gt;""),(VLOOKUP($C24,'V-LOOKUP'!$C$4:$N$59,12,FALSE)),"0")</f>
        <v>0</v>
      </c>
      <c r="CB24" s="192" t="str">
        <f>IF(AND($C24&lt;&gt;"",J24&lt;&gt;""),(VLOOKUP($C24,'V-LOOKUP'!$C$4:$M$59,4,FALSE)),"0")</f>
        <v>0</v>
      </c>
      <c r="CC24" s="192" t="str">
        <f>IF(AND($C24&lt;&gt;"",$J24&lt;&gt;""),(VLOOKUP($C24,'V-LOOKUP'!$C$4:$M$59,5,FALSE)),"0")</f>
        <v>0</v>
      </c>
      <c r="CD24" s="192" t="str">
        <f>IF(AND($C24&lt;&gt;"",$J24&lt;&gt;""),(VLOOKUP($C24,'V-LOOKUP'!$C$4:$M$59,6,FALSE)),"0")</f>
        <v>0</v>
      </c>
      <c r="CE24" s="192" t="str">
        <f>IF(AND($C24&lt;&gt;"",$J24&lt;&gt;""),(VLOOKUP($C24,'V-LOOKUP'!$C$4:$M$59,7,FALSE)),"0")</f>
        <v>0</v>
      </c>
      <c r="CF24" s="192" t="str">
        <f>IF(AND($C24&lt;&gt;"",$J24&lt;&gt;""),(VLOOKUP($C24,'V-LOOKUP'!$C$4:$M$59,8,FALSE)),"0")</f>
        <v>0</v>
      </c>
      <c r="CG24" s="192" t="str">
        <f>IF(AND($C24&lt;&gt;"",$J24&lt;&gt;""),(VLOOKUP($C24,'V-LOOKUP'!$C$4:$M$59,9,FALSE)),"0")</f>
        <v>0</v>
      </c>
      <c r="CH24" s="192" t="str">
        <f>IF(AND($C24&lt;&gt;"",$J24&lt;&gt;""),(VLOOKUP($C24,'V-LOOKUP'!$C$4:$M$59,10,FALSE)),"0")</f>
        <v>0</v>
      </c>
      <c r="CI24" s="192" t="str">
        <f>IF(AND($C24&lt;&gt;"",$J24&lt;&gt;""),(VLOOKUP($C24,'V-LOOKUP'!$C$4:$M$59,11,FALSE)),"0")</f>
        <v>0</v>
      </c>
      <c r="CJ24" s="192" t="str">
        <f>IF(AND($C24&lt;&gt;"",$J24&lt;&gt;""),(VLOOKUP($C24,'V-LOOKUP'!$C$4:$N$59,12,FALSE)),"0")</f>
        <v>0</v>
      </c>
      <c r="CK24" s="192" t="str">
        <f>IF(AND($C24&lt;&gt;"",K24&lt;&gt;""),(VLOOKUP($C24,'V-LOOKUP'!$C$4:$M$59,4,FALSE)),"0")</f>
        <v>0</v>
      </c>
      <c r="CL24" s="192" t="str">
        <f>IF(AND($C24&lt;&gt;"",$K24&lt;&gt;""),(VLOOKUP($C24,'V-LOOKUP'!$C$4:$M$59,5,FALSE)),"0")</f>
        <v>0</v>
      </c>
      <c r="CM24" s="192" t="str">
        <f>IF(AND($C24&lt;&gt;"",$K24&lt;&gt;""),(VLOOKUP($C24,'V-LOOKUP'!$C$4:$M$59,6,FALSE)),"0")</f>
        <v>0</v>
      </c>
      <c r="CN24" s="192" t="str">
        <f>IF(AND($C24&lt;&gt;"",$K24&lt;&gt;""),(VLOOKUP($C24,'V-LOOKUP'!$C$4:$M$59,7,FALSE)),"0")</f>
        <v>0</v>
      </c>
      <c r="CO24" s="192" t="str">
        <f>IF(AND($C24&lt;&gt;"",$K24&lt;&gt;""),(VLOOKUP($C24,'V-LOOKUP'!$C$4:$M$59,8,FALSE)),"0")</f>
        <v>0</v>
      </c>
      <c r="CP24" s="192" t="str">
        <f>IF(AND($C24&lt;&gt;"",$K24&lt;&gt;""),(VLOOKUP($C24,'V-LOOKUP'!$C$4:$M$59,9,FALSE)),"0")</f>
        <v>0</v>
      </c>
      <c r="CQ24" s="192" t="str">
        <f>IF(AND($C24&lt;&gt;"",$K24&lt;&gt;""),(VLOOKUP($C24,'V-LOOKUP'!$C$4:$M$59,10,FALSE)),"0")</f>
        <v>0</v>
      </c>
      <c r="CR24" s="192" t="str">
        <f>IF(AND($C24&lt;&gt;"",$K24&lt;&gt;""),(VLOOKUP($C24,'V-LOOKUP'!$C$4:$M$59,11,FALSE)),"0")</f>
        <v>0</v>
      </c>
      <c r="CS24" s="192" t="str">
        <f>IF(AND($C24&lt;&gt;"",$K24&lt;&gt;""),(VLOOKUP($C24,'V-LOOKUP'!$C$4:$N$59,12,FALSE)),"0")</f>
        <v>0</v>
      </c>
      <c r="CT24" s="192" t="str">
        <f>IF(AND($C24&lt;&gt;"",L24&lt;&gt;""),(VLOOKUP($C24,'V-LOOKUP'!$C$4:$M$59,4,FALSE)),"0")</f>
        <v>0</v>
      </c>
      <c r="CU24" s="192" t="str">
        <f>IF(AND($C24&lt;&gt;"",$L24&lt;&gt;""),(VLOOKUP($C24,'V-LOOKUP'!$C$4:$M$59,5,FALSE)),"0")</f>
        <v>0</v>
      </c>
      <c r="CV24" s="192" t="str">
        <f>IF(AND($C24&lt;&gt;"",$L24&lt;&gt;""),(VLOOKUP($C24,'V-LOOKUP'!$C$4:$M$59,6,FALSE)),"0")</f>
        <v>0</v>
      </c>
      <c r="CW24" s="192" t="str">
        <f>IF(AND($C24&lt;&gt;"",$L24&lt;&gt;""),(VLOOKUP($C24,'V-LOOKUP'!$C$4:$M$59,7,FALSE)),"0")</f>
        <v>0</v>
      </c>
      <c r="CX24" s="192" t="str">
        <f>IF(AND($C24&lt;&gt;"",$L24&lt;&gt;""),(VLOOKUP($C24,'V-LOOKUP'!$C$4:$M$59,8,FALSE)),"0")</f>
        <v>0</v>
      </c>
      <c r="CY24" s="192" t="str">
        <f>IF(AND($C24&lt;&gt;"",$L24&lt;&gt;""),(VLOOKUP($C24,'V-LOOKUP'!$C$4:$M$59,9,FALSE)),"0")</f>
        <v>0</v>
      </c>
      <c r="CZ24" s="192" t="str">
        <f>IF(AND($C24&lt;&gt;"",$L24&lt;&gt;""),(VLOOKUP($C24,'V-LOOKUP'!$C$4:$M$59,10,FALSE)),"0")</f>
        <v>0</v>
      </c>
      <c r="DA24" s="192" t="str">
        <f>IF(AND($C24&lt;&gt;"",$L24&lt;&gt;""),(VLOOKUP($C24,'V-LOOKUP'!$C$4:$M$59,11,FALSE)),"0")</f>
        <v>0</v>
      </c>
      <c r="DB24" s="192" t="str">
        <f>IF(AND($C24&lt;&gt;"",$L24&lt;&gt;""),(VLOOKUP($C24,'V-LOOKUP'!$C$4:$N$59,12,FALSE)),"0")</f>
        <v>0</v>
      </c>
      <c r="DC24" s="192" t="str">
        <f>IF(AND($C24&lt;&gt;"",M24&lt;&gt;""),(VLOOKUP($C24,'V-LOOKUP'!$C$4:$M$59,4,FALSE)),"0")</f>
        <v>0</v>
      </c>
      <c r="DD24" s="192" t="str">
        <f>IF(AND($C24&lt;&gt;"",$M24&lt;&gt;""),(VLOOKUP($C24,'V-LOOKUP'!$C$4:$M$59,5,FALSE)),"0")</f>
        <v>0</v>
      </c>
      <c r="DE24" s="192" t="str">
        <f>IF(AND($C24&lt;&gt;"",$M24&lt;&gt;""),(VLOOKUP($C24,'V-LOOKUP'!$C$4:$M$59,6,FALSE)),"0")</f>
        <v>0</v>
      </c>
      <c r="DF24" s="192" t="str">
        <f>IF(AND($C24&lt;&gt;"",$M24&lt;&gt;""),(VLOOKUP($C24,'V-LOOKUP'!$C$4:$M$59,7,FALSE)),"0")</f>
        <v>0</v>
      </c>
      <c r="DG24" s="192" t="str">
        <f>IF(AND($C24&lt;&gt;"",$M24&lt;&gt;""),(VLOOKUP($C24,'V-LOOKUP'!$C$4:$M$59,8,FALSE)),"0")</f>
        <v>0</v>
      </c>
      <c r="DH24" s="192" t="str">
        <f>IF(AND($C24&lt;&gt;"",$M24&lt;&gt;""),(VLOOKUP($C24,'V-LOOKUP'!$C$4:$M$59,9,FALSE)),"0")</f>
        <v>0</v>
      </c>
      <c r="DI24" s="192" t="str">
        <f>IF(AND($C24&lt;&gt;"",$M24&lt;&gt;""),(VLOOKUP($C24,'V-LOOKUP'!$C$4:$M$59,10,FALSE)),"0")</f>
        <v>0</v>
      </c>
      <c r="DJ24" s="192" t="str">
        <f>IF(AND($C24&lt;&gt;"",$M24&lt;&gt;""),(VLOOKUP($C24,'V-LOOKUP'!$C$4:$M$59,11,FALSE)),"0")</f>
        <v>0</v>
      </c>
      <c r="DK24" s="192" t="str">
        <f>IF(AND($C24&lt;&gt;"",$M24&lt;&gt;""),(VLOOKUP($C24,'V-LOOKUP'!$C$4:$N$59,12,FALSE)),"0")</f>
        <v>0</v>
      </c>
      <c r="DL24" s="192" t="str">
        <f>IF(AND($C24&lt;&gt;"",$N24&lt;&gt;""),(VLOOKUP($C24,'V-LOOKUP'!$C$4:$M$59,4,FALSE)),"0")</f>
        <v>0</v>
      </c>
      <c r="DM24" s="192" t="str">
        <f>IF(AND($C24&lt;&gt;"",$N24&lt;&gt;""),(VLOOKUP($C24,'V-LOOKUP'!$C$4:$M$59,5,FALSE)),"0")</f>
        <v>0</v>
      </c>
      <c r="DN24" s="192" t="str">
        <f>IF(AND($C24&lt;&gt;"",$N24&lt;&gt;""),(VLOOKUP($C24,'V-LOOKUP'!$C$4:$M$59,6,FALSE)),"0")</f>
        <v>0</v>
      </c>
      <c r="DO24" s="192" t="str">
        <f>IF(AND($C24&lt;&gt;"",$N24&lt;&gt;""),(VLOOKUP($C24,'V-LOOKUP'!$C$4:$M$59,7,FALSE)),"0")</f>
        <v>0</v>
      </c>
      <c r="DP24" s="192" t="str">
        <f>IF(AND($C24&lt;&gt;"",$N24&lt;&gt;""),(VLOOKUP($C24,'V-LOOKUP'!$C$4:$M$59,8,FALSE)),"0")</f>
        <v>0</v>
      </c>
      <c r="DQ24" s="192" t="str">
        <f>IF(AND($C24&lt;&gt;"",$N24&lt;&gt;""),(VLOOKUP($C24,'V-LOOKUP'!$C$4:$M$59,9,FALSE)),"0")</f>
        <v>0</v>
      </c>
      <c r="DR24" s="192" t="str">
        <f>IF(AND($C24&lt;&gt;"",$N24&lt;&gt;""),(VLOOKUP($C24,'V-LOOKUP'!$C$4:$M$59,10,FALSE)),"0")</f>
        <v>0</v>
      </c>
      <c r="DS24" s="192" t="str">
        <f>IF(AND($C24&lt;&gt;"",$N24&lt;&gt;""),(VLOOKUP($C24,'V-LOOKUP'!$C$4:$M$59,11,FALSE)),"0")</f>
        <v>0</v>
      </c>
      <c r="DT24" s="192" t="str">
        <f>IF(AND($C24&lt;&gt;"",$N24&lt;&gt;""),(VLOOKUP($C24,'V-LOOKUP'!$C$4:$N$59,12,FALSE)),"0")</f>
        <v>0</v>
      </c>
      <c r="DU24" s="192" t="str">
        <f>IF(AND($C24&lt;&gt;"",O24&lt;&gt;""),(VLOOKUP($C24,'V-LOOKUP'!$C$4:$M$59,4,FALSE)),"0")</f>
        <v>0</v>
      </c>
      <c r="DV24" s="192" t="str">
        <f>IF(AND($C24&lt;&gt;"",$O24&lt;&gt;""),(VLOOKUP($C24,'V-LOOKUP'!$C$4:$M$59,5,FALSE)),"0")</f>
        <v>0</v>
      </c>
      <c r="DW24" s="192" t="str">
        <f>IF(AND($C24&lt;&gt;"",$O24&lt;&gt;""),(VLOOKUP($C24,'V-LOOKUP'!$C$4:$M$59,6,FALSE)),"0")</f>
        <v>0</v>
      </c>
      <c r="DX24" s="192" t="str">
        <f>IF(AND($C24&lt;&gt;"",$O24&lt;&gt;""),(VLOOKUP($C24,'V-LOOKUP'!$C$4:$M$59,7,FALSE)),"0")</f>
        <v>0</v>
      </c>
      <c r="DY24" s="192" t="str">
        <f>IF(AND($C24&lt;&gt;"",$O24&lt;&gt;""),(VLOOKUP($C24,'V-LOOKUP'!$C$4:$M$59,8,FALSE)),"0")</f>
        <v>0</v>
      </c>
      <c r="DZ24" s="192" t="str">
        <f>IF(AND($C24&lt;&gt;"",$O24&lt;&gt;""),(VLOOKUP($C24,'V-LOOKUP'!$C$4:$M$59,9,FALSE)),"0")</f>
        <v>0</v>
      </c>
      <c r="EA24" s="192" t="str">
        <f>IF(AND($C24&lt;&gt;"",$O24&lt;&gt;""),(VLOOKUP($C24,'V-LOOKUP'!$C$4:$M$59,10,FALSE)),"0")</f>
        <v>0</v>
      </c>
      <c r="EB24" s="192" t="str">
        <f>IF(AND($C24&lt;&gt;"",$O24&lt;&gt;""),(VLOOKUP($C24,'V-LOOKUP'!$C$4:$M$59,11,FALSE)),"0")</f>
        <v>0</v>
      </c>
      <c r="EC24" s="192" t="str">
        <f>IF(AND($C24&lt;&gt;"",$O24&lt;&gt;""),(VLOOKUP($C24,'V-LOOKUP'!$C$4:$N$59,12,FALSE)),"0")</f>
        <v>0</v>
      </c>
      <c r="ED24" s="192" t="str">
        <f>IF(AND($C24&lt;&gt;"",P24&lt;&gt;""),(VLOOKUP($C24,'V-LOOKUP'!$C$4:$M$59,4,FALSE)),"0")</f>
        <v>0</v>
      </c>
      <c r="EE24" s="192" t="str">
        <f>IF(AND($C24&lt;&gt;"",$P24&lt;&gt;""),(VLOOKUP($C24,'V-LOOKUP'!$C$4:$M$59,5,FALSE)),"0")</f>
        <v>0</v>
      </c>
      <c r="EF24" s="192" t="str">
        <f>IF(AND($C24&lt;&gt;"",$P24&lt;&gt;""),(VLOOKUP($C24,'V-LOOKUP'!$C$4:$M$59,6,FALSE)),"0")</f>
        <v>0</v>
      </c>
      <c r="EG24" s="192" t="str">
        <f>IF(AND($C24&lt;&gt;"",$P24&lt;&gt;""),(VLOOKUP($C24,'V-LOOKUP'!$C$4:$M$59,7,FALSE)),"0")</f>
        <v>0</v>
      </c>
      <c r="EH24" s="192" t="str">
        <f>IF(AND($C24&lt;&gt;"",$P24&lt;&gt;""),(VLOOKUP($C24,'V-LOOKUP'!$C$4:$M$59,8,FALSE)),"0")</f>
        <v>0</v>
      </c>
      <c r="EI24" s="192" t="str">
        <f>IF(AND($C24&lt;&gt;"",$P24&lt;&gt;""),(VLOOKUP($C24,'V-LOOKUP'!$C$4:$M$59,9,FALSE)),"0")</f>
        <v>0</v>
      </c>
      <c r="EJ24" s="192" t="str">
        <f>IF(AND($C24&lt;&gt;"",$P24&lt;&gt;""),(VLOOKUP($C24,'V-LOOKUP'!$C$4:$M$59,10,FALSE)),"0")</f>
        <v>0</v>
      </c>
      <c r="EK24" s="192" t="str">
        <f>IF(AND($C24&lt;&gt;"",$P24&lt;&gt;""),(VLOOKUP($C24,'V-LOOKUP'!$C$4:$M$59,11,FALSE)),"0")</f>
        <v>0</v>
      </c>
      <c r="EL24" s="192" t="str">
        <f>IF(AND($C24&lt;&gt;"",$P24&lt;&gt;""),(VLOOKUP($C24,'V-LOOKUP'!$C$4:$N$59,12,FALSE)),"0")</f>
        <v>0</v>
      </c>
      <c r="EM24" s="192" t="str">
        <f>IF(AND($C24&lt;&gt;"",Q24&lt;&gt;""),(VLOOKUP($C24,'V-LOOKUP'!$C$4:$M$59,4,FALSE)),"0")</f>
        <v>0</v>
      </c>
      <c r="EN24" s="192" t="str">
        <f>IF(AND($C24&lt;&gt;"",$Q24&lt;&gt;""),(VLOOKUP($C24,'V-LOOKUP'!$C$4:$M$59,5,FALSE)),"0")</f>
        <v>0</v>
      </c>
      <c r="EO24" s="192" t="str">
        <f>IF(AND($C24&lt;&gt;"",$Q24&lt;&gt;""),(VLOOKUP($C24,'V-LOOKUP'!$C$4:$M$59,6,FALSE)),"0")</f>
        <v>0</v>
      </c>
      <c r="EP24" s="192" t="str">
        <f>IF(AND($C24&lt;&gt;"",$Q24&lt;&gt;""),(VLOOKUP($C24,'V-LOOKUP'!$C$4:$M$59,7,FALSE)),"0")</f>
        <v>0</v>
      </c>
      <c r="EQ24" s="192" t="str">
        <f>IF(AND($C24&lt;&gt;"",$Q24&lt;&gt;""),(VLOOKUP($C24,'V-LOOKUP'!$C$4:$M$59,8,FALSE)),"0")</f>
        <v>0</v>
      </c>
      <c r="ER24" s="192" t="str">
        <f>IF(AND($C24&lt;&gt;"",$Q24&lt;&gt;""),(VLOOKUP($C24,'V-LOOKUP'!$C$4:$M$59,9,FALSE)),"0")</f>
        <v>0</v>
      </c>
      <c r="ES24" s="192" t="str">
        <f>IF(AND($C24&lt;&gt;"",$Q24&lt;&gt;""),(VLOOKUP($C24,'V-LOOKUP'!$C$4:$M$59,10,FALSE)),"0")</f>
        <v>0</v>
      </c>
      <c r="ET24" s="192" t="str">
        <f>IF(AND($C24&lt;&gt;"",$Q24&lt;&gt;""),(VLOOKUP($C24,'V-LOOKUP'!$C$4:$M$59,11,FALSE)),"0")</f>
        <v>0</v>
      </c>
      <c r="EU24" s="192" t="str">
        <f>IF(AND($C24&lt;&gt;"",$Q24&lt;&gt;""),(VLOOKUP($C24,'V-LOOKUP'!$C$4:$N$59,12,FALSE)),"0")</f>
        <v>0</v>
      </c>
      <c r="EV24" s="192" t="str">
        <f>IF(AND($C24&lt;&gt;"",R24&lt;&gt;""),(VLOOKUP($C24,'V-LOOKUP'!$C$4:$M$59,4,FALSE)),"0")</f>
        <v>0</v>
      </c>
      <c r="EW24" s="192" t="str">
        <f>IF(AND($C24&lt;&gt;"",$R24&lt;&gt;""),(VLOOKUP($C24,'V-LOOKUP'!$C$4:$M$59,5,FALSE)),"0")</f>
        <v>0</v>
      </c>
      <c r="EX24" s="192" t="str">
        <f>IF(AND($C24&lt;&gt;"",$R24&lt;&gt;""),(VLOOKUP($C24,'V-LOOKUP'!$C$4:$M$59,6,FALSE)),"0")</f>
        <v>0</v>
      </c>
      <c r="EY24" s="192" t="str">
        <f>IF(AND($C24&lt;&gt;"",$R24&lt;&gt;""),(VLOOKUP($C24,'V-LOOKUP'!$C$4:$M$59,7,FALSE)),"0")</f>
        <v>0</v>
      </c>
      <c r="EZ24" s="192" t="str">
        <f>IF(AND($C24&lt;&gt;"",$R24&lt;&gt;""),(VLOOKUP($C24,'V-LOOKUP'!$C$4:$M$59,8,FALSE)),"0")</f>
        <v>0</v>
      </c>
      <c r="FA24" s="192" t="str">
        <f>IF(AND($C24&lt;&gt;"",$R24&lt;&gt;""),(VLOOKUP($C24,'V-LOOKUP'!$C$4:$M$59,9,FALSE)),"0")</f>
        <v>0</v>
      </c>
      <c r="FB24" s="192" t="str">
        <f>IF(AND($C24&lt;&gt;"",$R24&lt;&gt;""),(VLOOKUP($C24,'V-LOOKUP'!$C$4:$M$59,10,FALSE)),"0")</f>
        <v>0</v>
      </c>
      <c r="FC24" s="192" t="str">
        <f>IF(AND($C24&lt;&gt;"",$R24&lt;&gt;""),(VLOOKUP($C24,'V-LOOKUP'!$C$4:$M$59,11,FALSE)),"0")</f>
        <v>0</v>
      </c>
      <c r="FD24" s="192" t="str">
        <f>IF(AND($C24&lt;&gt;"",$R24&lt;&gt;""),(VLOOKUP($C24,'V-LOOKUP'!$C$4:$N$59,12,FALSE)),"0")</f>
        <v>0</v>
      </c>
      <c r="FE24" s="192" t="str">
        <f>IF(AND($C24&lt;&gt;"",S24&lt;&gt;""),(VLOOKUP($C24,'V-LOOKUP'!$C$4:$M$59,4,FALSE)),"0")</f>
        <v>0</v>
      </c>
      <c r="FF24" s="192" t="str">
        <f>IF(AND($C24&lt;&gt;"",$S24&lt;&gt;""),(VLOOKUP($C24,'V-LOOKUP'!$C$4:$M$59,5,FALSE)),"0")</f>
        <v>0</v>
      </c>
      <c r="FG24" s="192" t="str">
        <f>IF(AND($C24&lt;&gt;"",$S24&lt;&gt;""),(VLOOKUP($C24,'V-LOOKUP'!$C$4:$M$59,6,FALSE)),"0")</f>
        <v>0</v>
      </c>
      <c r="FH24" s="192" t="str">
        <f>IF(AND($C24&lt;&gt;"",$S24&lt;&gt;""),(VLOOKUP($C24,'V-LOOKUP'!$C$4:$M$59,7,FALSE)),"0")</f>
        <v>0</v>
      </c>
      <c r="FI24" s="192" t="str">
        <f>IF(AND($C24&lt;&gt;"",$S24&lt;&gt;""),(VLOOKUP($C24,'V-LOOKUP'!$C$4:$M$59,8,FALSE)),"0")</f>
        <v>0</v>
      </c>
      <c r="FJ24" s="192" t="str">
        <f>IF(AND($C24&lt;&gt;"",$S24&lt;&gt;""),(VLOOKUP($C24,'V-LOOKUP'!$C$4:$M$59,9,FALSE)),"0")</f>
        <v>0</v>
      </c>
      <c r="FK24" s="192" t="str">
        <f>IF(AND($C24&lt;&gt;"",$S24&lt;&gt;""),(VLOOKUP($C24,'V-LOOKUP'!$C$4:$M$59,10,FALSE)),"0")</f>
        <v>0</v>
      </c>
      <c r="FL24" s="192" t="str">
        <f>IF(AND($C24&lt;&gt;"",$S24&lt;&gt;""),(VLOOKUP($C24,'V-LOOKUP'!$C$4:$M$59,11,FALSE)),"0")</f>
        <v>0</v>
      </c>
      <c r="FM24" s="192" t="str">
        <f>IF(AND($C24&lt;&gt;"",$S24&lt;&gt;""),(VLOOKUP($C24,'V-LOOKUP'!$C$4:$N$59,12,FALSE)),"0")</f>
        <v>0</v>
      </c>
      <c r="FN24" s="192" t="str">
        <f>IF(AND($C24&lt;&gt;"",T24&lt;&gt;""),(VLOOKUP($C24,'V-LOOKUP'!$C$4:$M$59,4,FALSE)),"0")</f>
        <v>0</v>
      </c>
      <c r="FO24" s="192" t="str">
        <f>IF(AND($C24&lt;&gt;"",$T24&lt;&gt;""),(VLOOKUP($C24,'V-LOOKUP'!$C$4:$M$59,5,FALSE)),"0")</f>
        <v>0</v>
      </c>
      <c r="FP24" s="192" t="str">
        <f>IF(AND($C24&lt;&gt;"",$T24&lt;&gt;""),(VLOOKUP($C24,'V-LOOKUP'!$C$4:$M$59,6,FALSE)),"0")</f>
        <v>0</v>
      </c>
      <c r="FQ24" s="192" t="str">
        <f>IF(AND($C24&lt;&gt;"",$T24&lt;&gt;""),(VLOOKUP($C24,'V-LOOKUP'!$C$4:$M$59,7,FALSE)),"0")</f>
        <v>0</v>
      </c>
      <c r="FR24" s="192" t="str">
        <f>IF(AND($C24&lt;&gt;"",$T24&lt;&gt;""),(VLOOKUP($C24,'V-LOOKUP'!$C$4:$M$59,8,FALSE)),"0")</f>
        <v>0</v>
      </c>
      <c r="FS24" s="192" t="str">
        <f>IF(AND($C24&lt;&gt;"",$T24&lt;&gt;""),(VLOOKUP($C24,'V-LOOKUP'!$C$4:$M$59,9,FALSE)),"0")</f>
        <v>0</v>
      </c>
      <c r="FT24" s="192" t="str">
        <f>IF(AND($C24&lt;&gt;"",$T24&lt;&gt;""),(VLOOKUP($C24,'V-LOOKUP'!$C$4:$M$59,10,FALSE)),"0")</f>
        <v>0</v>
      </c>
      <c r="FU24" s="192" t="str">
        <f>IF(AND($C24&lt;&gt;"",$T24&lt;&gt;""),(VLOOKUP($C24,'V-LOOKUP'!$C$4:$M$59,11,FALSE)),"0")</f>
        <v>0</v>
      </c>
      <c r="FV24" s="192" t="str">
        <f>IF(AND($C24&lt;&gt;"",$T24&lt;&gt;""),(VLOOKUP($C24,'V-LOOKUP'!$C$4:$N$59,12,FALSE)),"0")</f>
        <v>0</v>
      </c>
      <c r="FW24" s="192" t="str">
        <f>IF(AND($C24&lt;&gt;"",U24&lt;&gt;""),(VLOOKUP($C24,'V-LOOKUP'!$C$4:$M$59,4,FALSE)),"0")</f>
        <v>0</v>
      </c>
      <c r="FX24" s="192" t="str">
        <f>IF(AND($C24&lt;&gt;"",$U24&lt;&gt;""),(VLOOKUP($C24,'V-LOOKUP'!$C$4:$M$59,5,FALSE)),"0")</f>
        <v>0</v>
      </c>
      <c r="FY24" s="192" t="str">
        <f>IF(AND($C24&lt;&gt;"",$U24&lt;&gt;""),(VLOOKUP($C24,'V-LOOKUP'!$C$4:$M$59,6,FALSE)),"0")</f>
        <v>0</v>
      </c>
      <c r="FZ24" s="192" t="str">
        <f>IF(AND($C24&lt;&gt;"",$U24&lt;&gt;""),(VLOOKUP($C24,'V-LOOKUP'!$C$4:$M$59,7,FALSE)),"0")</f>
        <v>0</v>
      </c>
      <c r="GA24" s="192" t="str">
        <f>IF(AND($C24&lt;&gt;"",$U24&lt;&gt;""),(VLOOKUP($C24,'V-LOOKUP'!$C$4:$M$59,8,FALSE)),"0")</f>
        <v>0</v>
      </c>
      <c r="GB24" s="192" t="str">
        <f>IF(AND($C24&lt;&gt;"",$U24&lt;&gt;""),(VLOOKUP($C24,'V-LOOKUP'!$C$4:$M$59,9,FALSE)),"0")</f>
        <v>0</v>
      </c>
      <c r="GC24" s="192" t="str">
        <f>IF(AND($C24&lt;&gt;"",$U24&lt;&gt;""),(VLOOKUP($C24,'V-LOOKUP'!$C$4:$M$59,10,FALSE)),"0")</f>
        <v>0</v>
      </c>
      <c r="GD24" s="192" t="str">
        <f>IF(AND($C24&lt;&gt;"",$U24&lt;&gt;""),(VLOOKUP($C24,'V-LOOKUP'!$C$4:$M$59,11,FALSE)),"0")</f>
        <v>0</v>
      </c>
      <c r="GE24" s="192" t="str">
        <f>IF(AND($C24&lt;&gt;"",$U24&lt;&gt;""),(VLOOKUP($C24,'V-LOOKUP'!$C$4:$N$59,12,FALSE)),"0")</f>
        <v>0</v>
      </c>
      <c r="GF24" s="192" t="str">
        <f>IF(AND($C24&lt;&gt;"",V24&lt;&gt;""),(VLOOKUP($C24,'V-LOOKUP'!$C$4:$M$59,4,FALSE)),"0")</f>
        <v>0</v>
      </c>
      <c r="GG24" s="192" t="str">
        <f>IF(AND($C24&lt;&gt;"",$V24&lt;&gt;""),(VLOOKUP($C24,'V-LOOKUP'!$C$4:$M$59,5,FALSE)),"0")</f>
        <v>0</v>
      </c>
      <c r="GH24" s="192" t="str">
        <f>IF(AND($C24&lt;&gt;"",$V24&lt;&gt;""),(VLOOKUP($C24,'V-LOOKUP'!$C$4:$M$59,6,FALSE)),"0")</f>
        <v>0</v>
      </c>
      <c r="GI24" s="192" t="str">
        <f>IF(AND($C24&lt;&gt;"",$V24&lt;&gt;""),(VLOOKUP($C24,'V-LOOKUP'!$C$4:$M$59,7,FALSE)),"0")</f>
        <v>0</v>
      </c>
      <c r="GJ24" s="192" t="str">
        <f>IF(AND($C24&lt;&gt;"",$V24&lt;&gt;""),(VLOOKUP($C24,'V-LOOKUP'!$C$4:$M$59,8,FALSE)),"0")</f>
        <v>0</v>
      </c>
      <c r="GK24" s="192" t="str">
        <f>IF(AND($C24&lt;&gt;"",$V24&lt;&gt;""),(VLOOKUP($C24,'V-LOOKUP'!$C$4:$M$59,9,FALSE)),"0")</f>
        <v>0</v>
      </c>
      <c r="GL24" s="192" t="str">
        <f>IF(AND($C24&lt;&gt;"",$V24&lt;&gt;""),(VLOOKUP($C24,'V-LOOKUP'!$C$4:$M$59,10,FALSE)),"0")</f>
        <v>0</v>
      </c>
      <c r="GM24" s="192" t="str">
        <f>IF(AND($C24&lt;&gt;"",$V24&lt;&gt;""),(VLOOKUP($C24,'V-LOOKUP'!$C$4:$M$59,11,FALSE)),"0")</f>
        <v>0</v>
      </c>
      <c r="GN24" s="192" t="str">
        <f>IF(AND($C24&lt;&gt;"",$V24&lt;&gt;""),(VLOOKUP($C24,'V-LOOKUP'!$C$4:$N$59,12,FALSE)),"0")</f>
        <v>0</v>
      </c>
      <c r="GO24" s="192" t="str">
        <f>IF(AND($C24&lt;&gt;"",W24&lt;&gt;""),(VLOOKUP($C24,'V-LOOKUP'!$C$4:$M$59,4,FALSE)),"0")</f>
        <v>0</v>
      </c>
      <c r="GP24" s="192" t="str">
        <f>IF(AND($C24&lt;&gt;"",$W24&lt;&gt;""),(VLOOKUP($C24,'V-LOOKUP'!$C$4:$M$59,5,FALSE)),"0")</f>
        <v>0</v>
      </c>
      <c r="GQ24" s="192" t="str">
        <f>IF(AND($C24&lt;&gt;"",$W24&lt;&gt;""),(VLOOKUP($C24,'V-LOOKUP'!$C$4:$M$59,6,FALSE)),"0")</f>
        <v>0</v>
      </c>
      <c r="GR24" s="192" t="str">
        <f>IF(AND($C24&lt;&gt;"",$W24&lt;&gt;""),(VLOOKUP($C24,'V-LOOKUP'!$C$4:$M$59,7,FALSE)),"0")</f>
        <v>0</v>
      </c>
      <c r="GS24" s="192" t="str">
        <f>IF(AND($C24&lt;&gt;"",$W24&lt;&gt;""),(VLOOKUP($C24,'V-LOOKUP'!$C$4:$M$59,8,FALSE)),"0")</f>
        <v>0</v>
      </c>
      <c r="GT24" s="192" t="str">
        <f>IF(AND($C24&lt;&gt;"",$W24&lt;&gt;""),(VLOOKUP($C24,'V-LOOKUP'!$C$4:$M$59,9,FALSE)),"0")</f>
        <v>0</v>
      </c>
      <c r="GU24" s="192" t="str">
        <f>IF(AND($C24&lt;&gt;"",$W24&lt;&gt;""),(VLOOKUP($C24,'V-LOOKUP'!$C$4:$M$59,10,FALSE)),"0")</f>
        <v>0</v>
      </c>
      <c r="GV24" s="192" t="str">
        <f>IF(AND($C24&lt;&gt;"",$W24&lt;&gt;""),(VLOOKUP($C24,'V-LOOKUP'!$C$4:$M$59,11,FALSE)),"0")</f>
        <v>0</v>
      </c>
      <c r="GW24" s="192" t="str">
        <f>IF(AND($C24&lt;&gt;"",$W24&lt;&gt;""),(VLOOKUP($C24,'V-LOOKUP'!$C$4:$N$59,12,FALSE)),"0")</f>
        <v>0</v>
      </c>
    </row>
    <row r="25" spans="1:205" ht="14.65" hidden="1" customHeight="1">
      <c r="A25" s="193"/>
      <c r="B25" s="245"/>
      <c r="C25" s="201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Y25" s="190"/>
      <c r="Z25" s="192" t="str">
        <f>IF(AND($C25&lt;&gt;"",$D25&lt;&gt;""),(VLOOKUP($C25,'V-LOOKUP'!$C$4:$M$59,4,FALSE)),"0")</f>
        <v>0</v>
      </c>
      <c r="AA25" s="192" t="str">
        <f>IF(AND($C25&lt;&gt;"",$D25&lt;&gt;""),(VLOOKUP($C25,'V-LOOKUP'!$C$4:$M$59,5,FALSE)),"0")</f>
        <v>0</v>
      </c>
      <c r="AB25" s="192" t="str">
        <f>IF(AND($C25&lt;&gt;"",$D25&lt;&gt;""),(VLOOKUP($C25,'V-LOOKUP'!$C$4:$M$59,6,FALSE)),"0")</f>
        <v>0</v>
      </c>
      <c r="AC25" s="192" t="str">
        <f>IF(AND($C25&lt;&gt;"",$D25&lt;&gt;""),(VLOOKUP($C25,'V-LOOKUP'!$C$4:$M$59,7,FALSE)),"0")</f>
        <v>0</v>
      </c>
      <c r="AD25" s="192" t="str">
        <f>IF(AND($C25&lt;&gt;"",$D25&lt;&gt;""),(VLOOKUP($C25,'V-LOOKUP'!$C$4:$M$59,8,FALSE)),"0")</f>
        <v>0</v>
      </c>
      <c r="AE25" s="192" t="str">
        <f>IF(AND($C25&lt;&gt;"",$D25&lt;&gt;""),(VLOOKUP($C25,'V-LOOKUP'!$C$4:$M$59,9,FALSE)),"0")</f>
        <v>0</v>
      </c>
      <c r="AF25" s="192" t="str">
        <f>IF(AND($C25&lt;&gt;"",$D25&lt;&gt;""),(VLOOKUP($C25,'V-LOOKUP'!$C$4:$M$59,10,FALSE)),"0")</f>
        <v>0</v>
      </c>
      <c r="AG25" s="192" t="str">
        <f>IF(AND($C25&lt;&gt;"",$D25&lt;&gt;""),(VLOOKUP($C25,'V-LOOKUP'!$C$4:$M$59,11,FALSE)),"0")</f>
        <v>0</v>
      </c>
      <c r="AH25" s="192" t="str">
        <f>IF(AND($C25&lt;&gt;"",$D25&lt;&gt;""),(VLOOKUP($C25,'V-LOOKUP'!$C$4:$N$59,12,FALSE)),"0")</f>
        <v>0</v>
      </c>
      <c r="AI25" s="192" t="str">
        <f>IF(AND($C25&lt;&gt;"",E25&lt;&gt;""),(VLOOKUP($C25,'V-LOOKUP'!$C$4:$M$59,4,FALSE)),"0")</f>
        <v>0</v>
      </c>
      <c r="AJ25" s="192" t="str">
        <f>IF(AND($C25&lt;&gt;"",$E25&lt;&gt;""),(VLOOKUP($C25,'V-LOOKUP'!$C$4:$M$59,5,FALSE)),"0")</f>
        <v>0</v>
      </c>
      <c r="AK25" s="192" t="str">
        <f>IF(AND($C25&lt;&gt;"",$E25&lt;&gt;""),(VLOOKUP($C25,'V-LOOKUP'!$C$4:$M$59,6,FALSE)),"0")</f>
        <v>0</v>
      </c>
      <c r="AL25" s="192" t="str">
        <f>IF(AND($C25&lt;&gt;"",$E25&lt;&gt;""),(VLOOKUP($C25,'V-LOOKUP'!$C$4:$M$59,7,FALSE)),"0")</f>
        <v>0</v>
      </c>
      <c r="AM25" s="192" t="str">
        <f>IF(AND($C25&lt;&gt;"",$E25&lt;&gt;""),(VLOOKUP($C25,'V-LOOKUP'!$C$4:$M$59,8,FALSE)),"0")</f>
        <v>0</v>
      </c>
      <c r="AN25" s="192" t="str">
        <f>IF(AND($C25&lt;&gt;"",$E25&lt;&gt;""),(VLOOKUP($C25,'V-LOOKUP'!$C$4:$M$59,9,FALSE)),"0")</f>
        <v>0</v>
      </c>
      <c r="AO25" s="192" t="str">
        <f>IF(AND($C25&lt;&gt;"",$E25&lt;&gt;""),(VLOOKUP($C25,'V-LOOKUP'!$C$4:$M$59,10,FALSE)),"0")</f>
        <v>0</v>
      </c>
      <c r="AP25" s="192" t="str">
        <f>IF(AND($C25&lt;&gt;"",$E25&lt;&gt;""),(VLOOKUP($C25,'V-LOOKUP'!$C$4:$M$59,11,FALSE)),"0")</f>
        <v>0</v>
      </c>
      <c r="AQ25" s="192" t="str">
        <f>IF(AND($C25&lt;&gt;"",$E25&lt;&gt;""),(VLOOKUP($C25,'V-LOOKUP'!$C$4:$N$59,12,FALSE)),"0")</f>
        <v>0</v>
      </c>
      <c r="AR25" s="192" t="str">
        <f>IF(AND($C25&lt;&gt;"",$F25&lt;&gt;""),(VLOOKUP($C25,'V-LOOKUP'!$C$4:$M$59,4,FALSE)),"0")</f>
        <v>0</v>
      </c>
      <c r="AS25" s="192" t="str">
        <f>IF(AND($C25&lt;&gt;"",$F25&lt;&gt;""),(VLOOKUP($C25,'V-LOOKUP'!$C$4:$M$59,5,FALSE)),"0")</f>
        <v>0</v>
      </c>
      <c r="AT25" s="192" t="str">
        <f>IF(AND($C25&lt;&gt;"",$F25&lt;&gt;""),(VLOOKUP($C25,'V-LOOKUP'!$C$4:$M$59,6,FALSE)),"0")</f>
        <v>0</v>
      </c>
      <c r="AU25" s="192" t="str">
        <f>IF(AND($C25&lt;&gt;"",$F25&lt;&gt;""),(VLOOKUP($C25,'V-LOOKUP'!$C$4:$M$59,7,FALSE)),"0")</f>
        <v>0</v>
      </c>
      <c r="AV25" s="192" t="str">
        <f>IF(AND($C25&lt;&gt;"",$F25&lt;&gt;""),(VLOOKUP($C25,'V-LOOKUP'!$C$4:$M$59,8,FALSE)),"0")</f>
        <v>0</v>
      </c>
      <c r="AW25" s="192" t="str">
        <f>IF(AND($C25&lt;&gt;"",$F25&lt;&gt;""),(VLOOKUP($C25,'V-LOOKUP'!$C$4:$M$59,9,FALSE)),"0")</f>
        <v>0</v>
      </c>
      <c r="AX25" s="192" t="str">
        <f>IF(AND($C25&lt;&gt;"",$F25&lt;&gt;""),(VLOOKUP($C25,'V-LOOKUP'!$C$4:$M$59,10,FALSE)),"0")</f>
        <v>0</v>
      </c>
      <c r="AY25" s="192" t="str">
        <f>IF(AND($C25&lt;&gt;"",$F25&lt;&gt;""),(VLOOKUP($C25,'V-LOOKUP'!$C$4:$M$59,11,FALSE)),"0")</f>
        <v>0</v>
      </c>
      <c r="AZ25" s="192" t="str">
        <f>IF(AND($C25&lt;&gt;"",$F25&lt;&gt;""),(VLOOKUP($C25,'V-LOOKUP'!$C$4:$N$59,12,FALSE)),"0")</f>
        <v>0</v>
      </c>
      <c r="BA25" s="192" t="str">
        <f>IF(AND($C25&lt;&gt;"",G25&lt;&gt;""),(VLOOKUP($C25,'V-LOOKUP'!$C$4:$M$59,4,FALSE)),"0")</f>
        <v>0</v>
      </c>
      <c r="BB25" s="192" t="str">
        <f>IF(AND($C25&lt;&gt;"",$G25&lt;&gt;""),(VLOOKUP($C25,'V-LOOKUP'!$C$4:$M$59,5,FALSE)),"0")</f>
        <v>0</v>
      </c>
      <c r="BC25" s="192" t="str">
        <f>IF(AND($C25&lt;&gt;"",$G25&lt;&gt;""),(VLOOKUP($C25,'V-LOOKUP'!$C$4:$M$59,6,FALSE)),"0")</f>
        <v>0</v>
      </c>
      <c r="BD25" s="192" t="str">
        <f>IF(AND($C25&lt;&gt;"",$G25&lt;&gt;""),(VLOOKUP($C25,'V-LOOKUP'!$C$4:$M$59,7,FALSE)),"0")</f>
        <v>0</v>
      </c>
      <c r="BE25" s="192" t="str">
        <f>IF(AND($C25&lt;&gt;"",$G25&lt;&gt;""),(VLOOKUP($C25,'V-LOOKUP'!$C$4:$M$59,8,FALSE)),"0")</f>
        <v>0</v>
      </c>
      <c r="BF25" s="192" t="str">
        <f>IF(AND($C25&lt;&gt;"",$G25&lt;&gt;""),(VLOOKUP($C25,'V-LOOKUP'!$C$4:$M$59,9,FALSE)),"0")</f>
        <v>0</v>
      </c>
      <c r="BG25" s="192" t="str">
        <f>IF(AND($C25&lt;&gt;"",$G25&lt;&gt;""),(VLOOKUP($C25,'V-LOOKUP'!$C$4:$M$59,10,FALSE)),"0")</f>
        <v>0</v>
      </c>
      <c r="BH25" s="192" t="str">
        <f>IF(AND($C25&lt;&gt;"",$G25&lt;&gt;""),(VLOOKUP($C25,'V-LOOKUP'!$C$4:$M$59,11,FALSE)),"0")</f>
        <v>0</v>
      </c>
      <c r="BI25" s="192" t="str">
        <f>IF(AND($C25&lt;&gt;"",$G25&lt;&gt;""),(VLOOKUP($C25,'V-LOOKUP'!$C$4:$N$59,12,FALSE)),"0")</f>
        <v>0</v>
      </c>
      <c r="BJ25" s="192" t="str">
        <f>IF(AND($C25&lt;&gt;"",H25&lt;&gt;""),(VLOOKUP($C25,'V-LOOKUP'!$C$4:$M$59,4,FALSE)),"0")</f>
        <v>0</v>
      </c>
      <c r="BK25" s="192" t="str">
        <f>IF(AND($C25&lt;&gt;"",$G25&lt;&gt;""),(VLOOKUP($C25,'V-LOOKUP'!$C$4:$M$59,5,FALSE)),"0")</f>
        <v>0</v>
      </c>
      <c r="BL25" s="192" t="str">
        <f>IF(AND($C25&lt;&gt;"",$H25&lt;&gt;""),(VLOOKUP($C25,'V-LOOKUP'!$C$4:$M$59,6,FALSE)),"0")</f>
        <v>0</v>
      </c>
      <c r="BM25" s="192" t="str">
        <f>IF(AND($C25&lt;&gt;"",$H25&lt;&gt;""),(VLOOKUP($C25,'V-LOOKUP'!$C$4:$M$59,7,FALSE)),"0")</f>
        <v>0</v>
      </c>
      <c r="BN25" s="192" t="str">
        <f>IF(AND($C25&lt;&gt;"",$H25&lt;&gt;""),(VLOOKUP($C25,'V-LOOKUP'!$C$4:$M$59,8,FALSE)),"0")</f>
        <v>0</v>
      </c>
      <c r="BO25" s="192" t="str">
        <f>IF(AND($C25&lt;&gt;"",$H25&lt;&gt;""),(VLOOKUP($C25,'V-LOOKUP'!$C$4:$M$59,9,FALSE)),"0")</f>
        <v>0</v>
      </c>
      <c r="BP25" s="192" t="str">
        <f>IF(AND($C25&lt;&gt;"",$H25&lt;&gt;""),(VLOOKUP($C25,'V-LOOKUP'!$C$4:$M$59,10,FALSE)),"0")</f>
        <v>0</v>
      </c>
      <c r="BQ25" s="192" t="str">
        <f>IF(AND($C25&lt;&gt;"",$H25&lt;&gt;""),(VLOOKUP($C25,'V-LOOKUP'!$C$4:$M$59,11,FALSE)),"0")</f>
        <v>0</v>
      </c>
      <c r="BR25" s="192" t="str">
        <f>IF(AND($C25&lt;&gt;"",$H25&lt;&gt;""),(VLOOKUP($C25,'V-LOOKUP'!$C$4:$N$59,12,FALSE)),"0")</f>
        <v>0</v>
      </c>
      <c r="BS25" s="192" t="str">
        <f>IF(AND($C25&lt;&gt;"",I25&lt;&gt;""),(VLOOKUP($C25,'V-LOOKUP'!$C$4:$M$59,4,FALSE)),"0")</f>
        <v>0</v>
      </c>
      <c r="BT25" s="192" t="str">
        <f>IF(AND($C25&lt;&gt;"",$I25&lt;&gt;""),(VLOOKUP($C25,'V-LOOKUP'!$C$4:$M$59,5,FALSE)),"0")</f>
        <v>0</v>
      </c>
      <c r="BU25" s="192" t="str">
        <f>IF(AND($C25&lt;&gt;"",$I25&lt;&gt;""),(VLOOKUP($C25,'V-LOOKUP'!$C$4:$M$59,6,FALSE)),"0")</f>
        <v>0</v>
      </c>
      <c r="BV25" s="192" t="str">
        <f>IF(AND($C25&lt;&gt;"",$I25&lt;&gt;""),(VLOOKUP($C25,'V-LOOKUP'!$C$4:$M$59,7,FALSE)),"0")</f>
        <v>0</v>
      </c>
      <c r="BW25" s="192" t="str">
        <f>IF(AND($C25&lt;&gt;"",$I25&lt;&gt;""),(VLOOKUP($C25,'V-LOOKUP'!$C$4:$M$59,8,FALSE)),"0")</f>
        <v>0</v>
      </c>
      <c r="BX25" s="192" t="str">
        <f>IF(AND($C25&lt;&gt;"",$I25&lt;&gt;""),(VLOOKUP($C25,'V-LOOKUP'!$C$4:$M$59,9,FALSE)),"0")</f>
        <v>0</v>
      </c>
      <c r="BY25" s="192" t="str">
        <f>IF(AND($C25&lt;&gt;"",$I25&lt;&gt;""),(VLOOKUP($C25,'V-LOOKUP'!$C$4:$M$59,10,FALSE)),"0")</f>
        <v>0</v>
      </c>
      <c r="BZ25" s="192" t="str">
        <f>IF(AND($C25&lt;&gt;"",$I25&lt;&gt;""),(VLOOKUP($C25,'V-LOOKUP'!$C$4:$M$59,11,FALSE)),"0")</f>
        <v>0</v>
      </c>
      <c r="CA25" s="192" t="str">
        <f>IF(AND($C25&lt;&gt;"",$I25&lt;&gt;""),(VLOOKUP($C25,'V-LOOKUP'!$C$4:$N$59,12,FALSE)),"0")</f>
        <v>0</v>
      </c>
      <c r="CB25" s="192" t="str">
        <f>IF(AND($C25&lt;&gt;"",J25&lt;&gt;""),(VLOOKUP($C25,'V-LOOKUP'!$C$4:$M$59,4,FALSE)),"0")</f>
        <v>0</v>
      </c>
      <c r="CC25" s="192" t="str">
        <f>IF(AND($C25&lt;&gt;"",$J25&lt;&gt;""),(VLOOKUP($C25,'V-LOOKUP'!$C$4:$M$59,5,FALSE)),"0")</f>
        <v>0</v>
      </c>
      <c r="CD25" s="192" t="str">
        <f>IF(AND($C25&lt;&gt;"",$J25&lt;&gt;""),(VLOOKUP($C25,'V-LOOKUP'!$C$4:$M$59,6,FALSE)),"0")</f>
        <v>0</v>
      </c>
      <c r="CE25" s="192" t="str">
        <f>IF(AND($C25&lt;&gt;"",$J25&lt;&gt;""),(VLOOKUP($C25,'V-LOOKUP'!$C$4:$M$59,7,FALSE)),"0")</f>
        <v>0</v>
      </c>
      <c r="CF25" s="192" t="str">
        <f>IF(AND($C25&lt;&gt;"",$J25&lt;&gt;""),(VLOOKUP($C25,'V-LOOKUP'!$C$4:$M$59,8,FALSE)),"0")</f>
        <v>0</v>
      </c>
      <c r="CG25" s="192" t="str">
        <f>IF(AND($C25&lt;&gt;"",$J25&lt;&gt;""),(VLOOKUP($C25,'V-LOOKUP'!$C$4:$M$59,9,FALSE)),"0")</f>
        <v>0</v>
      </c>
      <c r="CH25" s="192" t="str">
        <f>IF(AND($C25&lt;&gt;"",$J25&lt;&gt;""),(VLOOKUP($C25,'V-LOOKUP'!$C$4:$M$59,10,FALSE)),"0")</f>
        <v>0</v>
      </c>
      <c r="CI25" s="192" t="str">
        <f>IF(AND($C25&lt;&gt;"",$J25&lt;&gt;""),(VLOOKUP($C25,'V-LOOKUP'!$C$4:$M$59,11,FALSE)),"0")</f>
        <v>0</v>
      </c>
      <c r="CJ25" s="192" t="str">
        <f>IF(AND($C25&lt;&gt;"",$J25&lt;&gt;""),(VLOOKUP($C25,'V-LOOKUP'!$C$4:$N$59,12,FALSE)),"0")</f>
        <v>0</v>
      </c>
      <c r="CK25" s="192" t="str">
        <f>IF(AND($C25&lt;&gt;"",K25&lt;&gt;""),(VLOOKUP($C25,'V-LOOKUP'!$C$4:$M$59,4,FALSE)),"0")</f>
        <v>0</v>
      </c>
      <c r="CL25" s="192" t="str">
        <f>IF(AND($C25&lt;&gt;"",$K25&lt;&gt;""),(VLOOKUP($C25,'V-LOOKUP'!$C$4:$M$59,5,FALSE)),"0")</f>
        <v>0</v>
      </c>
      <c r="CM25" s="192" t="str">
        <f>IF(AND($C25&lt;&gt;"",$K25&lt;&gt;""),(VLOOKUP($C25,'V-LOOKUP'!$C$4:$M$59,6,FALSE)),"0")</f>
        <v>0</v>
      </c>
      <c r="CN25" s="192" t="str">
        <f>IF(AND($C25&lt;&gt;"",$K25&lt;&gt;""),(VLOOKUP($C25,'V-LOOKUP'!$C$4:$M$59,7,FALSE)),"0")</f>
        <v>0</v>
      </c>
      <c r="CO25" s="192" t="str">
        <f>IF(AND($C25&lt;&gt;"",$K25&lt;&gt;""),(VLOOKUP($C25,'V-LOOKUP'!$C$4:$M$59,8,FALSE)),"0")</f>
        <v>0</v>
      </c>
      <c r="CP25" s="192" t="str">
        <f>IF(AND($C25&lt;&gt;"",$K25&lt;&gt;""),(VLOOKUP($C25,'V-LOOKUP'!$C$4:$M$59,9,FALSE)),"0")</f>
        <v>0</v>
      </c>
      <c r="CQ25" s="192" t="str">
        <f>IF(AND($C25&lt;&gt;"",$K25&lt;&gt;""),(VLOOKUP($C25,'V-LOOKUP'!$C$4:$M$59,10,FALSE)),"0")</f>
        <v>0</v>
      </c>
      <c r="CR25" s="192" t="str">
        <f>IF(AND($C25&lt;&gt;"",$K25&lt;&gt;""),(VLOOKUP($C25,'V-LOOKUP'!$C$4:$M$59,11,FALSE)),"0")</f>
        <v>0</v>
      </c>
      <c r="CS25" s="192" t="str">
        <f>IF(AND($C25&lt;&gt;"",$K25&lt;&gt;""),(VLOOKUP($C25,'V-LOOKUP'!$C$4:$N$59,12,FALSE)),"0")</f>
        <v>0</v>
      </c>
      <c r="CT25" s="192" t="str">
        <f>IF(AND($C25&lt;&gt;"",L25&lt;&gt;""),(VLOOKUP($C25,'V-LOOKUP'!$C$4:$M$59,4,FALSE)),"0")</f>
        <v>0</v>
      </c>
      <c r="CU25" s="192" t="str">
        <f>IF(AND($C25&lt;&gt;"",$L25&lt;&gt;""),(VLOOKUP($C25,'V-LOOKUP'!$C$4:$M$59,5,FALSE)),"0")</f>
        <v>0</v>
      </c>
      <c r="CV25" s="192" t="str">
        <f>IF(AND($C25&lt;&gt;"",$L25&lt;&gt;""),(VLOOKUP($C25,'V-LOOKUP'!$C$4:$M$59,6,FALSE)),"0")</f>
        <v>0</v>
      </c>
      <c r="CW25" s="192" t="str">
        <f>IF(AND($C25&lt;&gt;"",$L25&lt;&gt;""),(VLOOKUP($C25,'V-LOOKUP'!$C$4:$M$59,7,FALSE)),"0")</f>
        <v>0</v>
      </c>
      <c r="CX25" s="192" t="str">
        <f>IF(AND($C25&lt;&gt;"",$L25&lt;&gt;""),(VLOOKUP($C25,'V-LOOKUP'!$C$4:$M$59,8,FALSE)),"0")</f>
        <v>0</v>
      </c>
      <c r="CY25" s="192" t="str">
        <f>IF(AND($C25&lt;&gt;"",$L25&lt;&gt;""),(VLOOKUP($C25,'V-LOOKUP'!$C$4:$M$59,9,FALSE)),"0")</f>
        <v>0</v>
      </c>
      <c r="CZ25" s="192" t="str">
        <f>IF(AND($C25&lt;&gt;"",$L25&lt;&gt;""),(VLOOKUP($C25,'V-LOOKUP'!$C$4:$M$59,10,FALSE)),"0")</f>
        <v>0</v>
      </c>
      <c r="DA25" s="192" t="str">
        <f>IF(AND($C25&lt;&gt;"",$L25&lt;&gt;""),(VLOOKUP($C25,'V-LOOKUP'!$C$4:$M$59,11,FALSE)),"0")</f>
        <v>0</v>
      </c>
      <c r="DB25" s="192" t="str">
        <f>IF(AND($C25&lt;&gt;"",$L25&lt;&gt;""),(VLOOKUP($C25,'V-LOOKUP'!$C$4:$N$59,12,FALSE)),"0")</f>
        <v>0</v>
      </c>
      <c r="DC25" s="192" t="str">
        <f>IF(AND($C25&lt;&gt;"",M25&lt;&gt;""),(VLOOKUP($C25,'V-LOOKUP'!$C$4:$M$59,4,FALSE)),"0")</f>
        <v>0</v>
      </c>
      <c r="DD25" s="192" t="str">
        <f>IF(AND($C25&lt;&gt;"",$M25&lt;&gt;""),(VLOOKUP($C25,'V-LOOKUP'!$C$4:$M$59,5,FALSE)),"0")</f>
        <v>0</v>
      </c>
      <c r="DE25" s="192" t="str">
        <f>IF(AND($C25&lt;&gt;"",$M25&lt;&gt;""),(VLOOKUP($C25,'V-LOOKUP'!$C$4:$M$59,6,FALSE)),"0")</f>
        <v>0</v>
      </c>
      <c r="DF25" s="192" t="str">
        <f>IF(AND($C25&lt;&gt;"",$M25&lt;&gt;""),(VLOOKUP($C25,'V-LOOKUP'!$C$4:$M$59,7,FALSE)),"0")</f>
        <v>0</v>
      </c>
      <c r="DG25" s="192" t="str">
        <f>IF(AND($C25&lt;&gt;"",$M25&lt;&gt;""),(VLOOKUP($C25,'V-LOOKUP'!$C$4:$M$59,8,FALSE)),"0")</f>
        <v>0</v>
      </c>
      <c r="DH25" s="192" t="str">
        <f>IF(AND($C25&lt;&gt;"",$M25&lt;&gt;""),(VLOOKUP($C25,'V-LOOKUP'!$C$4:$M$59,9,FALSE)),"0")</f>
        <v>0</v>
      </c>
      <c r="DI25" s="192" t="str">
        <f>IF(AND($C25&lt;&gt;"",$M25&lt;&gt;""),(VLOOKUP($C25,'V-LOOKUP'!$C$4:$M$59,10,FALSE)),"0")</f>
        <v>0</v>
      </c>
      <c r="DJ25" s="192" t="str">
        <f>IF(AND($C25&lt;&gt;"",$M25&lt;&gt;""),(VLOOKUP($C25,'V-LOOKUP'!$C$4:$M$59,11,FALSE)),"0")</f>
        <v>0</v>
      </c>
      <c r="DK25" s="192" t="str">
        <f>IF(AND($C25&lt;&gt;"",$M25&lt;&gt;""),(VLOOKUP($C25,'V-LOOKUP'!$C$4:$N$59,12,FALSE)),"0")</f>
        <v>0</v>
      </c>
      <c r="DL25" s="192" t="str">
        <f>IF(AND($C25&lt;&gt;"",$N25&lt;&gt;""),(VLOOKUP($C25,'V-LOOKUP'!$C$4:$M$59,4,FALSE)),"0")</f>
        <v>0</v>
      </c>
      <c r="DM25" s="192" t="str">
        <f>IF(AND($C25&lt;&gt;"",$N25&lt;&gt;""),(VLOOKUP($C25,'V-LOOKUP'!$C$4:$M$59,5,FALSE)),"0")</f>
        <v>0</v>
      </c>
      <c r="DN25" s="192" t="str">
        <f>IF(AND($C25&lt;&gt;"",$N25&lt;&gt;""),(VLOOKUP($C25,'V-LOOKUP'!$C$4:$M$59,6,FALSE)),"0")</f>
        <v>0</v>
      </c>
      <c r="DO25" s="192" t="str">
        <f>IF(AND($C25&lt;&gt;"",$N25&lt;&gt;""),(VLOOKUP($C25,'V-LOOKUP'!$C$4:$M$59,7,FALSE)),"0")</f>
        <v>0</v>
      </c>
      <c r="DP25" s="192" t="str">
        <f>IF(AND($C25&lt;&gt;"",$N25&lt;&gt;""),(VLOOKUP($C25,'V-LOOKUP'!$C$4:$M$59,8,FALSE)),"0")</f>
        <v>0</v>
      </c>
      <c r="DQ25" s="192" t="str">
        <f>IF(AND($C25&lt;&gt;"",$N25&lt;&gt;""),(VLOOKUP($C25,'V-LOOKUP'!$C$4:$M$59,9,FALSE)),"0")</f>
        <v>0</v>
      </c>
      <c r="DR25" s="192" t="str">
        <f>IF(AND($C25&lt;&gt;"",$N25&lt;&gt;""),(VLOOKUP($C25,'V-LOOKUP'!$C$4:$M$59,10,FALSE)),"0")</f>
        <v>0</v>
      </c>
      <c r="DS25" s="192" t="str">
        <f>IF(AND($C25&lt;&gt;"",$N25&lt;&gt;""),(VLOOKUP($C25,'V-LOOKUP'!$C$4:$M$59,11,FALSE)),"0")</f>
        <v>0</v>
      </c>
      <c r="DT25" s="192" t="str">
        <f>IF(AND($C25&lt;&gt;"",$N25&lt;&gt;""),(VLOOKUP($C25,'V-LOOKUP'!$C$4:$N$59,12,FALSE)),"0")</f>
        <v>0</v>
      </c>
      <c r="DU25" s="192" t="str">
        <f>IF(AND($C25&lt;&gt;"",O25&lt;&gt;""),(VLOOKUP($C25,'V-LOOKUP'!$C$4:$M$59,4,FALSE)),"0")</f>
        <v>0</v>
      </c>
      <c r="DV25" s="192" t="str">
        <f>IF(AND($C25&lt;&gt;"",$O25&lt;&gt;""),(VLOOKUP($C25,'V-LOOKUP'!$C$4:$M$59,5,FALSE)),"0")</f>
        <v>0</v>
      </c>
      <c r="DW25" s="192" t="str">
        <f>IF(AND($C25&lt;&gt;"",$O25&lt;&gt;""),(VLOOKUP($C25,'V-LOOKUP'!$C$4:$M$59,6,FALSE)),"0")</f>
        <v>0</v>
      </c>
      <c r="DX25" s="192" t="str">
        <f>IF(AND($C25&lt;&gt;"",$O25&lt;&gt;""),(VLOOKUP($C25,'V-LOOKUP'!$C$4:$M$59,7,FALSE)),"0")</f>
        <v>0</v>
      </c>
      <c r="DY25" s="192" t="str">
        <f>IF(AND($C25&lt;&gt;"",$O25&lt;&gt;""),(VLOOKUP($C25,'V-LOOKUP'!$C$4:$M$59,8,FALSE)),"0")</f>
        <v>0</v>
      </c>
      <c r="DZ25" s="192" t="str">
        <f>IF(AND($C25&lt;&gt;"",$O25&lt;&gt;""),(VLOOKUP($C25,'V-LOOKUP'!$C$4:$M$59,9,FALSE)),"0")</f>
        <v>0</v>
      </c>
      <c r="EA25" s="192" t="str">
        <f>IF(AND($C25&lt;&gt;"",$O25&lt;&gt;""),(VLOOKUP($C25,'V-LOOKUP'!$C$4:$M$59,10,FALSE)),"0")</f>
        <v>0</v>
      </c>
      <c r="EB25" s="192" t="str">
        <f>IF(AND($C25&lt;&gt;"",$O25&lt;&gt;""),(VLOOKUP($C25,'V-LOOKUP'!$C$4:$M$59,11,FALSE)),"0")</f>
        <v>0</v>
      </c>
      <c r="EC25" s="192" t="str">
        <f>IF(AND($C25&lt;&gt;"",$O25&lt;&gt;""),(VLOOKUP($C25,'V-LOOKUP'!$C$4:$N$59,12,FALSE)),"0")</f>
        <v>0</v>
      </c>
      <c r="ED25" s="192" t="str">
        <f>IF(AND($C25&lt;&gt;"",P25&lt;&gt;""),(VLOOKUP($C25,'V-LOOKUP'!$C$4:$M$59,4,FALSE)),"0")</f>
        <v>0</v>
      </c>
      <c r="EE25" s="192" t="str">
        <f>IF(AND($C25&lt;&gt;"",$P25&lt;&gt;""),(VLOOKUP($C25,'V-LOOKUP'!$C$4:$M$59,5,FALSE)),"0")</f>
        <v>0</v>
      </c>
      <c r="EF25" s="192" t="str">
        <f>IF(AND($C25&lt;&gt;"",$P25&lt;&gt;""),(VLOOKUP($C25,'V-LOOKUP'!$C$4:$M$59,6,FALSE)),"0")</f>
        <v>0</v>
      </c>
      <c r="EG25" s="192" t="str">
        <f>IF(AND($C25&lt;&gt;"",$P25&lt;&gt;""),(VLOOKUP($C25,'V-LOOKUP'!$C$4:$M$59,7,FALSE)),"0")</f>
        <v>0</v>
      </c>
      <c r="EH25" s="192" t="str">
        <f>IF(AND($C25&lt;&gt;"",$P25&lt;&gt;""),(VLOOKUP($C25,'V-LOOKUP'!$C$4:$M$59,8,FALSE)),"0")</f>
        <v>0</v>
      </c>
      <c r="EI25" s="192" t="str">
        <f>IF(AND($C25&lt;&gt;"",$P25&lt;&gt;""),(VLOOKUP($C25,'V-LOOKUP'!$C$4:$M$59,9,FALSE)),"0")</f>
        <v>0</v>
      </c>
      <c r="EJ25" s="192" t="str">
        <f>IF(AND($C25&lt;&gt;"",$P25&lt;&gt;""),(VLOOKUP($C25,'V-LOOKUP'!$C$4:$M$59,10,FALSE)),"0")</f>
        <v>0</v>
      </c>
      <c r="EK25" s="192" t="str">
        <f>IF(AND($C25&lt;&gt;"",$P25&lt;&gt;""),(VLOOKUP($C25,'V-LOOKUP'!$C$4:$M$59,11,FALSE)),"0")</f>
        <v>0</v>
      </c>
      <c r="EL25" s="192" t="str">
        <f>IF(AND($C25&lt;&gt;"",$P25&lt;&gt;""),(VLOOKUP($C25,'V-LOOKUP'!$C$4:$N$59,12,FALSE)),"0")</f>
        <v>0</v>
      </c>
      <c r="EM25" s="192" t="str">
        <f>IF(AND($C25&lt;&gt;"",Q25&lt;&gt;""),(VLOOKUP($C25,'V-LOOKUP'!$C$4:$M$59,4,FALSE)),"0")</f>
        <v>0</v>
      </c>
      <c r="EN25" s="192" t="str">
        <f>IF(AND($C25&lt;&gt;"",$Q25&lt;&gt;""),(VLOOKUP($C25,'V-LOOKUP'!$C$4:$M$59,5,FALSE)),"0")</f>
        <v>0</v>
      </c>
      <c r="EO25" s="192" t="str">
        <f>IF(AND($C25&lt;&gt;"",$Q25&lt;&gt;""),(VLOOKUP($C25,'V-LOOKUP'!$C$4:$M$59,6,FALSE)),"0")</f>
        <v>0</v>
      </c>
      <c r="EP25" s="192" t="str">
        <f>IF(AND($C25&lt;&gt;"",$Q25&lt;&gt;""),(VLOOKUP($C25,'V-LOOKUP'!$C$4:$M$59,7,FALSE)),"0")</f>
        <v>0</v>
      </c>
      <c r="EQ25" s="192" t="str">
        <f>IF(AND($C25&lt;&gt;"",$Q25&lt;&gt;""),(VLOOKUP($C25,'V-LOOKUP'!$C$4:$M$59,8,FALSE)),"0")</f>
        <v>0</v>
      </c>
      <c r="ER25" s="192" t="str">
        <f>IF(AND($C25&lt;&gt;"",$Q25&lt;&gt;""),(VLOOKUP($C25,'V-LOOKUP'!$C$4:$M$59,9,FALSE)),"0")</f>
        <v>0</v>
      </c>
      <c r="ES25" s="192" t="str">
        <f>IF(AND($C25&lt;&gt;"",$Q25&lt;&gt;""),(VLOOKUP($C25,'V-LOOKUP'!$C$4:$M$59,10,FALSE)),"0")</f>
        <v>0</v>
      </c>
      <c r="ET25" s="192" t="str">
        <f>IF(AND($C25&lt;&gt;"",$Q25&lt;&gt;""),(VLOOKUP($C25,'V-LOOKUP'!$C$4:$M$59,11,FALSE)),"0")</f>
        <v>0</v>
      </c>
      <c r="EU25" s="192" t="str">
        <f>IF(AND($C25&lt;&gt;"",$Q25&lt;&gt;""),(VLOOKUP($C25,'V-LOOKUP'!$C$4:$N$59,12,FALSE)),"0")</f>
        <v>0</v>
      </c>
      <c r="EV25" s="192" t="str">
        <f>IF(AND($C25&lt;&gt;"",R25&lt;&gt;""),(VLOOKUP($C25,'V-LOOKUP'!$C$4:$M$59,4,FALSE)),"0")</f>
        <v>0</v>
      </c>
      <c r="EW25" s="192" t="str">
        <f>IF(AND($C25&lt;&gt;"",$R25&lt;&gt;""),(VLOOKUP($C25,'V-LOOKUP'!$C$4:$M$59,5,FALSE)),"0")</f>
        <v>0</v>
      </c>
      <c r="EX25" s="192" t="str">
        <f>IF(AND($C25&lt;&gt;"",$R25&lt;&gt;""),(VLOOKUP($C25,'V-LOOKUP'!$C$4:$M$59,6,FALSE)),"0")</f>
        <v>0</v>
      </c>
      <c r="EY25" s="192" t="str">
        <f>IF(AND($C25&lt;&gt;"",$R25&lt;&gt;""),(VLOOKUP($C25,'V-LOOKUP'!$C$4:$M$59,7,FALSE)),"0")</f>
        <v>0</v>
      </c>
      <c r="EZ25" s="192" t="str">
        <f>IF(AND($C25&lt;&gt;"",$R25&lt;&gt;""),(VLOOKUP($C25,'V-LOOKUP'!$C$4:$M$59,8,FALSE)),"0")</f>
        <v>0</v>
      </c>
      <c r="FA25" s="192" t="str">
        <f>IF(AND($C25&lt;&gt;"",$R25&lt;&gt;""),(VLOOKUP($C25,'V-LOOKUP'!$C$4:$M$59,9,FALSE)),"0")</f>
        <v>0</v>
      </c>
      <c r="FB25" s="192" t="str">
        <f>IF(AND($C25&lt;&gt;"",$R25&lt;&gt;""),(VLOOKUP($C25,'V-LOOKUP'!$C$4:$M$59,10,FALSE)),"0")</f>
        <v>0</v>
      </c>
      <c r="FC25" s="192" t="str">
        <f>IF(AND($C25&lt;&gt;"",$R25&lt;&gt;""),(VLOOKUP($C25,'V-LOOKUP'!$C$4:$M$59,11,FALSE)),"0")</f>
        <v>0</v>
      </c>
      <c r="FD25" s="192" t="str">
        <f>IF(AND($C25&lt;&gt;"",$R25&lt;&gt;""),(VLOOKUP($C25,'V-LOOKUP'!$C$4:$N$59,12,FALSE)),"0")</f>
        <v>0</v>
      </c>
      <c r="FE25" s="192" t="str">
        <f>IF(AND($C25&lt;&gt;"",S25&lt;&gt;""),(VLOOKUP($C25,'V-LOOKUP'!$C$4:$M$59,4,FALSE)),"0")</f>
        <v>0</v>
      </c>
      <c r="FF25" s="192" t="str">
        <f>IF(AND($C25&lt;&gt;"",$S25&lt;&gt;""),(VLOOKUP($C25,'V-LOOKUP'!$C$4:$M$59,5,FALSE)),"0")</f>
        <v>0</v>
      </c>
      <c r="FG25" s="192" t="str">
        <f>IF(AND($C25&lt;&gt;"",$S25&lt;&gt;""),(VLOOKUP($C25,'V-LOOKUP'!$C$4:$M$59,6,FALSE)),"0")</f>
        <v>0</v>
      </c>
      <c r="FH25" s="192" t="str">
        <f>IF(AND($C25&lt;&gt;"",$S25&lt;&gt;""),(VLOOKUP($C25,'V-LOOKUP'!$C$4:$M$59,7,FALSE)),"0")</f>
        <v>0</v>
      </c>
      <c r="FI25" s="192" t="str">
        <f>IF(AND($C25&lt;&gt;"",$S25&lt;&gt;""),(VLOOKUP($C25,'V-LOOKUP'!$C$4:$M$59,8,FALSE)),"0")</f>
        <v>0</v>
      </c>
      <c r="FJ25" s="192" t="str">
        <f>IF(AND($C25&lt;&gt;"",$S25&lt;&gt;""),(VLOOKUP($C25,'V-LOOKUP'!$C$4:$M$59,9,FALSE)),"0")</f>
        <v>0</v>
      </c>
      <c r="FK25" s="192" t="str">
        <f>IF(AND($C25&lt;&gt;"",$S25&lt;&gt;""),(VLOOKUP($C25,'V-LOOKUP'!$C$4:$M$59,10,FALSE)),"0")</f>
        <v>0</v>
      </c>
      <c r="FL25" s="192" t="str">
        <f>IF(AND($C25&lt;&gt;"",$S25&lt;&gt;""),(VLOOKUP($C25,'V-LOOKUP'!$C$4:$M$59,11,FALSE)),"0")</f>
        <v>0</v>
      </c>
      <c r="FM25" s="192" t="str">
        <f>IF(AND($C25&lt;&gt;"",$S25&lt;&gt;""),(VLOOKUP($C25,'V-LOOKUP'!$C$4:$N$59,12,FALSE)),"0")</f>
        <v>0</v>
      </c>
      <c r="FN25" s="192" t="str">
        <f>IF(AND($C25&lt;&gt;"",T25&lt;&gt;""),(VLOOKUP($C25,'V-LOOKUP'!$C$4:$M$59,4,FALSE)),"0")</f>
        <v>0</v>
      </c>
      <c r="FO25" s="192" t="str">
        <f>IF(AND($C25&lt;&gt;"",$T25&lt;&gt;""),(VLOOKUP($C25,'V-LOOKUP'!$C$4:$M$59,5,FALSE)),"0")</f>
        <v>0</v>
      </c>
      <c r="FP25" s="192" t="str">
        <f>IF(AND($C25&lt;&gt;"",$T25&lt;&gt;""),(VLOOKUP($C25,'V-LOOKUP'!$C$4:$M$59,6,FALSE)),"0")</f>
        <v>0</v>
      </c>
      <c r="FQ25" s="192" t="str">
        <f>IF(AND($C25&lt;&gt;"",$T25&lt;&gt;""),(VLOOKUP($C25,'V-LOOKUP'!$C$4:$M$59,7,FALSE)),"0")</f>
        <v>0</v>
      </c>
      <c r="FR25" s="192" t="str">
        <f>IF(AND($C25&lt;&gt;"",$T25&lt;&gt;""),(VLOOKUP($C25,'V-LOOKUP'!$C$4:$M$59,8,FALSE)),"0")</f>
        <v>0</v>
      </c>
      <c r="FS25" s="192" t="str">
        <f>IF(AND($C25&lt;&gt;"",$T25&lt;&gt;""),(VLOOKUP($C25,'V-LOOKUP'!$C$4:$M$59,9,FALSE)),"0")</f>
        <v>0</v>
      </c>
      <c r="FT25" s="192" t="str">
        <f>IF(AND($C25&lt;&gt;"",$T25&lt;&gt;""),(VLOOKUP($C25,'V-LOOKUP'!$C$4:$M$59,10,FALSE)),"0")</f>
        <v>0</v>
      </c>
      <c r="FU25" s="192" t="str">
        <f>IF(AND($C25&lt;&gt;"",$T25&lt;&gt;""),(VLOOKUP($C25,'V-LOOKUP'!$C$4:$M$59,11,FALSE)),"0")</f>
        <v>0</v>
      </c>
      <c r="FV25" s="192" t="str">
        <f>IF(AND($C25&lt;&gt;"",$T25&lt;&gt;""),(VLOOKUP($C25,'V-LOOKUP'!$C$4:$N$59,12,FALSE)),"0")</f>
        <v>0</v>
      </c>
      <c r="FW25" s="192" t="str">
        <f>IF(AND($C25&lt;&gt;"",U25&lt;&gt;""),(VLOOKUP($C25,'V-LOOKUP'!$C$4:$M$59,4,FALSE)),"0")</f>
        <v>0</v>
      </c>
      <c r="FX25" s="192" t="str">
        <f>IF(AND($C25&lt;&gt;"",$U25&lt;&gt;""),(VLOOKUP($C25,'V-LOOKUP'!$C$4:$M$59,5,FALSE)),"0")</f>
        <v>0</v>
      </c>
      <c r="FY25" s="192" t="str">
        <f>IF(AND($C25&lt;&gt;"",$U25&lt;&gt;""),(VLOOKUP($C25,'V-LOOKUP'!$C$4:$M$59,6,FALSE)),"0")</f>
        <v>0</v>
      </c>
      <c r="FZ25" s="192" t="str">
        <f>IF(AND($C25&lt;&gt;"",$U25&lt;&gt;""),(VLOOKUP($C25,'V-LOOKUP'!$C$4:$M$59,7,FALSE)),"0")</f>
        <v>0</v>
      </c>
      <c r="GA25" s="192" t="str">
        <f>IF(AND($C25&lt;&gt;"",$U25&lt;&gt;""),(VLOOKUP($C25,'V-LOOKUP'!$C$4:$M$59,8,FALSE)),"0")</f>
        <v>0</v>
      </c>
      <c r="GB25" s="192" t="str">
        <f>IF(AND($C25&lt;&gt;"",$U25&lt;&gt;""),(VLOOKUP($C25,'V-LOOKUP'!$C$4:$M$59,9,FALSE)),"0")</f>
        <v>0</v>
      </c>
      <c r="GC25" s="192" t="str">
        <f>IF(AND($C25&lt;&gt;"",$U25&lt;&gt;""),(VLOOKUP($C25,'V-LOOKUP'!$C$4:$M$59,10,FALSE)),"0")</f>
        <v>0</v>
      </c>
      <c r="GD25" s="192" t="str">
        <f>IF(AND($C25&lt;&gt;"",$U25&lt;&gt;""),(VLOOKUP($C25,'V-LOOKUP'!$C$4:$M$59,11,FALSE)),"0")</f>
        <v>0</v>
      </c>
      <c r="GE25" s="192" t="str">
        <f>IF(AND($C25&lt;&gt;"",$U25&lt;&gt;""),(VLOOKUP($C25,'V-LOOKUP'!$C$4:$N$59,12,FALSE)),"0")</f>
        <v>0</v>
      </c>
      <c r="GF25" s="192" t="str">
        <f>IF(AND($C25&lt;&gt;"",V25&lt;&gt;""),(VLOOKUP($C25,'V-LOOKUP'!$C$4:$M$59,4,FALSE)),"0")</f>
        <v>0</v>
      </c>
      <c r="GG25" s="192" t="str">
        <f>IF(AND($C25&lt;&gt;"",$V25&lt;&gt;""),(VLOOKUP($C25,'V-LOOKUP'!$C$4:$M$59,5,FALSE)),"0")</f>
        <v>0</v>
      </c>
      <c r="GH25" s="192" t="str">
        <f>IF(AND($C25&lt;&gt;"",$V25&lt;&gt;""),(VLOOKUP($C25,'V-LOOKUP'!$C$4:$M$59,6,FALSE)),"0")</f>
        <v>0</v>
      </c>
      <c r="GI25" s="192" t="str">
        <f>IF(AND($C25&lt;&gt;"",$V25&lt;&gt;""),(VLOOKUP($C25,'V-LOOKUP'!$C$4:$M$59,7,FALSE)),"0")</f>
        <v>0</v>
      </c>
      <c r="GJ25" s="192" t="str">
        <f>IF(AND($C25&lt;&gt;"",$V25&lt;&gt;""),(VLOOKUP($C25,'V-LOOKUP'!$C$4:$M$59,8,FALSE)),"0")</f>
        <v>0</v>
      </c>
      <c r="GK25" s="192" t="str">
        <f>IF(AND($C25&lt;&gt;"",$V25&lt;&gt;""),(VLOOKUP($C25,'V-LOOKUP'!$C$4:$M$59,9,FALSE)),"0")</f>
        <v>0</v>
      </c>
      <c r="GL25" s="192" t="str">
        <f>IF(AND($C25&lt;&gt;"",$V25&lt;&gt;""),(VLOOKUP($C25,'V-LOOKUP'!$C$4:$M$59,10,FALSE)),"0")</f>
        <v>0</v>
      </c>
      <c r="GM25" s="192" t="str">
        <f>IF(AND($C25&lt;&gt;"",$V25&lt;&gt;""),(VLOOKUP($C25,'V-LOOKUP'!$C$4:$M$59,11,FALSE)),"0")</f>
        <v>0</v>
      </c>
      <c r="GN25" s="192" t="str">
        <f>IF(AND($C25&lt;&gt;"",$V25&lt;&gt;""),(VLOOKUP($C25,'V-LOOKUP'!$C$4:$N$59,12,FALSE)),"0")</f>
        <v>0</v>
      </c>
      <c r="GO25" s="192" t="str">
        <f>IF(AND($C25&lt;&gt;"",W25&lt;&gt;""),(VLOOKUP($C25,'V-LOOKUP'!$C$4:$M$59,4,FALSE)),"0")</f>
        <v>0</v>
      </c>
      <c r="GP25" s="192" t="str">
        <f>IF(AND($C25&lt;&gt;"",$W25&lt;&gt;""),(VLOOKUP($C25,'V-LOOKUP'!$C$4:$M$59,5,FALSE)),"0")</f>
        <v>0</v>
      </c>
      <c r="GQ25" s="192" t="str">
        <f>IF(AND($C25&lt;&gt;"",$W25&lt;&gt;""),(VLOOKUP($C25,'V-LOOKUP'!$C$4:$M$59,6,FALSE)),"0")</f>
        <v>0</v>
      </c>
      <c r="GR25" s="192" t="str">
        <f>IF(AND($C25&lt;&gt;"",$W25&lt;&gt;""),(VLOOKUP($C25,'V-LOOKUP'!$C$4:$M$59,7,FALSE)),"0")</f>
        <v>0</v>
      </c>
      <c r="GS25" s="192" t="str">
        <f>IF(AND($C25&lt;&gt;"",$W25&lt;&gt;""),(VLOOKUP($C25,'V-LOOKUP'!$C$4:$M$59,8,FALSE)),"0")</f>
        <v>0</v>
      </c>
      <c r="GT25" s="192" t="str">
        <f>IF(AND($C25&lt;&gt;"",$W25&lt;&gt;""),(VLOOKUP($C25,'V-LOOKUP'!$C$4:$M$59,9,FALSE)),"0")</f>
        <v>0</v>
      </c>
      <c r="GU25" s="192" t="str">
        <f>IF(AND($C25&lt;&gt;"",$W25&lt;&gt;""),(VLOOKUP($C25,'V-LOOKUP'!$C$4:$M$59,10,FALSE)),"0")</f>
        <v>0</v>
      </c>
      <c r="GV25" s="192" t="str">
        <f>IF(AND($C25&lt;&gt;"",$W25&lt;&gt;""),(VLOOKUP($C25,'V-LOOKUP'!$C$4:$M$59,11,FALSE)),"0")</f>
        <v>0</v>
      </c>
      <c r="GW25" s="192" t="str">
        <f>IF(AND($C25&lt;&gt;"",$W25&lt;&gt;""),(VLOOKUP($C25,'V-LOOKUP'!$C$4:$N$59,12,FALSE)),"0")</f>
        <v>0</v>
      </c>
    </row>
    <row r="26" spans="1:205" ht="14.65" hidden="1" customHeight="1">
      <c r="A26" s="193"/>
      <c r="B26" s="245"/>
      <c r="C26" s="201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Y26" s="190"/>
      <c r="Z26" s="192" t="str">
        <f>IF(AND($C26&lt;&gt;"",$D26&lt;&gt;""),(VLOOKUP($C26,'V-LOOKUP'!$C$4:$M$59,4,FALSE)),"0")</f>
        <v>0</v>
      </c>
      <c r="AA26" s="192" t="str">
        <f>IF(AND($C26&lt;&gt;"",$D26&lt;&gt;""),(VLOOKUP($C26,'V-LOOKUP'!$C$4:$M$59,5,FALSE)),"0")</f>
        <v>0</v>
      </c>
      <c r="AB26" s="192" t="str">
        <f>IF(AND($C26&lt;&gt;"",$D26&lt;&gt;""),(VLOOKUP($C26,'V-LOOKUP'!$C$4:$M$59,6,FALSE)),"0")</f>
        <v>0</v>
      </c>
      <c r="AC26" s="192" t="str">
        <f>IF(AND($C26&lt;&gt;"",$D26&lt;&gt;""),(VLOOKUP($C26,'V-LOOKUP'!$C$4:$M$59,7,FALSE)),"0")</f>
        <v>0</v>
      </c>
      <c r="AD26" s="192" t="str">
        <f>IF(AND($C26&lt;&gt;"",$D26&lt;&gt;""),(VLOOKUP($C26,'V-LOOKUP'!$C$4:$M$59,8,FALSE)),"0")</f>
        <v>0</v>
      </c>
      <c r="AE26" s="192" t="str">
        <f>IF(AND($C26&lt;&gt;"",$D26&lt;&gt;""),(VLOOKUP($C26,'V-LOOKUP'!$C$4:$M$59,9,FALSE)),"0")</f>
        <v>0</v>
      </c>
      <c r="AF26" s="192" t="str">
        <f>IF(AND($C26&lt;&gt;"",$D26&lt;&gt;""),(VLOOKUP($C26,'V-LOOKUP'!$C$4:$M$59,10,FALSE)),"0")</f>
        <v>0</v>
      </c>
      <c r="AG26" s="192" t="str">
        <f>IF(AND($C26&lt;&gt;"",$D26&lt;&gt;""),(VLOOKUP($C26,'V-LOOKUP'!$C$4:$M$59,11,FALSE)),"0")</f>
        <v>0</v>
      </c>
      <c r="AH26" s="192" t="str">
        <f>IF(AND($C26&lt;&gt;"",$D26&lt;&gt;""),(VLOOKUP($C26,'V-LOOKUP'!$C$4:$N$59,12,FALSE)),"0")</f>
        <v>0</v>
      </c>
      <c r="AI26" s="192" t="str">
        <f>IF(AND($C26&lt;&gt;"",E26&lt;&gt;""),(VLOOKUP($C26,'V-LOOKUP'!$C$4:$M$59,4,FALSE)),"0")</f>
        <v>0</v>
      </c>
      <c r="AJ26" s="192" t="str">
        <f>IF(AND($C26&lt;&gt;"",$E26&lt;&gt;""),(VLOOKUP($C26,'V-LOOKUP'!$C$4:$M$59,5,FALSE)),"0")</f>
        <v>0</v>
      </c>
      <c r="AK26" s="192" t="str">
        <f>IF(AND($C26&lt;&gt;"",$E26&lt;&gt;""),(VLOOKUP($C26,'V-LOOKUP'!$C$4:$M$59,6,FALSE)),"0")</f>
        <v>0</v>
      </c>
      <c r="AL26" s="192" t="str">
        <f>IF(AND($C26&lt;&gt;"",$E26&lt;&gt;""),(VLOOKUP($C26,'V-LOOKUP'!$C$4:$M$59,7,FALSE)),"0")</f>
        <v>0</v>
      </c>
      <c r="AM26" s="192" t="str">
        <f>IF(AND($C26&lt;&gt;"",$E26&lt;&gt;""),(VLOOKUP($C26,'V-LOOKUP'!$C$4:$M$59,8,FALSE)),"0")</f>
        <v>0</v>
      </c>
      <c r="AN26" s="192" t="str">
        <f>IF(AND($C26&lt;&gt;"",$E26&lt;&gt;""),(VLOOKUP($C26,'V-LOOKUP'!$C$4:$M$59,9,FALSE)),"0")</f>
        <v>0</v>
      </c>
      <c r="AO26" s="192" t="str">
        <f>IF(AND($C26&lt;&gt;"",$E26&lt;&gt;""),(VLOOKUP($C26,'V-LOOKUP'!$C$4:$M$59,10,FALSE)),"0")</f>
        <v>0</v>
      </c>
      <c r="AP26" s="192" t="str">
        <f>IF(AND($C26&lt;&gt;"",$E26&lt;&gt;""),(VLOOKUP($C26,'V-LOOKUP'!$C$4:$M$59,11,FALSE)),"0")</f>
        <v>0</v>
      </c>
      <c r="AQ26" s="192" t="str">
        <f>IF(AND($C26&lt;&gt;"",$E26&lt;&gt;""),(VLOOKUP($C26,'V-LOOKUP'!$C$4:$N$59,12,FALSE)),"0")</f>
        <v>0</v>
      </c>
      <c r="AR26" s="192" t="str">
        <f>IF(AND($C26&lt;&gt;"",$F26&lt;&gt;""),(VLOOKUP($C26,'V-LOOKUP'!$C$4:$M$59,4,FALSE)),"0")</f>
        <v>0</v>
      </c>
      <c r="AS26" s="192" t="str">
        <f>IF(AND($C26&lt;&gt;"",$F26&lt;&gt;""),(VLOOKUP($C26,'V-LOOKUP'!$C$4:$M$59,5,FALSE)),"0")</f>
        <v>0</v>
      </c>
      <c r="AT26" s="192" t="str">
        <f>IF(AND($C26&lt;&gt;"",$F26&lt;&gt;""),(VLOOKUP($C26,'V-LOOKUP'!$C$4:$M$59,6,FALSE)),"0")</f>
        <v>0</v>
      </c>
      <c r="AU26" s="192" t="str">
        <f>IF(AND($C26&lt;&gt;"",$F26&lt;&gt;""),(VLOOKUP($C26,'V-LOOKUP'!$C$4:$M$59,7,FALSE)),"0")</f>
        <v>0</v>
      </c>
      <c r="AV26" s="192" t="str">
        <f>IF(AND($C26&lt;&gt;"",$F26&lt;&gt;""),(VLOOKUP($C26,'V-LOOKUP'!$C$4:$M$59,8,FALSE)),"0")</f>
        <v>0</v>
      </c>
      <c r="AW26" s="192" t="str">
        <f>IF(AND($C26&lt;&gt;"",$F26&lt;&gt;""),(VLOOKUP($C26,'V-LOOKUP'!$C$4:$M$59,9,FALSE)),"0")</f>
        <v>0</v>
      </c>
      <c r="AX26" s="192" t="str">
        <f>IF(AND($C26&lt;&gt;"",$F26&lt;&gt;""),(VLOOKUP($C26,'V-LOOKUP'!$C$4:$M$59,10,FALSE)),"0")</f>
        <v>0</v>
      </c>
      <c r="AY26" s="192" t="str">
        <f>IF(AND($C26&lt;&gt;"",$F26&lt;&gt;""),(VLOOKUP($C26,'V-LOOKUP'!$C$4:$M$59,11,FALSE)),"0")</f>
        <v>0</v>
      </c>
      <c r="AZ26" s="192" t="str">
        <f>IF(AND($C26&lt;&gt;"",$F26&lt;&gt;""),(VLOOKUP($C26,'V-LOOKUP'!$C$4:$N$59,12,FALSE)),"0")</f>
        <v>0</v>
      </c>
      <c r="BA26" s="192" t="str">
        <f>IF(AND($C26&lt;&gt;"",G26&lt;&gt;""),(VLOOKUP($C26,'V-LOOKUP'!$C$4:$M$59,4,FALSE)),"0")</f>
        <v>0</v>
      </c>
      <c r="BB26" s="192" t="str">
        <f>IF(AND($C26&lt;&gt;"",$G26&lt;&gt;""),(VLOOKUP($C26,'V-LOOKUP'!$C$4:$M$59,5,FALSE)),"0")</f>
        <v>0</v>
      </c>
      <c r="BC26" s="192" t="str">
        <f>IF(AND($C26&lt;&gt;"",$G26&lt;&gt;""),(VLOOKUP($C26,'V-LOOKUP'!$C$4:$M$59,6,FALSE)),"0")</f>
        <v>0</v>
      </c>
      <c r="BD26" s="192" t="str">
        <f>IF(AND($C26&lt;&gt;"",$G26&lt;&gt;""),(VLOOKUP($C26,'V-LOOKUP'!$C$4:$M$59,7,FALSE)),"0")</f>
        <v>0</v>
      </c>
      <c r="BE26" s="192" t="str">
        <f>IF(AND($C26&lt;&gt;"",$G26&lt;&gt;""),(VLOOKUP($C26,'V-LOOKUP'!$C$4:$M$59,8,FALSE)),"0")</f>
        <v>0</v>
      </c>
      <c r="BF26" s="192" t="str">
        <f>IF(AND($C26&lt;&gt;"",$G26&lt;&gt;""),(VLOOKUP($C26,'V-LOOKUP'!$C$4:$M$59,9,FALSE)),"0")</f>
        <v>0</v>
      </c>
      <c r="BG26" s="192" t="str">
        <f>IF(AND($C26&lt;&gt;"",$G26&lt;&gt;""),(VLOOKUP($C26,'V-LOOKUP'!$C$4:$M$59,10,FALSE)),"0")</f>
        <v>0</v>
      </c>
      <c r="BH26" s="192" t="str">
        <f>IF(AND($C26&lt;&gt;"",$G26&lt;&gt;""),(VLOOKUP($C26,'V-LOOKUP'!$C$4:$M$59,11,FALSE)),"0")</f>
        <v>0</v>
      </c>
      <c r="BI26" s="192" t="str">
        <f>IF(AND($C26&lt;&gt;"",$G26&lt;&gt;""),(VLOOKUP($C26,'V-LOOKUP'!$C$4:$N$59,12,FALSE)),"0")</f>
        <v>0</v>
      </c>
      <c r="BJ26" s="192" t="str">
        <f>IF(AND($C26&lt;&gt;"",H26&lt;&gt;""),(VLOOKUP($C26,'V-LOOKUP'!$C$4:$M$59,4,FALSE)),"0")</f>
        <v>0</v>
      </c>
      <c r="BK26" s="192" t="str">
        <f>IF(AND($C26&lt;&gt;"",$G26&lt;&gt;""),(VLOOKUP($C26,'V-LOOKUP'!$C$4:$M$59,5,FALSE)),"0")</f>
        <v>0</v>
      </c>
      <c r="BL26" s="192" t="str">
        <f>IF(AND($C26&lt;&gt;"",$H26&lt;&gt;""),(VLOOKUP($C26,'V-LOOKUP'!$C$4:$M$59,6,FALSE)),"0")</f>
        <v>0</v>
      </c>
      <c r="BM26" s="192" t="str">
        <f>IF(AND($C26&lt;&gt;"",$H26&lt;&gt;""),(VLOOKUP($C26,'V-LOOKUP'!$C$4:$M$59,7,FALSE)),"0")</f>
        <v>0</v>
      </c>
      <c r="BN26" s="192" t="str">
        <f>IF(AND($C26&lt;&gt;"",$H26&lt;&gt;""),(VLOOKUP($C26,'V-LOOKUP'!$C$4:$M$59,8,FALSE)),"0")</f>
        <v>0</v>
      </c>
      <c r="BO26" s="192" t="str">
        <f>IF(AND($C26&lt;&gt;"",$H26&lt;&gt;""),(VLOOKUP($C26,'V-LOOKUP'!$C$4:$M$59,9,FALSE)),"0")</f>
        <v>0</v>
      </c>
      <c r="BP26" s="192" t="str">
        <f>IF(AND($C26&lt;&gt;"",$H26&lt;&gt;""),(VLOOKUP($C26,'V-LOOKUP'!$C$4:$M$59,10,FALSE)),"0")</f>
        <v>0</v>
      </c>
      <c r="BQ26" s="192" t="str">
        <f>IF(AND($C26&lt;&gt;"",$H26&lt;&gt;""),(VLOOKUP($C26,'V-LOOKUP'!$C$4:$M$59,11,FALSE)),"0")</f>
        <v>0</v>
      </c>
      <c r="BR26" s="192" t="str">
        <f>IF(AND($C26&lt;&gt;"",$H26&lt;&gt;""),(VLOOKUP($C26,'V-LOOKUP'!$C$4:$N$59,12,FALSE)),"0")</f>
        <v>0</v>
      </c>
      <c r="BS26" s="192" t="str">
        <f>IF(AND($C26&lt;&gt;"",I26&lt;&gt;""),(VLOOKUP($C26,'V-LOOKUP'!$C$4:$M$59,4,FALSE)),"0")</f>
        <v>0</v>
      </c>
      <c r="BT26" s="192" t="str">
        <f>IF(AND($C26&lt;&gt;"",$I26&lt;&gt;""),(VLOOKUP($C26,'V-LOOKUP'!$C$4:$M$59,5,FALSE)),"0")</f>
        <v>0</v>
      </c>
      <c r="BU26" s="192" t="str">
        <f>IF(AND($C26&lt;&gt;"",$I26&lt;&gt;""),(VLOOKUP($C26,'V-LOOKUP'!$C$4:$M$59,6,FALSE)),"0")</f>
        <v>0</v>
      </c>
      <c r="BV26" s="192" t="str">
        <f>IF(AND($C26&lt;&gt;"",$I26&lt;&gt;""),(VLOOKUP($C26,'V-LOOKUP'!$C$4:$M$59,7,FALSE)),"0")</f>
        <v>0</v>
      </c>
      <c r="BW26" s="192" t="str">
        <f>IF(AND($C26&lt;&gt;"",$I26&lt;&gt;""),(VLOOKUP($C26,'V-LOOKUP'!$C$4:$M$59,8,FALSE)),"0")</f>
        <v>0</v>
      </c>
      <c r="BX26" s="192" t="str">
        <f>IF(AND($C26&lt;&gt;"",$I26&lt;&gt;""),(VLOOKUP($C26,'V-LOOKUP'!$C$4:$M$59,9,FALSE)),"0")</f>
        <v>0</v>
      </c>
      <c r="BY26" s="192" t="str">
        <f>IF(AND($C26&lt;&gt;"",$I26&lt;&gt;""),(VLOOKUP($C26,'V-LOOKUP'!$C$4:$M$59,10,FALSE)),"0")</f>
        <v>0</v>
      </c>
      <c r="BZ26" s="192" t="str">
        <f>IF(AND($C26&lt;&gt;"",$I26&lt;&gt;""),(VLOOKUP($C26,'V-LOOKUP'!$C$4:$M$59,11,FALSE)),"0")</f>
        <v>0</v>
      </c>
      <c r="CA26" s="192" t="str">
        <f>IF(AND($C26&lt;&gt;"",$I26&lt;&gt;""),(VLOOKUP($C26,'V-LOOKUP'!$C$4:$N$59,12,FALSE)),"0")</f>
        <v>0</v>
      </c>
      <c r="CB26" s="192" t="str">
        <f>IF(AND($C26&lt;&gt;"",J26&lt;&gt;""),(VLOOKUP($C26,'V-LOOKUP'!$C$4:$M$59,4,FALSE)),"0")</f>
        <v>0</v>
      </c>
      <c r="CC26" s="192" t="str">
        <f>IF(AND($C26&lt;&gt;"",$J26&lt;&gt;""),(VLOOKUP($C26,'V-LOOKUP'!$C$4:$M$59,5,FALSE)),"0")</f>
        <v>0</v>
      </c>
      <c r="CD26" s="192" t="str">
        <f>IF(AND($C26&lt;&gt;"",$J26&lt;&gt;""),(VLOOKUP($C26,'V-LOOKUP'!$C$4:$M$59,6,FALSE)),"0")</f>
        <v>0</v>
      </c>
      <c r="CE26" s="192" t="str">
        <f>IF(AND($C26&lt;&gt;"",$J26&lt;&gt;""),(VLOOKUP($C26,'V-LOOKUP'!$C$4:$M$59,7,FALSE)),"0")</f>
        <v>0</v>
      </c>
      <c r="CF26" s="192" t="str">
        <f>IF(AND($C26&lt;&gt;"",$J26&lt;&gt;""),(VLOOKUP($C26,'V-LOOKUP'!$C$4:$M$59,8,FALSE)),"0")</f>
        <v>0</v>
      </c>
      <c r="CG26" s="192" t="str">
        <f>IF(AND($C26&lt;&gt;"",$J26&lt;&gt;""),(VLOOKUP($C26,'V-LOOKUP'!$C$4:$M$59,9,FALSE)),"0")</f>
        <v>0</v>
      </c>
      <c r="CH26" s="192" t="str">
        <f>IF(AND($C26&lt;&gt;"",$J26&lt;&gt;""),(VLOOKUP($C26,'V-LOOKUP'!$C$4:$M$59,10,FALSE)),"0")</f>
        <v>0</v>
      </c>
      <c r="CI26" s="192" t="str">
        <f>IF(AND($C26&lt;&gt;"",$J26&lt;&gt;""),(VLOOKUP($C26,'V-LOOKUP'!$C$4:$M$59,11,FALSE)),"0")</f>
        <v>0</v>
      </c>
      <c r="CJ26" s="192" t="str">
        <f>IF(AND($C26&lt;&gt;"",$J26&lt;&gt;""),(VLOOKUP($C26,'V-LOOKUP'!$C$4:$N$59,12,FALSE)),"0")</f>
        <v>0</v>
      </c>
      <c r="CK26" s="192" t="str">
        <f>IF(AND($C26&lt;&gt;"",K26&lt;&gt;""),(VLOOKUP($C26,'V-LOOKUP'!$C$4:$M$59,4,FALSE)),"0")</f>
        <v>0</v>
      </c>
      <c r="CL26" s="192" t="str">
        <f>IF(AND($C26&lt;&gt;"",$K26&lt;&gt;""),(VLOOKUP($C26,'V-LOOKUP'!$C$4:$M$59,5,FALSE)),"0")</f>
        <v>0</v>
      </c>
      <c r="CM26" s="192" t="str">
        <f>IF(AND($C26&lt;&gt;"",$K26&lt;&gt;""),(VLOOKUP($C26,'V-LOOKUP'!$C$4:$M$59,6,FALSE)),"0")</f>
        <v>0</v>
      </c>
      <c r="CN26" s="192" t="str">
        <f>IF(AND($C26&lt;&gt;"",$K26&lt;&gt;""),(VLOOKUP($C26,'V-LOOKUP'!$C$4:$M$59,7,FALSE)),"0")</f>
        <v>0</v>
      </c>
      <c r="CO26" s="192" t="str">
        <f>IF(AND($C26&lt;&gt;"",$K26&lt;&gt;""),(VLOOKUP($C26,'V-LOOKUP'!$C$4:$M$59,8,FALSE)),"0")</f>
        <v>0</v>
      </c>
      <c r="CP26" s="192" t="str">
        <f>IF(AND($C26&lt;&gt;"",$K26&lt;&gt;""),(VLOOKUP($C26,'V-LOOKUP'!$C$4:$M$59,9,FALSE)),"0")</f>
        <v>0</v>
      </c>
      <c r="CQ26" s="192" t="str">
        <f>IF(AND($C26&lt;&gt;"",$K26&lt;&gt;""),(VLOOKUP($C26,'V-LOOKUP'!$C$4:$M$59,10,FALSE)),"0")</f>
        <v>0</v>
      </c>
      <c r="CR26" s="192" t="str">
        <f>IF(AND($C26&lt;&gt;"",$K26&lt;&gt;""),(VLOOKUP($C26,'V-LOOKUP'!$C$4:$M$59,11,FALSE)),"0")</f>
        <v>0</v>
      </c>
      <c r="CS26" s="192" t="str">
        <f>IF(AND($C26&lt;&gt;"",$K26&lt;&gt;""),(VLOOKUP($C26,'V-LOOKUP'!$C$4:$N$59,12,FALSE)),"0")</f>
        <v>0</v>
      </c>
      <c r="CT26" s="192" t="str">
        <f>IF(AND($C26&lt;&gt;"",L26&lt;&gt;""),(VLOOKUP($C26,'V-LOOKUP'!$C$4:$M$59,4,FALSE)),"0")</f>
        <v>0</v>
      </c>
      <c r="CU26" s="192" t="str">
        <f>IF(AND($C26&lt;&gt;"",$L26&lt;&gt;""),(VLOOKUP($C26,'V-LOOKUP'!$C$4:$M$59,5,FALSE)),"0")</f>
        <v>0</v>
      </c>
      <c r="CV26" s="192" t="str">
        <f>IF(AND($C26&lt;&gt;"",$L26&lt;&gt;""),(VLOOKUP($C26,'V-LOOKUP'!$C$4:$M$59,6,FALSE)),"0")</f>
        <v>0</v>
      </c>
      <c r="CW26" s="192" t="str">
        <f>IF(AND($C26&lt;&gt;"",$L26&lt;&gt;""),(VLOOKUP($C26,'V-LOOKUP'!$C$4:$M$59,7,FALSE)),"0")</f>
        <v>0</v>
      </c>
      <c r="CX26" s="192" t="str">
        <f>IF(AND($C26&lt;&gt;"",$L26&lt;&gt;""),(VLOOKUP($C26,'V-LOOKUP'!$C$4:$M$59,8,FALSE)),"0")</f>
        <v>0</v>
      </c>
      <c r="CY26" s="192" t="str">
        <f>IF(AND($C26&lt;&gt;"",$L26&lt;&gt;""),(VLOOKUP($C26,'V-LOOKUP'!$C$4:$M$59,9,FALSE)),"0")</f>
        <v>0</v>
      </c>
      <c r="CZ26" s="192" t="str">
        <f>IF(AND($C26&lt;&gt;"",$L26&lt;&gt;""),(VLOOKUP($C26,'V-LOOKUP'!$C$4:$M$59,10,FALSE)),"0")</f>
        <v>0</v>
      </c>
      <c r="DA26" s="192" t="str">
        <f>IF(AND($C26&lt;&gt;"",$L26&lt;&gt;""),(VLOOKUP($C26,'V-LOOKUP'!$C$4:$M$59,11,FALSE)),"0")</f>
        <v>0</v>
      </c>
      <c r="DB26" s="192" t="str">
        <f>IF(AND($C26&lt;&gt;"",$L26&lt;&gt;""),(VLOOKUP($C26,'V-LOOKUP'!$C$4:$N$59,12,FALSE)),"0")</f>
        <v>0</v>
      </c>
      <c r="DC26" s="192" t="str">
        <f>IF(AND($C26&lt;&gt;"",M26&lt;&gt;""),(VLOOKUP($C26,'V-LOOKUP'!$C$4:$M$59,4,FALSE)),"0")</f>
        <v>0</v>
      </c>
      <c r="DD26" s="192" t="str">
        <f>IF(AND($C26&lt;&gt;"",$M26&lt;&gt;""),(VLOOKUP($C26,'V-LOOKUP'!$C$4:$M$59,5,FALSE)),"0")</f>
        <v>0</v>
      </c>
      <c r="DE26" s="192" t="str">
        <f>IF(AND($C26&lt;&gt;"",$M26&lt;&gt;""),(VLOOKUP($C26,'V-LOOKUP'!$C$4:$M$59,6,FALSE)),"0")</f>
        <v>0</v>
      </c>
      <c r="DF26" s="192" t="str">
        <f>IF(AND($C26&lt;&gt;"",$M26&lt;&gt;""),(VLOOKUP($C26,'V-LOOKUP'!$C$4:$M$59,7,FALSE)),"0")</f>
        <v>0</v>
      </c>
      <c r="DG26" s="192" t="str">
        <f>IF(AND($C26&lt;&gt;"",$M26&lt;&gt;""),(VLOOKUP($C26,'V-LOOKUP'!$C$4:$M$59,8,FALSE)),"0")</f>
        <v>0</v>
      </c>
      <c r="DH26" s="192" t="str">
        <f>IF(AND($C26&lt;&gt;"",$M26&lt;&gt;""),(VLOOKUP($C26,'V-LOOKUP'!$C$4:$M$59,9,FALSE)),"0")</f>
        <v>0</v>
      </c>
      <c r="DI26" s="192" t="str">
        <f>IF(AND($C26&lt;&gt;"",$M26&lt;&gt;""),(VLOOKUP($C26,'V-LOOKUP'!$C$4:$M$59,10,FALSE)),"0")</f>
        <v>0</v>
      </c>
      <c r="DJ26" s="192" t="str">
        <f>IF(AND($C26&lt;&gt;"",$M26&lt;&gt;""),(VLOOKUP($C26,'V-LOOKUP'!$C$4:$M$59,11,FALSE)),"0")</f>
        <v>0</v>
      </c>
      <c r="DK26" s="192" t="str">
        <f>IF(AND($C26&lt;&gt;"",$M26&lt;&gt;""),(VLOOKUP($C26,'V-LOOKUP'!$C$4:$N$59,12,FALSE)),"0")</f>
        <v>0</v>
      </c>
      <c r="DL26" s="192" t="str">
        <f>IF(AND($C26&lt;&gt;"",$N26&lt;&gt;""),(VLOOKUP($C26,'V-LOOKUP'!$C$4:$M$59,4,FALSE)),"0")</f>
        <v>0</v>
      </c>
      <c r="DM26" s="192" t="str">
        <f>IF(AND($C26&lt;&gt;"",$N26&lt;&gt;""),(VLOOKUP($C26,'V-LOOKUP'!$C$4:$M$59,5,FALSE)),"0")</f>
        <v>0</v>
      </c>
      <c r="DN26" s="192" t="str">
        <f>IF(AND($C26&lt;&gt;"",$N26&lt;&gt;""),(VLOOKUP($C26,'V-LOOKUP'!$C$4:$M$59,6,FALSE)),"0")</f>
        <v>0</v>
      </c>
      <c r="DO26" s="192" t="str">
        <f>IF(AND($C26&lt;&gt;"",$N26&lt;&gt;""),(VLOOKUP($C26,'V-LOOKUP'!$C$4:$M$59,7,FALSE)),"0")</f>
        <v>0</v>
      </c>
      <c r="DP26" s="192" t="str">
        <f>IF(AND($C26&lt;&gt;"",$N26&lt;&gt;""),(VLOOKUP($C26,'V-LOOKUP'!$C$4:$M$59,8,FALSE)),"0")</f>
        <v>0</v>
      </c>
      <c r="DQ26" s="192" t="str">
        <f>IF(AND($C26&lt;&gt;"",$N26&lt;&gt;""),(VLOOKUP($C26,'V-LOOKUP'!$C$4:$M$59,9,FALSE)),"0")</f>
        <v>0</v>
      </c>
      <c r="DR26" s="192" t="str">
        <f>IF(AND($C26&lt;&gt;"",$N26&lt;&gt;""),(VLOOKUP($C26,'V-LOOKUP'!$C$4:$M$59,10,FALSE)),"0")</f>
        <v>0</v>
      </c>
      <c r="DS26" s="192" t="str">
        <f>IF(AND($C26&lt;&gt;"",$N26&lt;&gt;""),(VLOOKUP($C26,'V-LOOKUP'!$C$4:$M$59,11,FALSE)),"0")</f>
        <v>0</v>
      </c>
      <c r="DT26" s="192" t="str">
        <f>IF(AND($C26&lt;&gt;"",$N26&lt;&gt;""),(VLOOKUP($C26,'V-LOOKUP'!$C$4:$N$59,12,FALSE)),"0")</f>
        <v>0</v>
      </c>
      <c r="DU26" s="192" t="str">
        <f>IF(AND($C26&lt;&gt;"",O26&lt;&gt;""),(VLOOKUP($C26,'V-LOOKUP'!$C$4:$M$59,4,FALSE)),"0")</f>
        <v>0</v>
      </c>
      <c r="DV26" s="192" t="str">
        <f>IF(AND($C26&lt;&gt;"",$O26&lt;&gt;""),(VLOOKUP($C26,'V-LOOKUP'!$C$4:$M$59,5,FALSE)),"0")</f>
        <v>0</v>
      </c>
      <c r="DW26" s="192" t="str">
        <f>IF(AND($C26&lt;&gt;"",$O26&lt;&gt;""),(VLOOKUP($C26,'V-LOOKUP'!$C$4:$M$59,6,FALSE)),"0")</f>
        <v>0</v>
      </c>
      <c r="DX26" s="192" t="str">
        <f>IF(AND($C26&lt;&gt;"",$O26&lt;&gt;""),(VLOOKUP($C26,'V-LOOKUP'!$C$4:$M$59,7,FALSE)),"0")</f>
        <v>0</v>
      </c>
      <c r="DY26" s="192" t="str">
        <f>IF(AND($C26&lt;&gt;"",$O26&lt;&gt;""),(VLOOKUP($C26,'V-LOOKUP'!$C$4:$M$59,8,FALSE)),"0")</f>
        <v>0</v>
      </c>
      <c r="DZ26" s="192" t="str">
        <f>IF(AND($C26&lt;&gt;"",$O26&lt;&gt;""),(VLOOKUP($C26,'V-LOOKUP'!$C$4:$M$59,9,FALSE)),"0")</f>
        <v>0</v>
      </c>
      <c r="EA26" s="192" t="str">
        <f>IF(AND($C26&lt;&gt;"",$O26&lt;&gt;""),(VLOOKUP($C26,'V-LOOKUP'!$C$4:$M$59,10,FALSE)),"0")</f>
        <v>0</v>
      </c>
      <c r="EB26" s="192" t="str">
        <f>IF(AND($C26&lt;&gt;"",$O26&lt;&gt;""),(VLOOKUP($C26,'V-LOOKUP'!$C$4:$M$59,11,FALSE)),"0")</f>
        <v>0</v>
      </c>
      <c r="EC26" s="192" t="str">
        <f>IF(AND($C26&lt;&gt;"",$O26&lt;&gt;""),(VLOOKUP($C26,'V-LOOKUP'!$C$4:$N$59,12,FALSE)),"0")</f>
        <v>0</v>
      </c>
      <c r="ED26" s="192" t="str">
        <f>IF(AND($C26&lt;&gt;"",P26&lt;&gt;""),(VLOOKUP($C26,'V-LOOKUP'!$C$4:$M$59,4,FALSE)),"0")</f>
        <v>0</v>
      </c>
      <c r="EE26" s="192" t="str">
        <f>IF(AND($C26&lt;&gt;"",$P26&lt;&gt;""),(VLOOKUP($C26,'V-LOOKUP'!$C$4:$M$59,5,FALSE)),"0")</f>
        <v>0</v>
      </c>
      <c r="EF26" s="192" t="str">
        <f>IF(AND($C26&lt;&gt;"",$P26&lt;&gt;""),(VLOOKUP($C26,'V-LOOKUP'!$C$4:$M$59,6,FALSE)),"0")</f>
        <v>0</v>
      </c>
      <c r="EG26" s="192" t="str">
        <f>IF(AND($C26&lt;&gt;"",$P26&lt;&gt;""),(VLOOKUP($C26,'V-LOOKUP'!$C$4:$M$59,7,FALSE)),"0")</f>
        <v>0</v>
      </c>
      <c r="EH26" s="192" t="str">
        <f>IF(AND($C26&lt;&gt;"",$P26&lt;&gt;""),(VLOOKUP($C26,'V-LOOKUP'!$C$4:$M$59,8,FALSE)),"0")</f>
        <v>0</v>
      </c>
      <c r="EI26" s="192" t="str">
        <f>IF(AND($C26&lt;&gt;"",$P26&lt;&gt;""),(VLOOKUP($C26,'V-LOOKUP'!$C$4:$M$59,9,FALSE)),"0")</f>
        <v>0</v>
      </c>
      <c r="EJ26" s="192" t="str">
        <f>IF(AND($C26&lt;&gt;"",$P26&lt;&gt;""),(VLOOKUP($C26,'V-LOOKUP'!$C$4:$M$59,10,FALSE)),"0")</f>
        <v>0</v>
      </c>
      <c r="EK26" s="192" t="str">
        <f>IF(AND($C26&lt;&gt;"",$P26&lt;&gt;""),(VLOOKUP($C26,'V-LOOKUP'!$C$4:$M$59,11,FALSE)),"0")</f>
        <v>0</v>
      </c>
      <c r="EL26" s="192" t="str">
        <f>IF(AND($C26&lt;&gt;"",$P26&lt;&gt;""),(VLOOKUP($C26,'V-LOOKUP'!$C$4:$N$59,12,FALSE)),"0")</f>
        <v>0</v>
      </c>
      <c r="EM26" s="192" t="str">
        <f>IF(AND($C26&lt;&gt;"",Q26&lt;&gt;""),(VLOOKUP($C26,'V-LOOKUP'!$C$4:$M$59,4,FALSE)),"0")</f>
        <v>0</v>
      </c>
      <c r="EN26" s="192" t="str">
        <f>IF(AND($C26&lt;&gt;"",$Q26&lt;&gt;""),(VLOOKUP($C26,'V-LOOKUP'!$C$4:$M$59,5,FALSE)),"0")</f>
        <v>0</v>
      </c>
      <c r="EO26" s="192" t="str">
        <f>IF(AND($C26&lt;&gt;"",$Q26&lt;&gt;""),(VLOOKUP($C26,'V-LOOKUP'!$C$4:$M$59,6,FALSE)),"0")</f>
        <v>0</v>
      </c>
      <c r="EP26" s="192" t="str">
        <f>IF(AND($C26&lt;&gt;"",$Q26&lt;&gt;""),(VLOOKUP($C26,'V-LOOKUP'!$C$4:$M$59,7,FALSE)),"0")</f>
        <v>0</v>
      </c>
      <c r="EQ26" s="192" t="str">
        <f>IF(AND($C26&lt;&gt;"",$Q26&lt;&gt;""),(VLOOKUP($C26,'V-LOOKUP'!$C$4:$M$59,8,FALSE)),"0")</f>
        <v>0</v>
      </c>
      <c r="ER26" s="192" t="str">
        <f>IF(AND($C26&lt;&gt;"",$Q26&lt;&gt;""),(VLOOKUP($C26,'V-LOOKUP'!$C$4:$M$59,9,FALSE)),"0")</f>
        <v>0</v>
      </c>
      <c r="ES26" s="192" t="str">
        <f>IF(AND($C26&lt;&gt;"",$Q26&lt;&gt;""),(VLOOKUP($C26,'V-LOOKUP'!$C$4:$M$59,10,FALSE)),"0")</f>
        <v>0</v>
      </c>
      <c r="ET26" s="192" t="str">
        <f>IF(AND($C26&lt;&gt;"",$Q26&lt;&gt;""),(VLOOKUP($C26,'V-LOOKUP'!$C$4:$M$59,11,FALSE)),"0")</f>
        <v>0</v>
      </c>
      <c r="EU26" s="192" t="str">
        <f>IF(AND($C26&lt;&gt;"",$Q26&lt;&gt;""),(VLOOKUP($C26,'V-LOOKUP'!$C$4:$N$59,12,FALSE)),"0")</f>
        <v>0</v>
      </c>
      <c r="EV26" s="192" t="str">
        <f>IF(AND($C26&lt;&gt;"",R26&lt;&gt;""),(VLOOKUP($C26,'V-LOOKUP'!$C$4:$M$59,4,FALSE)),"0")</f>
        <v>0</v>
      </c>
      <c r="EW26" s="192" t="str">
        <f>IF(AND($C26&lt;&gt;"",$R26&lt;&gt;""),(VLOOKUP($C26,'V-LOOKUP'!$C$4:$M$59,5,FALSE)),"0")</f>
        <v>0</v>
      </c>
      <c r="EX26" s="192" t="str">
        <f>IF(AND($C26&lt;&gt;"",$R26&lt;&gt;""),(VLOOKUP($C26,'V-LOOKUP'!$C$4:$M$59,6,FALSE)),"0")</f>
        <v>0</v>
      </c>
      <c r="EY26" s="192" t="str">
        <f>IF(AND($C26&lt;&gt;"",$R26&lt;&gt;""),(VLOOKUP($C26,'V-LOOKUP'!$C$4:$M$59,7,FALSE)),"0")</f>
        <v>0</v>
      </c>
      <c r="EZ26" s="192" t="str">
        <f>IF(AND($C26&lt;&gt;"",$R26&lt;&gt;""),(VLOOKUP($C26,'V-LOOKUP'!$C$4:$M$59,8,FALSE)),"0")</f>
        <v>0</v>
      </c>
      <c r="FA26" s="192" t="str">
        <f>IF(AND($C26&lt;&gt;"",$R26&lt;&gt;""),(VLOOKUP($C26,'V-LOOKUP'!$C$4:$M$59,9,FALSE)),"0")</f>
        <v>0</v>
      </c>
      <c r="FB26" s="192" t="str">
        <f>IF(AND($C26&lt;&gt;"",$R26&lt;&gt;""),(VLOOKUP($C26,'V-LOOKUP'!$C$4:$M$59,10,FALSE)),"0")</f>
        <v>0</v>
      </c>
      <c r="FC26" s="192" t="str">
        <f>IF(AND($C26&lt;&gt;"",$R26&lt;&gt;""),(VLOOKUP($C26,'V-LOOKUP'!$C$4:$M$59,11,FALSE)),"0")</f>
        <v>0</v>
      </c>
      <c r="FD26" s="192" t="str">
        <f>IF(AND($C26&lt;&gt;"",$R26&lt;&gt;""),(VLOOKUP($C26,'V-LOOKUP'!$C$4:$N$59,12,FALSE)),"0")</f>
        <v>0</v>
      </c>
      <c r="FE26" s="192" t="str">
        <f>IF(AND($C26&lt;&gt;"",S26&lt;&gt;""),(VLOOKUP($C26,'V-LOOKUP'!$C$4:$M$59,4,FALSE)),"0")</f>
        <v>0</v>
      </c>
      <c r="FF26" s="192" t="str">
        <f>IF(AND($C26&lt;&gt;"",$S26&lt;&gt;""),(VLOOKUP($C26,'V-LOOKUP'!$C$4:$M$59,5,FALSE)),"0")</f>
        <v>0</v>
      </c>
      <c r="FG26" s="192" t="str">
        <f>IF(AND($C26&lt;&gt;"",$S26&lt;&gt;""),(VLOOKUP($C26,'V-LOOKUP'!$C$4:$M$59,6,FALSE)),"0")</f>
        <v>0</v>
      </c>
      <c r="FH26" s="192" t="str">
        <f>IF(AND($C26&lt;&gt;"",$S26&lt;&gt;""),(VLOOKUP($C26,'V-LOOKUP'!$C$4:$M$59,7,FALSE)),"0")</f>
        <v>0</v>
      </c>
      <c r="FI26" s="192" t="str">
        <f>IF(AND($C26&lt;&gt;"",$S26&lt;&gt;""),(VLOOKUP($C26,'V-LOOKUP'!$C$4:$M$59,8,FALSE)),"0")</f>
        <v>0</v>
      </c>
      <c r="FJ26" s="192" t="str">
        <f>IF(AND($C26&lt;&gt;"",$S26&lt;&gt;""),(VLOOKUP($C26,'V-LOOKUP'!$C$4:$M$59,9,FALSE)),"0")</f>
        <v>0</v>
      </c>
      <c r="FK26" s="192" t="str">
        <f>IF(AND($C26&lt;&gt;"",$S26&lt;&gt;""),(VLOOKUP($C26,'V-LOOKUP'!$C$4:$M$59,10,FALSE)),"0")</f>
        <v>0</v>
      </c>
      <c r="FL26" s="192" t="str">
        <f>IF(AND($C26&lt;&gt;"",$S26&lt;&gt;""),(VLOOKUP($C26,'V-LOOKUP'!$C$4:$M$59,11,FALSE)),"0")</f>
        <v>0</v>
      </c>
      <c r="FM26" s="192" t="str">
        <f>IF(AND($C26&lt;&gt;"",$S26&lt;&gt;""),(VLOOKUP($C26,'V-LOOKUP'!$C$4:$N$59,12,FALSE)),"0")</f>
        <v>0</v>
      </c>
      <c r="FN26" s="192" t="str">
        <f>IF(AND($C26&lt;&gt;"",T26&lt;&gt;""),(VLOOKUP($C26,'V-LOOKUP'!$C$4:$M$59,4,FALSE)),"0")</f>
        <v>0</v>
      </c>
      <c r="FO26" s="192" t="str">
        <f>IF(AND($C26&lt;&gt;"",$T26&lt;&gt;""),(VLOOKUP($C26,'V-LOOKUP'!$C$4:$M$59,5,FALSE)),"0")</f>
        <v>0</v>
      </c>
      <c r="FP26" s="192" t="str">
        <f>IF(AND($C26&lt;&gt;"",$T26&lt;&gt;""),(VLOOKUP($C26,'V-LOOKUP'!$C$4:$M$59,6,FALSE)),"0")</f>
        <v>0</v>
      </c>
      <c r="FQ26" s="192" t="str">
        <f>IF(AND($C26&lt;&gt;"",$T26&lt;&gt;""),(VLOOKUP($C26,'V-LOOKUP'!$C$4:$M$59,7,FALSE)),"0")</f>
        <v>0</v>
      </c>
      <c r="FR26" s="192" t="str">
        <f>IF(AND($C26&lt;&gt;"",$T26&lt;&gt;""),(VLOOKUP($C26,'V-LOOKUP'!$C$4:$M$59,8,FALSE)),"0")</f>
        <v>0</v>
      </c>
      <c r="FS26" s="192" t="str">
        <f>IF(AND($C26&lt;&gt;"",$T26&lt;&gt;""),(VLOOKUP($C26,'V-LOOKUP'!$C$4:$M$59,9,FALSE)),"0")</f>
        <v>0</v>
      </c>
      <c r="FT26" s="192" t="str">
        <f>IF(AND($C26&lt;&gt;"",$T26&lt;&gt;""),(VLOOKUP($C26,'V-LOOKUP'!$C$4:$M$59,10,FALSE)),"0")</f>
        <v>0</v>
      </c>
      <c r="FU26" s="192" t="str">
        <f>IF(AND($C26&lt;&gt;"",$T26&lt;&gt;""),(VLOOKUP($C26,'V-LOOKUP'!$C$4:$M$59,11,FALSE)),"0")</f>
        <v>0</v>
      </c>
      <c r="FV26" s="192" t="str">
        <f>IF(AND($C26&lt;&gt;"",$T26&lt;&gt;""),(VLOOKUP($C26,'V-LOOKUP'!$C$4:$N$59,12,FALSE)),"0")</f>
        <v>0</v>
      </c>
      <c r="FW26" s="192" t="str">
        <f>IF(AND($C26&lt;&gt;"",U26&lt;&gt;""),(VLOOKUP($C26,'V-LOOKUP'!$C$4:$M$59,4,FALSE)),"0")</f>
        <v>0</v>
      </c>
      <c r="FX26" s="192" t="str">
        <f>IF(AND($C26&lt;&gt;"",$U26&lt;&gt;""),(VLOOKUP($C26,'V-LOOKUP'!$C$4:$M$59,5,FALSE)),"0")</f>
        <v>0</v>
      </c>
      <c r="FY26" s="192" t="str">
        <f>IF(AND($C26&lt;&gt;"",$U26&lt;&gt;""),(VLOOKUP($C26,'V-LOOKUP'!$C$4:$M$59,6,FALSE)),"0")</f>
        <v>0</v>
      </c>
      <c r="FZ26" s="192" t="str">
        <f>IF(AND($C26&lt;&gt;"",$U26&lt;&gt;""),(VLOOKUP($C26,'V-LOOKUP'!$C$4:$M$59,7,FALSE)),"0")</f>
        <v>0</v>
      </c>
      <c r="GA26" s="192" t="str">
        <f>IF(AND($C26&lt;&gt;"",$U26&lt;&gt;""),(VLOOKUP($C26,'V-LOOKUP'!$C$4:$M$59,8,FALSE)),"0")</f>
        <v>0</v>
      </c>
      <c r="GB26" s="192" t="str">
        <f>IF(AND($C26&lt;&gt;"",$U26&lt;&gt;""),(VLOOKUP($C26,'V-LOOKUP'!$C$4:$M$59,9,FALSE)),"0")</f>
        <v>0</v>
      </c>
      <c r="GC26" s="192" t="str">
        <f>IF(AND($C26&lt;&gt;"",$U26&lt;&gt;""),(VLOOKUP($C26,'V-LOOKUP'!$C$4:$M$59,10,FALSE)),"0")</f>
        <v>0</v>
      </c>
      <c r="GD26" s="192" t="str">
        <f>IF(AND($C26&lt;&gt;"",$U26&lt;&gt;""),(VLOOKUP($C26,'V-LOOKUP'!$C$4:$M$59,11,FALSE)),"0")</f>
        <v>0</v>
      </c>
      <c r="GE26" s="192" t="str">
        <f>IF(AND($C26&lt;&gt;"",$U26&lt;&gt;""),(VLOOKUP($C26,'V-LOOKUP'!$C$4:$N$59,12,FALSE)),"0")</f>
        <v>0</v>
      </c>
      <c r="GF26" s="192" t="str">
        <f>IF(AND($C26&lt;&gt;"",V26&lt;&gt;""),(VLOOKUP($C26,'V-LOOKUP'!$C$4:$M$59,4,FALSE)),"0")</f>
        <v>0</v>
      </c>
      <c r="GG26" s="192" t="str">
        <f>IF(AND($C26&lt;&gt;"",$V26&lt;&gt;""),(VLOOKUP($C26,'V-LOOKUP'!$C$4:$M$59,5,FALSE)),"0")</f>
        <v>0</v>
      </c>
      <c r="GH26" s="192" t="str">
        <f>IF(AND($C26&lt;&gt;"",$V26&lt;&gt;""),(VLOOKUP($C26,'V-LOOKUP'!$C$4:$M$59,6,FALSE)),"0")</f>
        <v>0</v>
      </c>
      <c r="GI26" s="192" t="str">
        <f>IF(AND($C26&lt;&gt;"",$V26&lt;&gt;""),(VLOOKUP($C26,'V-LOOKUP'!$C$4:$M$59,7,FALSE)),"0")</f>
        <v>0</v>
      </c>
      <c r="GJ26" s="192" t="str">
        <f>IF(AND($C26&lt;&gt;"",$V26&lt;&gt;""),(VLOOKUP($C26,'V-LOOKUP'!$C$4:$M$59,8,FALSE)),"0")</f>
        <v>0</v>
      </c>
      <c r="GK26" s="192" t="str">
        <f>IF(AND($C26&lt;&gt;"",$V26&lt;&gt;""),(VLOOKUP($C26,'V-LOOKUP'!$C$4:$M$59,9,FALSE)),"0")</f>
        <v>0</v>
      </c>
      <c r="GL26" s="192" t="str">
        <f>IF(AND($C26&lt;&gt;"",$V26&lt;&gt;""),(VLOOKUP($C26,'V-LOOKUP'!$C$4:$M$59,10,FALSE)),"0")</f>
        <v>0</v>
      </c>
      <c r="GM26" s="192" t="str">
        <f>IF(AND($C26&lt;&gt;"",$V26&lt;&gt;""),(VLOOKUP($C26,'V-LOOKUP'!$C$4:$M$59,11,FALSE)),"0")</f>
        <v>0</v>
      </c>
      <c r="GN26" s="192" t="str">
        <f>IF(AND($C26&lt;&gt;"",$V26&lt;&gt;""),(VLOOKUP($C26,'V-LOOKUP'!$C$4:$N$59,12,FALSE)),"0")</f>
        <v>0</v>
      </c>
      <c r="GO26" s="192" t="str">
        <f>IF(AND($C26&lt;&gt;"",W26&lt;&gt;""),(VLOOKUP($C26,'V-LOOKUP'!$C$4:$M$59,4,FALSE)),"0")</f>
        <v>0</v>
      </c>
      <c r="GP26" s="192" t="str">
        <f>IF(AND($C26&lt;&gt;"",$W26&lt;&gt;""),(VLOOKUP($C26,'V-LOOKUP'!$C$4:$M$59,5,FALSE)),"0")</f>
        <v>0</v>
      </c>
      <c r="GQ26" s="192" t="str">
        <f>IF(AND($C26&lt;&gt;"",$W26&lt;&gt;""),(VLOOKUP($C26,'V-LOOKUP'!$C$4:$M$59,6,FALSE)),"0")</f>
        <v>0</v>
      </c>
      <c r="GR26" s="192" t="str">
        <f>IF(AND($C26&lt;&gt;"",$W26&lt;&gt;""),(VLOOKUP($C26,'V-LOOKUP'!$C$4:$M$59,7,FALSE)),"0")</f>
        <v>0</v>
      </c>
      <c r="GS26" s="192" t="str">
        <f>IF(AND($C26&lt;&gt;"",$W26&lt;&gt;""),(VLOOKUP($C26,'V-LOOKUP'!$C$4:$M$59,8,FALSE)),"0")</f>
        <v>0</v>
      </c>
      <c r="GT26" s="192" t="str">
        <f>IF(AND($C26&lt;&gt;"",$W26&lt;&gt;""),(VLOOKUP($C26,'V-LOOKUP'!$C$4:$M$59,9,FALSE)),"0")</f>
        <v>0</v>
      </c>
      <c r="GU26" s="192" t="str">
        <f>IF(AND($C26&lt;&gt;"",$W26&lt;&gt;""),(VLOOKUP($C26,'V-LOOKUP'!$C$4:$M$59,10,FALSE)),"0")</f>
        <v>0</v>
      </c>
      <c r="GV26" s="192" t="str">
        <f>IF(AND($C26&lt;&gt;"",$W26&lt;&gt;""),(VLOOKUP($C26,'V-LOOKUP'!$C$4:$M$59,11,FALSE)),"0")</f>
        <v>0</v>
      </c>
      <c r="GW26" s="192" t="str">
        <f>IF(AND($C26&lt;&gt;"",$W26&lt;&gt;""),(VLOOKUP($C26,'V-LOOKUP'!$C$4:$N$59,12,FALSE)),"0")</f>
        <v>0</v>
      </c>
    </row>
    <row r="27" spans="1:205" ht="14.65" hidden="1" customHeight="1">
      <c r="A27" s="193"/>
      <c r="B27" s="245"/>
      <c r="C27" s="201"/>
      <c r="D27" s="202"/>
      <c r="E27" s="202"/>
      <c r="F27" s="202"/>
      <c r="G27" s="202"/>
      <c r="H27" s="202"/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Y27" s="190"/>
      <c r="Z27" s="192" t="str">
        <f>IF(AND($C27&lt;&gt;"",$D27&lt;&gt;""),(VLOOKUP($C27,'V-LOOKUP'!$C$4:$M$59,4,FALSE)),"0")</f>
        <v>0</v>
      </c>
      <c r="AA27" s="192" t="str">
        <f>IF(AND($C27&lt;&gt;"",$D27&lt;&gt;""),(VLOOKUP($C27,'V-LOOKUP'!$C$4:$M$59,5,FALSE)),"0")</f>
        <v>0</v>
      </c>
      <c r="AB27" s="192" t="str">
        <f>IF(AND($C27&lt;&gt;"",$D27&lt;&gt;""),(VLOOKUP($C27,'V-LOOKUP'!$C$4:$M$59,6,FALSE)),"0")</f>
        <v>0</v>
      </c>
      <c r="AC27" s="192" t="str">
        <f>IF(AND($C27&lt;&gt;"",$D27&lt;&gt;""),(VLOOKUP($C27,'V-LOOKUP'!$C$4:$M$59,7,FALSE)),"0")</f>
        <v>0</v>
      </c>
      <c r="AD27" s="192" t="str">
        <f>IF(AND($C27&lt;&gt;"",$D27&lt;&gt;""),(VLOOKUP($C27,'V-LOOKUP'!$C$4:$M$59,8,FALSE)),"0")</f>
        <v>0</v>
      </c>
      <c r="AE27" s="192" t="str">
        <f>IF(AND($C27&lt;&gt;"",$D27&lt;&gt;""),(VLOOKUP($C27,'V-LOOKUP'!$C$4:$M$59,9,FALSE)),"0")</f>
        <v>0</v>
      </c>
      <c r="AF27" s="192" t="str">
        <f>IF(AND($C27&lt;&gt;"",$D27&lt;&gt;""),(VLOOKUP($C27,'V-LOOKUP'!$C$4:$M$59,10,FALSE)),"0")</f>
        <v>0</v>
      </c>
      <c r="AG27" s="192" t="str">
        <f>IF(AND($C27&lt;&gt;"",$D27&lt;&gt;""),(VLOOKUP($C27,'V-LOOKUP'!$C$4:$M$59,11,FALSE)),"0")</f>
        <v>0</v>
      </c>
      <c r="AH27" s="192" t="str">
        <f>IF(AND($C27&lt;&gt;"",$D27&lt;&gt;""),(VLOOKUP($C27,'V-LOOKUP'!$C$4:$N$59,12,FALSE)),"0")</f>
        <v>0</v>
      </c>
      <c r="AI27" s="192" t="str">
        <f>IF(AND($C27&lt;&gt;"",E27&lt;&gt;""),(VLOOKUP($C27,'V-LOOKUP'!$C$4:$M$59,4,FALSE)),"0")</f>
        <v>0</v>
      </c>
      <c r="AJ27" s="192" t="str">
        <f>IF(AND($C27&lt;&gt;"",$E27&lt;&gt;""),(VLOOKUP($C27,'V-LOOKUP'!$C$4:$M$59,5,FALSE)),"0")</f>
        <v>0</v>
      </c>
      <c r="AK27" s="192" t="str">
        <f>IF(AND($C27&lt;&gt;"",$E27&lt;&gt;""),(VLOOKUP($C27,'V-LOOKUP'!$C$4:$M$59,6,FALSE)),"0")</f>
        <v>0</v>
      </c>
      <c r="AL27" s="192" t="str">
        <f>IF(AND($C27&lt;&gt;"",$E27&lt;&gt;""),(VLOOKUP($C27,'V-LOOKUP'!$C$4:$M$59,7,FALSE)),"0")</f>
        <v>0</v>
      </c>
      <c r="AM27" s="192" t="str">
        <f>IF(AND($C27&lt;&gt;"",$E27&lt;&gt;""),(VLOOKUP($C27,'V-LOOKUP'!$C$4:$M$59,8,FALSE)),"0")</f>
        <v>0</v>
      </c>
      <c r="AN27" s="192" t="str">
        <f>IF(AND($C27&lt;&gt;"",$E27&lt;&gt;""),(VLOOKUP($C27,'V-LOOKUP'!$C$4:$M$59,9,FALSE)),"0")</f>
        <v>0</v>
      </c>
      <c r="AO27" s="192" t="str">
        <f>IF(AND($C27&lt;&gt;"",$E27&lt;&gt;""),(VLOOKUP($C27,'V-LOOKUP'!$C$4:$M$59,10,FALSE)),"0")</f>
        <v>0</v>
      </c>
      <c r="AP27" s="192" t="str">
        <f>IF(AND($C27&lt;&gt;"",$E27&lt;&gt;""),(VLOOKUP($C27,'V-LOOKUP'!$C$4:$M$59,11,FALSE)),"0")</f>
        <v>0</v>
      </c>
      <c r="AQ27" s="192" t="str">
        <f>IF(AND($C27&lt;&gt;"",$E27&lt;&gt;""),(VLOOKUP($C27,'V-LOOKUP'!$C$4:$N$59,12,FALSE)),"0")</f>
        <v>0</v>
      </c>
      <c r="AR27" s="192" t="str">
        <f>IF(AND($C27&lt;&gt;"",$F27&lt;&gt;""),(VLOOKUP($C27,'V-LOOKUP'!$C$4:$M$59,4,FALSE)),"0")</f>
        <v>0</v>
      </c>
      <c r="AS27" s="192" t="str">
        <f>IF(AND($C27&lt;&gt;"",$F27&lt;&gt;""),(VLOOKUP($C27,'V-LOOKUP'!$C$4:$M$59,5,FALSE)),"0")</f>
        <v>0</v>
      </c>
      <c r="AT27" s="192" t="str">
        <f>IF(AND($C27&lt;&gt;"",$F27&lt;&gt;""),(VLOOKUP($C27,'V-LOOKUP'!$C$4:$M$59,6,FALSE)),"0")</f>
        <v>0</v>
      </c>
      <c r="AU27" s="192" t="str">
        <f>IF(AND($C27&lt;&gt;"",$F27&lt;&gt;""),(VLOOKUP($C27,'V-LOOKUP'!$C$4:$M$59,7,FALSE)),"0")</f>
        <v>0</v>
      </c>
      <c r="AV27" s="192" t="str">
        <f>IF(AND($C27&lt;&gt;"",$F27&lt;&gt;""),(VLOOKUP($C27,'V-LOOKUP'!$C$4:$M$59,8,FALSE)),"0")</f>
        <v>0</v>
      </c>
      <c r="AW27" s="192" t="str">
        <f>IF(AND($C27&lt;&gt;"",$F27&lt;&gt;""),(VLOOKUP($C27,'V-LOOKUP'!$C$4:$M$59,9,FALSE)),"0")</f>
        <v>0</v>
      </c>
      <c r="AX27" s="192" t="str">
        <f>IF(AND($C27&lt;&gt;"",$F27&lt;&gt;""),(VLOOKUP($C27,'V-LOOKUP'!$C$4:$M$59,10,FALSE)),"0")</f>
        <v>0</v>
      </c>
      <c r="AY27" s="192" t="str">
        <f>IF(AND($C27&lt;&gt;"",$F27&lt;&gt;""),(VLOOKUP($C27,'V-LOOKUP'!$C$4:$M$59,11,FALSE)),"0")</f>
        <v>0</v>
      </c>
      <c r="AZ27" s="192" t="str">
        <f>IF(AND($C27&lt;&gt;"",$F27&lt;&gt;""),(VLOOKUP($C27,'V-LOOKUP'!$C$4:$N$59,12,FALSE)),"0")</f>
        <v>0</v>
      </c>
      <c r="BA27" s="192" t="str">
        <f>IF(AND($C27&lt;&gt;"",G27&lt;&gt;""),(VLOOKUP($C27,'V-LOOKUP'!$C$4:$M$59,4,FALSE)),"0")</f>
        <v>0</v>
      </c>
      <c r="BB27" s="192" t="str">
        <f>IF(AND($C27&lt;&gt;"",$G27&lt;&gt;""),(VLOOKUP($C27,'V-LOOKUP'!$C$4:$M$59,5,FALSE)),"0")</f>
        <v>0</v>
      </c>
      <c r="BC27" s="192" t="str">
        <f>IF(AND($C27&lt;&gt;"",$G27&lt;&gt;""),(VLOOKUP($C27,'V-LOOKUP'!$C$4:$M$59,6,FALSE)),"0")</f>
        <v>0</v>
      </c>
      <c r="BD27" s="192" t="str">
        <f>IF(AND($C27&lt;&gt;"",$G27&lt;&gt;""),(VLOOKUP($C27,'V-LOOKUP'!$C$4:$M$59,7,FALSE)),"0")</f>
        <v>0</v>
      </c>
      <c r="BE27" s="192" t="str">
        <f>IF(AND($C27&lt;&gt;"",$G27&lt;&gt;""),(VLOOKUP($C27,'V-LOOKUP'!$C$4:$M$59,8,FALSE)),"0")</f>
        <v>0</v>
      </c>
      <c r="BF27" s="192" t="str">
        <f>IF(AND($C27&lt;&gt;"",$G27&lt;&gt;""),(VLOOKUP($C27,'V-LOOKUP'!$C$4:$M$59,9,FALSE)),"0")</f>
        <v>0</v>
      </c>
      <c r="BG27" s="192" t="str">
        <f>IF(AND($C27&lt;&gt;"",$G27&lt;&gt;""),(VLOOKUP($C27,'V-LOOKUP'!$C$4:$M$59,10,FALSE)),"0")</f>
        <v>0</v>
      </c>
      <c r="BH27" s="192" t="str">
        <f>IF(AND($C27&lt;&gt;"",$G27&lt;&gt;""),(VLOOKUP($C27,'V-LOOKUP'!$C$4:$M$59,11,FALSE)),"0")</f>
        <v>0</v>
      </c>
      <c r="BI27" s="192" t="str">
        <f>IF(AND($C27&lt;&gt;"",$G27&lt;&gt;""),(VLOOKUP($C27,'V-LOOKUP'!$C$4:$N$59,12,FALSE)),"0")</f>
        <v>0</v>
      </c>
      <c r="BJ27" s="192" t="str">
        <f>IF(AND($C27&lt;&gt;"",H27&lt;&gt;""),(VLOOKUP($C27,'V-LOOKUP'!$C$4:$M$59,4,FALSE)),"0")</f>
        <v>0</v>
      </c>
      <c r="BK27" s="192" t="str">
        <f>IF(AND($C27&lt;&gt;"",$G27&lt;&gt;""),(VLOOKUP($C27,'V-LOOKUP'!$C$4:$M$59,5,FALSE)),"0")</f>
        <v>0</v>
      </c>
      <c r="BL27" s="192" t="str">
        <f>IF(AND($C27&lt;&gt;"",$H27&lt;&gt;""),(VLOOKUP($C27,'V-LOOKUP'!$C$4:$M$59,6,FALSE)),"0")</f>
        <v>0</v>
      </c>
      <c r="BM27" s="192" t="str">
        <f>IF(AND($C27&lt;&gt;"",$H27&lt;&gt;""),(VLOOKUP($C27,'V-LOOKUP'!$C$4:$M$59,7,FALSE)),"0")</f>
        <v>0</v>
      </c>
      <c r="BN27" s="192" t="str">
        <f>IF(AND($C27&lt;&gt;"",$H27&lt;&gt;""),(VLOOKUP($C27,'V-LOOKUP'!$C$4:$M$59,8,FALSE)),"0")</f>
        <v>0</v>
      </c>
      <c r="BO27" s="192" t="str">
        <f>IF(AND($C27&lt;&gt;"",$H27&lt;&gt;""),(VLOOKUP($C27,'V-LOOKUP'!$C$4:$M$59,9,FALSE)),"0")</f>
        <v>0</v>
      </c>
      <c r="BP27" s="192" t="str">
        <f>IF(AND($C27&lt;&gt;"",$H27&lt;&gt;""),(VLOOKUP($C27,'V-LOOKUP'!$C$4:$M$59,10,FALSE)),"0")</f>
        <v>0</v>
      </c>
      <c r="BQ27" s="192" t="str">
        <f>IF(AND($C27&lt;&gt;"",$H27&lt;&gt;""),(VLOOKUP($C27,'V-LOOKUP'!$C$4:$M$59,11,FALSE)),"0")</f>
        <v>0</v>
      </c>
      <c r="BR27" s="192" t="str">
        <f>IF(AND($C27&lt;&gt;"",$H27&lt;&gt;""),(VLOOKUP($C27,'V-LOOKUP'!$C$4:$N$59,12,FALSE)),"0")</f>
        <v>0</v>
      </c>
      <c r="BS27" s="192" t="str">
        <f>IF(AND($C27&lt;&gt;"",I27&lt;&gt;""),(VLOOKUP($C27,'V-LOOKUP'!$C$4:$M$59,4,FALSE)),"0")</f>
        <v>0</v>
      </c>
      <c r="BT27" s="192" t="str">
        <f>IF(AND($C27&lt;&gt;"",$I27&lt;&gt;""),(VLOOKUP($C27,'V-LOOKUP'!$C$4:$M$59,5,FALSE)),"0")</f>
        <v>0</v>
      </c>
      <c r="BU27" s="192" t="str">
        <f>IF(AND($C27&lt;&gt;"",$I27&lt;&gt;""),(VLOOKUP($C27,'V-LOOKUP'!$C$4:$M$59,6,FALSE)),"0")</f>
        <v>0</v>
      </c>
      <c r="BV27" s="192" t="str">
        <f>IF(AND($C27&lt;&gt;"",$I27&lt;&gt;""),(VLOOKUP($C27,'V-LOOKUP'!$C$4:$M$59,7,FALSE)),"0")</f>
        <v>0</v>
      </c>
      <c r="BW27" s="192" t="str">
        <f>IF(AND($C27&lt;&gt;"",$I27&lt;&gt;""),(VLOOKUP($C27,'V-LOOKUP'!$C$4:$M$59,8,FALSE)),"0")</f>
        <v>0</v>
      </c>
      <c r="BX27" s="192" t="str">
        <f>IF(AND($C27&lt;&gt;"",$I27&lt;&gt;""),(VLOOKUP($C27,'V-LOOKUP'!$C$4:$M$59,9,FALSE)),"0")</f>
        <v>0</v>
      </c>
      <c r="BY27" s="192" t="str">
        <f>IF(AND($C27&lt;&gt;"",$I27&lt;&gt;""),(VLOOKUP($C27,'V-LOOKUP'!$C$4:$M$59,10,FALSE)),"0")</f>
        <v>0</v>
      </c>
      <c r="BZ27" s="192" t="str">
        <f>IF(AND($C27&lt;&gt;"",$I27&lt;&gt;""),(VLOOKUP($C27,'V-LOOKUP'!$C$4:$M$59,11,FALSE)),"0")</f>
        <v>0</v>
      </c>
      <c r="CA27" s="192" t="str">
        <f>IF(AND($C27&lt;&gt;"",$I27&lt;&gt;""),(VLOOKUP($C27,'V-LOOKUP'!$C$4:$N$59,12,FALSE)),"0")</f>
        <v>0</v>
      </c>
      <c r="CB27" s="192" t="str">
        <f>IF(AND($C27&lt;&gt;"",J27&lt;&gt;""),(VLOOKUP($C27,'V-LOOKUP'!$C$4:$M$59,4,FALSE)),"0")</f>
        <v>0</v>
      </c>
      <c r="CC27" s="192" t="str">
        <f>IF(AND($C27&lt;&gt;"",$J27&lt;&gt;""),(VLOOKUP($C27,'V-LOOKUP'!$C$4:$M$59,5,FALSE)),"0")</f>
        <v>0</v>
      </c>
      <c r="CD27" s="192" t="str">
        <f>IF(AND($C27&lt;&gt;"",$J27&lt;&gt;""),(VLOOKUP($C27,'V-LOOKUP'!$C$4:$M$59,6,FALSE)),"0")</f>
        <v>0</v>
      </c>
      <c r="CE27" s="192" t="str">
        <f>IF(AND($C27&lt;&gt;"",$J27&lt;&gt;""),(VLOOKUP($C27,'V-LOOKUP'!$C$4:$M$59,7,FALSE)),"0")</f>
        <v>0</v>
      </c>
      <c r="CF27" s="192" t="str">
        <f>IF(AND($C27&lt;&gt;"",$J27&lt;&gt;""),(VLOOKUP($C27,'V-LOOKUP'!$C$4:$M$59,8,FALSE)),"0")</f>
        <v>0</v>
      </c>
      <c r="CG27" s="192" t="str">
        <f>IF(AND($C27&lt;&gt;"",$J27&lt;&gt;""),(VLOOKUP($C27,'V-LOOKUP'!$C$4:$M$59,9,FALSE)),"0")</f>
        <v>0</v>
      </c>
      <c r="CH27" s="192" t="str">
        <f>IF(AND($C27&lt;&gt;"",$J27&lt;&gt;""),(VLOOKUP($C27,'V-LOOKUP'!$C$4:$M$59,10,FALSE)),"0")</f>
        <v>0</v>
      </c>
      <c r="CI27" s="192" t="str">
        <f>IF(AND($C27&lt;&gt;"",$J27&lt;&gt;""),(VLOOKUP($C27,'V-LOOKUP'!$C$4:$M$59,11,FALSE)),"0")</f>
        <v>0</v>
      </c>
      <c r="CJ27" s="192" t="str">
        <f>IF(AND($C27&lt;&gt;"",$J27&lt;&gt;""),(VLOOKUP($C27,'V-LOOKUP'!$C$4:$N$59,12,FALSE)),"0")</f>
        <v>0</v>
      </c>
      <c r="CK27" s="192" t="str">
        <f>IF(AND($C27&lt;&gt;"",K27&lt;&gt;""),(VLOOKUP($C27,'V-LOOKUP'!$C$4:$M$59,4,FALSE)),"0")</f>
        <v>0</v>
      </c>
      <c r="CL27" s="192" t="str">
        <f>IF(AND($C27&lt;&gt;"",$K27&lt;&gt;""),(VLOOKUP($C27,'V-LOOKUP'!$C$4:$M$59,5,FALSE)),"0")</f>
        <v>0</v>
      </c>
      <c r="CM27" s="192" t="str">
        <f>IF(AND($C27&lt;&gt;"",$K27&lt;&gt;""),(VLOOKUP($C27,'V-LOOKUP'!$C$4:$M$59,6,FALSE)),"0")</f>
        <v>0</v>
      </c>
      <c r="CN27" s="192" t="str">
        <f>IF(AND($C27&lt;&gt;"",$K27&lt;&gt;""),(VLOOKUP($C27,'V-LOOKUP'!$C$4:$M$59,7,FALSE)),"0")</f>
        <v>0</v>
      </c>
      <c r="CO27" s="192" t="str">
        <f>IF(AND($C27&lt;&gt;"",$K27&lt;&gt;""),(VLOOKUP($C27,'V-LOOKUP'!$C$4:$M$59,8,FALSE)),"0")</f>
        <v>0</v>
      </c>
      <c r="CP27" s="192" t="str">
        <f>IF(AND($C27&lt;&gt;"",$K27&lt;&gt;""),(VLOOKUP($C27,'V-LOOKUP'!$C$4:$M$59,9,FALSE)),"0")</f>
        <v>0</v>
      </c>
      <c r="CQ27" s="192" t="str">
        <f>IF(AND($C27&lt;&gt;"",$K27&lt;&gt;""),(VLOOKUP($C27,'V-LOOKUP'!$C$4:$M$59,10,FALSE)),"0")</f>
        <v>0</v>
      </c>
      <c r="CR27" s="192" t="str">
        <f>IF(AND($C27&lt;&gt;"",$K27&lt;&gt;""),(VLOOKUP($C27,'V-LOOKUP'!$C$4:$M$59,11,FALSE)),"0")</f>
        <v>0</v>
      </c>
      <c r="CS27" s="192" t="str">
        <f>IF(AND($C27&lt;&gt;"",$K27&lt;&gt;""),(VLOOKUP($C27,'V-LOOKUP'!$C$4:$N$59,12,FALSE)),"0")</f>
        <v>0</v>
      </c>
      <c r="CT27" s="192" t="str">
        <f>IF(AND($C27&lt;&gt;"",L27&lt;&gt;""),(VLOOKUP($C27,'V-LOOKUP'!$C$4:$M$59,4,FALSE)),"0")</f>
        <v>0</v>
      </c>
      <c r="CU27" s="192" t="str">
        <f>IF(AND($C27&lt;&gt;"",$L27&lt;&gt;""),(VLOOKUP($C27,'V-LOOKUP'!$C$4:$M$59,5,FALSE)),"0")</f>
        <v>0</v>
      </c>
      <c r="CV27" s="192" t="str">
        <f>IF(AND($C27&lt;&gt;"",$L27&lt;&gt;""),(VLOOKUP($C27,'V-LOOKUP'!$C$4:$M$59,6,FALSE)),"0")</f>
        <v>0</v>
      </c>
      <c r="CW27" s="192" t="str">
        <f>IF(AND($C27&lt;&gt;"",$L27&lt;&gt;""),(VLOOKUP($C27,'V-LOOKUP'!$C$4:$M$59,7,FALSE)),"0")</f>
        <v>0</v>
      </c>
      <c r="CX27" s="192" t="str">
        <f>IF(AND($C27&lt;&gt;"",$L27&lt;&gt;""),(VLOOKUP($C27,'V-LOOKUP'!$C$4:$M$59,8,FALSE)),"0")</f>
        <v>0</v>
      </c>
      <c r="CY27" s="192" t="str">
        <f>IF(AND($C27&lt;&gt;"",$L27&lt;&gt;""),(VLOOKUP($C27,'V-LOOKUP'!$C$4:$M$59,9,FALSE)),"0")</f>
        <v>0</v>
      </c>
      <c r="CZ27" s="192" t="str">
        <f>IF(AND($C27&lt;&gt;"",$L27&lt;&gt;""),(VLOOKUP($C27,'V-LOOKUP'!$C$4:$M$59,10,FALSE)),"0")</f>
        <v>0</v>
      </c>
      <c r="DA27" s="192" t="str">
        <f>IF(AND($C27&lt;&gt;"",$L27&lt;&gt;""),(VLOOKUP($C27,'V-LOOKUP'!$C$4:$M$59,11,FALSE)),"0")</f>
        <v>0</v>
      </c>
      <c r="DB27" s="192" t="str">
        <f>IF(AND($C27&lt;&gt;"",$L27&lt;&gt;""),(VLOOKUP($C27,'V-LOOKUP'!$C$4:$N$59,12,FALSE)),"0")</f>
        <v>0</v>
      </c>
      <c r="DC27" s="192" t="str">
        <f>IF(AND($C27&lt;&gt;"",M27&lt;&gt;""),(VLOOKUP($C27,'V-LOOKUP'!$C$4:$M$59,4,FALSE)),"0")</f>
        <v>0</v>
      </c>
      <c r="DD27" s="192" t="str">
        <f>IF(AND($C27&lt;&gt;"",$M27&lt;&gt;""),(VLOOKUP($C27,'V-LOOKUP'!$C$4:$M$59,5,FALSE)),"0")</f>
        <v>0</v>
      </c>
      <c r="DE27" s="192" t="str">
        <f>IF(AND($C27&lt;&gt;"",$M27&lt;&gt;""),(VLOOKUP($C27,'V-LOOKUP'!$C$4:$M$59,6,FALSE)),"0")</f>
        <v>0</v>
      </c>
      <c r="DF27" s="192" t="str">
        <f>IF(AND($C27&lt;&gt;"",$M27&lt;&gt;""),(VLOOKUP($C27,'V-LOOKUP'!$C$4:$M$59,7,FALSE)),"0")</f>
        <v>0</v>
      </c>
      <c r="DG27" s="192" t="str">
        <f>IF(AND($C27&lt;&gt;"",$M27&lt;&gt;""),(VLOOKUP($C27,'V-LOOKUP'!$C$4:$M$59,8,FALSE)),"0")</f>
        <v>0</v>
      </c>
      <c r="DH27" s="192" t="str">
        <f>IF(AND($C27&lt;&gt;"",$M27&lt;&gt;""),(VLOOKUP($C27,'V-LOOKUP'!$C$4:$M$59,9,FALSE)),"0")</f>
        <v>0</v>
      </c>
      <c r="DI27" s="192" t="str">
        <f>IF(AND($C27&lt;&gt;"",$M27&lt;&gt;""),(VLOOKUP($C27,'V-LOOKUP'!$C$4:$M$59,10,FALSE)),"0")</f>
        <v>0</v>
      </c>
      <c r="DJ27" s="192" t="str">
        <f>IF(AND($C27&lt;&gt;"",$M27&lt;&gt;""),(VLOOKUP($C27,'V-LOOKUP'!$C$4:$M$59,11,FALSE)),"0")</f>
        <v>0</v>
      </c>
      <c r="DK27" s="192" t="str">
        <f>IF(AND($C27&lt;&gt;"",$M27&lt;&gt;""),(VLOOKUP($C27,'V-LOOKUP'!$C$4:$N$59,12,FALSE)),"0")</f>
        <v>0</v>
      </c>
      <c r="DL27" s="192" t="str">
        <f>IF(AND($C27&lt;&gt;"",$N27&lt;&gt;""),(VLOOKUP($C27,'V-LOOKUP'!$C$4:$M$59,4,FALSE)),"0")</f>
        <v>0</v>
      </c>
      <c r="DM27" s="192" t="str">
        <f>IF(AND($C27&lt;&gt;"",$N27&lt;&gt;""),(VLOOKUP($C27,'V-LOOKUP'!$C$4:$M$59,5,FALSE)),"0")</f>
        <v>0</v>
      </c>
      <c r="DN27" s="192" t="str">
        <f>IF(AND($C27&lt;&gt;"",$N27&lt;&gt;""),(VLOOKUP($C27,'V-LOOKUP'!$C$4:$M$59,6,FALSE)),"0")</f>
        <v>0</v>
      </c>
      <c r="DO27" s="192" t="str">
        <f>IF(AND($C27&lt;&gt;"",$N27&lt;&gt;""),(VLOOKUP($C27,'V-LOOKUP'!$C$4:$M$59,7,FALSE)),"0")</f>
        <v>0</v>
      </c>
      <c r="DP27" s="192" t="str">
        <f>IF(AND($C27&lt;&gt;"",$N27&lt;&gt;""),(VLOOKUP($C27,'V-LOOKUP'!$C$4:$M$59,8,FALSE)),"0")</f>
        <v>0</v>
      </c>
      <c r="DQ27" s="192" t="str">
        <f>IF(AND($C27&lt;&gt;"",$N27&lt;&gt;""),(VLOOKUP($C27,'V-LOOKUP'!$C$4:$M$59,9,FALSE)),"0")</f>
        <v>0</v>
      </c>
      <c r="DR27" s="192" t="str">
        <f>IF(AND($C27&lt;&gt;"",$N27&lt;&gt;""),(VLOOKUP($C27,'V-LOOKUP'!$C$4:$M$59,10,FALSE)),"0")</f>
        <v>0</v>
      </c>
      <c r="DS27" s="192" t="str">
        <f>IF(AND($C27&lt;&gt;"",$N27&lt;&gt;""),(VLOOKUP($C27,'V-LOOKUP'!$C$4:$M$59,11,FALSE)),"0")</f>
        <v>0</v>
      </c>
      <c r="DT27" s="192" t="str">
        <f>IF(AND($C27&lt;&gt;"",$N27&lt;&gt;""),(VLOOKUP($C27,'V-LOOKUP'!$C$4:$N$59,12,FALSE)),"0")</f>
        <v>0</v>
      </c>
      <c r="DU27" s="192" t="str">
        <f>IF(AND($C27&lt;&gt;"",O27&lt;&gt;""),(VLOOKUP($C27,'V-LOOKUP'!$C$4:$M$59,4,FALSE)),"0")</f>
        <v>0</v>
      </c>
      <c r="DV27" s="192" t="str">
        <f>IF(AND($C27&lt;&gt;"",$O27&lt;&gt;""),(VLOOKUP($C27,'V-LOOKUP'!$C$4:$M$59,5,FALSE)),"0")</f>
        <v>0</v>
      </c>
      <c r="DW27" s="192" t="str">
        <f>IF(AND($C27&lt;&gt;"",$O27&lt;&gt;""),(VLOOKUP($C27,'V-LOOKUP'!$C$4:$M$59,6,FALSE)),"0")</f>
        <v>0</v>
      </c>
      <c r="DX27" s="192" t="str">
        <f>IF(AND($C27&lt;&gt;"",$O27&lt;&gt;""),(VLOOKUP($C27,'V-LOOKUP'!$C$4:$M$59,7,FALSE)),"0")</f>
        <v>0</v>
      </c>
      <c r="DY27" s="192" t="str">
        <f>IF(AND($C27&lt;&gt;"",$O27&lt;&gt;""),(VLOOKUP($C27,'V-LOOKUP'!$C$4:$M$59,8,FALSE)),"0")</f>
        <v>0</v>
      </c>
      <c r="DZ27" s="192" t="str">
        <f>IF(AND($C27&lt;&gt;"",$O27&lt;&gt;""),(VLOOKUP($C27,'V-LOOKUP'!$C$4:$M$59,9,FALSE)),"0")</f>
        <v>0</v>
      </c>
      <c r="EA27" s="192" t="str">
        <f>IF(AND($C27&lt;&gt;"",$O27&lt;&gt;""),(VLOOKUP($C27,'V-LOOKUP'!$C$4:$M$59,10,FALSE)),"0")</f>
        <v>0</v>
      </c>
      <c r="EB27" s="192" t="str">
        <f>IF(AND($C27&lt;&gt;"",$O27&lt;&gt;""),(VLOOKUP($C27,'V-LOOKUP'!$C$4:$M$59,11,FALSE)),"0")</f>
        <v>0</v>
      </c>
      <c r="EC27" s="192" t="str">
        <f>IF(AND($C27&lt;&gt;"",$O27&lt;&gt;""),(VLOOKUP($C27,'V-LOOKUP'!$C$4:$N$59,12,FALSE)),"0")</f>
        <v>0</v>
      </c>
      <c r="ED27" s="192" t="str">
        <f>IF(AND($C27&lt;&gt;"",P27&lt;&gt;""),(VLOOKUP($C27,'V-LOOKUP'!$C$4:$M$59,4,FALSE)),"0")</f>
        <v>0</v>
      </c>
      <c r="EE27" s="192" t="str">
        <f>IF(AND($C27&lt;&gt;"",$P27&lt;&gt;""),(VLOOKUP($C27,'V-LOOKUP'!$C$4:$M$59,5,FALSE)),"0")</f>
        <v>0</v>
      </c>
      <c r="EF27" s="192" t="str">
        <f>IF(AND($C27&lt;&gt;"",$P27&lt;&gt;""),(VLOOKUP($C27,'V-LOOKUP'!$C$4:$M$59,6,FALSE)),"0")</f>
        <v>0</v>
      </c>
      <c r="EG27" s="192" t="str">
        <f>IF(AND($C27&lt;&gt;"",$P27&lt;&gt;""),(VLOOKUP($C27,'V-LOOKUP'!$C$4:$M$59,7,FALSE)),"0")</f>
        <v>0</v>
      </c>
      <c r="EH27" s="192" t="str">
        <f>IF(AND($C27&lt;&gt;"",$P27&lt;&gt;""),(VLOOKUP($C27,'V-LOOKUP'!$C$4:$M$59,8,FALSE)),"0")</f>
        <v>0</v>
      </c>
      <c r="EI27" s="192" t="str">
        <f>IF(AND($C27&lt;&gt;"",$P27&lt;&gt;""),(VLOOKUP($C27,'V-LOOKUP'!$C$4:$M$59,9,FALSE)),"0")</f>
        <v>0</v>
      </c>
      <c r="EJ27" s="192" t="str">
        <f>IF(AND($C27&lt;&gt;"",$P27&lt;&gt;""),(VLOOKUP($C27,'V-LOOKUP'!$C$4:$M$59,10,FALSE)),"0")</f>
        <v>0</v>
      </c>
      <c r="EK27" s="192" t="str">
        <f>IF(AND($C27&lt;&gt;"",$P27&lt;&gt;""),(VLOOKUP($C27,'V-LOOKUP'!$C$4:$M$59,11,FALSE)),"0")</f>
        <v>0</v>
      </c>
      <c r="EL27" s="192" t="str">
        <f>IF(AND($C27&lt;&gt;"",$P27&lt;&gt;""),(VLOOKUP($C27,'V-LOOKUP'!$C$4:$N$59,12,FALSE)),"0")</f>
        <v>0</v>
      </c>
      <c r="EM27" s="192" t="str">
        <f>IF(AND($C27&lt;&gt;"",Q27&lt;&gt;""),(VLOOKUP($C27,'V-LOOKUP'!$C$4:$M$59,4,FALSE)),"0")</f>
        <v>0</v>
      </c>
      <c r="EN27" s="192" t="str">
        <f>IF(AND($C27&lt;&gt;"",$Q27&lt;&gt;""),(VLOOKUP($C27,'V-LOOKUP'!$C$4:$M$59,5,FALSE)),"0")</f>
        <v>0</v>
      </c>
      <c r="EO27" s="192" t="str">
        <f>IF(AND($C27&lt;&gt;"",$Q27&lt;&gt;""),(VLOOKUP($C27,'V-LOOKUP'!$C$4:$M$59,6,FALSE)),"0")</f>
        <v>0</v>
      </c>
      <c r="EP27" s="192" t="str">
        <f>IF(AND($C27&lt;&gt;"",$Q27&lt;&gt;""),(VLOOKUP($C27,'V-LOOKUP'!$C$4:$M$59,7,FALSE)),"0")</f>
        <v>0</v>
      </c>
      <c r="EQ27" s="192" t="str">
        <f>IF(AND($C27&lt;&gt;"",$Q27&lt;&gt;""),(VLOOKUP($C27,'V-LOOKUP'!$C$4:$M$59,8,FALSE)),"0")</f>
        <v>0</v>
      </c>
      <c r="ER27" s="192" t="str">
        <f>IF(AND($C27&lt;&gt;"",$Q27&lt;&gt;""),(VLOOKUP($C27,'V-LOOKUP'!$C$4:$M$59,9,FALSE)),"0")</f>
        <v>0</v>
      </c>
      <c r="ES27" s="192" t="str">
        <f>IF(AND($C27&lt;&gt;"",$Q27&lt;&gt;""),(VLOOKUP($C27,'V-LOOKUP'!$C$4:$M$59,10,FALSE)),"0")</f>
        <v>0</v>
      </c>
      <c r="ET27" s="192" t="str">
        <f>IF(AND($C27&lt;&gt;"",$Q27&lt;&gt;""),(VLOOKUP($C27,'V-LOOKUP'!$C$4:$M$59,11,FALSE)),"0")</f>
        <v>0</v>
      </c>
      <c r="EU27" s="192" t="str">
        <f>IF(AND($C27&lt;&gt;"",$Q27&lt;&gt;""),(VLOOKUP($C27,'V-LOOKUP'!$C$4:$N$59,12,FALSE)),"0")</f>
        <v>0</v>
      </c>
      <c r="EV27" s="192" t="str">
        <f>IF(AND($C27&lt;&gt;"",R27&lt;&gt;""),(VLOOKUP($C27,'V-LOOKUP'!$C$4:$M$59,4,FALSE)),"0")</f>
        <v>0</v>
      </c>
      <c r="EW27" s="192" t="str">
        <f>IF(AND($C27&lt;&gt;"",$R27&lt;&gt;""),(VLOOKUP($C27,'V-LOOKUP'!$C$4:$M$59,5,FALSE)),"0")</f>
        <v>0</v>
      </c>
      <c r="EX27" s="192" t="str">
        <f>IF(AND($C27&lt;&gt;"",$R27&lt;&gt;""),(VLOOKUP($C27,'V-LOOKUP'!$C$4:$M$59,6,FALSE)),"0")</f>
        <v>0</v>
      </c>
      <c r="EY27" s="192" t="str">
        <f>IF(AND($C27&lt;&gt;"",$R27&lt;&gt;""),(VLOOKUP($C27,'V-LOOKUP'!$C$4:$M$59,7,FALSE)),"0")</f>
        <v>0</v>
      </c>
      <c r="EZ27" s="192" t="str">
        <f>IF(AND($C27&lt;&gt;"",$R27&lt;&gt;""),(VLOOKUP($C27,'V-LOOKUP'!$C$4:$M$59,8,FALSE)),"0")</f>
        <v>0</v>
      </c>
      <c r="FA27" s="192" t="str">
        <f>IF(AND($C27&lt;&gt;"",$R27&lt;&gt;""),(VLOOKUP($C27,'V-LOOKUP'!$C$4:$M$59,9,FALSE)),"0")</f>
        <v>0</v>
      </c>
      <c r="FB27" s="192" t="str">
        <f>IF(AND($C27&lt;&gt;"",$R27&lt;&gt;""),(VLOOKUP($C27,'V-LOOKUP'!$C$4:$M$59,10,FALSE)),"0")</f>
        <v>0</v>
      </c>
      <c r="FC27" s="192" t="str">
        <f>IF(AND($C27&lt;&gt;"",$R27&lt;&gt;""),(VLOOKUP($C27,'V-LOOKUP'!$C$4:$M$59,11,FALSE)),"0")</f>
        <v>0</v>
      </c>
      <c r="FD27" s="192" t="str">
        <f>IF(AND($C27&lt;&gt;"",$R27&lt;&gt;""),(VLOOKUP($C27,'V-LOOKUP'!$C$4:$N$59,12,FALSE)),"0")</f>
        <v>0</v>
      </c>
      <c r="FE27" s="192" t="str">
        <f>IF(AND($C27&lt;&gt;"",S27&lt;&gt;""),(VLOOKUP($C27,'V-LOOKUP'!$C$4:$M$59,4,FALSE)),"0")</f>
        <v>0</v>
      </c>
      <c r="FF27" s="192" t="str">
        <f>IF(AND($C27&lt;&gt;"",$S27&lt;&gt;""),(VLOOKUP($C27,'V-LOOKUP'!$C$4:$M$59,5,FALSE)),"0")</f>
        <v>0</v>
      </c>
      <c r="FG27" s="192" t="str">
        <f>IF(AND($C27&lt;&gt;"",$S27&lt;&gt;""),(VLOOKUP($C27,'V-LOOKUP'!$C$4:$M$59,6,FALSE)),"0")</f>
        <v>0</v>
      </c>
      <c r="FH27" s="192" t="str">
        <f>IF(AND($C27&lt;&gt;"",$S27&lt;&gt;""),(VLOOKUP($C27,'V-LOOKUP'!$C$4:$M$59,7,FALSE)),"0")</f>
        <v>0</v>
      </c>
      <c r="FI27" s="192" t="str">
        <f>IF(AND($C27&lt;&gt;"",$S27&lt;&gt;""),(VLOOKUP($C27,'V-LOOKUP'!$C$4:$M$59,8,FALSE)),"0")</f>
        <v>0</v>
      </c>
      <c r="FJ27" s="192" t="str">
        <f>IF(AND($C27&lt;&gt;"",$S27&lt;&gt;""),(VLOOKUP($C27,'V-LOOKUP'!$C$4:$M$59,9,FALSE)),"0")</f>
        <v>0</v>
      </c>
      <c r="FK27" s="192" t="str">
        <f>IF(AND($C27&lt;&gt;"",$S27&lt;&gt;""),(VLOOKUP($C27,'V-LOOKUP'!$C$4:$M$59,10,FALSE)),"0")</f>
        <v>0</v>
      </c>
      <c r="FL27" s="192" t="str">
        <f>IF(AND($C27&lt;&gt;"",$S27&lt;&gt;""),(VLOOKUP($C27,'V-LOOKUP'!$C$4:$M$59,11,FALSE)),"0")</f>
        <v>0</v>
      </c>
      <c r="FM27" s="192" t="str">
        <f>IF(AND($C27&lt;&gt;"",$S27&lt;&gt;""),(VLOOKUP($C27,'V-LOOKUP'!$C$4:$N$59,12,FALSE)),"0")</f>
        <v>0</v>
      </c>
      <c r="FN27" s="192" t="str">
        <f>IF(AND($C27&lt;&gt;"",T27&lt;&gt;""),(VLOOKUP($C27,'V-LOOKUP'!$C$4:$M$59,4,FALSE)),"0")</f>
        <v>0</v>
      </c>
      <c r="FO27" s="192" t="str">
        <f>IF(AND($C27&lt;&gt;"",$T27&lt;&gt;""),(VLOOKUP($C27,'V-LOOKUP'!$C$4:$M$59,5,FALSE)),"0")</f>
        <v>0</v>
      </c>
      <c r="FP27" s="192" t="str">
        <f>IF(AND($C27&lt;&gt;"",$T27&lt;&gt;""),(VLOOKUP($C27,'V-LOOKUP'!$C$4:$M$59,6,FALSE)),"0")</f>
        <v>0</v>
      </c>
      <c r="FQ27" s="192" t="str">
        <f>IF(AND($C27&lt;&gt;"",$T27&lt;&gt;""),(VLOOKUP($C27,'V-LOOKUP'!$C$4:$M$59,7,FALSE)),"0")</f>
        <v>0</v>
      </c>
      <c r="FR27" s="192" t="str">
        <f>IF(AND($C27&lt;&gt;"",$T27&lt;&gt;""),(VLOOKUP($C27,'V-LOOKUP'!$C$4:$M$59,8,FALSE)),"0")</f>
        <v>0</v>
      </c>
      <c r="FS27" s="192" t="str">
        <f>IF(AND($C27&lt;&gt;"",$T27&lt;&gt;""),(VLOOKUP($C27,'V-LOOKUP'!$C$4:$M$59,9,FALSE)),"0")</f>
        <v>0</v>
      </c>
      <c r="FT27" s="192" t="str">
        <f>IF(AND($C27&lt;&gt;"",$T27&lt;&gt;""),(VLOOKUP($C27,'V-LOOKUP'!$C$4:$M$59,10,FALSE)),"0")</f>
        <v>0</v>
      </c>
      <c r="FU27" s="192" t="str">
        <f>IF(AND($C27&lt;&gt;"",$T27&lt;&gt;""),(VLOOKUP($C27,'V-LOOKUP'!$C$4:$M$59,11,FALSE)),"0")</f>
        <v>0</v>
      </c>
      <c r="FV27" s="192" t="str">
        <f>IF(AND($C27&lt;&gt;"",$T27&lt;&gt;""),(VLOOKUP($C27,'V-LOOKUP'!$C$4:$N$59,12,FALSE)),"0")</f>
        <v>0</v>
      </c>
      <c r="FW27" s="192" t="str">
        <f>IF(AND($C27&lt;&gt;"",U27&lt;&gt;""),(VLOOKUP($C27,'V-LOOKUP'!$C$4:$M$59,4,FALSE)),"0")</f>
        <v>0</v>
      </c>
      <c r="FX27" s="192" t="str">
        <f>IF(AND($C27&lt;&gt;"",$U27&lt;&gt;""),(VLOOKUP($C27,'V-LOOKUP'!$C$4:$M$59,5,FALSE)),"0")</f>
        <v>0</v>
      </c>
      <c r="FY27" s="192" t="str">
        <f>IF(AND($C27&lt;&gt;"",$U27&lt;&gt;""),(VLOOKUP($C27,'V-LOOKUP'!$C$4:$M$59,6,FALSE)),"0")</f>
        <v>0</v>
      </c>
      <c r="FZ27" s="192" t="str">
        <f>IF(AND($C27&lt;&gt;"",$U27&lt;&gt;""),(VLOOKUP($C27,'V-LOOKUP'!$C$4:$M$59,7,FALSE)),"0")</f>
        <v>0</v>
      </c>
      <c r="GA27" s="192" t="str">
        <f>IF(AND($C27&lt;&gt;"",$U27&lt;&gt;""),(VLOOKUP($C27,'V-LOOKUP'!$C$4:$M$59,8,FALSE)),"0")</f>
        <v>0</v>
      </c>
      <c r="GB27" s="192" t="str">
        <f>IF(AND($C27&lt;&gt;"",$U27&lt;&gt;""),(VLOOKUP($C27,'V-LOOKUP'!$C$4:$M$59,9,FALSE)),"0")</f>
        <v>0</v>
      </c>
      <c r="GC27" s="192" t="str">
        <f>IF(AND($C27&lt;&gt;"",$U27&lt;&gt;""),(VLOOKUP($C27,'V-LOOKUP'!$C$4:$M$59,10,FALSE)),"0")</f>
        <v>0</v>
      </c>
      <c r="GD27" s="192" t="str">
        <f>IF(AND($C27&lt;&gt;"",$U27&lt;&gt;""),(VLOOKUP($C27,'V-LOOKUP'!$C$4:$M$59,11,FALSE)),"0")</f>
        <v>0</v>
      </c>
      <c r="GE27" s="192" t="str">
        <f>IF(AND($C27&lt;&gt;"",$U27&lt;&gt;""),(VLOOKUP($C27,'V-LOOKUP'!$C$4:$N$59,12,FALSE)),"0")</f>
        <v>0</v>
      </c>
      <c r="GF27" s="192" t="str">
        <f>IF(AND($C27&lt;&gt;"",V27&lt;&gt;""),(VLOOKUP($C27,'V-LOOKUP'!$C$4:$M$59,4,FALSE)),"0")</f>
        <v>0</v>
      </c>
      <c r="GG27" s="192" t="str">
        <f>IF(AND($C27&lt;&gt;"",$V27&lt;&gt;""),(VLOOKUP($C27,'V-LOOKUP'!$C$4:$M$59,5,FALSE)),"0")</f>
        <v>0</v>
      </c>
      <c r="GH27" s="192" t="str">
        <f>IF(AND($C27&lt;&gt;"",$V27&lt;&gt;""),(VLOOKUP($C27,'V-LOOKUP'!$C$4:$M$59,6,FALSE)),"0")</f>
        <v>0</v>
      </c>
      <c r="GI27" s="192" t="str">
        <f>IF(AND($C27&lt;&gt;"",$V27&lt;&gt;""),(VLOOKUP($C27,'V-LOOKUP'!$C$4:$M$59,7,FALSE)),"0")</f>
        <v>0</v>
      </c>
      <c r="GJ27" s="192" t="str">
        <f>IF(AND($C27&lt;&gt;"",$V27&lt;&gt;""),(VLOOKUP($C27,'V-LOOKUP'!$C$4:$M$59,8,FALSE)),"0")</f>
        <v>0</v>
      </c>
      <c r="GK27" s="192" t="str">
        <f>IF(AND($C27&lt;&gt;"",$V27&lt;&gt;""),(VLOOKUP($C27,'V-LOOKUP'!$C$4:$M$59,9,FALSE)),"0")</f>
        <v>0</v>
      </c>
      <c r="GL27" s="192" t="str">
        <f>IF(AND($C27&lt;&gt;"",$V27&lt;&gt;""),(VLOOKUP($C27,'V-LOOKUP'!$C$4:$M$59,10,FALSE)),"0")</f>
        <v>0</v>
      </c>
      <c r="GM27" s="192" t="str">
        <f>IF(AND($C27&lt;&gt;"",$V27&lt;&gt;""),(VLOOKUP($C27,'V-LOOKUP'!$C$4:$M$59,11,FALSE)),"0")</f>
        <v>0</v>
      </c>
      <c r="GN27" s="192" t="str">
        <f>IF(AND($C27&lt;&gt;"",$V27&lt;&gt;""),(VLOOKUP($C27,'V-LOOKUP'!$C$4:$N$59,12,FALSE)),"0")</f>
        <v>0</v>
      </c>
      <c r="GO27" s="192" t="str">
        <f>IF(AND($C27&lt;&gt;"",W27&lt;&gt;""),(VLOOKUP($C27,'V-LOOKUP'!$C$4:$M$59,4,FALSE)),"0")</f>
        <v>0</v>
      </c>
      <c r="GP27" s="192" t="str">
        <f>IF(AND($C27&lt;&gt;"",$W27&lt;&gt;""),(VLOOKUP($C27,'V-LOOKUP'!$C$4:$M$59,5,FALSE)),"0")</f>
        <v>0</v>
      </c>
      <c r="GQ27" s="192" t="str">
        <f>IF(AND($C27&lt;&gt;"",$W27&lt;&gt;""),(VLOOKUP($C27,'V-LOOKUP'!$C$4:$M$59,6,FALSE)),"0")</f>
        <v>0</v>
      </c>
      <c r="GR27" s="192" t="str">
        <f>IF(AND($C27&lt;&gt;"",$W27&lt;&gt;""),(VLOOKUP($C27,'V-LOOKUP'!$C$4:$M$59,7,FALSE)),"0")</f>
        <v>0</v>
      </c>
      <c r="GS27" s="192" t="str">
        <f>IF(AND($C27&lt;&gt;"",$W27&lt;&gt;""),(VLOOKUP($C27,'V-LOOKUP'!$C$4:$M$59,8,FALSE)),"0")</f>
        <v>0</v>
      </c>
      <c r="GT27" s="192" t="str">
        <f>IF(AND($C27&lt;&gt;"",$W27&lt;&gt;""),(VLOOKUP($C27,'V-LOOKUP'!$C$4:$M$59,9,FALSE)),"0")</f>
        <v>0</v>
      </c>
      <c r="GU27" s="192" t="str">
        <f>IF(AND($C27&lt;&gt;"",$W27&lt;&gt;""),(VLOOKUP($C27,'V-LOOKUP'!$C$4:$M$59,10,FALSE)),"0")</f>
        <v>0</v>
      </c>
      <c r="GV27" s="192" t="str">
        <f>IF(AND($C27&lt;&gt;"",$W27&lt;&gt;""),(VLOOKUP($C27,'V-LOOKUP'!$C$4:$M$59,11,FALSE)),"0")</f>
        <v>0</v>
      </c>
      <c r="GW27" s="192" t="str">
        <f>IF(AND($C27&lt;&gt;"",$W27&lt;&gt;""),(VLOOKUP($C27,'V-LOOKUP'!$C$4:$N$59,12,FALSE)),"0")</f>
        <v>0</v>
      </c>
    </row>
    <row r="28" spans="1:205" ht="14.65" hidden="1" customHeight="1">
      <c r="A28" s="193"/>
      <c r="B28" s="245"/>
      <c r="C28" s="201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Y28" s="190"/>
      <c r="Z28" s="192" t="str">
        <f>IF(AND($C28&lt;&gt;"",$D28&lt;&gt;""),(VLOOKUP($C28,'V-LOOKUP'!$C$4:$M$59,4,FALSE)),"0")</f>
        <v>0</v>
      </c>
      <c r="AA28" s="192" t="str">
        <f>IF(AND($C28&lt;&gt;"",$D28&lt;&gt;""),(VLOOKUP($C28,'V-LOOKUP'!$C$4:$M$59,5,FALSE)),"0")</f>
        <v>0</v>
      </c>
      <c r="AB28" s="192" t="str">
        <f>IF(AND($C28&lt;&gt;"",$D28&lt;&gt;""),(VLOOKUP($C28,'V-LOOKUP'!$C$4:$M$59,6,FALSE)),"0")</f>
        <v>0</v>
      </c>
      <c r="AC28" s="192" t="str">
        <f>IF(AND($C28&lt;&gt;"",$D28&lt;&gt;""),(VLOOKUP($C28,'V-LOOKUP'!$C$4:$M$59,7,FALSE)),"0")</f>
        <v>0</v>
      </c>
      <c r="AD28" s="192" t="str">
        <f>IF(AND($C28&lt;&gt;"",$D28&lt;&gt;""),(VLOOKUP($C28,'V-LOOKUP'!$C$4:$M$59,8,FALSE)),"0")</f>
        <v>0</v>
      </c>
      <c r="AE28" s="192" t="str">
        <f>IF(AND($C28&lt;&gt;"",$D28&lt;&gt;""),(VLOOKUP($C28,'V-LOOKUP'!$C$4:$M$59,9,FALSE)),"0")</f>
        <v>0</v>
      </c>
      <c r="AF28" s="192" t="str">
        <f>IF(AND($C28&lt;&gt;"",$D28&lt;&gt;""),(VLOOKUP($C28,'V-LOOKUP'!$C$4:$M$59,10,FALSE)),"0")</f>
        <v>0</v>
      </c>
      <c r="AG28" s="192" t="str">
        <f>IF(AND($C28&lt;&gt;"",$D28&lt;&gt;""),(VLOOKUP($C28,'V-LOOKUP'!$C$4:$M$59,11,FALSE)),"0")</f>
        <v>0</v>
      </c>
      <c r="AH28" s="192" t="str">
        <f>IF(AND($C28&lt;&gt;"",$D28&lt;&gt;""),(VLOOKUP($C28,'V-LOOKUP'!$C$4:$N$59,12,FALSE)),"0")</f>
        <v>0</v>
      </c>
      <c r="AI28" s="192" t="str">
        <f>IF(AND($C28&lt;&gt;"",E28&lt;&gt;""),(VLOOKUP($C28,'V-LOOKUP'!$C$4:$M$59,4,FALSE)),"0")</f>
        <v>0</v>
      </c>
      <c r="AJ28" s="192" t="str">
        <f>IF(AND($C28&lt;&gt;"",$E28&lt;&gt;""),(VLOOKUP($C28,'V-LOOKUP'!$C$4:$M$59,5,FALSE)),"0")</f>
        <v>0</v>
      </c>
      <c r="AK28" s="192" t="str">
        <f>IF(AND($C28&lt;&gt;"",$E28&lt;&gt;""),(VLOOKUP($C28,'V-LOOKUP'!$C$4:$M$59,6,FALSE)),"0")</f>
        <v>0</v>
      </c>
      <c r="AL28" s="192" t="str">
        <f>IF(AND($C28&lt;&gt;"",$E28&lt;&gt;""),(VLOOKUP($C28,'V-LOOKUP'!$C$4:$M$59,7,FALSE)),"0")</f>
        <v>0</v>
      </c>
      <c r="AM28" s="192" t="str">
        <f>IF(AND($C28&lt;&gt;"",$E28&lt;&gt;""),(VLOOKUP($C28,'V-LOOKUP'!$C$4:$M$59,8,FALSE)),"0")</f>
        <v>0</v>
      </c>
      <c r="AN28" s="192" t="str">
        <f>IF(AND($C28&lt;&gt;"",$E28&lt;&gt;""),(VLOOKUP($C28,'V-LOOKUP'!$C$4:$M$59,9,FALSE)),"0")</f>
        <v>0</v>
      </c>
      <c r="AO28" s="192" t="str">
        <f>IF(AND($C28&lt;&gt;"",$E28&lt;&gt;""),(VLOOKUP($C28,'V-LOOKUP'!$C$4:$M$59,10,FALSE)),"0")</f>
        <v>0</v>
      </c>
      <c r="AP28" s="192" t="str">
        <f>IF(AND($C28&lt;&gt;"",$E28&lt;&gt;""),(VLOOKUP($C28,'V-LOOKUP'!$C$4:$M$59,11,FALSE)),"0")</f>
        <v>0</v>
      </c>
      <c r="AQ28" s="192" t="str">
        <f>IF(AND($C28&lt;&gt;"",$E28&lt;&gt;""),(VLOOKUP($C28,'V-LOOKUP'!$C$4:$N$59,12,FALSE)),"0")</f>
        <v>0</v>
      </c>
      <c r="AR28" s="192" t="str">
        <f>IF(AND($C28&lt;&gt;"",$F28&lt;&gt;""),(VLOOKUP($C28,'V-LOOKUP'!$C$4:$M$59,4,FALSE)),"0")</f>
        <v>0</v>
      </c>
      <c r="AS28" s="192" t="str">
        <f>IF(AND($C28&lt;&gt;"",$F28&lt;&gt;""),(VLOOKUP($C28,'V-LOOKUP'!$C$4:$M$59,5,FALSE)),"0")</f>
        <v>0</v>
      </c>
      <c r="AT28" s="192" t="str">
        <f>IF(AND($C28&lt;&gt;"",$F28&lt;&gt;""),(VLOOKUP($C28,'V-LOOKUP'!$C$4:$M$59,6,FALSE)),"0")</f>
        <v>0</v>
      </c>
      <c r="AU28" s="192" t="str">
        <f>IF(AND($C28&lt;&gt;"",$F28&lt;&gt;""),(VLOOKUP($C28,'V-LOOKUP'!$C$4:$M$59,7,FALSE)),"0")</f>
        <v>0</v>
      </c>
      <c r="AV28" s="192" t="str">
        <f>IF(AND($C28&lt;&gt;"",$F28&lt;&gt;""),(VLOOKUP($C28,'V-LOOKUP'!$C$4:$M$59,8,FALSE)),"0")</f>
        <v>0</v>
      </c>
      <c r="AW28" s="192" t="str">
        <f>IF(AND($C28&lt;&gt;"",$F28&lt;&gt;""),(VLOOKUP($C28,'V-LOOKUP'!$C$4:$M$59,9,FALSE)),"0")</f>
        <v>0</v>
      </c>
      <c r="AX28" s="192" t="str">
        <f>IF(AND($C28&lt;&gt;"",$F28&lt;&gt;""),(VLOOKUP($C28,'V-LOOKUP'!$C$4:$M$59,10,FALSE)),"0")</f>
        <v>0</v>
      </c>
      <c r="AY28" s="192" t="str">
        <f>IF(AND($C28&lt;&gt;"",$F28&lt;&gt;""),(VLOOKUP($C28,'V-LOOKUP'!$C$4:$M$59,11,FALSE)),"0")</f>
        <v>0</v>
      </c>
      <c r="AZ28" s="192" t="str">
        <f>IF(AND($C28&lt;&gt;"",$F28&lt;&gt;""),(VLOOKUP($C28,'V-LOOKUP'!$C$4:$N$59,12,FALSE)),"0")</f>
        <v>0</v>
      </c>
      <c r="BA28" s="192" t="str">
        <f>IF(AND($C28&lt;&gt;"",G28&lt;&gt;""),(VLOOKUP($C28,'V-LOOKUP'!$C$4:$M$59,4,FALSE)),"0")</f>
        <v>0</v>
      </c>
      <c r="BB28" s="192" t="str">
        <f>IF(AND($C28&lt;&gt;"",$G28&lt;&gt;""),(VLOOKUP($C28,'V-LOOKUP'!$C$4:$M$59,5,FALSE)),"0")</f>
        <v>0</v>
      </c>
      <c r="BC28" s="192" t="str">
        <f>IF(AND($C28&lt;&gt;"",$G28&lt;&gt;""),(VLOOKUP($C28,'V-LOOKUP'!$C$4:$M$59,6,FALSE)),"0")</f>
        <v>0</v>
      </c>
      <c r="BD28" s="192" t="str">
        <f>IF(AND($C28&lt;&gt;"",$G28&lt;&gt;""),(VLOOKUP($C28,'V-LOOKUP'!$C$4:$M$59,7,FALSE)),"0")</f>
        <v>0</v>
      </c>
      <c r="BE28" s="192" t="str">
        <f>IF(AND($C28&lt;&gt;"",$G28&lt;&gt;""),(VLOOKUP($C28,'V-LOOKUP'!$C$4:$M$59,8,FALSE)),"0")</f>
        <v>0</v>
      </c>
      <c r="BF28" s="192" t="str">
        <f>IF(AND($C28&lt;&gt;"",$G28&lt;&gt;""),(VLOOKUP($C28,'V-LOOKUP'!$C$4:$M$59,9,FALSE)),"0")</f>
        <v>0</v>
      </c>
      <c r="BG28" s="192" t="str">
        <f>IF(AND($C28&lt;&gt;"",$G28&lt;&gt;""),(VLOOKUP($C28,'V-LOOKUP'!$C$4:$M$59,10,FALSE)),"0")</f>
        <v>0</v>
      </c>
      <c r="BH28" s="192" t="str">
        <f>IF(AND($C28&lt;&gt;"",$G28&lt;&gt;""),(VLOOKUP($C28,'V-LOOKUP'!$C$4:$M$59,11,FALSE)),"0")</f>
        <v>0</v>
      </c>
      <c r="BI28" s="192" t="str">
        <f>IF(AND($C28&lt;&gt;"",$G28&lt;&gt;""),(VLOOKUP($C28,'V-LOOKUP'!$C$4:$N$59,12,FALSE)),"0")</f>
        <v>0</v>
      </c>
      <c r="BJ28" s="192" t="str">
        <f>IF(AND($C28&lt;&gt;"",H28&lt;&gt;""),(VLOOKUP($C28,'V-LOOKUP'!$C$4:$M$59,4,FALSE)),"0")</f>
        <v>0</v>
      </c>
      <c r="BK28" s="192" t="str">
        <f>IF(AND($C28&lt;&gt;"",$G28&lt;&gt;""),(VLOOKUP($C28,'V-LOOKUP'!$C$4:$M$59,5,FALSE)),"0")</f>
        <v>0</v>
      </c>
      <c r="BL28" s="192" t="str">
        <f>IF(AND($C28&lt;&gt;"",$H28&lt;&gt;""),(VLOOKUP($C28,'V-LOOKUP'!$C$4:$M$59,6,FALSE)),"0")</f>
        <v>0</v>
      </c>
      <c r="BM28" s="192" t="str">
        <f>IF(AND($C28&lt;&gt;"",$H28&lt;&gt;""),(VLOOKUP($C28,'V-LOOKUP'!$C$4:$M$59,7,FALSE)),"0")</f>
        <v>0</v>
      </c>
      <c r="BN28" s="192" t="str">
        <f>IF(AND($C28&lt;&gt;"",$H28&lt;&gt;""),(VLOOKUP($C28,'V-LOOKUP'!$C$4:$M$59,8,FALSE)),"0")</f>
        <v>0</v>
      </c>
      <c r="BO28" s="192" t="str">
        <f>IF(AND($C28&lt;&gt;"",$H28&lt;&gt;""),(VLOOKUP($C28,'V-LOOKUP'!$C$4:$M$59,9,FALSE)),"0")</f>
        <v>0</v>
      </c>
      <c r="BP28" s="192" t="str">
        <f>IF(AND($C28&lt;&gt;"",$H28&lt;&gt;""),(VLOOKUP($C28,'V-LOOKUP'!$C$4:$M$59,10,FALSE)),"0")</f>
        <v>0</v>
      </c>
      <c r="BQ28" s="192" t="str">
        <f>IF(AND($C28&lt;&gt;"",$H28&lt;&gt;""),(VLOOKUP($C28,'V-LOOKUP'!$C$4:$M$59,11,FALSE)),"0")</f>
        <v>0</v>
      </c>
      <c r="BR28" s="192" t="str">
        <f>IF(AND($C28&lt;&gt;"",$H28&lt;&gt;""),(VLOOKUP($C28,'V-LOOKUP'!$C$4:$N$59,12,FALSE)),"0")</f>
        <v>0</v>
      </c>
      <c r="BS28" s="192" t="str">
        <f>IF(AND($C28&lt;&gt;"",I28&lt;&gt;""),(VLOOKUP($C28,'V-LOOKUP'!$C$4:$M$59,4,FALSE)),"0")</f>
        <v>0</v>
      </c>
      <c r="BT28" s="192" t="str">
        <f>IF(AND($C28&lt;&gt;"",$I28&lt;&gt;""),(VLOOKUP($C28,'V-LOOKUP'!$C$4:$M$59,5,FALSE)),"0")</f>
        <v>0</v>
      </c>
      <c r="BU28" s="192" t="str">
        <f>IF(AND($C28&lt;&gt;"",$I28&lt;&gt;""),(VLOOKUP($C28,'V-LOOKUP'!$C$4:$M$59,6,FALSE)),"0")</f>
        <v>0</v>
      </c>
      <c r="BV28" s="192" t="str">
        <f>IF(AND($C28&lt;&gt;"",$I28&lt;&gt;""),(VLOOKUP($C28,'V-LOOKUP'!$C$4:$M$59,7,FALSE)),"0")</f>
        <v>0</v>
      </c>
      <c r="BW28" s="192" t="str">
        <f>IF(AND($C28&lt;&gt;"",$I28&lt;&gt;""),(VLOOKUP($C28,'V-LOOKUP'!$C$4:$M$59,8,FALSE)),"0")</f>
        <v>0</v>
      </c>
      <c r="BX28" s="192" t="str">
        <f>IF(AND($C28&lt;&gt;"",$I28&lt;&gt;""),(VLOOKUP($C28,'V-LOOKUP'!$C$4:$M$59,9,FALSE)),"0")</f>
        <v>0</v>
      </c>
      <c r="BY28" s="192" t="str">
        <f>IF(AND($C28&lt;&gt;"",$I28&lt;&gt;""),(VLOOKUP($C28,'V-LOOKUP'!$C$4:$M$59,10,FALSE)),"0")</f>
        <v>0</v>
      </c>
      <c r="BZ28" s="192" t="str">
        <f>IF(AND($C28&lt;&gt;"",$I28&lt;&gt;""),(VLOOKUP($C28,'V-LOOKUP'!$C$4:$M$59,11,FALSE)),"0")</f>
        <v>0</v>
      </c>
      <c r="CA28" s="192" t="str">
        <f>IF(AND($C28&lt;&gt;"",$I28&lt;&gt;""),(VLOOKUP($C28,'V-LOOKUP'!$C$4:$N$59,12,FALSE)),"0")</f>
        <v>0</v>
      </c>
      <c r="CB28" s="192" t="str">
        <f>IF(AND($C28&lt;&gt;"",J28&lt;&gt;""),(VLOOKUP($C28,'V-LOOKUP'!$C$4:$M$59,4,FALSE)),"0")</f>
        <v>0</v>
      </c>
      <c r="CC28" s="192" t="str">
        <f>IF(AND($C28&lt;&gt;"",$J28&lt;&gt;""),(VLOOKUP($C28,'V-LOOKUP'!$C$4:$M$59,5,FALSE)),"0")</f>
        <v>0</v>
      </c>
      <c r="CD28" s="192" t="str">
        <f>IF(AND($C28&lt;&gt;"",$J28&lt;&gt;""),(VLOOKUP($C28,'V-LOOKUP'!$C$4:$M$59,6,FALSE)),"0")</f>
        <v>0</v>
      </c>
      <c r="CE28" s="192" t="str">
        <f>IF(AND($C28&lt;&gt;"",$J28&lt;&gt;""),(VLOOKUP($C28,'V-LOOKUP'!$C$4:$M$59,7,FALSE)),"0")</f>
        <v>0</v>
      </c>
      <c r="CF28" s="192" t="str">
        <f>IF(AND($C28&lt;&gt;"",$J28&lt;&gt;""),(VLOOKUP($C28,'V-LOOKUP'!$C$4:$M$59,8,FALSE)),"0")</f>
        <v>0</v>
      </c>
      <c r="CG28" s="192" t="str">
        <f>IF(AND($C28&lt;&gt;"",$J28&lt;&gt;""),(VLOOKUP($C28,'V-LOOKUP'!$C$4:$M$59,9,FALSE)),"0")</f>
        <v>0</v>
      </c>
      <c r="CH28" s="192" t="str">
        <f>IF(AND($C28&lt;&gt;"",$J28&lt;&gt;""),(VLOOKUP($C28,'V-LOOKUP'!$C$4:$M$59,10,FALSE)),"0")</f>
        <v>0</v>
      </c>
      <c r="CI28" s="192" t="str">
        <f>IF(AND($C28&lt;&gt;"",$J28&lt;&gt;""),(VLOOKUP($C28,'V-LOOKUP'!$C$4:$M$59,11,FALSE)),"0")</f>
        <v>0</v>
      </c>
      <c r="CJ28" s="192" t="str">
        <f>IF(AND($C28&lt;&gt;"",$J28&lt;&gt;""),(VLOOKUP($C28,'V-LOOKUP'!$C$4:$N$59,12,FALSE)),"0")</f>
        <v>0</v>
      </c>
      <c r="CK28" s="192" t="str">
        <f>IF(AND($C28&lt;&gt;"",K28&lt;&gt;""),(VLOOKUP($C28,'V-LOOKUP'!$C$4:$M$59,4,FALSE)),"0")</f>
        <v>0</v>
      </c>
      <c r="CL28" s="192" t="str">
        <f>IF(AND($C28&lt;&gt;"",$K28&lt;&gt;""),(VLOOKUP($C28,'V-LOOKUP'!$C$4:$M$59,5,FALSE)),"0")</f>
        <v>0</v>
      </c>
      <c r="CM28" s="192" t="str">
        <f>IF(AND($C28&lt;&gt;"",$K28&lt;&gt;""),(VLOOKUP($C28,'V-LOOKUP'!$C$4:$M$59,6,FALSE)),"0")</f>
        <v>0</v>
      </c>
      <c r="CN28" s="192" t="str">
        <f>IF(AND($C28&lt;&gt;"",$K28&lt;&gt;""),(VLOOKUP($C28,'V-LOOKUP'!$C$4:$M$59,7,FALSE)),"0")</f>
        <v>0</v>
      </c>
      <c r="CO28" s="192" t="str">
        <f>IF(AND($C28&lt;&gt;"",$K28&lt;&gt;""),(VLOOKUP($C28,'V-LOOKUP'!$C$4:$M$59,8,FALSE)),"0")</f>
        <v>0</v>
      </c>
      <c r="CP28" s="192" t="str">
        <f>IF(AND($C28&lt;&gt;"",$K28&lt;&gt;""),(VLOOKUP($C28,'V-LOOKUP'!$C$4:$M$59,9,FALSE)),"0")</f>
        <v>0</v>
      </c>
      <c r="CQ28" s="192" t="str">
        <f>IF(AND($C28&lt;&gt;"",$K28&lt;&gt;""),(VLOOKUP($C28,'V-LOOKUP'!$C$4:$M$59,10,FALSE)),"0")</f>
        <v>0</v>
      </c>
      <c r="CR28" s="192" t="str">
        <f>IF(AND($C28&lt;&gt;"",$K28&lt;&gt;""),(VLOOKUP($C28,'V-LOOKUP'!$C$4:$M$59,11,FALSE)),"0")</f>
        <v>0</v>
      </c>
      <c r="CS28" s="192" t="str">
        <f>IF(AND($C28&lt;&gt;"",$K28&lt;&gt;""),(VLOOKUP($C28,'V-LOOKUP'!$C$4:$N$59,12,FALSE)),"0")</f>
        <v>0</v>
      </c>
      <c r="CT28" s="192" t="str">
        <f>IF(AND($C28&lt;&gt;"",L28&lt;&gt;""),(VLOOKUP($C28,'V-LOOKUP'!$C$4:$M$59,4,FALSE)),"0")</f>
        <v>0</v>
      </c>
      <c r="CU28" s="192" t="str">
        <f>IF(AND($C28&lt;&gt;"",$L28&lt;&gt;""),(VLOOKUP($C28,'V-LOOKUP'!$C$4:$M$59,5,FALSE)),"0")</f>
        <v>0</v>
      </c>
      <c r="CV28" s="192" t="str">
        <f>IF(AND($C28&lt;&gt;"",$L28&lt;&gt;""),(VLOOKUP($C28,'V-LOOKUP'!$C$4:$M$59,6,FALSE)),"0")</f>
        <v>0</v>
      </c>
      <c r="CW28" s="192" t="str">
        <f>IF(AND($C28&lt;&gt;"",$L28&lt;&gt;""),(VLOOKUP($C28,'V-LOOKUP'!$C$4:$M$59,7,FALSE)),"0")</f>
        <v>0</v>
      </c>
      <c r="CX28" s="192" t="str">
        <f>IF(AND($C28&lt;&gt;"",$L28&lt;&gt;""),(VLOOKUP($C28,'V-LOOKUP'!$C$4:$M$59,8,FALSE)),"0")</f>
        <v>0</v>
      </c>
      <c r="CY28" s="192" t="str">
        <f>IF(AND($C28&lt;&gt;"",$L28&lt;&gt;""),(VLOOKUP($C28,'V-LOOKUP'!$C$4:$M$59,9,FALSE)),"0")</f>
        <v>0</v>
      </c>
      <c r="CZ28" s="192" t="str">
        <f>IF(AND($C28&lt;&gt;"",$L28&lt;&gt;""),(VLOOKUP($C28,'V-LOOKUP'!$C$4:$M$59,10,FALSE)),"0")</f>
        <v>0</v>
      </c>
      <c r="DA28" s="192" t="str">
        <f>IF(AND($C28&lt;&gt;"",$L28&lt;&gt;""),(VLOOKUP($C28,'V-LOOKUP'!$C$4:$M$59,11,FALSE)),"0")</f>
        <v>0</v>
      </c>
      <c r="DB28" s="192" t="str">
        <f>IF(AND($C28&lt;&gt;"",$L28&lt;&gt;""),(VLOOKUP($C28,'V-LOOKUP'!$C$4:$N$59,12,FALSE)),"0")</f>
        <v>0</v>
      </c>
      <c r="DC28" s="192" t="str">
        <f>IF(AND($C28&lt;&gt;"",M28&lt;&gt;""),(VLOOKUP($C28,'V-LOOKUP'!$C$4:$M$59,4,FALSE)),"0")</f>
        <v>0</v>
      </c>
      <c r="DD28" s="192" t="str">
        <f>IF(AND($C28&lt;&gt;"",$M28&lt;&gt;""),(VLOOKUP($C28,'V-LOOKUP'!$C$4:$M$59,5,FALSE)),"0")</f>
        <v>0</v>
      </c>
      <c r="DE28" s="192" t="str">
        <f>IF(AND($C28&lt;&gt;"",$M28&lt;&gt;""),(VLOOKUP($C28,'V-LOOKUP'!$C$4:$M$59,6,FALSE)),"0")</f>
        <v>0</v>
      </c>
      <c r="DF28" s="192" t="str">
        <f>IF(AND($C28&lt;&gt;"",$M28&lt;&gt;""),(VLOOKUP($C28,'V-LOOKUP'!$C$4:$M$59,7,FALSE)),"0")</f>
        <v>0</v>
      </c>
      <c r="DG28" s="192" t="str">
        <f>IF(AND($C28&lt;&gt;"",$M28&lt;&gt;""),(VLOOKUP($C28,'V-LOOKUP'!$C$4:$M$59,8,FALSE)),"0")</f>
        <v>0</v>
      </c>
      <c r="DH28" s="192" t="str">
        <f>IF(AND($C28&lt;&gt;"",$M28&lt;&gt;""),(VLOOKUP($C28,'V-LOOKUP'!$C$4:$M$59,9,FALSE)),"0")</f>
        <v>0</v>
      </c>
      <c r="DI28" s="192" t="str">
        <f>IF(AND($C28&lt;&gt;"",$M28&lt;&gt;""),(VLOOKUP($C28,'V-LOOKUP'!$C$4:$M$59,10,FALSE)),"0")</f>
        <v>0</v>
      </c>
      <c r="DJ28" s="192" t="str">
        <f>IF(AND($C28&lt;&gt;"",$M28&lt;&gt;""),(VLOOKUP($C28,'V-LOOKUP'!$C$4:$M$59,11,FALSE)),"0")</f>
        <v>0</v>
      </c>
      <c r="DK28" s="192" t="str">
        <f>IF(AND($C28&lt;&gt;"",$M28&lt;&gt;""),(VLOOKUP($C28,'V-LOOKUP'!$C$4:$N$59,12,FALSE)),"0")</f>
        <v>0</v>
      </c>
      <c r="DL28" s="192" t="str">
        <f>IF(AND($C28&lt;&gt;"",$N28&lt;&gt;""),(VLOOKUP($C28,'V-LOOKUP'!$C$4:$M$59,4,FALSE)),"0")</f>
        <v>0</v>
      </c>
      <c r="DM28" s="192" t="str">
        <f>IF(AND($C28&lt;&gt;"",$N28&lt;&gt;""),(VLOOKUP($C28,'V-LOOKUP'!$C$4:$M$59,5,FALSE)),"0")</f>
        <v>0</v>
      </c>
      <c r="DN28" s="192" t="str">
        <f>IF(AND($C28&lt;&gt;"",$N28&lt;&gt;""),(VLOOKUP($C28,'V-LOOKUP'!$C$4:$M$59,6,FALSE)),"0")</f>
        <v>0</v>
      </c>
      <c r="DO28" s="192" t="str">
        <f>IF(AND($C28&lt;&gt;"",$N28&lt;&gt;""),(VLOOKUP($C28,'V-LOOKUP'!$C$4:$M$59,7,FALSE)),"0")</f>
        <v>0</v>
      </c>
      <c r="DP28" s="192" t="str">
        <f>IF(AND($C28&lt;&gt;"",$N28&lt;&gt;""),(VLOOKUP($C28,'V-LOOKUP'!$C$4:$M$59,8,FALSE)),"0")</f>
        <v>0</v>
      </c>
      <c r="DQ28" s="192" t="str">
        <f>IF(AND($C28&lt;&gt;"",$N28&lt;&gt;""),(VLOOKUP($C28,'V-LOOKUP'!$C$4:$M$59,9,FALSE)),"0")</f>
        <v>0</v>
      </c>
      <c r="DR28" s="192" t="str">
        <f>IF(AND($C28&lt;&gt;"",$N28&lt;&gt;""),(VLOOKUP($C28,'V-LOOKUP'!$C$4:$M$59,10,FALSE)),"0")</f>
        <v>0</v>
      </c>
      <c r="DS28" s="192" t="str">
        <f>IF(AND($C28&lt;&gt;"",$N28&lt;&gt;""),(VLOOKUP($C28,'V-LOOKUP'!$C$4:$M$59,11,FALSE)),"0")</f>
        <v>0</v>
      </c>
      <c r="DT28" s="192" t="str">
        <f>IF(AND($C28&lt;&gt;"",$N28&lt;&gt;""),(VLOOKUP($C28,'V-LOOKUP'!$C$4:$N$59,12,FALSE)),"0")</f>
        <v>0</v>
      </c>
      <c r="DU28" s="192" t="str">
        <f>IF(AND($C28&lt;&gt;"",O28&lt;&gt;""),(VLOOKUP($C28,'V-LOOKUP'!$C$4:$M$59,4,FALSE)),"0")</f>
        <v>0</v>
      </c>
      <c r="DV28" s="192" t="str">
        <f>IF(AND($C28&lt;&gt;"",$O28&lt;&gt;""),(VLOOKUP($C28,'V-LOOKUP'!$C$4:$M$59,5,FALSE)),"0")</f>
        <v>0</v>
      </c>
      <c r="DW28" s="192" t="str">
        <f>IF(AND($C28&lt;&gt;"",$O28&lt;&gt;""),(VLOOKUP($C28,'V-LOOKUP'!$C$4:$M$59,6,FALSE)),"0")</f>
        <v>0</v>
      </c>
      <c r="DX28" s="192" t="str">
        <f>IF(AND($C28&lt;&gt;"",$O28&lt;&gt;""),(VLOOKUP($C28,'V-LOOKUP'!$C$4:$M$59,7,FALSE)),"0")</f>
        <v>0</v>
      </c>
      <c r="DY28" s="192" t="str">
        <f>IF(AND($C28&lt;&gt;"",$O28&lt;&gt;""),(VLOOKUP($C28,'V-LOOKUP'!$C$4:$M$59,8,FALSE)),"0")</f>
        <v>0</v>
      </c>
      <c r="DZ28" s="192" t="str">
        <f>IF(AND($C28&lt;&gt;"",$O28&lt;&gt;""),(VLOOKUP($C28,'V-LOOKUP'!$C$4:$M$59,9,FALSE)),"0")</f>
        <v>0</v>
      </c>
      <c r="EA28" s="192" t="str">
        <f>IF(AND($C28&lt;&gt;"",$O28&lt;&gt;""),(VLOOKUP($C28,'V-LOOKUP'!$C$4:$M$59,10,FALSE)),"0")</f>
        <v>0</v>
      </c>
      <c r="EB28" s="192" t="str">
        <f>IF(AND($C28&lt;&gt;"",$O28&lt;&gt;""),(VLOOKUP($C28,'V-LOOKUP'!$C$4:$M$59,11,FALSE)),"0")</f>
        <v>0</v>
      </c>
      <c r="EC28" s="192" t="str">
        <f>IF(AND($C28&lt;&gt;"",$O28&lt;&gt;""),(VLOOKUP($C28,'V-LOOKUP'!$C$4:$N$59,12,FALSE)),"0")</f>
        <v>0</v>
      </c>
      <c r="ED28" s="192" t="str">
        <f>IF(AND($C28&lt;&gt;"",P28&lt;&gt;""),(VLOOKUP($C28,'V-LOOKUP'!$C$4:$M$59,4,FALSE)),"0")</f>
        <v>0</v>
      </c>
      <c r="EE28" s="192" t="str">
        <f>IF(AND($C28&lt;&gt;"",$P28&lt;&gt;""),(VLOOKUP($C28,'V-LOOKUP'!$C$4:$M$59,5,FALSE)),"0")</f>
        <v>0</v>
      </c>
      <c r="EF28" s="192" t="str">
        <f>IF(AND($C28&lt;&gt;"",$P28&lt;&gt;""),(VLOOKUP($C28,'V-LOOKUP'!$C$4:$M$59,6,FALSE)),"0")</f>
        <v>0</v>
      </c>
      <c r="EG28" s="192" t="str">
        <f>IF(AND($C28&lt;&gt;"",$P28&lt;&gt;""),(VLOOKUP($C28,'V-LOOKUP'!$C$4:$M$59,7,FALSE)),"0")</f>
        <v>0</v>
      </c>
      <c r="EH28" s="192" t="str">
        <f>IF(AND($C28&lt;&gt;"",$P28&lt;&gt;""),(VLOOKUP($C28,'V-LOOKUP'!$C$4:$M$59,8,FALSE)),"0")</f>
        <v>0</v>
      </c>
      <c r="EI28" s="192" t="str">
        <f>IF(AND($C28&lt;&gt;"",$P28&lt;&gt;""),(VLOOKUP($C28,'V-LOOKUP'!$C$4:$M$59,9,FALSE)),"0")</f>
        <v>0</v>
      </c>
      <c r="EJ28" s="192" t="str">
        <f>IF(AND($C28&lt;&gt;"",$P28&lt;&gt;""),(VLOOKUP($C28,'V-LOOKUP'!$C$4:$M$59,10,FALSE)),"0")</f>
        <v>0</v>
      </c>
      <c r="EK28" s="192" t="str">
        <f>IF(AND($C28&lt;&gt;"",$P28&lt;&gt;""),(VLOOKUP($C28,'V-LOOKUP'!$C$4:$M$59,11,FALSE)),"0")</f>
        <v>0</v>
      </c>
      <c r="EL28" s="192" t="str">
        <f>IF(AND($C28&lt;&gt;"",$P28&lt;&gt;""),(VLOOKUP($C28,'V-LOOKUP'!$C$4:$N$59,12,FALSE)),"0")</f>
        <v>0</v>
      </c>
      <c r="EM28" s="192" t="str">
        <f>IF(AND($C28&lt;&gt;"",Q28&lt;&gt;""),(VLOOKUP($C28,'V-LOOKUP'!$C$4:$M$59,4,FALSE)),"0")</f>
        <v>0</v>
      </c>
      <c r="EN28" s="192" t="str">
        <f>IF(AND($C28&lt;&gt;"",$Q28&lt;&gt;""),(VLOOKUP($C28,'V-LOOKUP'!$C$4:$M$59,5,FALSE)),"0")</f>
        <v>0</v>
      </c>
      <c r="EO28" s="192" t="str">
        <f>IF(AND($C28&lt;&gt;"",$Q28&lt;&gt;""),(VLOOKUP($C28,'V-LOOKUP'!$C$4:$M$59,6,FALSE)),"0")</f>
        <v>0</v>
      </c>
      <c r="EP28" s="192" t="str">
        <f>IF(AND($C28&lt;&gt;"",$Q28&lt;&gt;""),(VLOOKUP($C28,'V-LOOKUP'!$C$4:$M$59,7,FALSE)),"0")</f>
        <v>0</v>
      </c>
      <c r="EQ28" s="192" t="str">
        <f>IF(AND($C28&lt;&gt;"",$Q28&lt;&gt;""),(VLOOKUP($C28,'V-LOOKUP'!$C$4:$M$59,8,FALSE)),"0")</f>
        <v>0</v>
      </c>
      <c r="ER28" s="192" t="str">
        <f>IF(AND($C28&lt;&gt;"",$Q28&lt;&gt;""),(VLOOKUP($C28,'V-LOOKUP'!$C$4:$M$59,9,FALSE)),"0")</f>
        <v>0</v>
      </c>
      <c r="ES28" s="192" t="str">
        <f>IF(AND($C28&lt;&gt;"",$Q28&lt;&gt;""),(VLOOKUP($C28,'V-LOOKUP'!$C$4:$M$59,10,FALSE)),"0")</f>
        <v>0</v>
      </c>
      <c r="ET28" s="192" t="str">
        <f>IF(AND($C28&lt;&gt;"",$Q28&lt;&gt;""),(VLOOKUP($C28,'V-LOOKUP'!$C$4:$M$59,11,FALSE)),"0")</f>
        <v>0</v>
      </c>
      <c r="EU28" s="192" t="str">
        <f>IF(AND($C28&lt;&gt;"",$Q28&lt;&gt;""),(VLOOKUP($C28,'V-LOOKUP'!$C$4:$N$59,12,FALSE)),"0")</f>
        <v>0</v>
      </c>
      <c r="EV28" s="192" t="str">
        <f>IF(AND($C28&lt;&gt;"",R28&lt;&gt;""),(VLOOKUP($C28,'V-LOOKUP'!$C$4:$M$59,4,FALSE)),"0")</f>
        <v>0</v>
      </c>
      <c r="EW28" s="192" t="str">
        <f>IF(AND($C28&lt;&gt;"",$R28&lt;&gt;""),(VLOOKUP($C28,'V-LOOKUP'!$C$4:$M$59,5,FALSE)),"0")</f>
        <v>0</v>
      </c>
      <c r="EX28" s="192" t="str">
        <f>IF(AND($C28&lt;&gt;"",$R28&lt;&gt;""),(VLOOKUP($C28,'V-LOOKUP'!$C$4:$M$59,6,FALSE)),"0")</f>
        <v>0</v>
      </c>
      <c r="EY28" s="192" t="str">
        <f>IF(AND($C28&lt;&gt;"",$R28&lt;&gt;""),(VLOOKUP($C28,'V-LOOKUP'!$C$4:$M$59,7,FALSE)),"0")</f>
        <v>0</v>
      </c>
      <c r="EZ28" s="192" t="str">
        <f>IF(AND($C28&lt;&gt;"",$R28&lt;&gt;""),(VLOOKUP($C28,'V-LOOKUP'!$C$4:$M$59,8,FALSE)),"0")</f>
        <v>0</v>
      </c>
      <c r="FA28" s="192" t="str">
        <f>IF(AND($C28&lt;&gt;"",$R28&lt;&gt;""),(VLOOKUP($C28,'V-LOOKUP'!$C$4:$M$59,9,FALSE)),"0")</f>
        <v>0</v>
      </c>
      <c r="FB28" s="192" t="str">
        <f>IF(AND($C28&lt;&gt;"",$R28&lt;&gt;""),(VLOOKUP($C28,'V-LOOKUP'!$C$4:$M$59,10,FALSE)),"0")</f>
        <v>0</v>
      </c>
      <c r="FC28" s="192" t="str">
        <f>IF(AND($C28&lt;&gt;"",$R28&lt;&gt;""),(VLOOKUP($C28,'V-LOOKUP'!$C$4:$M$59,11,FALSE)),"0")</f>
        <v>0</v>
      </c>
      <c r="FD28" s="192" t="str">
        <f>IF(AND($C28&lt;&gt;"",$R28&lt;&gt;""),(VLOOKUP($C28,'V-LOOKUP'!$C$4:$N$59,12,FALSE)),"0")</f>
        <v>0</v>
      </c>
      <c r="FE28" s="192" t="str">
        <f>IF(AND($C28&lt;&gt;"",S28&lt;&gt;""),(VLOOKUP($C28,'V-LOOKUP'!$C$4:$M$59,4,FALSE)),"0")</f>
        <v>0</v>
      </c>
      <c r="FF28" s="192" t="str">
        <f>IF(AND($C28&lt;&gt;"",$S28&lt;&gt;""),(VLOOKUP($C28,'V-LOOKUP'!$C$4:$M$59,5,FALSE)),"0")</f>
        <v>0</v>
      </c>
      <c r="FG28" s="192" t="str">
        <f>IF(AND($C28&lt;&gt;"",$S28&lt;&gt;""),(VLOOKUP($C28,'V-LOOKUP'!$C$4:$M$59,6,FALSE)),"0")</f>
        <v>0</v>
      </c>
      <c r="FH28" s="192" t="str">
        <f>IF(AND($C28&lt;&gt;"",$S28&lt;&gt;""),(VLOOKUP($C28,'V-LOOKUP'!$C$4:$M$59,7,FALSE)),"0")</f>
        <v>0</v>
      </c>
      <c r="FI28" s="192" t="str">
        <f>IF(AND($C28&lt;&gt;"",$S28&lt;&gt;""),(VLOOKUP($C28,'V-LOOKUP'!$C$4:$M$59,8,FALSE)),"0")</f>
        <v>0</v>
      </c>
      <c r="FJ28" s="192" t="str">
        <f>IF(AND($C28&lt;&gt;"",$S28&lt;&gt;""),(VLOOKUP($C28,'V-LOOKUP'!$C$4:$M$59,9,FALSE)),"0")</f>
        <v>0</v>
      </c>
      <c r="FK28" s="192" t="str">
        <f>IF(AND($C28&lt;&gt;"",$S28&lt;&gt;""),(VLOOKUP($C28,'V-LOOKUP'!$C$4:$M$59,10,FALSE)),"0")</f>
        <v>0</v>
      </c>
      <c r="FL28" s="192" t="str">
        <f>IF(AND($C28&lt;&gt;"",$S28&lt;&gt;""),(VLOOKUP($C28,'V-LOOKUP'!$C$4:$M$59,11,FALSE)),"0")</f>
        <v>0</v>
      </c>
      <c r="FM28" s="192" t="str">
        <f>IF(AND($C28&lt;&gt;"",$S28&lt;&gt;""),(VLOOKUP($C28,'V-LOOKUP'!$C$4:$N$59,12,FALSE)),"0")</f>
        <v>0</v>
      </c>
      <c r="FN28" s="192" t="str">
        <f>IF(AND($C28&lt;&gt;"",T28&lt;&gt;""),(VLOOKUP($C28,'V-LOOKUP'!$C$4:$M$59,4,FALSE)),"0")</f>
        <v>0</v>
      </c>
      <c r="FO28" s="192" t="str">
        <f>IF(AND($C28&lt;&gt;"",$T28&lt;&gt;""),(VLOOKUP($C28,'V-LOOKUP'!$C$4:$M$59,5,FALSE)),"0")</f>
        <v>0</v>
      </c>
      <c r="FP28" s="192" t="str">
        <f>IF(AND($C28&lt;&gt;"",$T28&lt;&gt;""),(VLOOKUP($C28,'V-LOOKUP'!$C$4:$M$59,6,FALSE)),"0")</f>
        <v>0</v>
      </c>
      <c r="FQ28" s="192" t="str">
        <f>IF(AND($C28&lt;&gt;"",$T28&lt;&gt;""),(VLOOKUP($C28,'V-LOOKUP'!$C$4:$M$59,7,FALSE)),"0")</f>
        <v>0</v>
      </c>
      <c r="FR28" s="192" t="str">
        <f>IF(AND($C28&lt;&gt;"",$T28&lt;&gt;""),(VLOOKUP($C28,'V-LOOKUP'!$C$4:$M$59,8,FALSE)),"0")</f>
        <v>0</v>
      </c>
      <c r="FS28" s="192" t="str">
        <f>IF(AND($C28&lt;&gt;"",$T28&lt;&gt;""),(VLOOKUP($C28,'V-LOOKUP'!$C$4:$M$59,9,FALSE)),"0")</f>
        <v>0</v>
      </c>
      <c r="FT28" s="192" t="str">
        <f>IF(AND($C28&lt;&gt;"",$T28&lt;&gt;""),(VLOOKUP($C28,'V-LOOKUP'!$C$4:$M$59,10,FALSE)),"0")</f>
        <v>0</v>
      </c>
      <c r="FU28" s="192" t="str">
        <f>IF(AND($C28&lt;&gt;"",$T28&lt;&gt;""),(VLOOKUP($C28,'V-LOOKUP'!$C$4:$M$59,11,FALSE)),"0")</f>
        <v>0</v>
      </c>
      <c r="FV28" s="192" t="str">
        <f>IF(AND($C28&lt;&gt;"",$T28&lt;&gt;""),(VLOOKUP($C28,'V-LOOKUP'!$C$4:$N$59,12,FALSE)),"0")</f>
        <v>0</v>
      </c>
      <c r="FW28" s="192" t="str">
        <f>IF(AND($C28&lt;&gt;"",U28&lt;&gt;""),(VLOOKUP($C28,'V-LOOKUP'!$C$4:$M$59,4,FALSE)),"0")</f>
        <v>0</v>
      </c>
      <c r="FX28" s="192" t="str">
        <f>IF(AND($C28&lt;&gt;"",$U28&lt;&gt;""),(VLOOKUP($C28,'V-LOOKUP'!$C$4:$M$59,5,FALSE)),"0")</f>
        <v>0</v>
      </c>
      <c r="FY28" s="192" t="str">
        <f>IF(AND($C28&lt;&gt;"",$U28&lt;&gt;""),(VLOOKUP($C28,'V-LOOKUP'!$C$4:$M$59,6,FALSE)),"0")</f>
        <v>0</v>
      </c>
      <c r="FZ28" s="192" t="str">
        <f>IF(AND($C28&lt;&gt;"",$U28&lt;&gt;""),(VLOOKUP($C28,'V-LOOKUP'!$C$4:$M$59,7,FALSE)),"0")</f>
        <v>0</v>
      </c>
      <c r="GA28" s="192" t="str">
        <f>IF(AND($C28&lt;&gt;"",$U28&lt;&gt;""),(VLOOKUP($C28,'V-LOOKUP'!$C$4:$M$59,8,FALSE)),"0")</f>
        <v>0</v>
      </c>
      <c r="GB28" s="192" t="str">
        <f>IF(AND($C28&lt;&gt;"",$U28&lt;&gt;""),(VLOOKUP($C28,'V-LOOKUP'!$C$4:$M$59,9,FALSE)),"0")</f>
        <v>0</v>
      </c>
      <c r="GC28" s="192" t="str">
        <f>IF(AND($C28&lt;&gt;"",$U28&lt;&gt;""),(VLOOKUP($C28,'V-LOOKUP'!$C$4:$M$59,10,FALSE)),"0")</f>
        <v>0</v>
      </c>
      <c r="GD28" s="192" t="str">
        <f>IF(AND($C28&lt;&gt;"",$U28&lt;&gt;""),(VLOOKUP($C28,'V-LOOKUP'!$C$4:$M$59,11,FALSE)),"0")</f>
        <v>0</v>
      </c>
      <c r="GE28" s="192" t="str">
        <f>IF(AND($C28&lt;&gt;"",$U28&lt;&gt;""),(VLOOKUP($C28,'V-LOOKUP'!$C$4:$N$59,12,FALSE)),"0")</f>
        <v>0</v>
      </c>
      <c r="GF28" s="192" t="str">
        <f>IF(AND($C28&lt;&gt;"",V28&lt;&gt;""),(VLOOKUP($C28,'V-LOOKUP'!$C$4:$M$59,4,FALSE)),"0")</f>
        <v>0</v>
      </c>
      <c r="GG28" s="192" t="str">
        <f>IF(AND($C28&lt;&gt;"",$V28&lt;&gt;""),(VLOOKUP($C28,'V-LOOKUP'!$C$4:$M$59,5,FALSE)),"0")</f>
        <v>0</v>
      </c>
      <c r="GH28" s="192" t="str">
        <f>IF(AND($C28&lt;&gt;"",$V28&lt;&gt;""),(VLOOKUP($C28,'V-LOOKUP'!$C$4:$M$59,6,FALSE)),"0")</f>
        <v>0</v>
      </c>
      <c r="GI28" s="192" t="str">
        <f>IF(AND($C28&lt;&gt;"",$V28&lt;&gt;""),(VLOOKUP($C28,'V-LOOKUP'!$C$4:$M$59,7,FALSE)),"0")</f>
        <v>0</v>
      </c>
      <c r="GJ28" s="192" t="str">
        <f>IF(AND($C28&lt;&gt;"",$V28&lt;&gt;""),(VLOOKUP($C28,'V-LOOKUP'!$C$4:$M$59,8,FALSE)),"0")</f>
        <v>0</v>
      </c>
      <c r="GK28" s="192" t="str">
        <f>IF(AND($C28&lt;&gt;"",$V28&lt;&gt;""),(VLOOKUP($C28,'V-LOOKUP'!$C$4:$M$59,9,FALSE)),"0")</f>
        <v>0</v>
      </c>
      <c r="GL28" s="192" t="str">
        <f>IF(AND($C28&lt;&gt;"",$V28&lt;&gt;""),(VLOOKUP($C28,'V-LOOKUP'!$C$4:$M$59,10,FALSE)),"0")</f>
        <v>0</v>
      </c>
      <c r="GM28" s="192" t="str">
        <f>IF(AND($C28&lt;&gt;"",$V28&lt;&gt;""),(VLOOKUP($C28,'V-LOOKUP'!$C$4:$M$59,11,FALSE)),"0")</f>
        <v>0</v>
      </c>
      <c r="GN28" s="192" t="str">
        <f>IF(AND($C28&lt;&gt;"",$V28&lt;&gt;""),(VLOOKUP($C28,'V-LOOKUP'!$C$4:$N$59,12,FALSE)),"0")</f>
        <v>0</v>
      </c>
      <c r="GO28" s="192" t="str">
        <f>IF(AND($C28&lt;&gt;"",W28&lt;&gt;""),(VLOOKUP($C28,'V-LOOKUP'!$C$4:$M$59,4,FALSE)),"0")</f>
        <v>0</v>
      </c>
      <c r="GP28" s="192" t="str">
        <f>IF(AND($C28&lt;&gt;"",$W28&lt;&gt;""),(VLOOKUP($C28,'V-LOOKUP'!$C$4:$M$59,5,FALSE)),"0")</f>
        <v>0</v>
      </c>
      <c r="GQ28" s="192" t="str">
        <f>IF(AND($C28&lt;&gt;"",$W28&lt;&gt;""),(VLOOKUP($C28,'V-LOOKUP'!$C$4:$M$59,6,FALSE)),"0")</f>
        <v>0</v>
      </c>
      <c r="GR28" s="192" t="str">
        <f>IF(AND($C28&lt;&gt;"",$W28&lt;&gt;""),(VLOOKUP($C28,'V-LOOKUP'!$C$4:$M$59,7,FALSE)),"0")</f>
        <v>0</v>
      </c>
      <c r="GS28" s="192" t="str">
        <f>IF(AND($C28&lt;&gt;"",$W28&lt;&gt;""),(VLOOKUP($C28,'V-LOOKUP'!$C$4:$M$59,8,FALSE)),"0")</f>
        <v>0</v>
      </c>
      <c r="GT28" s="192" t="str">
        <f>IF(AND($C28&lt;&gt;"",$W28&lt;&gt;""),(VLOOKUP($C28,'V-LOOKUP'!$C$4:$M$59,9,FALSE)),"0")</f>
        <v>0</v>
      </c>
      <c r="GU28" s="192" t="str">
        <f>IF(AND($C28&lt;&gt;"",$W28&lt;&gt;""),(VLOOKUP($C28,'V-LOOKUP'!$C$4:$M$59,10,FALSE)),"0")</f>
        <v>0</v>
      </c>
      <c r="GV28" s="192" t="str">
        <f>IF(AND($C28&lt;&gt;"",$W28&lt;&gt;""),(VLOOKUP($C28,'V-LOOKUP'!$C$4:$M$59,11,FALSE)),"0")</f>
        <v>0</v>
      </c>
      <c r="GW28" s="192" t="str">
        <f>IF(AND($C28&lt;&gt;"",$W28&lt;&gt;""),(VLOOKUP($C28,'V-LOOKUP'!$C$4:$N$59,12,FALSE)),"0")</f>
        <v>0</v>
      </c>
    </row>
    <row r="29" spans="1:205" ht="14.65" hidden="1" customHeight="1">
      <c r="A29" s="193"/>
      <c r="B29" s="245"/>
      <c r="C29" s="201"/>
      <c r="D29" s="202"/>
      <c r="E29" s="202"/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Y29" s="190"/>
      <c r="Z29" s="192" t="str">
        <f>IF(AND($C29&lt;&gt;"",$D29&lt;&gt;""),(VLOOKUP($C29,'V-LOOKUP'!$C$4:$M$59,4,FALSE)),"0")</f>
        <v>0</v>
      </c>
      <c r="AA29" s="192" t="str">
        <f>IF(AND($C29&lt;&gt;"",$D29&lt;&gt;""),(VLOOKUP($C29,'V-LOOKUP'!$C$4:$M$59,5,FALSE)),"0")</f>
        <v>0</v>
      </c>
      <c r="AB29" s="192" t="str">
        <f>IF(AND($C29&lt;&gt;"",$D29&lt;&gt;""),(VLOOKUP($C29,'V-LOOKUP'!$C$4:$M$59,6,FALSE)),"0")</f>
        <v>0</v>
      </c>
      <c r="AC29" s="192" t="str">
        <f>IF(AND($C29&lt;&gt;"",$D29&lt;&gt;""),(VLOOKUP($C29,'V-LOOKUP'!$C$4:$M$59,7,FALSE)),"0")</f>
        <v>0</v>
      </c>
      <c r="AD29" s="192" t="str">
        <f>IF(AND($C29&lt;&gt;"",$D29&lt;&gt;""),(VLOOKUP($C29,'V-LOOKUP'!$C$4:$M$59,8,FALSE)),"0")</f>
        <v>0</v>
      </c>
      <c r="AE29" s="192" t="str">
        <f>IF(AND($C29&lt;&gt;"",$D29&lt;&gt;""),(VLOOKUP($C29,'V-LOOKUP'!$C$4:$M$59,9,FALSE)),"0")</f>
        <v>0</v>
      </c>
      <c r="AF29" s="192" t="str">
        <f>IF(AND($C29&lt;&gt;"",$D29&lt;&gt;""),(VLOOKUP($C29,'V-LOOKUP'!$C$4:$M$59,10,FALSE)),"0")</f>
        <v>0</v>
      </c>
      <c r="AG29" s="192" t="str">
        <f>IF(AND($C29&lt;&gt;"",$D29&lt;&gt;""),(VLOOKUP($C29,'V-LOOKUP'!$C$4:$M$59,11,FALSE)),"0")</f>
        <v>0</v>
      </c>
      <c r="AH29" s="192" t="str">
        <f>IF(AND($C29&lt;&gt;"",$D29&lt;&gt;""),(VLOOKUP($C29,'V-LOOKUP'!$C$4:$N$59,12,FALSE)),"0")</f>
        <v>0</v>
      </c>
      <c r="AI29" s="192" t="str">
        <f>IF(AND($C29&lt;&gt;"",E29&lt;&gt;""),(VLOOKUP($C29,'V-LOOKUP'!$C$4:$M$59,4,FALSE)),"0")</f>
        <v>0</v>
      </c>
      <c r="AJ29" s="192" t="str">
        <f>IF(AND($C29&lt;&gt;"",$E29&lt;&gt;""),(VLOOKUP($C29,'V-LOOKUP'!$C$4:$M$59,5,FALSE)),"0")</f>
        <v>0</v>
      </c>
      <c r="AK29" s="192" t="str">
        <f>IF(AND($C29&lt;&gt;"",$E29&lt;&gt;""),(VLOOKUP($C29,'V-LOOKUP'!$C$4:$M$59,6,FALSE)),"0")</f>
        <v>0</v>
      </c>
      <c r="AL29" s="192" t="str">
        <f>IF(AND($C29&lt;&gt;"",$E29&lt;&gt;""),(VLOOKUP($C29,'V-LOOKUP'!$C$4:$M$59,7,FALSE)),"0")</f>
        <v>0</v>
      </c>
      <c r="AM29" s="192" t="str">
        <f>IF(AND($C29&lt;&gt;"",$E29&lt;&gt;""),(VLOOKUP($C29,'V-LOOKUP'!$C$4:$M$59,8,FALSE)),"0")</f>
        <v>0</v>
      </c>
      <c r="AN29" s="192" t="str">
        <f>IF(AND($C29&lt;&gt;"",$E29&lt;&gt;""),(VLOOKUP($C29,'V-LOOKUP'!$C$4:$M$59,9,FALSE)),"0")</f>
        <v>0</v>
      </c>
      <c r="AO29" s="192" t="str">
        <f>IF(AND($C29&lt;&gt;"",$E29&lt;&gt;""),(VLOOKUP($C29,'V-LOOKUP'!$C$4:$M$59,10,FALSE)),"0")</f>
        <v>0</v>
      </c>
      <c r="AP29" s="192" t="str">
        <f>IF(AND($C29&lt;&gt;"",$E29&lt;&gt;""),(VLOOKUP($C29,'V-LOOKUP'!$C$4:$M$59,11,FALSE)),"0")</f>
        <v>0</v>
      </c>
      <c r="AQ29" s="192" t="str">
        <f>IF(AND($C29&lt;&gt;"",$E29&lt;&gt;""),(VLOOKUP($C29,'V-LOOKUP'!$C$4:$N$59,12,FALSE)),"0")</f>
        <v>0</v>
      </c>
      <c r="AR29" s="192" t="str">
        <f>IF(AND($C29&lt;&gt;"",$F29&lt;&gt;""),(VLOOKUP($C29,'V-LOOKUP'!$C$4:$M$59,4,FALSE)),"0")</f>
        <v>0</v>
      </c>
      <c r="AS29" s="192" t="str">
        <f>IF(AND($C29&lt;&gt;"",$F29&lt;&gt;""),(VLOOKUP($C29,'V-LOOKUP'!$C$4:$M$59,5,FALSE)),"0")</f>
        <v>0</v>
      </c>
      <c r="AT29" s="192" t="str">
        <f>IF(AND($C29&lt;&gt;"",$F29&lt;&gt;""),(VLOOKUP($C29,'V-LOOKUP'!$C$4:$M$59,6,FALSE)),"0")</f>
        <v>0</v>
      </c>
      <c r="AU29" s="192" t="str">
        <f>IF(AND($C29&lt;&gt;"",$F29&lt;&gt;""),(VLOOKUP($C29,'V-LOOKUP'!$C$4:$M$59,7,FALSE)),"0")</f>
        <v>0</v>
      </c>
      <c r="AV29" s="192" t="str">
        <f>IF(AND($C29&lt;&gt;"",$F29&lt;&gt;""),(VLOOKUP($C29,'V-LOOKUP'!$C$4:$M$59,8,FALSE)),"0")</f>
        <v>0</v>
      </c>
      <c r="AW29" s="192" t="str">
        <f>IF(AND($C29&lt;&gt;"",$F29&lt;&gt;""),(VLOOKUP($C29,'V-LOOKUP'!$C$4:$M$59,9,FALSE)),"0")</f>
        <v>0</v>
      </c>
      <c r="AX29" s="192" t="str">
        <f>IF(AND($C29&lt;&gt;"",$F29&lt;&gt;""),(VLOOKUP($C29,'V-LOOKUP'!$C$4:$M$59,10,FALSE)),"0")</f>
        <v>0</v>
      </c>
      <c r="AY29" s="192" t="str">
        <f>IF(AND($C29&lt;&gt;"",$F29&lt;&gt;""),(VLOOKUP($C29,'V-LOOKUP'!$C$4:$M$59,11,FALSE)),"0")</f>
        <v>0</v>
      </c>
      <c r="AZ29" s="192" t="str">
        <f>IF(AND($C29&lt;&gt;"",$F29&lt;&gt;""),(VLOOKUP($C29,'V-LOOKUP'!$C$4:$N$59,12,FALSE)),"0")</f>
        <v>0</v>
      </c>
      <c r="BA29" s="192" t="str">
        <f>IF(AND($C29&lt;&gt;"",G29&lt;&gt;""),(VLOOKUP($C29,'V-LOOKUP'!$C$4:$M$59,4,FALSE)),"0")</f>
        <v>0</v>
      </c>
      <c r="BB29" s="192" t="str">
        <f>IF(AND($C29&lt;&gt;"",$G29&lt;&gt;""),(VLOOKUP($C29,'V-LOOKUP'!$C$4:$M$59,5,FALSE)),"0")</f>
        <v>0</v>
      </c>
      <c r="BC29" s="192" t="str">
        <f>IF(AND($C29&lt;&gt;"",$G29&lt;&gt;""),(VLOOKUP($C29,'V-LOOKUP'!$C$4:$M$59,6,FALSE)),"0")</f>
        <v>0</v>
      </c>
      <c r="BD29" s="192" t="str">
        <f>IF(AND($C29&lt;&gt;"",$G29&lt;&gt;""),(VLOOKUP($C29,'V-LOOKUP'!$C$4:$M$59,7,FALSE)),"0")</f>
        <v>0</v>
      </c>
      <c r="BE29" s="192" t="str">
        <f>IF(AND($C29&lt;&gt;"",$G29&lt;&gt;""),(VLOOKUP($C29,'V-LOOKUP'!$C$4:$M$59,8,FALSE)),"0")</f>
        <v>0</v>
      </c>
      <c r="BF29" s="192" t="str">
        <f>IF(AND($C29&lt;&gt;"",$G29&lt;&gt;""),(VLOOKUP($C29,'V-LOOKUP'!$C$4:$M$59,9,FALSE)),"0")</f>
        <v>0</v>
      </c>
      <c r="BG29" s="192" t="str">
        <f>IF(AND($C29&lt;&gt;"",$G29&lt;&gt;""),(VLOOKUP($C29,'V-LOOKUP'!$C$4:$M$59,10,FALSE)),"0")</f>
        <v>0</v>
      </c>
      <c r="BH29" s="192" t="str">
        <f>IF(AND($C29&lt;&gt;"",$G29&lt;&gt;""),(VLOOKUP($C29,'V-LOOKUP'!$C$4:$M$59,11,FALSE)),"0")</f>
        <v>0</v>
      </c>
      <c r="BI29" s="192" t="str">
        <f>IF(AND($C29&lt;&gt;"",$G29&lt;&gt;""),(VLOOKUP($C29,'V-LOOKUP'!$C$4:$N$59,12,FALSE)),"0")</f>
        <v>0</v>
      </c>
      <c r="BJ29" s="192" t="str">
        <f>IF(AND($C29&lt;&gt;"",H29&lt;&gt;""),(VLOOKUP($C29,'V-LOOKUP'!$C$4:$M$59,4,FALSE)),"0")</f>
        <v>0</v>
      </c>
      <c r="BK29" s="192" t="str">
        <f>IF(AND($C29&lt;&gt;"",$G29&lt;&gt;""),(VLOOKUP($C29,'V-LOOKUP'!$C$4:$M$59,5,FALSE)),"0")</f>
        <v>0</v>
      </c>
      <c r="BL29" s="192" t="str">
        <f>IF(AND($C29&lt;&gt;"",$H29&lt;&gt;""),(VLOOKUP($C29,'V-LOOKUP'!$C$4:$M$59,6,FALSE)),"0")</f>
        <v>0</v>
      </c>
      <c r="BM29" s="192" t="str">
        <f>IF(AND($C29&lt;&gt;"",$H29&lt;&gt;""),(VLOOKUP($C29,'V-LOOKUP'!$C$4:$M$59,7,FALSE)),"0")</f>
        <v>0</v>
      </c>
      <c r="BN29" s="192" t="str">
        <f>IF(AND($C29&lt;&gt;"",$H29&lt;&gt;""),(VLOOKUP($C29,'V-LOOKUP'!$C$4:$M$59,8,FALSE)),"0")</f>
        <v>0</v>
      </c>
      <c r="BO29" s="192" t="str">
        <f>IF(AND($C29&lt;&gt;"",$H29&lt;&gt;""),(VLOOKUP($C29,'V-LOOKUP'!$C$4:$M$59,9,FALSE)),"0")</f>
        <v>0</v>
      </c>
      <c r="BP29" s="192" t="str">
        <f>IF(AND($C29&lt;&gt;"",$H29&lt;&gt;""),(VLOOKUP($C29,'V-LOOKUP'!$C$4:$M$59,10,FALSE)),"0")</f>
        <v>0</v>
      </c>
      <c r="BQ29" s="192" t="str">
        <f>IF(AND($C29&lt;&gt;"",$H29&lt;&gt;""),(VLOOKUP($C29,'V-LOOKUP'!$C$4:$M$59,11,FALSE)),"0")</f>
        <v>0</v>
      </c>
      <c r="BR29" s="192" t="str">
        <f>IF(AND($C29&lt;&gt;"",$H29&lt;&gt;""),(VLOOKUP($C29,'V-LOOKUP'!$C$4:$N$59,12,FALSE)),"0")</f>
        <v>0</v>
      </c>
      <c r="BS29" s="192" t="str">
        <f>IF(AND($C29&lt;&gt;"",I29&lt;&gt;""),(VLOOKUP($C29,'V-LOOKUP'!$C$4:$M$59,4,FALSE)),"0")</f>
        <v>0</v>
      </c>
      <c r="BT29" s="192" t="str">
        <f>IF(AND($C29&lt;&gt;"",$I29&lt;&gt;""),(VLOOKUP($C29,'V-LOOKUP'!$C$4:$M$59,5,FALSE)),"0")</f>
        <v>0</v>
      </c>
      <c r="BU29" s="192" t="str">
        <f>IF(AND($C29&lt;&gt;"",$I29&lt;&gt;""),(VLOOKUP($C29,'V-LOOKUP'!$C$4:$M$59,6,FALSE)),"0")</f>
        <v>0</v>
      </c>
      <c r="BV29" s="192" t="str">
        <f>IF(AND($C29&lt;&gt;"",$I29&lt;&gt;""),(VLOOKUP($C29,'V-LOOKUP'!$C$4:$M$59,7,FALSE)),"0")</f>
        <v>0</v>
      </c>
      <c r="BW29" s="192" t="str">
        <f>IF(AND($C29&lt;&gt;"",$I29&lt;&gt;""),(VLOOKUP($C29,'V-LOOKUP'!$C$4:$M$59,8,FALSE)),"0")</f>
        <v>0</v>
      </c>
      <c r="BX29" s="192" t="str">
        <f>IF(AND($C29&lt;&gt;"",$I29&lt;&gt;""),(VLOOKUP($C29,'V-LOOKUP'!$C$4:$M$59,9,FALSE)),"0")</f>
        <v>0</v>
      </c>
      <c r="BY29" s="192" t="str">
        <f>IF(AND($C29&lt;&gt;"",$I29&lt;&gt;""),(VLOOKUP($C29,'V-LOOKUP'!$C$4:$M$59,10,FALSE)),"0")</f>
        <v>0</v>
      </c>
      <c r="BZ29" s="192" t="str">
        <f>IF(AND($C29&lt;&gt;"",$I29&lt;&gt;""),(VLOOKUP($C29,'V-LOOKUP'!$C$4:$M$59,11,FALSE)),"0")</f>
        <v>0</v>
      </c>
      <c r="CA29" s="192" t="str">
        <f>IF(AND($C29&lt;&gt;"",$I29&lt;&gt;""),(VLOOKUP($C29,'V-LOOKUP'!$C$4:$N$59,12,FALSE)),"0")</f>
        <v>0</v>
      </c>
      <c r="CB29" s="192" t="str">
        <f>IF(AND($C29&lt;&gt;"",J29&lt;&gt;""),(VLOOKUP($C29,'V-LOOKUP'!$C$4:$M$59,4,FALSE)),"0")</f>
        <v>0</v>
      </c>
      <c r="CC29" s="192" t="str">
        <f>IF(AND($C29&lt;&gt;"",$J29&lt;&gt;""),(VLOOKUP($C29,'V-LOOKUP'!$C$4:$M$59,5,FALSE)),"0")</f>
        <v>0</v>
      </c>
      <c r="CD29" s="192" t="str">
        <f>IF(AND($C29&lt;&gt;"",$J29&lt;&gt;""),(VLOOKUP($C29,'V-LOOKUP'!$C$4:$M$59,6,FALSE)),"0")</f>
        <v>0</v>
      </c>
      <c r="CE29" s="192" t="str">
        <f>IF(AND($C29&lt;&gt;"",$J29&lt;&gt;""),(VLOOKUP($C29,'V-LOOKUP'!$C$4:$M$59,7,FALSE)),"0")</f>
        <v>0</v>
      </c>
      <c r="CF29" s="192" t="str">
        <f>IF(AND($C29&lt;&gt;"",$J29&lt;&gt;""),(VLOOKUP($C29,'V-LOOKUP'!$C$4:$M$59,8,FALSE)),"0")</f>
        <v>0</v>
      </c>
      <c r="CG29" s="192" t="str">
        <f>IF(AND($C29&lt;&gt;"",$J29&lt;&gt;""),(VLOOKUP($C29,'V-LOOKUP'!$C$4:$M$59,9,FALSE)),"0")</f>
        <v>0</v>
      </c>
      <c r="CH29" s="192" t="str">
        <f>IF(AND($C29&lt;&gt;"",$J29&lt;&gt;""),(VLOOKUP($C29,'V-LOOKUP'!$C$4:$M$59,10,FALSE)),"0")</f>
        <v>0</v>
      </c>
      <c r="CI29" s="192" t="str">
        <f>IF(AND($C29&lt;&gt;"",$J29&lt;&gt;""),(VLOOKUP($C29,'V-LOOKUP'!$C$4:$M$59,11,FALSE)),"0")</f>
        <v>0</v>
      </c>
      <c r="CJ29" s="192" t="str">
        <f>IF(AND($C29&lt;&gt;"",$J29&lt;&gt;""),(VLOOKUP($C29,'V-LOOKUP'!$C$4:$N$59,12,FALSE)),"0")</f>
        <v>0</v>
      </c>
      <c r="CK29" s="192" t="str">
        <f>IF(AND($C29&lt;&gt;"",K29&lt;&gt;""),(VLOOKUP($C29,'V-LOOKUP'!$C$4:$M$59,4,FALSE)),"0")</f>
        <v>0</v>
      </c>
      <c r="CL29" s="192" t="str">
        <f>IF(AND($C29&lt;&gt;"",$K29&lt;&gt;""),(VLOOKUP($C29,'V-LOOKUP'!$C$4:$M$59,5,FALSE)),"0")</f>
        <v>0</v>
      </c>
      <c r="CM29" s="192" t="str">
        <f>IF(AND($C29&lt;&gt;"",$K29&lt;&gt;""),(VLOOKUP($C29,'V-LOOKUP'!$C$4:$M$59,6,FALSE)),"0")</f>
        <v>0</v>
      </c>
      <c r="CN29" s="192" t="str">
        <f>IF(AND($C29&lt;&gt;"",$K29&lt;&gt;""),(VLOOKUP($C29,'V-LOOKUP'!$C$4:$M$59,7,FALSE)),"0")</f>
        <v>0</v>
      </c>
      <c r="CO29" s="192" t="str">
        <f>IF(AND($C29&lt;&gt;"",$K29&lt;&gt;""),(VLOOKUP($C29,'V-LOOKUP'!$C$4:$M$59,8,FALSE)),"0")</f>
        <v>0</v>
      </c>
      <c r="CP29" s="192" t="str">
        <f>IF(AND($C29&lt;&gt;"",$K29&lt;&gt;""),(VLOOKUP($C29,'V-LOOKUP'!$C$4:$M$59,9,FALSE)),"0")</f>
        <v>0</v>
      </c>
      <c r="CQ29" s="192" t="str">
        <f>IF(AND($C29&lt;&gt;"",$K29&lt;&gt;""),(VLOOKUP($C29,'V-LOOKUP'!$C$4:$M$59,10,FALSE)),"0")</f>
        <v>0</v>
      </c>
      <c r="CR29" s="192" t="str">
        <f>IF(AND($C29&lt;&gt;"",$K29&lt;&gt;""),(VLOOKUP($C29,'V-LOOKUP'!$C$4:$M$59,11,FALSE)),"0")</f>
        <v>0</v>
      </c>
      <c r="CS29" s="192" t="str">
        <f>IF(AND($C29&lt;&gt;"",$K29&lt;&gt;""),(VLOOKUP($C29,'V-LOOKUP'!$C$4:$N$59,12,FALSE)),"0")</f>
        <v>0</v>
      </c>
      <c r="CT29" s="192" t="str">
        <f>IF(AND($C29&lt;&gt;"",L29&lt;&gt;""),(VLOOKUP($C29,'V-LOOKUP'!$C$4:$M$59,4,FALSE)),"0")</f>
        <v>0</v>
      </c>
      <c r="CU29" s="192" t="str">
        <f>IF(AND($C29&lt;&gt;"",$L29&lt;&gt;""),(VLOOKUP($C29,'V-LOOKUP'!$C$4:$M$59,5,FALSE)),"0")</f>
        <v>0</v>
      </c>
      <c r="CV29" s="192" t="str">
        <f>IF(AND($C29&lt;&gt;"",$L29&lt;&gt;""),(VLOOKUP($C29,'V-LOOKUP'!$C$4:$M$59,6,FALSE)),"0")</f>
        <v>0</v>
      </c>
      <c r="CW29" s="192" t="str">
        <f>IF(AND($C29&lt;&gt;"",$L29&lt;&gt;""),(VLOOKUP($C29,'V-LOOKUP'!$C$4:$M$59,7,FALSE)),"0")</f>
        <v>0</v>
      </c>
      <c r="CX29" s="192" t="str">
        <f>IF(AND($C29&lt;&gt;"",$L29&lt;&gt;""),(VLOOKUP($C29,'V-LOOKUP'!$C$4:$M$59,8,FALSE)),"0")</f>
        <v>0</v>
      </c>
      <c r="CY29" s="192" t="str">
        <f>IF(AND($C29&lt;&gt;"",$L29&lt;&gt;""),(VLOOKUP($C29,'V-LOOKUP'!$C$4:$M$59,9,FALSE)),"0")</f>
        <v>0</v>
      </c>
      <c r="CZ29" s="192" t="str">
        <f>IF(AND($C29&lt;&gt;"",$L29&lt;&gt;""),(VLOOKUP($C29,'V-LOOKUP'!$C$4:$M$59,10,FALSE)),"0")</f>
        <v>0</v>
      </c>
      <c r="DA29" s="192" t="str">
        <f>IF(AND($C29&lt;&gt;"",$L29&lt;&gt;""),(VLOOKUP($C29,'V-LOOKUP'!$C$4:$M$59,11,FALSE)),"0")</f>
        <v>0</v>
      </c>
      <c r="DB29" s="192" t="str">
        <f>IF(AND($C29&lt;&gt;"",$L29&lt;&gt;""),(VLOOKUP($C29,'V-LOOKUP'!$C$4:$N$59,12,FALSE)),"0")</f>
        <v>0</v>
      </c>
      <c r="DC29" s="192" t="str">
        <f>IF(AND($C29&lt;&gt;"",M29&lt;&gt;""),(VLOOKUP($C29,'V-LOOKUP'!$C$4:$M$59,4,FALSE)),"0")</f>
        <v>0</v>
      </c>
      <c r="DD29" s="192" t="str">
        <f>IF(AND($C29&lt;&gt;"",$M29&lt;&gt;""),(VLOOKUP($C29,'V-LOOKUP'!$C$4:$M$59,5,FALSE)),"0")</f>
        <v>0</v>
      </c>
      <c r="DE29" s="192" t="str">
        <f>IF(AND($C29&lt;&gt;"",$M29&lt;&gt;""),(VLOOKUP($C29,'V-LOOKUP'!$C$4:$M$59,6,FALSE)),"0")</f>
        <v>0</v>
      </c>
      <c r="DF29" s="192" t="str">
        <f>IF(AND($C29&lt;&gt;"",$M29&lt;&gt;""),(VLOOKUP($C29,'V-LOOKUP'!$C$4:$M$59,7,FALSE)),"0")</f>
        <v>0</v>
      </c>
      <c r="DG29" s="192" t="str">
        <f>IF(AND($C29&lt;&gt;"",$M29&lt;&gt;""),(VLOOKUP($C29,'V-LOOKUP'!$C$4:$M$59,8,FALSE)),"0")</f>
        <v>0</v>
      </c>
      <c r="DH29" s="192" t="str">
        <f>IF(AND($C29&lt;&gt;"",$M29&lt;&gt;""),(VLOOKUP($C29,'V-LOOKUP'!$C$4:$M$59,9,FALSE)),"0")</f>
        <v>0</v>
      </c>
      <c r="DI29" s="192" t="str">
        <f>IF(AND($C29&lt;&gt;"",$M29&lt;&gt;""),(VLOOKUP($C29,'V-LOOKUP'!$C$4:$M$59,10,FALSE)),"0")</f>
        <v>0</v>
      </c>
      <c r="DJ29" s="192" t="str">
        <f>IF(AND($C29&lt;&gt;"",$M29&lt;&gt;""),(VLOOKUP($C29,'V-LOOKUP'!$C$4:$M$59,11,FALSE)),"0")</f>
        <v>0</v>
      </c>
      <c r="DK29" s="192" t="str">
        <f>IF(AND($C29&lt;&gt;"",$M29&lt;&gt;""),(VLOOKUP($C29,'V-LOOKUP'!$C$4:$N$59,12,FALSE)),"0")</f>
        <v>0</v>
      </c>
      <c r="DL29" s="192" t="str">
        <f>IF(AND($C29&lt;&gt;"",$N29&lt;&gt;""),(VLOOKUP($C29,'V-LOOKUP'!$C$4:$M$59,4,FALSE)),"0")</f>
        <v>0</v>
      </c>
      <c r="DM29" s="192" t="str">
        <f>IF(AND($C29&lt;&gt;"",$N29&lt;&gt;""),(VLOOKUP($C29,'V-LOOKUP'!$C$4:$M$59,5,FALSE)),"0")</f>
        <v>0</v>
      </c>
      <c r="DN29" s="192" t="str">
        <f>IF(AND($C29&lt;&gt;"",$N29&lt;&gt;""),(VLOOKUP($C29,'V-LOOKUP'!$C$4:$M$59,6,FALSE)),"0")</f>
        <v>0</v>
      </c>
      <c r="DO29" s="192" t="str">
        <f>IF(AND($C29&lt;&gt;"",$N29&lt;&gt;""),(VLOOKUP($C29,'V-LOOKUP'!$C$4:$M$59,7,FALSE)),"0")</f>
        <v>0</v>
      </c>
      <c r="DP29" s="192" t="str">
        <f>IF(AND($C29&lt;&gt;"",$N29&lt;&gt;""),(VLOOKUP($C29,'V-LOOKUP'!$C$4:$M$59,8,FALSE)),"0")</f>
        <v>0</v>
      </c>
      <c r="DQ29" s="192" t="str">
        <f>IF(AND($C29&lt;&gt;"",$N29&lt;&gt;""),(VLOOKUP($C29,'V-LOOKUP'!$C$4:$M$59,9,FALSE)),"0")</f>
        <v>0</v>
      </c>
      <c r="DR29" s="192" t="str">
        <f>IF(AND($C29&lt;&gt;"",$N29&lt;&gt;""),(VLOOKUP($C29,'V-LOOKUP'!$C$4:$M$59,10,FALSE)),"0")</f>
        <v>0</v>
      </c>
      <c r="DS29" s="192" t="str">
        <f>IF(AND($C29&lt;&gt;"",$N29&lt;&gt;""),(VLOOKUP($C29,'V-LOOKUP'!$C$4:$M$59,11,FALSE)),"0")</f>
        <v>0</v>
      </c>
      <c r="DT29" s="192" t="str">
        <f>IF(AND($C29&lt;&gt;"",$N29&lt;&gt;""),(VLOOKUP($C29,'V-LOOKUP'!$C$4:$N$59,12,FALSE)),"0")</f>
        <v>0</v>
      </c>
      <c r="DU29" s="192" t="str">
        <f>IF(AND($C29&lt;&gt;"",O29&lt;&gt;""),(VLOOKUP($C29,'V-LOOKUP'!$C$4:$M$59,4,FALSE)),"0")</f>
        <v>0</v>
      </c>
      <c r="DV29" s="192" t="str">
        <f>IF(AND($C29&lt;&gt;"",$O29&lt;&gt;""),(VLOOKUP($C29,'V-LOOKUP'!$C$4:$M$59,5,FALSE)),"0")</f>
        <v>0</v>
      </c>
      <c r="DW29" s="192" t="str">
        <f>IF(AND($C29&lt;&gt;"",$O29&lt;&gt;""),(VLOOKUP($C29,'V-LOOKUP'!$C$4:$M$59,6,FALSE)),"0")</f>
        <v>0</v>
      </c>
      <c r="DX29" s="192" t="str">
        <f>IF(AND($C29&lt;&gt;"",$O29&lt;&gt;""),(VLOOKUP($C29,'V-LOOKUP'!$C$4:$M$59,7,FALSE)),"0")</f>
        <v>0</v>
      </c>
      <c r="DY29" s="192" t="str">
        <f>IF(AND($C29&lt;&gt;"",$O29&lt;&gt;""),(VLOOKUP($C29,'V-LOOKUP'!$C$4:$M$59,8,FALSE)),"0")</f>
        <v>0</v>
      </c>
      <c r="DZ29" s="192" t="str">
        <f>IF(AND($C29&lt;&gt;"",$O29&lt;&gt;""),(VLOOKUP($C29,'V-LOOKUP'!$C$4:$M$59,9,FALSE)),"0")</f>
        <v>0</v>
      </c>
      <c r="EA29" s="192" t="str">
        <f>IF(AND($C29&lt;&gt;"",$O29&lt;&gt;""),(VLOOKUP($C29,'V-LOOKUP'!$C$4:$M$59,10,FALSE)),"0")</f>
        <v>0</v>
      </c>
      <c r="EB29" s="192" t="str">
        <f>IF(AND($C29&lt;&gt;"",$O29&lt;&gt;""),(VLOOKUP($C29,'V-LOOKUP'!$C$4:$M$59,11,FALSE)),"0")</f>
        <v>0</v>
      </c>
      <c r="EC29" s="192" t="str">
        <f>IF(AND($C29&lt;&gt;"",$O29&lt;&gt;""),(VLOOKUP($C29,'V-LOOKUP'!$C$4:$N$59,12,FALSE)),"0")</f>
        <v>0</v>
      </c>
      <c r="ED29" s="192" t="str">
        <f>IF(AND($C29&lt;&gt;"",P29&lt;&gt;""),(VLOOKUP($C29,'V-LOOKUP'!$C$4:$M$59,4,FALSE)),"0")</f>
        <v>0</v>
      </c>
      <c r="EE29" s="192" t="str">
        <f>IF(AND($C29&lt;&gt;"",$P29&lt;&gt;""),(VLOOKUP($C29,'V-LOOKUP'!$C$4:$M$59,5,FALSE)),"0")</f>
        <v>0</v>
      </c>
      <c r="EF29" s="192" t="str">
        <f>IF(AND($C29&lt;&gt;"",$P29&lt;&gt;""),(VLOOKUP($C29,'V-LOOKUP'!$C$4:$M$59,6,FALSE)),"0")</f>
        <v>0</v>
      </c>
      <c r="EG29" s="192" t="str">
        <f>IF(AND($C29&lt;&gt;"",$P29&lt;&gt;""),(VLOOKUP($C29,'V-LOOKUP'!$C$4:$M$59,7,FALSE)),"0")</f>
        <v>0</v>
      </c>
      <c r="EH29" s="192" t="str">
        <f>IF(AND($C29&lt;&gt;"",$P29&lt;&gt;""),(VLOOKUP($C29,'V-LOOKUP'!$C$4:$M$59,8,FALSE)),"0")</f>
        <v>0</v>
      </c>
      <c r="EI29" s="192" t="str">
        <f>IF(AND($C29&lt;&gt;"",$P29&lt;&gt;""),(VLOOKUP($C29,'V-LOOKUP'!$C$4:$M$59,9,FALSE)),"0")</f>
        <v>0</v>
      </c>
      <c r="EJ29" s="192" t="str">
        <f>IF(AND($C29&lt;&gt;"",$P29&lt;&gt;""),(VLOOKUP($C29,'V-LOOKUP'!$C$4:$M$59,10,FALSE)),"0")</f>
        <v>0</v>
      </c>
      <c r="EK29" s="192" t="str">
        <f>IF(AND($C29&lt;&gt;"",$P29&lt;&gt;""),(VLOOKUP($C29,'V-LOOKUP'!$C$4:$M$59,11,FALSE)),"0")</f>
        <v>0</v>
      </c>
      <c r="EL29" s="192" t="str">
        <f>IF(AND($C29&lt;&gt;"",$P29&lt;&gt;""),(VLOOKUP($C29,'V-LOOKUP'!$C$4:$N$59,12,FALSE)),"0")</f>
        <v>0</v>
      </c>
      <c r="EM29" s="192" t="str">
        <f>IF(AND($C29&lt;&gt;"",Q29&lt;&gt;""),(VLOOKUP($C29,'V-LOOKUP'!$C$4:$M$59,4,FALSE)),"0")</f>
        <v>0</v>
      </c>
      <c r="EN29" s="192" t="str">
        <f>IF(AND($C29&lt;&gt;"",$Q29&lt;&gt;""),(VLOOKUP($C29,'V-LOOKUP'!$C$4:$M$59,5,FALSE)),"0")</f>
        <v>0</v>
      </c>
      <c r="EO29" s="192" t="str">
        <f>IF(AND($C29&lt;&gt;"",$Q29&lt;&gt;""),(VLOOKUP($C29,'V-LOOKUP'!$C$4:$M$59,6,FALSE)),"0")</f>
        <v>0</v>
      </c>
      <c r="EP29" s="192" t="str">
        <f>IF(AND($C29&lt;&gt;"",$Q29&lt;&gt;""),(VLOOKUP($C29,'V-LOOKUP'!$C$4:$M$59,7,FALSE)),"0")</f>
        <v>0</v>
      </c>
      <c r="EQ29" s="192" t="str">
        <f>IF(AND($C29&lt;&gt;"",$Q29&lt;&gt;""),(VLOOKUP($C29,'V-LOOKUP'!$C$4:$M$59,8,FALSE)),"0")</f>
        <v>0</v>
      </c>
      <c r="ER29" s="192" t="str">
        <f>IF(AND($C29&lt;&gt;"",$Q29&lt;&gt;""),(VLOOKUP($C29,'V-LOOKUP'!$C$4:$M$59,9,FALSE)),"0")</f>
        <v>0</v>
      </c>
      <c r="ES29" s="192" t="str">
        <f>IF(AND($C29&lt;&gt;"",$Q29&lt;&gt;""),(VLOOKUP($C29,'V-LOOKUP'!$C$4:$M$59,10,FALSE)),"0")</f>
        <v>0</v>
      </c>
      <c r="ET29" s="192" t="str">
        <f>IF(AND($C29&lt;&gt;"",$Q29&lt;&gt;""),(VLOOKUP($C29,'V-LOOKUP'!$C$4:$M$59,11,FALSE)),"0")</f>
        <v>0</v>
      </c>
      <c r="EU29" s="192" t="str">
        <f>IF(AND($C29&lt;&gt;"",$Q29&lt;&gt;""),(VLOOKUP($C29,'V-LOOKUP'!$C$4:$N$59,12,FALSE)),"0")</f>
        <v>0</v>
      </c>
      <c r="EV29" s="192" t="str">
        <f>IF(AND($C29&lt;&gt;"",R29&lt;&gt;""),(VLOOKUP($C29,'V-LOOKUP'!$C$4:$M$59,4,FALSE)),"0")</f>
        <v>0</v>
      </c>
      <c r="EW29" s="192" t="str">
        <f>IF(AND($C29&lt;&gt;"",$R29&lt;&gt;""),(VLOOKUP($C29,'V-LOOKUP'!$C$4:$M$59,5,FALSE)),"0")</f>
        <v>0</v>
      </c>
      <c r="EX29" s="192" t="str">
        <f>IF(AND($C29&lt;&gt;"",$R29&lt;&gt;""),(VLOOKUP($C29,'V-LOOKUP'!$C$4:$M$59,6,FALSE)),"0")</f>
        <v>0</v>
      </c>
      <c r="EY29" s="192" t="str">
        <f>IF(AND($C29&lt;&gt;"",$R29&lt;&gt;""),(VLOOKUP($C29,'V-LOOKUP'!$C$4:$M$59,7,FALSE)),"0")</f>
        <v>0</v>
      </c>
      <c r="EZ29" s="192" t="str">
        <f>IF(AND($C29&lt;&gt;"",$R29&lt;&gt;""),(VLOOKUP($C29,'V-LOOKUP'!$C$4:$M$59,8,FALSE)),"0")</f>
        <v>0</v>
      </c>
      <c r="FA29" s="192" t="str">
        <f>IF(AND($C29&lt;&gt;"",$R29&lt;&gt;""),(VLOOKUP($C29,'V-LOOKUP'!$C$4:$M$59,9,FALSE)),"0")</f>
        <v>0</v>
      </c>
      <c r="FB29" s="192" t="str">
        <f>IF(AND($C29&lt;&gt;"",$R29&lt;&gt;""),(VLOOKUP($C29,'V-LOOKUP'!$C$4:$M$59,10,FALSE)),"0")</f>
        <v>0</v>
      </c>
      <c r="FC29" s="192" t="str">
        <f>IF(AND($C29&lt;&gt;"",$R29&lt;&gt;""),(VLOOKUP($C29,'V-LOOKUP'!$C$4:$M$59,11,FALSE)),"0")</f>
        <v>0</v>
      </c>
      <c r="FD29" s="192" t="str">
        <f>IF(AND($C29&lt;&gt;"",$R29&lt;&gt;""),(VLOOKUP($C29,'V-LOOKUP'!$C$4:$N$59,12,FALSE)),"0")</f>
        <v>0</v>
      </c>
      <c r="FE29" s="192" t="str">
        <f>IF(AND($C29&lt;&gt;"",S29&lt;&gt;""),(VLOOKUP($C29,'V-LOOKUP'!$C$4:$M$59,4,FALSE)),"0")</f>
        <v>0</v>
      </c>
      <c r="FF29" s="192" t="str">
        <f>IF(AND($C29&lt;&gt;"",$S29&lt;&gt;""),(VLOOKUP($C29,'V-LOOKUP'!$C$4:$M$59,5,FALSE)),"0")</f>
        <v>0</v>
      </c>
      <c r="FG29" s="192" t="str">
        <f>IF(AND($C29&lt;&gt;"",$S29&lt;&gt;""),(VLOOKUP($C29,'V-LOOKUP'!$C$4:$M$59,6,FALSE)),"0")</f>
        <v>0</v>
      </c>
      <c r="FH29" s="192" t="str">
        <f>IF(AND($C29&lt;&gt;"",$S29&lt;&gt;""),(VLOOKUP($C29,'V-LOOKUP'!$C$4:$M$59,7,FALSE)),"0")</f>
        <v>0</v>
      </c>
      <c r="FI29" s="192" t="str">
        <f>IF(AND($C29&lt;&gt;"",$S29&lt;&gt;""),(VLOOKUP($C29,'V-LOOKUP'!$C$4:$M$59,8,FALSE)),"0")</f>
        <v>0</v>
      </c>
      <c r="FJ29" s="192" t="str">
        <f>IF(AND($C29&lt;&gt;"",$S29&lt;&gt;""),(VLOOKUP($C29,'V-LOOKUP'!$C$4:$M$59,9,FALSE)),"0")</f>
        <v>0</v>
      </c>
      <c r="FK29" s="192" t="str">
        <f>IF(AND($C29&lt;&gt;"",$S29&lt;&gt;""),(VLOOKUP($C29,'V-LOOKUP'!$C$4:$M$59,10,FALSE)),"0")</f>
        <v>0</v>
      </c>
      <c r="FL29" s="192" t="str">
        <f>IF(AND($C29&lt;&gt;"",$S29&lt;&gt;""),(VLOOKUP($C29,'V-LOOKUP'!$C$4:$M$59,11,FALSE)),"0")</f>
        <v>0</v>
      </c>
      <c r="FM29" s="192" t="str">
        <f>IF(AND($C29&lt;&gt;"",$S29&lt;&gt;""),(VLOOKUP($C29,'V-LOOKUP'!$C$4:$N$59,12,FALSE)),"0")</f>
        <v>0</v>
      </c>
      <c r="FN29" s="192" t="str">
        <f>IF(AND($C29&lt;&gt;"",T29&lt;&gt;""),(VLOOKUP($C29,'V-LOOKUP'!$C$4:$M$59,4,FALSE)),"0")</f>
        <v>0</v>
      </c>
      <c r="FO29" s="192" t="str">
        <f>IF(AND($C29&lt;&gt;"",$T29&lt;&gt;""),(VLOOKUP($C29,'V-LOOKUP'!$C$4:$M$59,5,FALSE)),"0")</f>
        <v>0</v>
      </c>
      <c r="FP29" s="192" t="str">
        <f>IF(AND($C29&lt;&gt;"",$T29&lt;&gt;""),(VLOOKUP($C29,'V-LOOKUP'!$C$4:$M$59,6,FALSE)),"0")</f>
        <v>0</v>
      </c>
      <c r="FQ29" s="192" t="str">
        <f>IF(AND($C29&lt;&gt;"",$T29&lt;&gt;""),(VLOOKUP($C29,'V-LOOKUP'!$C$4:$M$59,7,FALSE)),"0")</f>
        <v>0</v>
      </c>
      <c r="FR29" s="192" t="str">
        <f>IF(AND($C29&lt;&gt;"",$T29&lt;&gt;""),(VLOOKUP($C29,'V-LOOKUP'!$C$4:$M$59,8,FALSE)),"0")</f>
        <v>0</v>
      </c>
      <c r="FS29" s="192" t="str">
        <f>IF(AND($C29&lt;&gt;"",$T29&lt;&gt;""),(VLOOKUP($C29,'V-LOOKUP'!$C$4:$M$59,9,FALSE)),"0")</f>
        <v>0</v>
      </c>
      <c r="FT29" s="192" t="str">
        <f>IF(AND($C29&lt;&gt;"",$T29&lt;&gt;""),(VLOOKUP($C29,'V-LOOKUP'!$C$4:$M$59,10,FALSE)),"0")</f>
        <v>0</v>
      </c>
      <c r="FU29" s="192" t="str">
        <f>IF(AND($C29&lt;&gt;"",$T29&lt;&gt;""),(VLOOKUP($C29,'V-LOOKUP'!$C$4:$M$59,11,FALSE)),"0")</f>
        <v>0</v>
      </c>
      <c r="FV29" s="192" t="str">
        <f>IF(AND($C29&lt;&gt;"",$T29&lt;&gt;""),(VLOOKUP($C29,'V-LOOKUP'!$C$4:$N$59,12,FALSE)),"0")</f>
        <v>0</v>
      </c>
      <c r="FW29" s="192" t="str">
        <f>IF(AND($C29&lt;&gt;"",U29&lt;&gt;""),(VLOOKUP($C29,'V-LOOKUP'!$C$4:$M$59,4,FALSE)),"0")</f>
        <v>0</v>
      </c>
      <c r="FX29" s="192" t="str">
        <f>IF(AND($C29&lt;&gt;"",$U29&lt;&gt;""),(VLOOKUP($C29,'V-LOOKUP'!$C$4:$M$59,5,FALSE)),"0")</f>
        <v>0</v>
      </c>
      <c r="FY29" s="192" t="str">
        <f>IF(AND($C29&lt;&gt;"",$U29&lt;&gt;""),(VLOOKUP($C29,'V-LOOKUP'!$C$4:$M$59,6,FALSE)),"0")</f>
        <v>0</v>
      </c>
      <c r="FZ29" s="192" t="str">
        <f>IF(AND($C29&lt;&gt;"",$U29&lt;&gt;""),(VLOOKUP($C29,'V-LOOKUP'!$C$4:$M$59,7,FALSE)),"0")</f>
        <v>0</v>
      </c>
      <c r="GA29" s="192" t="str">
        <f>IF(AND($C29&lt;&gt;"",$U29&lt;&gt;""),(VLOOKUP($C29,'V-LOOKUP'!$C$4:$M$59,8,FALSE)),"0")</f>
        <v>0</v>
      </c>
      <c r="GB29" s="192" t="str">
        <f>IF(AND($C29&lt;&gt;"",$U29&lt;&gt;""),(VLOOKUP($C29,'V-LOOKUP'!$C$4:$M$59,9,FALSE)),"0")</f>
        <v>0</v>
      </c>
      <c r="GC29" s="192" t="str">
        <f>IF(AND($C29&lt;&gt;"",$U29&lt;&gt;""),(VLOOKUP($C29,'V-LOOKUP'!$C$4:$M$59,10,FALSE)),"0")</f>
        <v>0</v>
      </c>
      <c r="GD29" s="192" t="str">
        <f>IF(AND($C29&lt;&gt;"",$U29&lt;&gt;""),(VLOOKUP($C29,'V-LOOKUP'!$C$4:$M$59,11,FALSE)),"0")</f>
        <v>0</v>
      </c>
      <c r="GE29" s="192" t="str">
        <f>IF(AND($C29&lt;&gt;"",$U29&lt;&gt;""),(VLOOKUP($C29,'V-LOOKUP'!$C$4:$N$59,12,FALSE)),"0")</f>
        <v>0</v>
      </c>
      <c r="GF29" s="192" t="str">
        <f>IF(AND($C29&lt;&gt;"",V29&lt;&gt;""),(VLOOKUP($C29,'V-LOOKUP'!$C$4:$M$59,4,FALSE)),"0")</f>
        <v>0</v>
      </c>
      <c r="GG29" s="192" t="str">
        <f>IF(AND($C29&lt;&gt;"",$V29&lt;&gt;""),(VLOOKUP($C29,'V-LOOKUP'!$C$4:$M$59,5,FALSE)),"0")</f>
        <v>0</v>
      </c>
      <c r="GH29" s="192" t="str">
        <f>IF(AND($C29&lt;&gt;"",$V29&lt;&gt;""),(VLOOKUP($C29,'V-LOOKUP'!$C$4:$M$59,6,FALSE)),"0")</f>
        <v>0</v>
      </c>
      <c r="GI29" s="192" t="str">
        <f>IF(AND($C29&lt;&gt;"",$V29&lt;&gt;""),(VLOOKUP($C29,'V-LOOKUP'!$C$4:$M$59,7,FALSE)),"0")</f>
        <v>0</v>
      </c>
      <c r="GJ29" s="192" t="str">
        <f>IF(AND($C29&lt;&gt;"",$V29&lt;&gt;""),(VLOOKUP($C29,'V-LOOKUP'!$C$4:$M$59,8,FALSE)),"0")</f>
        <v>0</v>
      </c>
      <c r="GK29" s="192" t="str">
        <f>IF(AND($C29&lt;&gt;"",$V29&lt;&gt;""),(VLOOKUP($C29,'V-LOOKUP'!$C$4:$M$59,9,FALSE)),"0")</f>
        <v>0</v>
      </c>
      <c r="GL29" s="192" t="str">
        <f>IF(AND($C29&lt;&gt;"",$V29&lt;&gt;""),(VLOOKUP($C29,'V-LOOKUP'!$C$4:$M$59,10,FALSE)),"0")</f>
        <v>0</v>
      </c>
      <c r="GM29" s="192" t="str">
        <f>IF(AND($C29&lt;&gt;"",$V29&lt;&gt;""),(VLOOKUP($C29,'V-LOOKUP'!$C$4:$M$59,11,FALSE)),"0")</f>
        <v>0</v>
      </c>
      <c r="GN29" s="192" t="str">
        <f>IF(AND($C29&lt;&gt;"",$V29&lt;&gt;""),(VLOOKUP($C29,'V-LOOKUP'!$C$4:$N$59,12,FALSE)),"0")</f>
        <v>0</v>
      </c>
      <c r="GO29" s="192" t="str">
        <f>IF(AND($C29&lt;&gt;"",W29&lt;&gt;""),(VLOOKUP($C29,'V-LOOKUP'!$C$4:$M$59,4,FALSE)),"0")</f>
        <v>0</v>
      </c>
      <c r="GP29" s="192" t="str">
        <f>IF(AND($C29&lt;&gt;"",$W29&lt;&gt;""),(VLOOKUP($C29,'V-LOOKUP'!$C$4:$M$59,5,FALSE)),"0")</f>
        <v>0</v>
      </c>
      <c r="GQ29" s="192" t="str">
        <f>IF(AND($C29&lt;&gt;"",$W29&lt;&gt;""),(VLOOKUP($C29,'V-LOOKUP'!$C$4:$M$59,6,FALSE)),"0")</f>
        <v>0</v>
      </c>
      <c r="GR29" s="192" t="str">
        <f>IF(AND($C29&lt;&gt;"",$W29&lt;&gt;""),(VLOOKUP($C29,'V-LOOKUP'!$C$4:$M$59,7,FALSE)),"0")</f>
        <v>0</v>
      </c>
      <c r="GS29" s="192" t="str">
        <f>IF(AND($C29&lt;&gt;"",$W29&lt;&gt;""),(VLOOKUP($C29,'V-LOOKUP'!$C$4:$M$59,8,FALSE)),"0")</f>
        <v>0</v>
      </c>
      <c r="GT29" s="192" t="str">
        <f>IF(AND($C29&lt;&gt;"",$W29&lt;&gt;""),(VLOOKUP($C29,'V-LOOKUP'!$C$4:$M$59,9,FALSE)),"0")</f>
        <v>0</v>
      </c>
      <c r="GU29" s="192" t="str">
        <f>IF(AND($C29&lt;&gt;"",$W29&lt;&gt;""),(VLOOKUP($C29,'V-LOOKUP'!$C$4:$M$59,10,FALSE)),"0")</f>
        <v>0</v>
      </c>
      <c r="GV29" s="192" t="str">
        <f>IF(AND($C29&lt;&gt;"",$W29&lt;&gt;""),(VLOOKUP($C29,'V-LOOKUP'!$C$4:$M$59,11,FALSE)),"0")</f>
        <v>0</v>
      </c>
      <c r="GW29" s="192" t="str">
        <f>IF(AND($C29&lt;&gt;"",$W29&lt;&gt;""),(VLOOKUP($C29,'V-LOOKUP'!$C$4:$N$59,12,FALSE)),"0")</f>
        <v>0</v>
      </c>
    </row>
    <row r="30" spans="1:205" ht="14.65" hidden="1" customHeight="1">
      <c r="A30" s="193"/>
      <c r="B30" s="245"/>
      <c r="C30" s="201"/>
      <c r="D30" s="202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Y30" s="190"/>
      <c r="Z30" s="192" t="str">
        <f>IF(AND($C30&lt;&gt;"",$D30&lt;&gt;""),(VLOOKUP($C30,'V-LOOKUP'!$C$4:$M$59,4,FALSE)),"0")</f>
        <v>0</v>
      </c>
      <c r="AA30" s="192" t="str">
        <f>IF(AND($C30&lt;&gt;"",$D30&lt;&gt;""),(VLOOKUP($C30,'V-LOOKUP'!$C$4:$M$59,5,FALSE)),"0")</f>
        <v>0</v>
      </c>
      <c r="AB30" s="192" t="str">
        <f>IF(AND($C30&lt;&gt;"",$D30&lt;&gt;""),(VLOOKUP($C30,'V-LOOKUP'!$C$4:$M$59,6,FALSE)),"0")</f>
        <v>0</v>
      </c>
      <c r="AC30" s="192" t="str">
        <f>IF(AND($C30&lt;&gt;"",$D30&lt;&gt;""),(VLOOKUP($C30,'V-LOOKUP'!$C$4:$M$59,7,FALSE)),"0")</f>
        <v>0</v>
      </c>
      <c r="AD30" s="192" t="str">
        <f>IF(AND($C30&lt;&gt;"",$D30&lt;&gt;""),(VLOOKUP($C30,'V-LOOKUP'!$C$4:$M$59,8,FALSE)),"0")</f>
        <v>0</v>
      </c>
      <c r="AE30" s="192" t="str">
        <f>IF(AND($C30&lt;&gt;"",$D30&lt;&gt;""),(VLOOKUP($C30,'V-LOOKUP'!$C$4:$M$59,9,FALSE)),"0")</f>
        <v>0</v>
      </c>
      <c r="AF30" s="192" t="str">
        <f>IF(AND($C30&lt;&gt;"",$D30&lt;&gt;""),(VLOOKUP($C30,'V-LOOKUP'!$C$4:$M$59,10,FALSE)),"0")</f>
        <v>0</v>
      </c>
      <c r="AG30" s="192" t="str">
        <f>IF(AND($C30&lt;&gt;"",$D30&lt;&gt;""),(VLOOKUP($C30,'V-LOOKUP'!$C$4:$M$59,11,FALSE)),"0")</f>
        <v>0</v>
      </c>
      <c r="AH30" s="192" t="str">
        <f>IF(AND($C30&lt;&gt;"",$D30&lt;&gt;""),(VLOOKUP($C30,'V-LOOKUP'!$C$4:$N$59,12,FALSE)),"0")</f>
        <v>0</v>
      </c>
      <c r="AI30" s="192" t="str">
        <f>IF(AND($C30&lt;&gt;"",E30&lt;&gt;""),(VLOOKUP($C30,'V-LOOKUP'!$C$4:$M$59,4,FALSE)),"0")</f>
        <v>0</v>
      </c>
      <c r="AJ30" s="192" t="str">
        <f>IF(AND($C30&lt;&gt;"",$E30&lt;&gt;""),(VLOOKUP($C30,'V-LOOKUP'!$C$4:$M$59,5,FALSE)),"0")</f>
        <v>0</v>
      </c>
      <c r="AK30" s="192" t="str">
        <f>IF(AND($C30&lt;&gt;"",$E30&lt;&gt;""),(VLOOKUP($C30,'V-LOOKUP'!$C$4:$M$59,6,FALSE)),"0")</f>
        <v>0</v>
      </c>
      <c r="AL30" s="192" t="str">
        <f>IF(AND($C30&lt;&gt;"",$E30&lt;&gt;""),(VLOOKUP($C30,'V-LOOKUP'!$C$4:$M$59,7,FALSE)),"0")</f>
        <v>0</v>
      </c>
      <c r="AM30" s="192" t="str">
        <f>IF(AND($C30&lt;&gt;"",$E30&lt;&gt;""),(VLOOKUP($C30,'V-LOOKUP'!$C$4:$M$59,8,FALSE)),"0")</f>
        <v>0</v>
      </c>
      <c r="AN30" s="192" t="str">
        <f>IF(AND($C30&lt;&gt;"",$E30&lt;&gt;""),(VLOOKUP($C30,'V-LOOKUP'!$C$4:$M$59,9,FALSE)),"0")</f>
        <v>0</v>
      </c>
      <c r="AO30" s="192" t="str">
        <f>IF(AND($C30&lt;&gt;"",$E30&lt;&gt;""),(VLOOKUP($C30,'V-LOOKUP'!$C$4:$M$59,10,FALSE)),"0")</f>
        <v>0</v>
      </c>
      <c r="AP30" s="192" t="str">
        <f>IF(AND($C30&lt;&gt;"",$E30&lt;&gt;""),(VLOOKUP($C30,'V-LOOKUP'!$C$4:$M$59,11,FALSE)),"0")</f>
        <v>0</v>
      </c>
      <c r="AQ30" s="192" t="str">
        <f>IF(AND($C30&lt;&gt;"",$E30&lt;&gt;""),(VLOOKUP($C30,'V-LOOKUP'!$C$4:$N$59,12,FALSE)),"0")</f>
        <v>0</v>
      </c>
      <c r="AR30" s="192" t="str">
        <f>IF(AND($C30&lt;&gt;"",$F30&lt;&gt;""),(VLOOKUP($C30,'V-LOOKUP'!$C$4:$M$59,4,FALSE)),"0")</f>
        <v>0</v>
      </c>
      <c r="AS30" s="192" t="str">
        <f>IF(AND($C30&lt;&gt;"",$F30&lt;&gt;""),(VLOOKUP($C30,'V-LOOKUP'!$C$4:$M$59,5,FALSE)),"0")</f>
        <v>0</v>
      </c>
      <c r="AT30" s="192" t="str">
        <f>IF(AND($C30&lt;&gt;"",$F30&lt;&gt;""),(VLOOKUP($C30,'V-LOOKUP'!$C$4:$M$59,6,FALSE)),"0")</f>
        <v>0</v>
      </c>
      <c r="AU30" s="192" t="str">
        <f>IF(AND($C30&lt;&gt;"",$F30&lt;&gt;""),(VLOOKUP($C30,'V-LOOKUP'!$C$4:$M$59,7,FALSE)),"0")</f>
        <v>0</v>
      </c>
      <c r="AV30" s="192" t="str">
        <f>IF(AND($C30&lt;&gt;"",$F30&lt;&gt;""),(VLOOKUP($C30,'V-LOOKUP'!$C$4:$M$59,8,FALSE)),"0")</f>
        <v>0</v>
      </c>
      <c r="AW30" s="192" t="str">
        <f>IF(AND($C30&lt;&gt;"",$F30&lt;&gt;""),(VLOOKUP($C30,'V-LOOKUP'!$C$4:$M$59,9,FALSE)),"0")</f>
        <v>0</v>
      </c>
      <c r="AX30" s="192" t="str">
        <f>IF(AND($C30&lt;&gt;"",$F30&lt;&gt;""),(VLOOKUP($C30,'V-LOOKUP'!$C$4:$M$59,10,FALSE)),"0")</f>
        <v>0</v>
      </c>
      <c r="AY30" s="192" t="str">
        <f>IF(AND($C30&lt;&gt;"",$F30&lt;&gt;""),(VLOOKUP($C30,'V-LOOKUP'!$C$4:$M$59,11,FALSE)),"0")</f>
        <v>0</v>
      </c>
      <c r="AZ30" s="192" t="str">
        <f>IF(AND($C30&lt;&gt;"",$F30&lt;&gt;""),(VLOOKUP($C30,'V-LOOKUP'!$C$4:$N$59,12,FALSE)),"0")</f>
        <v>0</v>
      </c>
      <c r="BA30" s="192" t="str">
        <f>IF(AND($C30&lt;&gt;"",G30&lt;&gt;""),(VLOOKUP($C30,'V-LOOKUP'!$C$4:$M$59,4,FALSE)),"0")</f>
        <v>0</v>
      </c>
      <c r="BB30" s="192" t="str">
        <f>IF(AND($C30&lt;&gt;"",$G30&lt;&gt;""),(VLOOKUP($C30,'V-LOOKUP'!$C$4:$M$59,5,FALSE)),"0")</f>
        <v>0</v>
      </c>
      <c r="BC30" s="192" t="str">
        <f>IF(AND($C30&lt;&gt;"",$G30&lt;&gt;""),(VLOOKUP($C30,'V-LOOKUP'!$C$4:$M$59,6,FALSE)),"0")</f>
        <v>0</v>
      </c>
      <c r="BD30" s="192" t="str">
        <f>IF(AND($C30&lt;&gt;"",$G30&lt;&gt;""),(VLOOKUP($C30,'V-LOOKUP'!$C$4:$M$59,7,FALSE)),"0")</f>
        <v>0</v>
      </c>
      <c r="BE30" s="192" t="str">
        <f>IF(AND($C30&lt;&gt;"",$G30&lt;&gt;""),(VLOOKUP($C30,'V-LOOKUP'!$C$4:$M$59,8,FALSE)),"0")</f>
        <v>0</v>
      </c>
      <c r="BF30" s="192" t="str">
        <f>IF(AND($C30&lt;&gt;"",$G30&lt;&gt;""),(VLOOKUP($C30,'V-LOOKUP'!$C$4:$M$59,9,FALSE)),"0")</f>
        <v>0</v>
      </c>
      <c r="BG30" s="192" t="str">
        <f>IF(AND($C30&lt;&gt;"",$G30&lt;&gt;""),(VLOOKUP($C30,'V-LOOKUP'!$C$4:$M$59,10,FALSE)),"0")</f>
        <v>0</v>
      </c>
      <c r="BH30" s="192" t="str">
        <f>IF(AND($C30&lt;&gt;"",$G30&lt;&gt;""),(VLOOKUP($C30,'V-LOOKUP'!$C$4:$M$59,11,FALSE)),"0")</f>
        <v>0</v>
      </c>
      <c r="BI30" s="192" t="str">
        <f>IF(AND($C30&lt;&gt;"",$G30&lt;&gt;""),(VLOOKUP($C30,'V-LOOKUP'!$C$4:$N$59,12,FALSE)),"0")</f>
        <v>0</v>
      </c>
      <c r="BJ30" s="192" t="str">
        <f>IF(AND($C30&lt;&gt;"",H30&lt;&gt;""),(VLOOKUP($C30,'V-LOOKUP'!$C$4:$M$59,4,FALSE)),"0")</f>
        <v>0</v>
      </c>
      <c r="BK30" s="192" t="str">
        <f>IF(AND($C30&lt;&gt;"",$G30&lt;&gt;""),(VLOOKUP($C30,'V-LOOKUP'!$C$4:$M$59,5,FALSE)),"0")</f>
        <v>0</v>
      </c>
      <c r="BL30" s="192" t="str">
        <f>IF(AND($C30&lt;&gt;"",$H30&lt;&gt;""),(VLOOKUP($C30,'V-LOOKUP'!$C$4:$M$59,6,FALSE)),"0")</f>
        <v>0</v>
      </c>
      <c r="BM30" s="192" t="str">
        <f>IF(AND($C30&lt;&gt;"",$H30&lt;&gt;""),(VLOOKUP($C30,'V-LOOKUP'!$C$4:$M$59,7,FALSE)),"0")</f>
        <v>0</v>
      </c>
      <c r="BN30" s="192" t="str">
        <f>IF(AND($C30&lt;&gt;"",$H30&lt;&gt;""),(VLOOKUP($C30,'V-LOOKUP'!$C$4:$M$59,8,FALSE)),"0")</f>
        <v>0</v>
      </c>
      <c r="BO30" s="192" t="str">
        <f>IF(AND($C30&lt;&gt;"",$H30&lt;&gt;""),(VLOOKUP($C30,'V-LOOKUP'!$C$4:$M$59,9,FALSE)),"0")</f>
        <v>0</v>
      </c>
      <c r="BP30" s="192" t="str">
        <f>IF(AND($C30&lt;&gt;"",$H30&lt;&gt;""),(VLOOKUP($C30,'V-LOOKUP'!$C$4:$M$59,10,FALSE)),"0")</f>
        <v>0</v>
      </c>
      <c r="BQ30" s="192" t="str">
        <f>IF(AND($C30&lt;&gt;"",$H30&lt;&gt;""),(VLOOKUP($C30,'V-LOOKUP'!$C$4:$M$59,11,FALSE)),"0")</f>
        <v>0</v>
      </c>
      <c r="BR30" s="192" t="str">
        <f>IF(AND($C30&lt;&gt;"",$H30&lt;&gt;""),(VLOOKUP($C30,'V-LOOKUP'!$C$4:$N$59,12,FALSE)),"0")</f>
        <v>0</v>
      </c>
      <c r="BS30" s="192" t="str">
        <f>IF(AND($C30&lt;&gt;"",I30&lt;&gt;""),(VLOOKUP($C30,'V-LOOKUP'!$C$4:$M$59,4,FALSE)),"0")</f>
        <v>0</v>
      </c>
      <c r="BT30" s="192" t="str">
        <f>IF(AND($C30&lt;&gt;"",$I30&lt;&gt;""),(VLOOKUP($C30,'V-LOOKUP'!$C$4:$M$59,5,FALSE)),"0")</f>
        <v>0</v>
      </c>
      <c r="BU30" s="192" t="str">
        <f>IF(AND($C30&lt;&gt;"",$I30&lt;&gt;""),(VLOOKUP($C30,'V-LOOKUP'!$C$4:$M$59,6,FALSE)),"0")</f>
        <v>0</v>
      </c>
      <c r="BV30" s="192" t="str">
        <f>IF(AND($C30&lt;&gt;"",$I30&lt;&gt;""),(VLOOKUP($C30,'V-LOOKUP'!$C$4:$M$59,7,FALSE)),"0")</f>
        <v>0</v>
      </c>
      <c r="BW30" s="192" t="str">
        <f>IF(AND($C30&lt;&gt;"",$I30&lt;&gt;""),(VLOOKUP($C30,'V-LOOKUP'!$C$4:$M$59,8,FALSE)),"0")</f>
        <v>0</v>
      </c>
      <c r="BX30" s="192" t="str">
        <f>IF(AND($C30&lt;&gt;"",$I30&lt;&gt;""),(VLOOKUP($C30,'V-LOOKUP'!$C$4:$M$59,9,FALSE)),"0")</f>
        <v>0</v>
      </c>
      <c r="BY30" s="192" t="str">
        <f>IF(AND($C30&lt;&gt;"",$I30&lt;&gt;""),(VLOOKUP($C30,'V-LOOKUP'!$C$4:$M$59,10,FALSE)),"0")</f>
        <v>0</v>
      </c>
      <c r="BZ30" s="192" t="str">
        <f>IF(AND($C30&lt;&gt;"",$I30&lt;&gt;""),(VLOOKUP($C30,'V-LOOKUP'!$C$4:$M$59,11,FALSE)),"0")</f>
        <v>0</v>
      </c>
      <c r="CA30" s="192" t="str">
        <f>IF(AND($C30&lt;&gt;"",$I30&lt;&gt;""),(VLOOKUP($C30,'V-LOOKUP'!$C$4:$N$59,12,FALSE)),"0")</f>
        <v>0</v>
      </c>
      <c r="CB30" s="192" t="str">
        <f>IF(AND($C30&lt;&gt;"",J30&lt;&gt;""),(VLOOKUP($C30,'V-LOOKUP'!$C$4:$M$59,4,FALSE)),"0")</f>
        <v>0</v>
      </c>
      <c r="CC30" s="192" t="str">
        <f>IF(AND($C30&lt;&gt;"",$J30&lt;&gt;""),(VLOOKUP($C30,'V-LOOKUP'!$C$4:$M$59,5,FALSE)),"0")</f>
        <v>0</v>
      </c>
      <c r="CD30" s="192" t="str">
        <f>IF(AND($C30&lt;&gt;"",$J30&lt;&gt;""),(VLOOKUP($C30,'V-LOOKUP'!$C$4:$M$59,6,FALSE)),"0")</f>
        <v>0</v>
      </c>
      <c r="CE30" s="192" t="str">
        <f>IF(AND($C30&lt;&gt;"",$J30&lt;&gt;""),(VLOOKUP($C30,'V-LOOKUP'!$C$4:$M$59,7,FALSE)),"0")</f>
        <v>0</v>
      </c>
      <c r="CF30" s="192" t="str">
        <f>IF(AND($C30&lt;&gt;"",$J30&lt;&gt;""),(VLOOKUP($C30,'V-LOOKUP'!$C$4:$M$59,8,FALSE)),"0")</f>
        <v>0</v>
      </c>
      <c r="CG30" s="192" t="str">
        <f>IF(AND($C30&lt;&gt;"",$J30&lt;&gt;""),(VLOOKUP($C30,'V-LOOKUP'!$C$4:$M$59,9,FALSE)),"0")</f>
        <v>0</v>
      </c>
      <c r="CH30" s="192" t="str">
        <f>IF(AND($C30&lt;&gt;"",$J30&lt;&gt;""),(VLOOKUP($C30,'V-LOOKUP'!$C$4:$M$59,10,FALSE)),"0")</f>
        <v>0</v>
      </c>
      <c r="CI30" s="192" t="str">
        <f>IF(AND($C30&lt;&gt;"",$J30&lt;&gt;""),(VLOOKUP($C30,'V-LOOKUP'!$C$4:$M$59,11,FALSE)),"0")</f>
        <v>0</v>
      </c>
      <c r="CJ30" s="192" t="str">
        <f>IF(AND($C30&lt;&gt;"",$J30&lt;&gt;""),(VLOOKUP($C30,'V-LOOKUP'!$C$4:$N$59,12,FALSE)),"0")</f>
        <v>0</v>
      </c>
      <c r="CK30" s="192" t="str">
        <f>IF(AND($C30&lt;&gt;"",K30&lt;&gt;""),(VLOOKUP($C30,'V-LOOKUP'!$C$4:$M$59,4,FALSE)),"0")</f>
        <v>0</v>
      </c>
      <c r="CL30" s="192" t="str">
        <f>IF(AND($C30&lt;&gt;"",$K30&lt;&gt;""),(VLOOKUP($C30,'V-LOOKUP'!$C$4:$M$59,5,FALSE)),"0")</f>
        <v>0</v>
      </c>
      <c r="CM30" s="192" t="str">
        <f>IF(AND($C30&lt;&gt;"",$K30&lt;&gt;""),(VLOOKUP($C30,'V-LOOKUP'!$C$4:$M$59,6,FALSE)),"0")</f>
        <v>0</v>
      </c>
      <c r="CN30" s="192" t="str">
        <f>IF(AND($C30&lt;&gt;"",$K30&lt;&gt;""),(VLOOKUP($C30,'V-LOOKUP'!$C$4:$M$59,7,FALSE)),"0")</f>
        <v>0</v>
      </c>
      <c r="CO30" s="192" t="str">
        <f>IF(AND($C30&lt;&gt;"",$K30&lt;&gt;""),(VLOOKUP($C30,'V-LOOKUP'!$C$4:$M$59,8,FALSE)),"0")</f>
        <v>0</v>
      </c>
      <c r="CP30" s="192" t="str">
        <f>IF(AND($C30&lt;&gt;"",$K30&lt;&gt;""),(VLOOKUP($C30,'V-LOOKUP'!$C$4:$M$59,9,FALSE)),"0")</f>
        <v>0</v>
      </c>
      <c r="CQ30" s="192" t="str">
        <f>IF(AND($C30&lt;&gt;"",$K30&lt;&gt;""),(VLOOKUP($C30,'V-LOOKUP'!$C$4:$M$59,10,FALSE)),"0")</f>
        <v>0</v>
      </c>
      <c r="CR30" s="192" t="str">
        <f>IF(AND($C30&lt;&gt;"",$K30&lt;&gt;""),(VLOOKUP($C30,'V-LOOKUP'!$C$4:$M$59,11,FALSE)),"0")</f>
        <v>0</v>
      </c>
      <c r="CS30" s="192" t="str">
        <f>IF(AND($C30&lt;&gt;"",$K30&lt;&gt;""),(VLOOKUP($C30,'V-LOOKUP'!$C$4:$N$59,12,FALSE)),"0")</f>
        <v>0</v>
      </c>
      <c r="CT30" s="192" t="str">
        <f>IF(AND($C30&lt;&gt;"",L30&lt;&gt;""),(VLOOKUP($C30,'V-LOOKUP'!$C$4:$M$59,4,FALSE)),"0")</f>
        <v>0</v>
      </c>
      <c r="CU30" s="192" t="str">
        <f>IF(AND($C30&lt;&gt;"",$L30&lt;&gt;""),(VLOOKUP($C30,'V-LOOKUP'!$C$4:$M$59,5,FALSE)),"0")</f>
        <v>0</v>
      </c>
      <c r="CV30" s="192" t="str">
        <f>IF(AND($C30&lt;&gt;"",$L30&lt;&gt;""),(VLOOKUP($C30,'V-LOOKUP'!$C$4:$M$59,6,FALSE)),"0")</f>
        <v>0</v>
      </c>
      <c r="CW30" s="192" t="str">
        <f>IF(AND($C30&lt;&gt;"",$L30&lt;&gt;""),(VLOOKUP($C30,'V-LOOKUP'!$C$4:$M$59,7,FALSE)),"0")</f>
        <v>0</v>
      </c>
      <c r="CX30" s="192" t="str">
        <f>IF(AND($C30&lt;&gt;"",$L30&lt;&gt;""),(VLOOKUP($C30,'V-LOOKUP'!$C$4:$M$59,8,FALSE)),"0")</f>
        <v>0</v>
      </c>
      <c r="CY30" s="192" t="str">
        <f>IF(AND($C30&lt;&gt;"",$L30&lt;&gt;""),(VLOOKUP($C30,'V-LOOKUP'!$C$4:$M$59,9,FALSE)),"0")</f>
        <v>0</v>
      </c>
      <c r="CZ30" s="192" t="str">
        <f>IF(AND($C30&lt;&gt;"",$L30&lt;&gt;""),(VLOOKUP($C30,'V-LOOKUP'!$C$4:$M$59,10,FALSE)),"0")</f>
        <v>0</v>
      </c>
      <c r="DA30" s="192" t="str">
        <f>IF(AND($C30&lt;&gt;"",$L30&lt;&gt;""),(VLOOKUP($C30,'V-LOOKUP'!$C$4:$M$59,11,FALSE)),"0")</f>
        <v>0</v>
      </c>
      <c r="DB30" s="192" t="str">
        <f>IF(AND($C30&lt;&gt;"",$L30&lt;&gt;""),(VLOOKUP($C30,'V-LOOKUP'!$C$4:$N$59,12,FALSE)),"0")</f>
        <v>0</v>
      </c>
      <c r="DC30" s="192" t="str">
        <f>IF(AND($C30&lt;&gt;"",M30&lt;&gt;""),(VLOOKUP($C30,'V-LOOKUP'!$C$4:$M$59,4,FALSE)),"0")</f>
        <v>0</v>
      </c>
      <c r="DD30" s="192" t="str">
        <f>IF(AND($C30&lt;&gt;"",$M30&lt;&gt;""),(VLOOKUP($C30,'V-LOOKUP'!$C$4:$M$59,5,FALSE)),"0")</f>
        <v>0</v>
      </c>
      <c r="DE30" s="192" t="str">
        <f>IF(AND($C30&lt;&gt;"",$M30&lt;&gt;""),(VLOOKUP($C30,'V-LOOKUP'!$C$4:$M$59,6,FALSE)),"0")</f>
        <v>0</v>
      </c>
      <c r="DF30" s="192" t="str">
        <f>IF(AND($C30&lt;&gt;"",$M30&lt;&gt;""),(VLOOKUP($C30,'V-LOOKUP'!$C$4:$M$59,7,FALSE)),"0")</f>
        <v>0</v>
      </c>
      <c r="DG30" s="192" t="str">
        <f>IF(AND($C30&lt;&gt;"",$M30&lt;&gt;""),(VLOOKUP($C30,'V-LOOKUP'!$C$4:$M$59,8,FALSE)),"0")</f>
        <v>0</v>
      </c>
      <c r="DH30" s="192" t="str">
        <f>IF(AND($C30&lt;&gt;"",$M30&lt;&gt;""),(VLOOKUP($C30,'V-LOOKUP'!$C$4:$M$59,9,FALSE)),"0")</f>
        <v>0</v>
      </c>
      <c r="DI30" s="192" t="str">
        <f>IF(AND($C30&lt;&gt;"",$M30&lt;&gt;""),(VLOOKUP($C30,'V-LOOKUP'!$C$4:$M$59,10,FALSE)),"0")</f>
        <v>0</v>
      </c>
      <c r="DJ30" s="192" t="str">
        <f>IF(AND($C30&lt;&gt;"",$M30&lt;&gt;""),(VLOOKUP($C30,'V-LOOKUP'!$C$4:$M$59,11,FALSE)),"0")</f>
        <v>0</v>
      </c>
      <c r="DK30" s="192" t="str">
        <f>IF(AND($C30&lt;&gt;"",$M30&lt;&gt;""),(VLOOKUP($C30,'V-LOOKUP'!$C$4:$N$59,12,FALSE)),"0")</f>
        <v>0</v>
      </c>
      <c r="DL30" s="192" t="str">
        <f>IF(AND($C30&lt;&gt;"",$N30&lt;&gt;""),(VLOOKUP($C30,'V-LOOKUP'!$C$4:$M$59,4,FALSE)),"0")</f>
        <v>0</v>
      </c>
      <c r="DM30" s="192" t="str">
        <f>IF(AND($C30&lt;&gt;"",$N30&lt;&gt;""),(VLOOKUP($C30,'V-LOOKUP'!$C$4:$M$59,5,FALSE)),"0")</f>
        <v>0</v>
      </c>
      <c r="DN30" s="192" t="str">
        <f>IF(AND($C30&lt;&gt;"",$N30&lt;&gt;""),(VLOOKUP($C30,'V-LOOKUP'!$C$4:$M$59,6,FALSE)),"0")</f>
        <v>0</v>
      </c>
      <c r="DO30" s="192" t="str">
        <f>IF(AND($C30&lt;&gt;"",$N30&lt;&gt;""),(VLOOKUP($C30,'V-LOOKUP'!$C$4:$M$59,7,FALSE)),"0")</f>
        <v>0</v>
      </c>
      <c r="DP30" s="192" t="str">
        <f>IF(AND($C30&lt;&gt;"",$N30&lt;&gt;""),(VLOOKUP($C30,'V-LOOKUP'!$C$4:$M$59,8,FALSE)),"0")</f>
        <v>0</v>
      </c>
      <c r="DQ30" s="192" t="str">
        <f>IF(AND($C30&lt;&gt;"",$N30&lt;&gt;""),(VLOOKUP($C30,'V-LOOKUP'!$C$4:$M$59,9,FALSE)),"0")</f>
        <v>0</v>
      </c>
      <c r="DR30" s="192" t="str">
        <f>IF(AND($C30&lt;&gt;"",$N30&lt;&gt;""),(VLOOKUP($C30,'V-LOOKUP'!$C$4:$M$59,10,FALSE)),"0")</f>
        <v>0</v>
      </c>
      <c r="DS30" s="192" t="str">
        <f>IF(AND($C30&lt;&gt;"",$N30&lt;&gt;""),(VLOOKUP($C30,'V-LOOKUP'!$C$4:$M$59,11,FALSE)),"0")</f>
        <v>0</v>
      </c>
      <c r="DT30" s="192" t="str">
        <f>IF(AND($C30&lt;&gt;"",$N30&lt;&gt;""),(VLOOKUP($C30,'V-LOOKUP'!$C$4:$N$59,12,FALSE)),"0")</f>
        <v>0</v>
      </c>
      <c r="DU30" s="192" t="str">
        <f>IF(AND($C30&lt;&gt;"",O30&lt;&gt;""),(VLOOKUP($C30,'V-LOOKUP'!$C$4:$M$59,4,FALSE)),"0")</f>
        <v>0</v>
      </c>
      <c r="DV30" s="192" t="str">
        <f>IF(AND($C30&lt;&gt;"",$O30&lt;&gt;""),(VLOOKUP($C30,'V-LOOKUP'!$C$4:$M$59,5,FALSE)),"0")</f>
        <v>0</v>
      </c>
      <c r="DW30" s="192" t="str">
        <f>IF(AND($C30&lt;&gt;"",$O30&lt;&gt;""),(VLOOKUP($C30,'V-LOOKUP'!$C$4:$M$59,6,FALSE)),"0")</f>
        <v>0</v>
      </c>
      <c r="DX30" s="192" t="str">
        <f>IF(AND($C30&lt;&gt;"",$O30&lt;&gt;""),(VLOOKUP($C30,'V-LOOKUP'!$C$4:$M$59,7,FALSE)),"0")</f>
        <v>0</v>
      </c>
      <c r="DY30" s="192" t="str">
        <f>IF(AND($C30&lt;&gt;"",$O30&lt;&gt;""),(VLOOKUP($C30,'V-LOOKUP'!$C$4:$M$59,8,FALSE)),"0")</f>
        <v>0</v>
      </c>
      <c r="DZ30" s="192" t="str">
        <f>IF(AND($C30&lt;&gt;"",$O30&lt;&gt;""),(VLOOKUP($C30,'V-LOOKUP'!$C$4:$M$59,9,FALSE)),"0")</f>
        <v>0</v>
      </c>
      <c r="EA30" s="192" t="str">
        <f>IF(AND($C30&lt;&gt;"",$O30&lt;&gt;""),(VLOOKUP($C30,'V-LOOKUP'!$C$4:$M$59,10,FALSE)),"0")</f>
        <v>0</v>
      </c>
      <c r="EB30" s="192" t="str">
        <f>IF(AND($C30&lt;&gt;"",$O30&lt;&gt;""),(VLOOKUP($C30,'V-LOOKUP'!$C$4:$M$59,11,FALSE)),"0")</f>
        <v>0</v>
      </c>
      <c r="EC30" s="192" t="str">
        <f>IF(AND($C30&lt;&gt;"",$O30&lt;&gt;""),(VLOOKUP($C30,'V-LOOKUP'!$C$4:$N$59,12,FALSE)),"0")</f>
        <v>0</v>
      </c>
      <c r="ED30" s="192" t="str">
        <f>IF(AND($C30&lt;&gt;"",P30&lt;&gt;""),(VLOOKUP($C30,'V-LOOKUP'!$C$4:$M$59,4,FALSE)),"0")</f>
        <v>0</v>
      </c>
      <c r="EE30" s="192" t="str">
        <f>IF(AND($C30&lt;&gt;"",$P30&lt;&gt;""),(VLOOKUP($C30,'V-LOOKUP'!$C$4:$M$59,5,FALSE)),"0")</f>
        <v>0</v>
      </c>
      <c r="EF30" s="192" t="str">
        <f>IF(AND($C30&lt;&gt;"",$P30&lt;&gt;""),(VLOOKUP($C30,'V-LOOKUP'!$C$4:$M$59,6,FALSE)),"0")</f>
        <v>0</v>
      </c>
      <c r="EG30" s="192" t="str">
        <f>IF(AND($C30&lt;&gt;"",$P30&lt;&gt;""),(VLOOKUP($C30,'V-LOOKUP'!$C$4:$M$59,7,FALSE)),"0")</f>
        <v>0</v>
      </c>
      <c r="EH30" s="192" t="str">
        <f>IF(AND($C30&lt;&gt;"",$P30&lt;&gt;""),(VLOOKUP($C30,'V-LOOKUP'!$C$4:$M$59,8,FALSE)),"0")</f>
        <v>0</v>
      </c>
      <c r="EI30" s="192" t="str">
        <f>IF(AND($C30&lt;&gt;"",$P30&lt;&gt;""),(VLOOKUP($C30,'V-LOOKUP'!$C$4:$M$59,9,FALSE)),"0")</f>
        <v>0</v>
      </c>
      <c r="EJ30" s="192" t="str">
        <f>IF(AND($C30&lt;&gt;"",$P30&lt;&gt;""),(VLOOKUP($C30,'V-LOOKUP'!$C$4:$M$59,10,FALSE)),"0")</f>
        <v>0</v>
      </c>
      <c r="EK30" s="192" t="str">
        <f>IF(AND($C30&lt;&gt;"",$P30&lt;&gt;""),(VLOOKUP($C30,'V-LOOKUP'!$C$4:$M$59,11,FALSE)),"0")</f>
        <v>0</v>
      </c>
      <c r="EL30" s="192" t="str">
        <f>IF(AND($C30&lt;&gt;"",$P30&lt;&gt;""),(VLOOKUP($C30,'V-LOOKUP'!$C$4:$N$59,12,FALSE)),"0")</f>
        <v>0</v>
      </c>
      <c r="EM30" s="192" t="str">
        <f>IF(AND($C30&lt;&gt;"",Q30&lt;&gt;""),(VLOOKUP($C30,'V-LOOKUP'!$C$4:$M$59,4,FALSE)),"0")</f>
        <v>0</v>
      </c>
      <c r="EN30" s="192" t="str">
        <f>IF(AND($C30&lt;&gt;"",$Q30&lt;&gt;""),(VLOOKUP($C30,'V-LOOKUP'!$C$4:$M$59,5,FALSE)),"0")</f>
        <v>0</v>
      </c>
      <c r="EO30" s="192" t="str">
        <f>IF(AND($C30&lt;&gt;"",$Q30&lt;&gt;""),(VLOOKUP($C30,'V-LOOKUP'!$C$4:$M$59,6,FALSE)),"0")</f>
        <v>0</v>
      </c>
      <c r="EP30" s="192" t="str">
        <f>IF(AND($C30&lt;&gt;"",$Q30&lt;&gt;""),(VLOOKUP($C30,'V-LOOKUP'!$C$4:$M$59,7,FALSE)),"0")</f>
        <v>0</v>
      </c>
      <c r="EQ30" s="192" t="str">
        <f>IF(AND($C30&lt;&gt;"",$Q30&lt;&gt;""),(VLOOKUP($C30,'V-LOOKUP'!$C$4:$M$59,8,FALSE)),"0")</f>
        <v>0</v>
      </c>
      <c r="ER30" s="192" t="str">
        <f>IF(AND($C30&lt;&gt;"",$Q30&lt;&gt;""),(VLOOKUP($C30,'V-LOOKUP'!$C$4:$M$59,9,FALSE)),"0")</f>
        <v>0</v>
      </c>
      <c r="ES30" s="192" t="str">
        <f>IF(AND($C30&lt;&gt;"",$Q30&lt;&gt;""),(VLOOKUP($C30,'V-LOOKUP'!$C$4:$M$59,10,FALSE)),"0")</f>
        <v>0</v>
      </c>
      <c r="ET30" s="192" t="str">
        <f>IF(AND($C30&lt;&gt;"",$Q30&lt;&gt;""),(VLOOKUP($C30,'V-LOOKUP'!$C$4:$M$59,11,FALSE)),"0")</f>
        <v>0</v>
      </c>
      <c r="EU30" s="192" t="str">
        <f>IF(AND($C30&lt;&gt;"",$Q30&lt;&gt;""),(VLOOKUP($C30,'V-LOOKUP'!$C$4:$N$59,12,FALSE)),"0")</f>
        <v>0</v>
      </c>
      <c r="EV30" s="192" t="str">
        <f>IF(AND($C30&lt;&gt;"",R30&lt;&gt;""),(VLOOKUP($C30,'V-LOOKUP'!$C$4:$M$59,4,FALSE)),"0")</f>
        <v>0</v>
      </c>
      <c r="EW30" s="192" t="str">
        <f>IF(AND($C30&lt;&gt;"",$R30&lt;&gt;""),(VLOOKUP($C30,'V-LOOKUP'!$C$4:$M$59,5,FALSE)),"0")</f>
        <v>0</v>
      </c>
      <c r="EX30" s="192" t="str">
        <f>IF(AND($C30&lt;&gt;"",$R30&lt;&gt;""),(VLOOKUP($C30,'V-LOOKUP'!$C$4:$M$59,6,FALSE)),"0")</f>
        <v>0</v>
      </c>
      <c r="EY30" s="192" t="str">
        <f>IF(AND($C30&lt;&gt;"",$R30&lt;&gt;""),(VLOOKUP($C30,'V-LOOKUP'!$C$4:$M$59,7,FALSE)),"0")</f>
        <v>0</v>
      </c>
      <c r="EZ30" s="192" t="str">
        <f>IF(AND($C30&lt;&gt;"",$R30&lt;&gt;""),(VLOOKUP($C30,'V-LOOKUP'!$C$4:$M$59,8,FALSE)),"0")</f>
        <v>0</v>
      </c>
      <c r="FA30" s="192" t="str">
        <f>IF(AND($C30&lt;&gt;"",$R30&lt;&gt;""),(VLOOKUP($C30,'V-LOOKUP'!$C$4:$M$59,9,FALSE)),"0")</f>
        <v>0</v>
      </c>
      <c r="FB30" s="192" t="str">
        <f>IF(AND($C30&lt;&gt;"",$R30&lt;&gt;""),(VLOOKUP($C30,'V-LOOKUP'!$C$4:$M$59,10,FALSE)),"0")</f>
        <v>0</v>
      </c>
      <c r="FC30" s="192" t="str">
        <f>IF(AND($C30&lt;&gt;"",$R30&lt;&gt;""),(VLOOKUP($C30,'V-LOOKUP'!$C$4:$M$59,11,FALSE)),"0")</f>
        <v>0</v>
      </c>
      <c r="FD30" s="192" t="str">
        <f>IF(AND($C30&lt;&gt;"",$R30&lt;&gt;""),(VLOOKUP($C30,'V-LOOKUP'!$C$4:$N$59,12,FALSE)),"0")</f>
        <v>0</v>
      </c>
      <c r="FE30" s="192" t="str">
        <f>IF(AND($C30&lt;&gt;"",S30&lt;&gt;""),(VLOOKUP($C30,'V-LOOKUP'!$C$4:$M$59,4,FALSE)),"0")</f>
        <v>0</v>
      </c>
      <c r="FF30" s="192" t="str">
        <f>IF(AND($C30&lt;&gt;"",$S30&lt;&gt;""),(VLOOKUP($C30,'V-LOOKUP'!$C$4:$M$59,5,FALSE)),"0")</f>
        <v>0</v>
      </c>
      <c r="FG30" s="192" t="str">
        <f>IF(AND($C30&lt;&gt;"",$S30&lt;&gt;""),(VLOOKUP($C30,'V-LOOKUP'!$C$4:$M$59,6,FALSE)),"0")</f>
        <v>0</v>
      </c>
      <c r="FH30" s="192" t="str">
        <f>IF(AND($C30&lt;&gt;"",$S30&lt;&gt;""),(VLOOKUP($C30,'V-LOOKUP'!$C$4:$M$59,7,FALSE)),"0")</f>
        <v>0</v>
      </c>
      <c r="FI30" s="192" t="str">
        <f>IF(AND($C30&lt;&gt;"",$S30&lt;&gt;""),(VLOOKUP($C30,'V-LOOKUP'!$C$4:$M$59,8,FALSE)),"0")</f>
        <v>0</v>
      </c>
      <c r="FJ30" s="192" t="str">
        <f>IF(AND($C30&lt;&gt;"",$S30&lt;&gt;""),(VLOOKUP($C30,'V-LOOKUP'!$C$4:$M$59,9,FALSE)),"0")</f>
        <v>0</v>
      </c>
      <c r="FK30" s="192" t="str">
        <f>IF(AND($C30&lt;&gt;"",$S30&lt;&gt;""),(VLOOKUP($C30,'V-LOOKUP'!$C$4:$M$59,10,FALSE)),"0")</f>
        <v>0</v>
      </c>
      <c r="FL30" s="192" t="str">
        <f>IF(AND($C30&lt;&gt;"",$S30&lt;&gt;""),(VLOOKUP($C30,'V-LOOKUP'!$C$4:$M$59,11,FALSE)),"0")</f>
        <v>0</v>
      </c>
      <c r="FM30" s="192" t="str">
        <f>IF(AND($C30&lt;&gt;"",$S30&lt;&gt;""),(VLOOKUP($C30,'V-LOOKUP'!$C$4:$N$59,12,FALSE)),"0")</f>
        <v>0</v>
      </c>
      <c r="FN30" s="192" t="str">
        <f>IF(AND($C30&lt;&gt;"",T30&lt;&gt;""),(VLOOKUP($C30,'V-LOOKUP'!$C$4:$M$59,4,FALSE)),"0")</f>
        <v>0</v>
      </c>
      <c r="FO30" s="192" t="str">
        <f>IF(AND($C30&lt;&gt;"",$T30&lt;&gt;""),(VLOOKUP($C30,'V-LOOKUP'!$C$4:$M$59,5,FALSE)),"0")</f>
        <v>0</v>
      </c>
      <c r="FP30" s="192" t="str">
        <f>IF(AND($C30&lt;&gt;"",$T30&lt;&gt;""),(VLOOKUP($C30,'V-LOOKUP'!$C$4:$M$59,6,FALSE)),"0")</f>
        <v>0</v>
      </c>
      <c r="FQ30" s="192" t="str">
        <f>IF(AND($C30&lt;&gt;"",$T30&lt;&gt;""),(VLOOKUP($C30,'V-LOOKUP'!$C$4:$M$59,7,FALSE)),"0")</f>
        <v>0</v>
      </c>
      <c r="FR30" s="192" t="str">
        <f>IF(AND($C30&lt;&gt;"",$T30&lt;&gt;""),(VLOOKUP($C30,'V-LOOKUP'!$C$4:$M$59,8,FALSE)),"0")</f>
        <v>0</v>
      </c>
      <c r="FS30" s="192" t="str">
        <f>IF(AND($C30&lt;&gt;"",$T30&lt;&gt;""),(VLOOKUP($C30,'V-LOOKUP'!$C$4:$M$59,9,FALSE)),"0")</f>
        <v>0</v>
      </c>
      <c r="FT30" s="192" t="str">
        <f>IF(AND($C30&lt;&gt;"",$T30&lt;&gt;""),(VLOOKUP($C30,'V-LOOKUP'!$C$4:$M$59,10,FALSE)),"0")</f>
        <v>0</v>
      </c>
      <c r="FU30" s="192" t="str">
        <f>IF(AND($C30&lt;&gt;"",$T30&lt;&gt;""),(VLOOKUP($C30,'V-LOOKUP'!$C$4:$M$59,11,FALSE)),"0")</f>
        <v>0</v>
      </c>
      <c r="FV30" s="192" t="str">
        <f>IF(AND($C30&lt;&gt;"",$T30&lt;&gt;""),(VLOOKUP($C30,'V-LOOKUP'!$C$4:$N$59,12,FALSE)),"0")</f>
        <v>0</v>
      </c>
      <c r="FW30" s="192" t="str">
        <f>IF(AND($C30&lt;&gt;"",U30&lt;&gt;""),(VLOOKUP($C30,'V-LOOKUP'!$C$4:$M$59,4,FALSE)),"0")</f>
        <v>0</v>
      </c>
      <c r="FX30" s="192" t="str">
        <f>IF(AND($C30&lt;&gt;"",$U30&lt;&gt;""),(VLOOKUP($C30,'V-LOOKUP'!$C$4:$M$59,5,FALSE)),"0")</f>
        <v>0</v>
      </c>
      <c r="FY30" s="192" t="str">
        <f>IF(AND($C30&lt;&gt;"",$U30&lt;&gt;""),(VLOOKUP($C30,'V-LOOKUP'!$C$4:$M$59,6,FALSE)),"0")</f>
        <v>0</v>
      </c>
      <c r="FZ30" s="192" t="str">
        <f>IF(AND($C30&lt;&gt;"",$U30&lt;&gt;""),(VLOOKUP($C30,'V-LOOKUP'!$C$4:$M$59,7,FALSE)),"0")</f>
        <v>0</v>
      </c>
      <c r="GA30" s="192" t="str">
        <f>IF(AND($C30&lt;&gt;"",$U30&lt;&gt;""),(VLOOKUP($C30,'V-LOOKUP'!$C$4:$M$59,8,FALSE)),"0")</f>
        <v>0</v>
      </c>
      <c r="GB30" s="192" t="str">
        <f>IF(AND($C30&lt;&gt;"",$U30&lt;&gt;""),(VLOOKUP($C30,'V-LOOKUP'!$C$4:$M$59,9,FALSE)),"0")</f>
        <v>0</v>
      </c>
      <c r="GC30" s="192" t="str">
        <f>IF(AND($C30&lt;&gt;"",$U30&lt;&gt;""),(VLOOKUP($C30,'V-LOOKUP'!$C$4:$M$59,10,FALSE)),"0")</f>
        <v>0</v>
      </c>
      <c r="GD30" s="192" t="str">
        <f>IF(AND($C30&lt;&gt;"",$U30&lt;&gt;""),(VLOOKUP($C30,'V-LOOKUP'!$C$4:$M$59,11,FALSE)),"0")</f>
        <v>0</v>
      </c>
      <c r="GE30" s="192" t="str">
        <f>IF(AND($C30&lt;&gt;"",$U30&lt;&gt;""),(VLOOKUP($C30,'V-LOOKUP'!$C$4:$N$59,12,FALSE)),"0")</f>
        <v>0</v>
      </c>
      <c r="GF30" s="192" t="str">
        <f>IF(AND($C30&lt;&gt;"",V30&lt;&gt;""),(VLOOKUP($C30,'V-LOOKUP'!$C$4:$M$59,4,FALSE)),"0")</f>
        <v>0</v>
      </c>
      <c r="GG30" s="192" t="str">
        <f>IF(AND($C30&lt;&gt;"",$V30&lt;&gt;""),(VLOOKUP($C30,'V-LOOKUP'!$C$4:$M$59,5,FALSE)),"0")</f>
        <v>0</v>
      </c>
      <c r="GH30" s="192" t="str">
        <f>IF(AND($C30&lt;&gt;"",$V30&lt;&gt;""),(VLOOKUP($C30,'V-LOOKUP'!$C$4:$M$59,6,FALSE)),"0")</f>
        <v>0</v>
      </c>
      <c r="GI30" s="192" t="str">
        <f>IF(AND($C30&lt;&gt;"",$V30&lt;&gt;""),(VLOOKUP($C30,'V-LOOKUP'!$C$4:$M$59,7,FALSE)),"0")</f>
        <v>0</v>
      </c>
      <c r="GJ30" s="192" t="str">
        <f>IF(AND($C30&lt;&gt;"",$V30&lt;&gt;""),(VLOOKUP($C30,'V-LOOKUP'!$C$4:$M$59,8,FALSE)),"0")</f>
        <v>0</v>
      </c>
      <c r="GK30" s="192" t="str">
        <f>IF(AND($C30&lt;&gt;"",$V30&lt;&gt;""),(VLOOKUP($C30,'V-LOOKUP'!$C$4:$M$59,9,FALSE)),"0")</f>
        <v>0</v>
      </c>
      <c r="GL30" s="192" t="str">
        <f>IF(AND($C30&lt;&gt;"",$V30&lt;&gt;""),(VLOOKUP($C30,'V-LOOKUP'!$C$4:$M$59,10,FALSE)),"0")</f>
        <v>0</v>
      </c>
      <c r="GM30" s="192" t="str">
        <f>IF(AND($C30&lt;&gt;"",$V30&lt;&gt;""),(VLOOKUP($C30,'V-LOOKUP'!$C$4:$M$59,11,FALSE)),"0")</f>
        <v>0</v>
      </c>
      <c r="GN30" s="192" t="str">
        <f>IF(AND($C30&lt;&gt;"",$V30&lt;&gt;""),(VLOOKUP($C30,'V-LOOKUP'!$C$4:$N$59,12,FALSE)),"0")</f>
        <v>0</v>
      </c>
      <c r="GO30" s="192" t="str">
        <f>IF(AND($C30&lt;&gt;"",W30&lt;&gt;""),(VLOOKUP($C30,'V-LOOKUP'!$C$4:$M$59,4,FALSE)),"0")</f>
        <v>0</v>
      </c>
      <c r="GP30" s="192" t="str">
        <f>IF(AND($C30&lt;&gt;"",$W30&lt;&gt;""),(VLOOKUP($C30,'V-LOOKUP'!$C$4:$M$59,5,FALSE)),"0")</f>
        <v>0</v>
      </c>
      <c r="GQ30" s="192" t="str">
        <f>IF(AND($C30&lt;&gt;"",$W30&lt;&gt;""),(VLOOKUP($C30,'V-LOOKUP'!$C$4:$M$59,6,FALSE)),"0")</f>
        <v>0</v>
      </c>
      <c r="GR30" s="192" t="str">
        <f>IF(AND($C30&lt;&gt;"",$W30&lt;&gt;""),(VLOOKUP($C30,'V-LOOKUP'!$C$4:$M$59,7,FALSE)),"0")</f>
        <v>0</v>
      </c>
      <c r="GS30" s="192" t="str">
        <f>IF(AND($C30&lt;&gt;"",$W30&lt;&gt;""),(VLOOKUP($C30,'V-LOOKUP'!$C$4:$M$59,8,FALSE)),"0")</f>
        <v>0</v>
      </c>
      <c r="GT30" s="192" t="str">
        <f>IF(AND($C30&lt;&gt;"",$W30&lt;&gt;""),(VLOOKUP($C30,'V-LOOKUP'!$C$4:$M$59,9,FALSE)),"0")</f>
        <v>0</v>
      </c>
      <c r="GU30" s="192" t="str">
        <f>IF(AND($C30&lt;&gt;"",$W30&lt;&gt;""),(VLOOKUP($C30,'V-LOOKUP'!$C$4:$M$59,10,FALSE)),"0")</f>
        <v>0</v>
      </c>
      <c r="GV30" s="192" t="str">
        <f>IF(AND($C30&lt;&gt;"",$W30&lt;&gt;""),(VLOOKUP($C30,'V-LOOKUP'!$C$4:$M$59,11,FALSE)),"0")</f>
        <v>0</v>
      </c>
      <c r="GW30" s="192" t="str">
        <f>IF(AND($C30&lt;&gt;"",$W30&lt;&gt;""),(VLOOKUP($C30,'V-LOOKUP'!$C$4:$N$59,12,FALSE)),"0")</f>
        <v>0</v>
      </c>
    </row>
    <row r="31" spans="1:205" ht="14.65" hidden="1" customHeight="1">
      <c r="A31" s="193"/>
      <c r="B31" s="245"/>
      <c r="C31" s="201"/>
      <c r="D31" s="202"/>
      <c r="E31" s="202"/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Y31" s="190"/>
      <c r="Z31" s="192" t="str">
        <f>IF(AND($C31&lt;&gt;"",$D31&lt;&gt;""),(VLOOKUP($C31,'V-LOOKUP'!$C$4:$M$59,4,FALSE)),"0")</f>
        <v>0</v>
      </c>
      <c r="AA31" s="192" t="str">
        <f>IF(AND($C31&lt;&gt;"",$D31&lt;&gt;""),(VLOOKUP($C31,'V-LOOKUP'!$C$4:$M$59,5,FALSE)),"0")</f>
        <v>0</v>
      </c>
      <c r="AB31" s="192" t="str">
        <f>IF(AND($C31&lt;&gt;"",$D31&lt;&gt;""),(VLOOKUP($C31,'V-LOOKUP'!$C$4:$M$59,6,FALSE)),"0")</f>
        <v>0</v>
      </c>
      <c r="AC31" s="192" t="str">
        <f>IF(AND($C31&lt;&gt;"",$D31&lt;&gt;""),(VLOOKUP($C31,'V-LOOKUP'!$C$4:$M$59,7,FALSE)),"0")</f>
        <v>0</v>
      </c>
      <c r="AD31" s="192" t="str">
        <f>IF(AND($C31&lt;&gt;"",$D31&lt;&gt;""),(VLOOKUP($C31,'V-LOOKUP'!$C$4:$M$59,8,FALSE)),"0")</f>
        <v>0</v>
      </c>
      <c r="AE31" s="192" t="str">
        <f>IF(AND($C31&lt;&gt;"",$D31&lt;&gt;""),(VLOOKUP($C31,'V-LOOKUP'!$C$4:$M$59,9,FALSE)),"0")</f>
        <v>0</v>
      </c>
      <c r="AF31" s="192" t="str">
        <f>IF(AND($C31&lt;&gt;"",$D31&lt;&gt;""),(VLOOKUP($C31,'V-LOOKUP'!$C$4:$M$59,10,FALSE)),"0")</f>
        <v>0</v>
      </c>
      <c r="AG31" s="192" t="str">
        <f>IF(AND($C31&lt;&gt;"",$D31&lt;&gt;""),(VLOOKUP($C31,'V-LOOKUP'!$C$4:$M$59,11,FALSE)),"0")</f>
        <v>0</v>
      </c>
      <c r="AH31" s="192" t="str">
        <f>IF(AND($C31&lt;&gt;"",$D31&lt;&gt;""),(VLOOKUP($C31,'V-LOOKUP'!$C$4:$N$59,12,FALSE)),"0")</f>
        <v>0</v>
      </c>
      <c r="AI31" s="192" t="str">
        <f>IF(AND($C31&lt;&gt;"",E31&lt;&gt;""),(VLOOKUP($C31,'V-LOOKUP'!$C$4:$M$59,4,FALSE)),"0")</f>
        <v>0</v>
      </c>
      <c r="AJ31" s="192" t="str">
        <f>IF(AND($C31&lt;&gt;"",$E31&lt;&gt;""),(VLOOKUP($C31,'V-LOOKUP'!$C$4:$M$59,5,FALSE)),"0")</f>
        <v>0</v>
      </c>
      <c r="AK31" s="192" t="str">
        <f>IF(AND($C31&lt;&gt;"",$E31&lt;&gt;""),(VLOOKUP($C31,'V-LOOKUP'!$C$4:$M$59,6,FALSE)),"0")</f>
        <v>0</v>
      </c>
      <c r="AL31" s="192" t="str">
        <f>IF(AND($C31&lt;&gt;"",$E31&lt;&gt;""),(VLOOKUP($C31,'V-LOOKUP'!$C$4:$M$59,7,FALSE)),"0")</f>
        <v>0</v>
      </c>
      <c r="AM31" s="192" t="str">
        <f>IF(AND($C31&lt;&gt;"",$E31&lt;&gt;""),(VLOOKUP($C31,'V-LOOKUP'!$C$4:$M$59,8,FALSE)),"0")</f>
        <v>0</v>
      </c>
      <c r="AN31" s="192" t="str">
        <f>IF(AND($C31&lt;&gt;"",$E31&lt;&gt;""),(VLOOKUP($C31,'V-LOOKUP'!$C$4:$M$59,9,FALSE)),"0")</f>
        <v>0</v>
      </c>
      <c r="AO31" s="192" t="str">
        <f>IF(AND($C31&lt;&gt;"",$E31&lt;&gt;""),(VLOOKUP($C31,'V-LOOKUP'!$C$4:$M$59,10,FALSE)),"0")</f>
        <v>0</v>
      </c>
      <c r="AP31" s="192" t="str">
        <f>IF(AND($C31&lt;&gt;"",$E31&lt;&gt;""),(VLOOKUP($C31,'V-LOOKUP'!$C$4:$M$59,11,FALSE)),"0")</f>
        <v>0</v>
      </c>
      <c r="AQ31" s="192" t="str">
        <f>IF(AND($C31&lt;&gt;"",$E31&lt;&gt;""),(VLOOKUP($C31,'V-LOOKUP'!$C$4:$N$59,12,FALSE)),"0")</f>
        <v>0</v>
      </c>
      <c r="AR31" s="192" t="str">
        <f>IF(AND($C31&lt;&gt;"",$F31&lt;&gt;""),(VLOOKUP($C31,'V-LOOKUP'!$C$4:$M$59,4,FALSE)),"0")</f>
        <v>0</v>
      </c>
      <c r="AS31" s="192" t="str">
        <f>IF(AND($C31&lt;&gt;"",$F31&lt;&gt;""),(VLOOKUP($C31,'V-LOOKUP'!$C$4:$M$59,5,FALSE)),"0")</f>
        <v>0</v>
      </c>
      <c r="AT31" s="192" t="str">
        <f>IF(AND($C31&lt;&gt;"",$F31&lt;&gt;""),(VLOOKUP($C31,'V-LOOKUP'!$C$4:$M$59,6,FALSE)),"0")</f>
        <v>0</v>
      </c>
      <c r="AU31" s="192" t="str">
        <f>IF(AND($C31&lt;&gt;"",$F31&lt;&gt;""),(VLOOKUP($C31,'V-LOOKUP'!$C$4:$M$59,7,FALSE)),"0")</f>
        <v>0</v>
      </c>
      <c r="AV31" s="192" t="str">
        <f>IF(AND($C31&lt;&gt;"",$F31&lt;&gt;""),(VLOOKUP($C31,'V-LOOKUP'!$C$4:$M$59,8,FALSE)),"0")</f>
        <v>0</v>
      </c>
      <c r="AW31" s="192" t="str">
        <f>IF(AND($C31&lt;&gt;"",$F31&lt;&gt;""),(VLOOKUP($C31,'V-LOOKUP'!$C$4:$M$59,9,FALSE)),"0")</f>
        <v>0</v>
      </c>
      <c r="AX31" s="192" t="str">
        <f>IF(AND($C31&lt;&gt;"",$F31&lt;&gt;""),(VLOOKUP($C31,'V-LOOKUP'!$C$4:$M$59,10,FALSE)),"0")</f>
        <v>0</v>
      </c>
      <c r="AY31" s="192" t="str">
        <f>IF(AND($C31&lt;&gt;"",$F31&lt;&gt;""),(VLOOKUP($C31,'V-LOOKUP'!$C$4:$M$59,11,FALSE)),"0")</f>
        <v>0</v>
      </c>
      <c r="AZ31" s="192" t="str">
        <f>IF(AND($C31&lt;&gt;"",$F31&lt;&gt;""),(VLOOKUP($C31,'V-LOOKUP'!$C$4:$N$59,12,FALSE)),"0")</f>
        <v>0</v>
      </c>
      <c r="BA31" s="192" t="str">
        <f>IF(AND($C31&lt;&gt;"",G31&lt;&gt;""),(VLOOKUP($C31,'V-LOOKUP'!$C$4:$M$59,4,FALSE)),"0")</f>
        <v>0</v>
      </c>
      <c r="BB31" s="192" t="str">
        <f>IF(AND($C31&lt;&gt;"",$G31&lt;&gt;""),(VLOOKUP($C31,'V-LOOKUP'!$C$4:$M$59,5,FALSE)),"0")</f>
        <v>0</v>
      </c>
      <c r="BC31" s="192" t="str">
        <f>IF(AND($C31&lt;&gt;"",$G31&lt;&gt;""),(VLOOKUP($C31,'V-LOOKUP'!$C$4:$M$59,6,FALSE)),"0")</f>
        <v>0</v>
      </c>
      <c r="BD31" s="192" t="str">
        <f>IF(AND($C31&lt;&gt;"",$G31&lt;&gt;""),(VLOOKUP($C31,'V-LOOKUP'!$C$4:$M$59,7,FALSE)),"0")</f>
        <v>0</v>
      </c>
      <c r="BE31" s="192" t="str">
        <f>IF(AND($C31&lt;&gt;"",$G31&lt;&gt;""),(VLOOKUP($C31,'V-LOOKUP'!$C$4:$M$59,8,FALSE)),"0")</f>
        <v>0</v>
      </c>
      <c r="BF31" s="192" t="str">
        <f>IF(AND($C31&lt;&gt;"",$G31&lt;&gt;""),(VLOOKUP($C31,'V-LOOKUP'!$C$4:$M$59,9,FALSE)),"0")</f>
        <v>0</v>
      </c>
      <c r="BG31" s="192" t="str">
        <f>IF(AND($C31&lt;&gt;"",$G31&lt;&gt;""),(VLOOKUP($C31,'V-LOOKUP'!$C$4:$M$59,10,FALSE)),"0")</f>
        <v>0</v>
      </c>
      <c r="BH31" s="192" t="str">
        <f>IF(AND($C31&lt;&gt;"",$G31&lt;&gt;""),(VLOOKUP($C31,'V-LOOKUP'!$C$4:$M$59,11,FALSE)),"0")</f>
        <v>0</v>
      </c>
      <c r="BI31" s="192" t="str">
        <f>IF(AND($C31&lt;&gt;"",$G31&lt;&gt;""),(VLOOKUP($C31,'V-LOOKUP'!$C$4:$N$59,12,FALSE)),"0")</f>
        <v>0</v>
      </c>
      <c r="BJ31" s="192" t="str">
        <f>IF(AND($C31&lt;&gt;"",H31&lt;&gt;""),(VLOOKUP($C31,'V-LOOKUP'!$C$4:$M$59,4,FALSE)),"0")</f>
        <v>0</v>
      </c>
      <c r="BK31" s="192" t="str">
        <f>IF(AND($C31&lt;&gt;"",$G31&lt;&gt;""),(VLOOKUP($C31,'V-LOOKUP'!$C$4:$M$59,5,FALSE)),"0")</f>
        <v>0</v>
      </c>
      <c r="BL31" s="192" t="str">
        <f>IF(AND($C31&lt;&gt;"",$H31&lt;&gt;""),(VLOOKUP($C31,'V-LOOKUP'!$C$4:$M$59,6,FALSE)),"0")</f>
        <v>0</v>
      </c>
      <c r="BM31" s="192" t="str">
        <f>IF(AND($C31&lt;&gt;"",$H31&lt;&gt;""),(VLOOKUP($C31,'V-LOOKUP'!$C$4:$M$59,7,FALSE)),"0")</f>
        <v>0</v>
      </c>
      <c r="BN31" s="192" t="str">
        <f>IF(AND($C31&lt;&gt;"",$H31&lt;&gt;""),(VLOOKUP($C31,'V-LOOKUP'!$C$4:$M$59,8,FALSE)),"0")</f>
        <v>0</v>
      </c>
      <c r="BO31" s="192" t="str">
        <f>IF(AND($C31&lt;&gt;"",$H31&lt;&gt;""),(VLOOKUP($C31,'V-LOOKUP'!$C$4:$M$59,9,FALSE)),"0")</f>
        <v>0</v>
      </c>
      <c r="BP31" s="192" t="str">
        <f>IF(AND($C31&lt;&gt;"",$H31&lt;&gt;""),(VLOOKUP($C31,'V-LOOKUP'!$C$4:$M$59,10,FALSE)),"0")</f>
        <v>0</v>
      </c>
      <c r="BQ31" s="192" t="str">
        <f>IF(AND($C31&lt;&gt;"",$H31&lt;&gt;""),(VLOOKUP($C31,'V-LOOKUP'!$C$4:$M$59,11,FALSE)),"0")</f>
        <v>0</v>
      </c>
      <c r="BR31" s="192" t="str">
        <f>IF(AND($C31&lt;&gt;"",$H31&lt;&gt;""),(VLOOKUP($C31,'V-LOOKUP'!$C$4:$N$59,12,FALSE)),"0")</f>
        <v>0</v>
      </c>
      <c r="BS31" s="192" t="str">
        <f>IF(AND($C31&lt;&gt;"",I31&lt;&gt;""),(VLOOKUP($C31,'V-LOOKUP'!$C$4:$M$59,4,FALSE)),"0")</f>
        <v>0</v>
      </c>
      <c r="BT31" s="192" t="str">
        <f>IF(AND($C31&lt;&gt;"",$I31&lt;&gt;""),(VLOOKUP($C31,'V-LOOKUP'!$C$4:$M$59,5,FALSE)),"0")</f>
        <v>0</v>
      </c>
      <c r="BU31" s="192" t="str">
        <f>IF(AND($C31&lt;&gt;"",$I31&lt;&gt;""),(VLOOKUP($C31,'V-LOOKUP'!$C$4:$M$59,6,FALSE)),"0")</f>
        <v>0</v>
      </c>
      <c r="BV31" s="192" t="str">
        <f>IF(AND($C31&lt;&gt;"",$I31&lt;&gt;""),(VLOOKUP($C31,'V-LOOKUP'!$C$4:$M$59,7,FALSE)),"0")</f>
        <v>0</v>
      </c>
      <c r="BW31" s="192" t="str">
        <f>IF(AND($C31&lt;&gt;"",$I31&lt;&gt;""),(VLOOKUP($C31,'V-LOOKUP'!$C$4:$M$59,8,FALSE)),"0")</f>
        <v>0</v>
      </c>
      <c r="BX31" s="192" t="str">
        <f>IF(AND($C31&lt;&gt;"",$I31&lt;&gt;""),(VLOOKUP($C31,'V-LOOKUP'!$C$4:$M$59,9,FALSE)),"0")</f>
        <v>0</v>
      </c>
      <c r="BY31" s="192" t="str">
        <f>IF(AND($C31&lt;&gt;"",$I31&lt;&gt;""),(VLOOKUP($C31,'V-LOOKUP'!$C$4:$M$59,10,FALSE)),"0")</f>
        <v>0</v>
      </c>
      <c r="BZ31" s="192" t="str">
        <f>IF(AND($C31&lt;&gt;"",$I31&lt;&gt;""),(VLOOKUP($C31,'V-LOOKUP'!$C$4:$M$59,11,FALSE)),"0")</f>
        <v>0</v>
      </c>
      <c r="CA31" s="192" t="str">
        <f>IF(AND($C31&lt;&gt;"",$I31&lt;&gt;""),(VLOOKUP($C31,'V-LOOKUP'!$C$4:$N$59,12,FALSE)),"0")</f>
        <v>0</v>
      </c>
      <c r="CB31" s="192" t="str">
        <f>IF(AND($C31&lt;&gt;"",J31&lt;&gt;""),(VLOOKUP($C31,'V-LOOKUP'!$C$4:$M$59,4,FALSE)),"0")</f>
        <v>0</v>
      </c>
      <c r="CC31" s="192" t="str">
        <f>IF(AND($C31&lt;&gt;"",$J31&lt;&gt;""),(VLOOKUP($C31,'V-LOOKUP'!$C$4:$M$59,5,FALSE)),"0")</f>
        <v>0</v>
      </c>
      <c r="CD31" s="192" t="str">
        <f>IF(AND($C31&lt;&gt;"",$J31&lt;&gt;""),(VLOOKUP($C31,'V-LOOKUP'!$C$4:$M$59,6,FALSE)),"0")</f>
        <v>0</v>
      </c>
      <c r="CE31" s="192" t="str">
        <f>IF(AND($C31&lt;&gt;"",$J31&lt;&gt;""),(VLOOKUP($C31,'V-LOOKUP'!$C$4:$M$59,7,FALSE)),"0")</f>
        <v>0</v>
      </c>
      <c r="CF31" s="192" t="str">
        <f>IF(AND($C31&lt;&gt;"",$J31&lt;&gt;""),(VLOOKUP($C31,'V-LOOKUP'!$C$4:$M$59,8,FALSE)),"0")</f>
        <v>0</v>
      </c>
      <c r="CG31" s="192" t="str">
        <f>IF(AND($C31&lt;&gt;"",$J31&lt;&gt;""),(VLOOKUP($C31,'V-LOOKUP'!$C$4:$M$59,9,FALSE)),"0")</f>
        <v>0</v>
      </c>
      <c r="CH31" s="192" t="str">
        <f>IF(AND($C31&lt;&gt;"",$J31&lt;&gt;""),(VLOOKUP($C31,'V-LOOKUP'!$C$4:$M$59,10,FALSE)),"0")</f>
        <v>0</v>
      </c>
      <c r="CI31" s="192" t="str">
        <f>IF(AND($C31&lt;&gt;"",$J31&lt;&gt;""),(VLOOKUP($C31,'V-LOOKUP'!$C$4:$M$59,11,FALSE)),"0")</f>
        <v>0</v>
      </c>
      <c r="CJ31" s="192" t="str">
        <f>IF(AND($C31&lt;&gt;"",$J31&lt;&gt;""),(VLOOKUP($C31,'V-LOOKUP'!$C$4:$N$59,12,FALSE)),"0")</f>
        <v>0</v>
      </c>
      <c r="CK31" s="192" t="str">
        <f>IF(AND($C31&lt;&gt;"",K31&lt;&gt;""),(VLOOKUP($C31,'V-LOOKUP'!$C$4:$M$59,4,FALSE)),"0")</f>
        <v>0</v>
      </c>
      <c r="CL31" s="192" t="str">
        <f>IF(AND($C31&lt;&gt;"",$K31&lt;&gt;""),(VLOOKUP($C31,'V-LOOKUP'!$C$4:$M$59,5,FALSE)),"0")</f>
        <v>0</v>
      </c>
      <c r="CM31" s="192" t="str">
        <f>IF(AND($C31&lt;&gt;"",$K31&lt;&gt;""),(VLOOKUP($C31,'V-LOOKUP'!$C$4:$M$59,6,FALSE)),"0")</f>
        <v>0</v>
      </c>
      <c r="CN31" s="192" t="str">
        <f>IF(AND($C31&lt;&gt;"",$K31&lt;&gt;""),(VLOOKUP($C31,'V-LOOKUP'!$C$4:$M$59,7,FALSE)),"0")</f>
        <v>0</v>
      </c>
      <c r="CO31" s="192" t="str">
        <f>IF(AND($C31&lt;&gt;"",$K31&lt;&gt;""),(VLOOKUP($C31,'V-LOOKUP'!$C$4:$M$59,8,FALSE)),"0")</f>
        <v>0</v>
      </c>
      <c r="CP31" s="192" t="str">
        <f>IF(AND($C31&lt;&gt;"",$K31&lt;&gt;""),(VLOOKUP($C31,'V-LOOKUP'!$C$4:$M$59,9,FALSE)),"0")</f>
        <v>0</v>
      </c>
      <c r="CQ31" s="192" t="str">
        <f>IF(AND($C31&lt;&gt;"",$K31&lt;&gt;""),(VLOOKUP($C31,'V-LOOKUP'!$C$4:$M$59,10,FALSE)),"0")</f>
        <v>0</v>
      </c>
      <c r="CR31" s="192" t="str">
        <f>IF(AND($C31&lt;&gt;"",$K31&lt;&gt;""),(VLOOKUP($C31,'V-LOOKUP'!$C$4:$M$59,11,FALSE)),"0")</f>
        <v>0</v>
      </c>
      <c r="CS31" s="192" t="str">
        <f>IF(AND($C31&lt;&gt;"",$K31&lt;&gt;""),(VLOOKUP($C31,'V-LOOKUP'!$C$4:$N$59,12,FALSE)),"0")</f>
        <v>0</v>
      </c>
      <c r="CT31" s="192" t="str">
        <f>IF(AND($C31&lt;&gt;"",L31&lt;&gt;""),(VLOOKUP($C31,'V-LOOKUP'!$C$4:$M$59,4,FALSE)),"0")</f>
        <v>0</v>
      </c>
      <c r="CU31" s="192" t="str">
        <f>IF(AND($C31&lt;&gt;"",$L31&lt;&gt;""),(VLOOKUP($C31,'V-LOOKUP'!$C$4:$M$59,5,FALSE)),"0")</f>
        <v>0</v>
      </c>
      <c r="CV31" s="192" t="str">
        <f>IF(AND($C31&lt;&gt;"",$L31&lt;&gt;""),(VLOOKUP($C31,'V-LOOKUP'!$C$4:$M$59,6,FALSE)),"0")</f>
        <v>0</v>
      </c>
      <c r="CW31" s="192" t="str">
        <f>IF(AND($C31&lt;&gt;"",$L31&lt;&gt;""),(VLOOKUP($C31,'V-LOOKUP'!$C$4:$M$59,7,FALSE)),"0")</f>
        <v>0</v>
      </c>
      <c r="CX31" s="192" t="str">
        <f>IF(AND($C31&lt;&gt;"",$L31&lt;&gt;""),(VLOOKUP($C31,'V-LOOKUP'!$C$4:$M$59,8,FALSE)),"0")</f>
        <v>0</v>
      </c>
      <c r="CY31" s="192" t="str">
        <f>IF(AND($C31&lt;&gt;"",$L31&lt;&gt;""),(VLOOKUP($C31,'V-LOOKUP'!$C$4:$M$59,9,FALSE)),"0")</f>
        <v>0</v>
      </c>
      <c r="CZ31" s="192" t="str">
        <f>IF(AND($C31&lt;&gt;"",$L31&lt;&gt;""),(VLOOKUP($C31,'V-LOOKUP'!$C$4:$M$59,10,FALSE)),"0")</f>
        <v>0</v>
      </c>
      <c r="DA31" s="192" t="str">
        <f>IF(AND($C31&lt;&gt;"",$L31&lt;&gt;""),(VLOOKUP($C31,'V-LOOKUP'!$C$4:$M$59,11,FALSE)),"0")</f>
        <v>0</v>
      </c>
      <c r="DB31" s="192" t="str">
        <f>IF(AND($C31&lt;&gt;"",$L31&lt;&gt;""),(VLOOKUP($C31,'V-LOOKUP'!$C$4:$N$59,12,FALSE)),"0")</f>
        <v>0</v>
      </c>
      <c r="DC31" s="192" t="str">
        <f>IF(AND($C31&lt;&gt;"",M31&lt;&gt;""),(VLOOKUP($C31,'V-LOOKUP'!$C$4:$M$59,4,FALSE)),"0")</f>
        <v>0</v>
      </c>
      <c r="DD31" s="192" t="str">
        <f>IF(AND($C31&lt;&gt;"",$M31&lt;&gt;""),(VLOOKUP($C31,'V-LOOKUP'!$C$4:$M$59,5,FALSE)),"0")</f>
        <v>0</v>
      </c>
      <c r="DE31" s="192" t="str">
        <f>IF(AND($C31&lt;&gt;"",$M31&lt;&gt;""),(VLOOKUP($C31,'V-LOOKUP'!$C$4:$M$59,6,FALSE)),"0")</f>
        <v>0</v>
      </c>
      <c r="DF31" s="192" t="str">
        <f>IF(AND($C31&lt;&gt;"",$M31&lt;&gt;""),(VLOOKUP($C31,'V-LOOKUP'!$C$4:$M$59,7,FALSE)),"0")</f>
        <v>0</v>
      </c>
      <c r="DG31" s="192" t="str">
        <f>IF(AND($C31&lt;&gt;"",$M31&lt;&gt;""),(VLOOKUP($C31,'V-LOOKUP'!$C$4:$M$59,8,FALSE)),"0")</f>
        <v>0</v>
      </c>
      <c r="DH31" s="192" t="str">
        <f>IF(AND($C31&lt;&gt;"",$M31&lt;&gt;""),(VLOOKUP($C31,'V-LOOKUP'!$C$4:$M$59,9,FALSE)),"0")</f>
        <v>0</v>
      </c>
      <c r="DI31" s="192" t="str">
        <f>IF(AND($C31&lt;&gt;"",$M31&lt;&gt;""),(VLOOKUP($C31,'V-LOOKUP'!$C$4:$M$59,10,FALSE)),"0")</f>
        <v>0</v>
      </c>
      <c r="DJ31" s="192" t="str">
        <f>IF(AND($C31&lt;&gt;"",$M31&lt;&gt;""),(VLOOKUP($C31,'V-LOOKUP'!$C$4:$M$59,11,FALSE)),"0")</f>
        <v>0</v>
      </c>
      <c r="DK31" s="192" t="str">
        <f>IF(AND($C31&lt;&gt;"",$M31&lt;&gt;""),(VLOOKUP($C31,'V-LOOKUP'!$C$4:$N$59,12,FALSE)),"0")</f>
        <v>0</v>
      </c>
      <c r="DL31" s="192" t="str">
        <f>IF(AND($C31&lt;&gt;"",$N31&lt;&gt;""),(VLOOKUP($C31,'V-LOOKUP'!$C$4:$M$59,4,FALSE)),"0")</f>
        <v>0</v>
      </c>
      <c r="DM31" s="192" t="str">
        <f>IF(AND($C31&lt;&gt;"",$N31&lt;&gt;""),(VLOOKUP($C31,'V-LOOKUP'!$C$4:$M$59,5,FALSE)),"0")</f>
        <v>0</v>
      </c>
      <c r="DN31" s="192" t="str">
        <f>IF(AND($C31&lt;&gt;"",$N31&lt;&gt;""),(VLOOKUP($C31,'V-LOOKUP'!$C$4:$M$59,6,FALSE)),"0")</f>
        <v>0</v>
      </c>
      <c r="DO31" s="192" t="str">
        <f>IF(AND($C31&lt;&gt;"",$N31&lt;&gt;""),(VLOOKUP($C31,'V-LOOKUP'!$C$4:$M$59,7,FALSE)),"0")</f>
        <v>0</v>
      </c>
      <c r="DP31" s="192" t="str">
        <f>IF(AND($C31&lt;&gt;"",$N31&lt;&gt;""),(VLOOKUP($C31,'V-LOOKUP'!$C$4:$M$59,8,FALSE)),"0")</f>
        <v>0</v>
      </c>
      <c r="DQ31" s="192" t="str">
        <f>IF(AND($C31&lt;&gt;"",$N31&lt;&gt;""),(VLOOKUP($C31,'V-LOOKUP'!$C$4:$M$59,9,FALSE)),"0")</f>
        <v>0</v>
      </c>
      <c r="DR31" s="192" t="str">
        <f>IF(AND($C31&lt;&gt;"",$N31&lt;&gt;""),(VLOOKUP($C31,'V-LOOKUP'!$C$4:$M$59,10,FALSE)),"0")</f>
        <v>0</v>
      </c>
      <c r="DS31" s="192" t="str">
        <f>IF(AND($C31&lt;&gt;"",$N31&lt;&gt;""),(VLOOKUP($C31,'V-LOOKUP'!$C$4:$M$59,11,FALSE)),"0")</f>
        <v>0</v>
      </c>
      <c r="DT31" s="192" t="str">
        <f>IF(AND($C31&lt;&gt;"",$N31&lt;&gt;""),(VLOOKUP($C31,'V-LOOKUP'!$C$4:$N$59,12,FALSE)),"0")</f>
        <v>0</v>
      </c>
      <c r="DU31" s="192" t="str">
        <f>IF(AND($C31&lt;&gt;"",O31&lt;&gt;""),(VLOOKUP($C31,'V-LOOKUP'!$C$4:$M$59,4,FALSE)),"0")</f>
        <v>0</v>
      </c>
      <c r="DV31" s="192" t="str">
        <f>IF(AND($C31&lt;&gt;"",$O31&lt;&gt;""),(VLOOKUP($C31,'V-LOOKUP'!$C$4:$M$59,5,FALSE)),"0")</f>
        <v>0</v>
      </c>
      <c r="DW31" s="192" t="str">
        <f>IF(AND($C31&lt;&gt;"",$O31&lt;&gt;""),(VLOOKUP($C31,'V-LOOKUP'!$C$4:$M$59,6,FALSE)),"0")</f>
        <v>0</v>
      </c>
      <c r="DX31" s="192" t="str">
        <f>IF(AND($C31&lt;&gt;"",$O31&lt;&gt;""),(VLOOKUP($C31,'V-LOOKUP'!$C$4:$M$59,7,FALSE)),"0")</f>
        <v>0</v>
      </c>
      <c r="DY31" s="192" t="str">
        <f>IF(AND($C31&lt;&gt;"",$O31&lt;&gt;""),(VLOOKUP($C31,'V-LOOKUP'!$C$4:$M$59,8,FALSE)),"0")</f>
        <v>0</v>
      </c>
      <c r="DZ31" s="192" t="str">
        <f>IF(AND($C31&lt;&gt;"",$O31&lt;&gt;""),(VLOOKUP($C31,'V-LOOKUP'!$C$4:$M$59,9,FALSE)),"0")</f>
        <v>0</v>
      </c>
      <c r="EA31" s="192" t="str">
        <f>IF(AND($C31&lt;&gt;"",$O31&lt;&gt;""),(VLOOKUP($C31,'V-LOOKUP'!$C$4:$M$59,10,FALSE)),"0")</f>
        <v>0</v>
      </c>
      <c r="EB31" s="192" t="str">
        <f>IF(AND($C31&lt;&gt;"",$O31&lt;&gt;""),(VLOOKUP($C31,'V-LOOKUP'!$C$4:$M$59,11,FALSE)),"0")</f>
        <v>0</v>
      </c>
      <c r="EC31" s="192" t="str">
        <f>IF(AND($C31&lt;&gt;"",$O31&lt;&gt;""),(VLOOKUP($C31,'V-LOOKUP'!$C$4:$N$59,12,FALSE)),"0")</f>
        <v>0</v>
      </c>
      <c r="ED31" s="192" t="str">
        <f>IF(AND($C31&lt;&gt;"",P31&lt;&gt;""),(VLOOKUP($C31,'V-LOOKUP'!$C$4:$M$59,4,FALSE)),"0")</f>
        <v>0</v>
      </c>
      <c r="EE31" s="192" t="str">
        <f>IF(AND($C31&lt;&gt;"",$P31&lt;&gt;""),(VLOOKUP($C31,'V-LOOKUP'!$C$4:$M$59,5,FALSE)),"0")</f>
        <v>0</v>
      </c>
      <c r="EF31" s="192" t="str">
        <f>IF(AND($C31&lt;&gt;"",$P31&lt;&gt;""),(VLOOKUP($C31,'V-LOOKUP'!$C$4:$M$59,6,FALSE)),"0")</f>
        <v>0</v>
      </c>
      <c r="EG31" s="192" t="str">
        <f>IF(AND($C31&lt;&gt;"",$P31&lt;&gt;""),(VLOOKUP($C31,'V-LOOKUP'!$C$4:$M$59,7,FALSE)),"0")</f>
        <v>0</v>
      </c>
      <c r="EH31" s="192" t="str">
        <f>IF(AND($C31&lt;&gt;"",$P31&lt;&gt;""),(VLOOKUP($C31,'V-LOOKUP'!$C$4:$M$59,8,FALSE)),"0")</f>
        <v>0</v>
      </c>
      <c r="EI31" s="192" t="str">
        <f>IF(AND($C31&lt;&gt;"",$P31&lt;&gt;""),(VLOOKUP($C31,'V-LOOKUP'!$C$4:$M$59,9,FALSE)),"0")</f>
        <v>0</v>
      </c>
      <c r="EJ31" s="192" t="str">
        <f>IF(AND($C31&lt;&gt;"",$P31&lt;&gt;""),(VLOOKUP($C31,'V-LOOKUP'!$C$4:$M$59,10,FALSE)),"0")</f>
        <v>0</v>
      </c>
      <c r="EK31" s="192" t="str">
        <f>IF(AND($C31&lt;&gt;"",$P31&lt;&gt;""),(VLOOKUP($C31,'V-LOOKUP'!$C$4:$M$59,11,FALSE)),"0")</f>
        <v>0</v>
      </c>
      <c r="EL31" s="192" t="str">
        <f>IF(AND($C31&lt;&gt;"",$P31&lt;&gt;""),(VLOOKUP($C31,'V-LOOKUP'!$C$4:$N$59,12,FALSE)),"0")</f>
        <v>0</v>
      </c>
      <c r="EM31" s="192" t="str">
        <f>IF(AND($C31&lt;&gt;"",Q31&lt;&gt;""),(VLOOKUP($C31,'V-LOOKUP'!$C$4:$M$59,4,FALSE)),"0")</f>
        <v>0</v>
      </c>
      <c r="EN31" s="192" t="str">
        <f>IF(AND($C31&lt;&gt;"",$Q31&lt;&gt;""),(VLOOKUP($C31,'V-LOOKUP'!$C$4:$M$59,5,FALSE)),"0")</f>
        <v>0</v>
      </c>
      <c r="EO31" s="192" t="str">
        <f>IF(AND($C31&lt;&gt;"",$Q31&lt;&gt;""),(VLOOKUP($C31,'V-LOOKUP'!$C$4:$M$59,6,FALSE)),"0")</f>
        <v>0</v>
      </c>
      <c r="EP31" s="192" t="str">
        <f>IF(AND($C31&lt;&gt;"",$Q31&lt;&gt;""),(VLOOKUP($C31,'V-LOOKUP'!$C$4:$M$59,7,FALSE)),"0")</f>
        <v>0</v>
      </c>
      <c r="EQ31" s="192" t="str">
        <f>IF(AND($C31&lt;&gt;"",$Q31&lt;&gt;""),(VLOOKUP($C31,'V-LOOKUP'!$C$4:$M$59,8,FALSE)),"0")</f>
        <v>0</v>
      </c>
      <c r="ER31" s="192" t="str">
        <f>IF(AND($C31&lt;&gt;"",$Q31&lt;&gt;""),(VLOOKUP($C31,'V-LOOKUP'!$C$4:$M$59,9,FALSE)),"0")</f>
        <v>0</v>
      </c>
      <c r="ES31" s="192" t="str">
        <f>IF(AND($C31&lt;&gt;"",$Q31&lt;&gt;""),(VLOOKUP($C31,'V-LOOKUP'!$C$4:$M$59,10,FALSE)),"0")</f>
        <v>0</v>
      </c>
      <c r="ET31" s="192" t="str">
        <f>IF(AND($C31&lt;&gt;"",$Q31&lt;&gt;""),(VLOOKUP($C31,'V-LOOKUP'!$C$4:$M$59,11,FALSE)),"0")</f>
        <v>0</v>
      </c>
      <c r="EU31" s="192" t="str">
        <f>IF(AND($C31&lt;&gt;"",$Q31&lt;&gt;""),(VLOOKUP($C31,'V-LOOKUP'!$C$4:$N$59,12,FALSE)),"0")</f>
        <v>0</v>
      </c>
      <c r="EV31" s="192" t="str">
        <f>IF(AND($C31&lt;&gt;"",R31&lt;&gt;""),(VLOOKUP($C31,'V-LOOKUP'!$C$4:$M$59,4,FALSE)),"0")</f>
        <v>0</v>
      </c>
      <c r="EW31" s="192" t="str">
        <f>IF(AND($C31&lt;&gt;"",$R31&lt;&gt;""),(VLOOKUP($C31,'V-LOOKUP'!$C$4:$M$59,5,FALSE)),"0")</f>
        <v>0</v>
      </c>
      <c r="EX31" s="192" t="str">
        <f>IF(AND($C31&lt;&gt;"",$R31&lt;&gt;""),(VLOOKUP($C31,'V-LOOKUP'!$C$4:$M$59,6,FALSE)),"0")</f>
        <v>0</v>
      </c>
      <c r="EY31" s="192" t="str">
        <f>IF(AND($C31&lt;&gt;"",$R31&lt;&gt;""),(VLOOKUP($C31,'V-LOOKUP'!$C$4:$M$59,7,FALSE)),"0")</f>
        <v>0</v>
      </c>
      <c r="EZ31" s="192" t="str">
        <f>IF(AND($C31&lt;&gt;"",$R31&lt;&gt;""),(VLOOKUP($C31,'V-LOOKUP'!$C$4:$M$59,8,FALSE)),"0")</f>
        <v>0</v>
      </c>
      <c r="FA31" s="192" t="str">
        <f>IF(AND($C31&lt;&gt;"",$R31&lt;&gt;""),(VLOOKUP($C31,'V-LOOKUP'!$C$4:$M$59,9,FALSE)),"0")</f>
        <v>0</v>
      </c>
      <c r="FB31" s="192" t="str">
        <f>IF(AND($C31&lt;&gt;"",$R31&lt;&gt;""),(VLOOKUP($C31,'V-LOOKUP'!$C$4:$M$59,10,FALSE)),"0")</f>
        <v>0</v>
      </c>
      <c r="FC31" s="192" t="str">
        <f>IF(AND($C31&lt;&gt;"",$R31&lt;&gt;""),(VLOOKUP($C31,'V-LOOKUP'!$C$4:$M$59,11,FALSE)),"0")</f>
        <v>0</v>
      </c>
      <c r="FD31" s="192" t="str">
        <f>IF(AND($C31&lt;&gt;"",$R31&lt;&gt;""),(VLOOKUP($C31,'V-LOOKUP'!$C$4:$N$59,12,FALSE)),"0")</f>
        <v>0</v>
      </c>
      <c r="FE31" s="192" t="str">
        <f>IF(AND($C31&lt;&gt;"",S31&lt;&gt;""),(VLOOKUP($C31,'V-LOOKUP'!$C$4:$M$59,4,FALSE)),"0")</f>
        <v>0</v>
      </c>
      <c r="FF31" s="192" t="str">
        <f>IF(AND($C31&lt;&gt;"",$S31&lt;&gt;""),(VLOOKUP($C31,'V-LOOKUP'!$C$4:$M$59,5,FALSE)),"0")</f>
        <v>0</v>
      </c>
      <c r="FG31" s="192" t="str">
        <f>IF(AND($C31&lt;&gt;"",$S31&lt;&gt;""),(VLOOKUP($C31,'V-LOOKUP'!$C$4:$M$59,6,FALSE)),"0")</f>
        <v>0</v>
      </c>
      <c r="FH31" s="192" t="str">
        <f>IF(AND($C31&lt;&gt;"",$S31&lt;&gt;""),(VLOOKUP($C31,'V-LOOKUP'!$C$4:$M$59,7,FALSE)),"0")</f>
        <v>0</v>
      </c>
      <c r="FI31" s="192" t="str">
        <f>IF(AND($C31&lt;&gt;"",$S31&lt;&gt;""),(VLOOKUP($C31,'V-LOOKUP'!$C$4:$M$59,8,FALSE)),"0")</f>
        <v>0</v>
      </c>
      <c r="FJ31" s="192" t="str">
        <f>IF(AND($C31&lt;&gt;"",$S31&lt;&gt;""),(VLOOKUP($C31,'V-LOOKUP'!$C$4:$M$59,9,FALSE)),"0")</f>
        <v>0</v>
      </c>
      <c r="FK31" s="192" t="str">
        <f>IF(AND($C31&lt;&gt;"",$S31&lt;&gt;""),(VLOOKUP($C31,'V-LOOKUP'!$C$4:$M$59,10,FALSE)),"0")</f>
        <v>0</v>
      </c>
      <c r="FL31" s="192" t="str">
        <f>IF(AND($C31&lt;&gt;"",$S31&lt;&gt;""),(VLOOKUP($C31,'V-LOOKUP'!$C$4:$M$59,11,FALSE)),"0")</f>
        <v>0</v>
      </c>
      <c r="FM31" s="192" t="str">
        <f>IF(AND($C31&lt;&gt;"",$S31&lt;&gt;""),(VLOOKUP($C31,'V-LOOKUP'!$C$4:$N$59,12,FALSE)),"0")</f>
        <v>0</v>
      </c>
      <c r="FN31" s="192" t="str">
        <f>IF(AND($C31&lt;&gt;"",T31&lt;&gt;""),(VLOOKUP($C31,'V-LOOKUP'!$C$4:$M$59,4,FALSE)),"0")</f>
        <v>0</v>
      </c>
      <c r="FO31" s="192" t="str">
        <f>IF(AND($C31&lt;&gt;"",$T31&lt;&gt;""),(VLOOKUP($C31,'V-LOOKUP'!$C$4:$M$59,5,FALSE)),"0")</f>
        <v>0</v>
      </c>
      <c r="FP31" s="192" t="str">
        <f>IF(AND($C31&lt;&gt;"",$T31&lt;&gt;""),(VLOOKUP($C31,'V-LOOKUP'!$C$4:$M$59,6,FALSE)),"0")</f>
        <v>0</v>
      </c>
      <c r="FQ31" s="192" t="str">
        <f>IF(AND($C31&lt;&gt;"",$T31&lt;&gt;""),(VLOOKUP($C31,'V-LOOKUP'!$C$4:$M$59,7,FALSE)),"0")</f>
        <v>0</v>
      </c>
      <c r="FR31" s="192" t="str">
        <f>IF(AND($C31&lt;&gt;"",$T31&lt;&gt;""),(VLOOKUP($C31,'V-LOOKUP'!$C$4:$M$59,8,FALSE)),"0")</f>
        <v>0</v>
      </c>
      <c r="FS31" s="192" t="str">
        <f>IF(AND($C31&lt;&gt;"",$T31&lt;&gt;""),(VLOOKUP($C31,'V-LOOKUP'!$C$4:$M$59,9,FALSE)),"0")</f>
        <v>0</v>
      </c>
      <c r="FT31" s="192" t="str">
        <f>IF(AND($C31&lt;&gt;"",$T31&lt;&gt;""),(VLOOKUP($C31,'V-LOOKUP'!$C$4:$M$59,10,FALSE)),"0")</f>
        <v>0</v>
      </c>
      <c r="FU31" s="192" t="str">
        <f>IF(AND($C31&lt;&gt;"",$T31&lt;&gt;""),(VLOOKUP($C31,'V-LOOKUP'!$C$4:$M$59,11,FALSE)),"0")</f>
        <v>0</v>
      </c>
      <c r="FV31" s="192" t="str">
        <f>IF(AND($C31&lt;&gt;"",$T31&lt;&gt;""),(VLOOKUP($C31,'V-LOOKUP'!$C$4:$N$59,12,FALSE)),"0")</f>
        <v>0</v>
      </c>
      <c r="FW31" s="192" t="str">
        <f>IF(AND($C31&lt;&gt;"",U31&lt;&gt;""),(VLOOKUP($C31,'V-LOOKUP'!$C$4:$M$59,4,FALSE)),"0")</f>
        <v>0</v>
      </c>
      <c r="FX31" s="192" t="str">
        <f>IF(AND($C31&lt;&gt;"",$U31&lt;&gt;""),(VLOOKUP($C31,'V-LOOKUP'!$C$4:$M$59,5,FALSE)),"0")</f>
        <v>0</v>
      </c>
      <c r="FY31" s="192" t="str">
        <f>IF(AND($C31&lt;&gt;"",$U31&lt;&gt;""),(VLOOKUP($C31,'V-LOOKUP'!$C$4:$M$59,6,FALSE)),"0")</f>
        <v>0</v>
      </c>
      <c r="FZ31" s="192" t="str">
        <f>IF(AND($C31&lt;&gt;"",$U31&lt;&gt;""),(VLOOKUP($C31,'V-LOOKUP'!$C$4:$M$59,7,FALSE)),"0")</f>
        <v>0</v>
      </c>
      <c r="GA31" s="192" t="str">
        <f>IF(AND($C31&lt;&gt;"",$U31&lt;&gt;""),(VLOOKUP($C31,'V-LOOKUP'!$C$4:$M$59,8,FALSE)),"0")</f>
        <v>0</v>
      </c>
      <c r="GB31" s="192" t="str">
        <f>IF(AND($C31&lt;&gt;"",$U31&lt;&gt;""),(VLOOKUP($C31,'V-LOOKUP'!$C$4:$M$59,9,FALSE)),"0")</f>
        <v>0</v>
      </c>
      <c r="GC31" s="192" t="str">
        <f>IF(AND($C31&lt;&gt;"",$U31&lt;&gt;""),(VLOOKUP($C31,'V-LOOKUP'!$C$4:$M$59,10,FALSE)),"0")</f>
        <v>0</v>
      </c>
      <c r="GD31" s="192" t="str">
        <f>IF(AND($C31&lt;&gt;"",$U31&lt;&gt;""),(VLOOKUP($C31,'V-LOOKUP'!$C$4:$M$59,11,FALSE)),"0")</f>
        <v>0</v>
      </c>
      <c r="GE31" s="192" t="str">
        <f>IF(AND($C31&lt;&gt;"",$U31&lt;&gt;""),(VLOOKUP($C31,'V-LOOKUP'!$C$4:$N$59,12,FALSE)),"0")</f>
        <v>0</v>
      </c>
      <c r="GF31" s="192" t="str">
        <f>IF(AND($C31&lt;&gt;"",V31&lt;&gt;""),(VLOOKUP($C31,'V-LOOKUP'!$C$4:$M$59,4,FALSE)),"0")</f>
        <v>0</v>
      </c>
      <c r="GG31" s="192" t="str">
        <f>IF(AND($C31&lt;&gt;"",$V31&lt;&gt;""),(VLOOKUP($C31,'V-LOOKUP'!$C$4:$M$59,5,FALSE)),"0")</f>
        <v>0</v>
      </c>
      <c r="GH31" s="192" t="str">
        <f>IF(AND($C31&lt;&gt;"",$V31&lt;&gt;""),(VLOOKUP($C31,'V-LOOKUP'!$C$4:$M$59,6,FALSE)),"0")</f>
        <v>0</v>
      </c>
      <c r="GI31" s="192" t="str">
        <f>IF(AND($C31&lt;&gt;"",$V31&lt;&gt;""),(VLOOKUP($C31,'V-LOOKUP'!$C$4:$M$59,7,FALSE)),"0")</f>
        <v>0</v>
      </c>
      <c r="GJ31" s="192" t="str">
        <f>IF(AND($C31&lt;&gt;"",$V31&lt;&gt;""),(VLOOKUP($C31,'V-LOOKUP'!$C$4:$M$59,8,FALSE)),"0")</f>
        <v>0</v>
      </c>
      <c r="GK31" s="192" t="str">
        <f>IF(AND($C31&lt;&gt;"",$V31&lt;&gt;""),(VLOOKUP($C31,'V-LOOKUP'!$C$4:$M$59,9,FALSE)),"0")</f>
        <v>0</v>
      </c>
      <c r="GL31" s="192" t="str">
        <f>IF(AND($C31&lt;&gt;"",$V31&lt;&gt;""),(VLOOKUP($C31,'V-LOOKUP'!$C$4:$M$59,10,FALSE)),"0")</f>
        <v>0</v>
      </c>
      <c r="GM31" s="192" t="str">
        <f>IF(AND($C31&lt;&gt;"",$V31&lt;&gt;""),(VLOOKUP($C31,'V-LOOKUP'!$C$4:$M$59,11,FALSE)),"0")</f>
        <v>0</v>
      </c>
      <c r="GN31" s="192" t="str">
        <f>IF(AND($C31&lt;&gt;"",$V31&lt;&gt;""),(VLOOKUP($C31,'V-LOOKUP'!$C$4:$N$59,12,FALSE)),"0")</f>
        <v>0</v>
      </c>
      <c r="GO31" s="192" t="str">
        <f>IF(AND($C31&lt;&gt;"",W31&lt;&gt;""),(VLOOKUP($C31,'V-LOOKUP'!$C$4:$M$59,4,FALSE)),"0")</f>
        <v>0</v>
      </c>
      <c r="GP31" s="192" t="str">
        <f>IF(AND($C31&lt;&gt;"",$W31&lt;&gt;""),(VLOOKUP($C31,'V-LOOKUP'!$C$4:$M$59,5,FALSE)),"0")</f>
        <v>0</v>
      </c>
      <c r="GQ31" s="192" t="str">
        <f>IF(AND($C31&lt;&gt;"",$W31&lt;&gt;""),(VLOOKUP($C31,'V-LOOKUP'!$C$4:$M$59,6,FALSE)),"0")</f>
        <v>0</v>
      </c>
      <c r="GR31" s="192" t="str">
        <f>IF(AND($C31&lt;&gt;"",$W31&lt;&gt;""),(VLOOKUP($C31,'V-LOOKUP'!$C$4:$M$59,7,FALSE)),"0")</f>
        <v>0</v>
      </c>
      <c r="GS31" s="192" t="str">
        <f>IF(AND($C31&lt;&gt;"",$W31&lt;&gt;""),(VLOOKUP($C31,'V-LOOKUP'!$C$4:$M$59,8,FALSE)),"0")</f>
        <v>0</v>
      </c>
      <c r="GT31" s="192" t="str">
        <f>IF(AND($C31&lt;&gt;"",$W31&lt;&gt;""),(VLOOKUP($C31,'V-LOOKUP'!$C$4:$M$59,9,FALSE)),"0")</f>
        <v>0</v>
      </c>
      <c r="GU31" s="192" t="str">
        <f>IF(AND($C31&lt;&gt;"",$W31&lt;&gt;""),(VLOOKUP($C31,'V-LOOKUP'!$C$4:$M$59,10,FALSE)),"0")</f>
        <v>0</v>
      </c>
      <c r="GV31" s="192" t="str">
        <f>IF(AND($C31&lt;&gt;"",$W31&lt;&gt;""),(VLOOKUP($C31,'V-LOOKUP'!$C$4:$M$59,11,FALSE)),"0")</f>
        <v>0</v>
      </c>
      <c r="GW31" s="192" t="str">
        <f>IF(AND($C31&lt;&gt;"",$W31&lt;&gt;""),(VLOOKUP($C31,'V-LOOKUP'!$C$4:$N$59,12,FALSE)),"0")</f>
        <v>0</v>
      </c>
    </row>
    <row r="32" spans="1:205" ht="14.65" hidden="1" customHeight="1">
      <c r="A32" s="193"/>
      <c r="B32" s="245"/>
      <c r="C32" s="201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Y32" s="190"/>
      <c r="Z32" s="192" t="str">
        <f>IF(AND($C32&lt;&gt;"",$D32&lt;&gt;""),(VLOOKUP($C32,'V-LOOKUP'!$C$4:$M$59,4,FALSE)),"0")</f>
        <v>0</v>
      </c>
      <c r="AA32" s="192" t="str">
        <f>IF(AND($C32&lt;&gt;"",$D32&lt;&gt;""),(VLOOKUP($C32,'V-LOOKUP'!$C$4:$M$59,5,FALSE)),"0")</f>
        <v>0</v>
      </c>
      <c r="AB32" s="192" t="str">
        <f>IF(AND($C32&lt;&gt;"",$D32&lt;&gt;""),(VLOOKUP($C32,'V-LOOKUP'!$C$4:$M$59,6,FALSE)),"0")</f>
        <v>0</v>
      </c>
      <c r="AC32" s="192" t="str">
        <f>IF(AND($C32&lt;&gt;"",$D32&lt;&gt;""),(VLOOKUP($C32,'V-LOOKUP'!$C$4:$M$59,7,FALSE)),"0")</f>
        <v>0</v>
      </c>
      <c r="AD32" s="192" t="str">
        <f>IF(AND($C32&lt;&gt;"",$D32&lt;&gt;""),(VLOOKUP($C32,'V-LOOKUP'!$C$4:$M$59,8,FALSE)),"0")</f>
        <v>0</v>
      </c>
      <c r="AE32" s="192" t="str">
        <f>IF(AND($C32&lt;&gt;"",$D32&lt;&gt;""),(VLOOKUP($C32,'V-LOOKUP'!$C$4:$M$59,9,FALSE)),"0")</f>
        <v>0</v>
      </c>
      <c r="AF32" s="192" t="str">
        <f>IF(AND($C32&lt;&gt;"",$D32&lt;&gt;""),(VLOOKUP($C32,'V-LOOKUP'!$C$4:$M$59,10,FALSE)),"0")</f>
        <v>0</v>
      </c>
      <c r="AG32" s="192" t="str">
        <f>IF(AND($C32&lt;&gt;"",$D32&lt;&gt;""),(VLOOKUP($C32,'V-LOOKUP'!$C$4:$M$59,11,FALSE)),"0")</f>
        <v>0</v>
      </c>
      <c r="AH32" s="192" t="str">
        <f>IF(AND($C32&lt;&gt;"",$D32&lt;&gt;""),(VLOOKUP($C32,'V-LOOKUP'!$C$4:$N$59,12,FALSE)),"0")</f>
        <v>0</v>
      </c>
      <c r="AI32" s="192" t="str">
        <f>IF(AND($C32&lt;&gt;"",E32&lt;&gt;""),(VLOOKUP($C32,'V-LOOKUP'!$C$4:$M$59,4,FALSE)),"0")</f>
        <v>0</v>
      </c>
      <c r="AJ32" s="192" t="str">
        <f>IF(AND($C32&lt;&gt;"",$E32&lt;&gt;""),(VLOOKUP($C32,'V-LOOKUP'!$C$4:$M$59,5,FALSE)),"0")</f>
        <v>0</v>
      </c>
      <c r="AK32" s="192" t="str">
        <f>IF(AND($C32&lt;&gt;"",$E32&lt;&gt;""),(VLOOKUP($C32,'V-LOOKUP'!$C$4:$M$59,6,FALSE)),"0")</f>
        <v>0</v>
      </c>
      <c r="AL32" s="192" t="str">
        <f>IF(AND($C32&lt;&gt;"",$E32&lt;&gt;""),(VLOOKUP($C32,'V-LOOKUP'!$C$4:$M$59,7,FALSE)),"0")</f>
        <v>0</v>
      </c>
      <c r="AM32" s="192" t="str">
        <f>IF(AND($C32&lt;&gt;"",$E32&lt;&gt;""),(VLOOKUP($C32,'V-LOOKUP'!$C$4:$M$59,8,FALSE)),"0")</f>
        <v>0</v>
      </c>
      <c r="AN32" s="192" t="str">
        <f>IF(AND($C32&lt;&gt;"",$E32&lt;&gt;""),(VLOOKUP($C32,'V-LOOKUP'!$C$4:$M$59,9,FALSE)),"0")</f>
        <v>0</v>
      </c>
      <c r="AO32" s="192" t="str">
        <f>IF(AND($C32&lt;&gt;"",$E32&lt;&gt;""),(VLOOKUP($C32,'V-LOOKUP'!$C$4:$M$59,10,FALSE)),"0")</f>
        <v>0</v>
      </c>
      <c r="AP32" s="192" t="str">
        <f>IF(AND($C32&lt;&gt;"",$E32&lt;&gt;""),(VLOOKUP($C32,'V-LOOKUP'!$C$4:$M$59,11,FALSE)),"0")</f>
        <v>0</v>
      </c>
      <c r="AQ32" s="192" t="str">
        <f>IF(AND($C32&lt;&gt;"",$E32&lt;&gt;""),(VLOOKUP($C32,'V-LOOKUP'!$C$4:$N$59,12,FALSE)),"0")</f>
        <v>0</v>
      </c>
      <c r="AR32" s="192" t="str">
        <f>IF(AND($C32&lt;&gt;"",$F32&lt;&gt;""),(VLOOKUP($C32,'V-LOOKUP'!$C$4:$M$59,4,FALSE)),"0")</f>
        <v>0</v>
      </c>
      <c r="AS32" s="192" t="str">
        <f>IF(AND($C32&lt;&gt;"",$F32&lt;&gt;""),(VLOOKUP($C32,'V-LOOKUP'!$C$4:$M$59,5,FALSE)),"0")</f>
        <v>0</v>
      </c>
      <c r="AT32" s="192" t="str">
        <f>IF(AND($C32&lt;&gt;"",$F32&lt;&gt;""),(VLOOKUP($C32,'V-LOOKUP'!$C$4:$M$59,6,FALSE)),"0")</f>
        <v>0</v>
      </c>
      <c r="AU32" s="192" t="str">
        <f>IF(AND($C32&lt;&gt;"",$F32&lt;&gt;""),(VLOOKUP($C32,'V-LOOKUP'!$C$4:$M$59,7,FALSE)),"0")</f>
        <v>0</v>
      </c>
      <c r="AV32" s="192" t="str">
        <f>IF(AND($C32&lt;&gt;"",$F32&lt;&gt;""),(VLOOKUP($C32,'V-LOOKUP'!$C$4:$M$59,8,FALSE)),"0")</f>
        <v>0</v>
      </c>
      <c r="AW32" s="192" t="str">
        <f>IF(AND($C32&lt;&gt;"",$F32&lt;&gt;""),(VLOOKUP($C32,'V-LOOKUP'!$C$4:$M$59,9,FALSE)),"0")</f>
        <v>0</v>
      </c>
      <c r="AX32" s="192" t="str">
        <f>IF(AND($C32&lt;&gt;"",$F32&lt;&gt;""),(VLOOKUP($C32,'V-LOOKUP'!$C$4:$M$59,10,FALSE)),"0")</f>
        <v>0</v>
      </c>
      <c r="AY32" s="192" t="str">
        <f>IF(AND($C32&lt;&gt;"",$F32&lt;&gt;""),(VLOOKUP($C32,'V-LOOKUP'!$C$4:$M$59,11,FALSE)),"0")</f>
        <v>0</v>
      </c>
      <c r="AZ32" s="192" t="str">
        <f>IF(AND($C32&lt;&gt;"",$F32&lt;&gt;""),(VLOOKUP($C32,'V-LOOKUP'!$C$4:$N$59,12,FALSE)),"0")</f>
        <v>0</v>
      </c>
      <c r="BA32" s="192" t="str">
        <f>IF(AND($C32&lt;&gt;"",G32&lt;&gt;""),(VLOOKUP($C32,'V-LOOKUP'!$C$4:$M$59,4,FALSE)),"0")</f>
        <v>0</v>
      </c>
      <c r="BB32" s="192" t="str">
        <f>IF(AND($C32&lt;&gt;"",$G32&lt;&gt;""),(VLOOKUP($C32,'V-LOOKUP'!$C$4:$M$59,5,FALSE)),"0")</f>
        <v>0</v>
      </c>
      <c r="BC32" s="192" t="str">
        <f>IF(AND($C32&lt;&gt;"",$G32&lt;&gt;""),(VLOOKUP($C32,'V-LOOKUP'!$C$4:$M$59,6,FALSE)),"0")</f>
        <v>0</v>
      </c>
      <c r="BD32" s="192" t="str">
        <f>IF(AND($C32&lt;&gt;"",$G32&lt;&gt;""),(VLOOKUP($C32,'V-LOOKUP'!$C$4:$M$59,7,FALSE)),"0")</f>
        <v>0</v>
      </c>
      <c r="BE32" s="192" t="str">
        <f>IF(AND($C32&lt;&gt;"",$G32&lt;&gt;""),(VLOOKUP($C32,'V-LOOKUP'!$C$4:$M$59,8,FALSE)),"0")</f>
        <v>0</v>
      </c>
      <c r="BF32" s="192" t="str">
        <f>IF(AND($C32&lt;&gt;"",$G32&lt;&gt;""),(VLOOKUP($C32,'V-LOOKUP'!$C$4:$M$59,9,FALSE)),"0")</f>
        <v>0</v>
      </c>
      <c r="BG32" s="192" t="str">
        <f>IF(AND($C32&lt;&gt;"",$G32&lt;&gt;""),(VLOOKUP($C32,'V-LOOKUP'!$C$4:$M$59,10,FALSE)),"0")</f>
        <v>0</v>
      </c>
      <c r="BH32" s="192" t="str">
        <f>IF(AND($C32&lt;&gt;"",$G32&lt;&gt;""),(VLOOKUP($C32,'V-LOOKUP'!$C$4:$M$59,11,FALSE)),"0")</f>
        <v>0</v>
      </c>
      <c r="BI32" s="192" t="str">
        <f>IF(AND($C32&lt;&gt;"",$G32&lt;&gt;""),(VLOOKUP($C32,'V-LOOKUP'!$C$4:$N$59,12,FALSE)),"0")</f>
        <v>0</v>
      </c>
      <c r="BJ32" s="192" t="str">
        <f>IF(AND($C32&lt;&gt;"",H32&lt;&gt;""),(VLOOKUP($C32,'V-LOOKUP'!$C$4:$M$59,4,FALSE)),"0")</f>
        <v>0</v>
      </c>
      <c r="BK32" s="192" t="str">
        <f>IF(AND($C32&lt;&gt;"",$G32&lt;&gt;""),(VLOOKUP($C32,'V-LOOKUP'!$C$4:$M$59,5,FALSE)),"0")</f>
        <v>0</v>
      </c>
      <c r="BL32" s="192" t="str">
        <f>IF(AND($C32&lt;&gt;"",$H32&lt;&gt;""),(VLOOKUP($C32,'V-LOOKUP'!$C$4:$M$59,6,FALSE)),"0")</f>
        <v>0</v>
      </c>
      <c r="BM32" s="192" t="str">
        <f>IF(AND($C32&lt;&gt;"",$H32&lt;&gt;""),(VLOOKUP($C32,'V-LOOKUP'!$C$4:$M$59,7,FALSE)),"0")</f>
        <v>0</v>
      </c>
      <c r="BN32" s="192" t="str">
        <f>IF(AND($C32&lt;&gt;"",$H32&lt;&gt;""),(VLOOKUP($C32,'V-LOOKUP'!$C$4:$M$59,8,FALSE)),"0")</f>
        <v>0</v>
      </c>
      <c r="BO32" s="192" t="str">
        <f>IF(AND($C32&lt;&gt;"",$H32&lt;&gt;""),(VLOOKUP($C32,'V-LOOKUP'!$C$4:$M$59,9,FALSE)),"0")</f>
        <v>0</v>
      </c>
      <c r="BP32" s="192" t="str">
        <f>IF(AND($C32&lt;&gt;"",$H32&lt;&gt;""),(VLOOKUP($C32,'V-LOOKUP'!$C$4:$M$59,10,FALSE)),"0")</f>
        <v>0</v>
      </c>
      <c r="BQ32" s="192" t="str">
        <f>IF(AND($C32&lt;&gt;"",$H32&lt;&gt;""),(VLOOKUP($C32,'V-LOOKUP'!$C$4:$M$59,11,FALSE)),"0")</f>
        <v>0</v>
      </c>
      <c r="BR32" s="192" t="str">
        <f>IF(AND($C32&lt;&gt;"",$H32&lt;&gt;""),(VLOOKUP($C32,'V-LOOKUP'!$C$4:$N$59,12,FALSE)),"0")</f>
        <v>0</v>
      </c>
      <c r="BS32" s="192" t="str">
        <f>IF(AND($C32&lt;&gt;"",I32&lt;&gt;""),(VLOOKUP($C32,'V-LOOKUP'!$C$4:$M$59,4,FALSE)),"0")</f>
        <v>0</v>
      </c>
      <c r="BT32" s="192" t="str">
        <f>IF(AND($C32&lt;&gt;"",$I32&lt;&gt;""),(VLOOKUP($C32,'V-LOOKUP'!$C$4:$M$59,5,FALSE)),"0")</f>
        <v>0</v>
      </c>
      <c r="BU32" s="192" t="str">
        <f>IF(AND($C32&lt;&gt;"",$I32&lt;&gt;""),(VLOOKUP($C32,'V-LOOKUP'!$C$4:$M$59,6,FALSE)),"0")</f>
        <v>0</v>
      </c>
      <c r="BV32" s="192" t="str">
        <f>IF(AND($C32&lt;&gt;"",$I32&lt;&gt;""),(VLOOKUP($C32,'V-LOOKUP'!$C$4:$M$59,7,FALSE)),"0")</f>
        <v>0</v>
      </c>
      <c r="BW32" s="192" t="str">
        <f>IF(AND($C32&lt;&gt;"",$I32&lt;&gt;""),(VLOOKUP($C32,'V-LOOKUP'!$C$4:$M$59,8,FALSE)),"0")</f>
        <v>0</v>
      </c>
      <c r="BX32" s="192" t="str">
        <f>IF(AND($C32&lt;&gt;"",$I32&lt;&gt;""),(VLOOKUP($C32,'V-LOOKUP'!$C$4:$M$59,9,FALSE)),"0")</f>
        <v>0</v>
      </c>
      <c r="BY32" s="192" t="str">
        <f>IF(AND($C32&lt;&gt;"",$I32&lt;&gt;""),(VLOOKUP($C32,'V-LOOKUP'!$C$4:$M$59,10,FALSE)),"0")</f>
        <v>0</v>
      </c>
      <c r="BZ32" s="192" t="str">
        <f>IF(AND($C32&lt;&gt;"",$I32&lt;&gt;""),(VLOOKUP($C32,'V-LOOKUP'!$C$4:$M$59,11,FALSE)),"0")</f>
        <v>0</v>
      </c>
      <c r="CA32" s="192" t="str">
        <f>IF(AND($C32&lt;&gt;"",$I32&lt;&gt;""),(VLOOKUP($C32,'V-LOOKUP'!$C$4:$N$59,12,FALSE)),"0")</f>
        <v>0</v>
      </c>
      <c r="CB32" s="192" t="str">
        <f>IF(AND($C32&lt;&gt;"",J32&lt;&gt;""),(VLOOKUP($C32,'V-LOOKUP'!$C$4:$M$59,4,FALSE)),"0")</f>
        <v>0</v>
      </c>
      <c r="CC32" s="192" t="str">
        <f>IF(AND($C32&lt;&gt;"",$J32&lt;&gt;""),(VLOOKUP($C32,'V-LOOKUP'!$C$4:$M$59,5,FALSE)),"0")</f>
        <v>0</v>
      </c>
      <c r="CD32" s="192" t="str">
        <f>IF(AND($C32&lt;&gt;"",$J32&lt;&gt;""),(VLOOKUP($C32,'V-LOOKUP'!$C$4:$M$59,6,FALSE)),"0")</f>
        <v>0</v>
      </c>
      <c r="CE32" s="192" t="str">
        <f>IF(AND($C32&lt;&gt;"",$J32&lt;&gt;""),(VLOOKUP($C32,'V-LOOKUP'!$C$4:$M$59,7,FALSE)),"0")</f>
        <v>0</v>
      </c>
      <c r="CF32" s="192" t="str">
        <f>IF(AND($C32&lt;&gt;"",$J32&lt;&gt;""),(VLOOKUP($C32,'V-LOOKUP'!$C$4:$M$59,8,FALSE)),"0")</f>
        <v>0</v>
      </c>
      <c r="CG32" s="192" t="str">
        <f>IF(AND($C32&lt;&gt;"",$J32&lt;&gt;""),(VLOOKUP($C32,'V-LOOKUP'!$C$4:$M$59,9,FALSE)),"0")</f>
        <v>0</v>
      </c>
      <c r="CH32" s="192" t="str">
        <f>IF(AND($C32&lt;&gt;"",$J32&lt;&gt;""),(VLOOKUP($C32,'V-LOOKUP'!$C$4:$M$59,10,FALSE)),"0")</f>
        <v>0</v>
      </c>
      <c r="CI32" s="192" t="str">
        <f>IF(AND($C32&lt;&gt;"",$J32&lt;&gt;""),(VLOOKUP($C32,'V-LOOKUP'!$C$4:$M$59,11,FALSE)),"0")</f>
        <v>0</v>
      </c>
      <c r="CJ32" s="192" t="str">
        <f>IF(AND($C32&lt;&gt;"",$J32&lt;&gt;""),(VLOOKUP($C32,'V-LOOKUP'!$C$4:$N$59,12,FALSE)),"0")</f>
        <v>0</v>
      </c>
      <c r="CK32" s="192" t="str">
        <f>IF(AND($C32&lt;&gt;"",K32&lt;&gt;""),(VLOOKUP($C32,'V-LOOKUP'!$C$4:$M$59,4,FALSE)),"0")</f>
        <v>0</v>
      </c>
      <c r="CL32" s="192" t="str">
        <f>IF(AND($C32&lt;&gt;"",$K32&lt;&gt;""),(VLOOKUP($C32,'V-LOOKUP'!$C$4:$M$59,5,FALSE)),"0")</f>
        <v>0</v>
      </c>
      <c r="CM32" s="192" t="str">
        <f>IF(AND($C32&lt;&gt;"",$K32&lt;&gt;""),(VLOOKUP($C32,'V-LOOKUP'!$C$4:$M$59,6,FALSE)),"0")</f>
        <v>0</v>
      </c>
      <c r="CN32" s="192" t="str">
        <f>IF(AND($C32&lt;&gt;"",$K32&lt;&gt;""),(VLOOKUP($C32,'V-LOOKUP'!$C$4:$M$59,7,FALSE)),"0")</f>
        <v>0</v>
      </c>
      <c r="CO32" s="192" t="str">
        <f>IF(AND($C32&lt;&gt;"",$K32&lt;&gt;""),(VLOOKUP($C32,'V-LOOKUP'!$C$4:$M$59,8,FALSE)),"0")</f>
        <v>0</v>
      </c>
      <c r="CP32" s="192" t="str">
        <f>IF(AND($C32&lt;&gt;"",$K32&lt;&gt;""),(VLOOKUP($C32,'V-LOOKUP'!$C$4:$M$59,9,FALSE)),"0")</f>
        <v>0</v>
      </c>
      <c r="CQ32" s="192" t="str">
        <f>IF(AND($C32&lt;&gt;"",$K32&lt;&gt;""),(VLOOKUP($C32,'V-LOOKUP'!$C$4:$M$59,10,FALSE)),"0")</f>
        <v>0</v>
      </c>
      <c r="CR32" s="192" t="str">
        <f>IF(AND($C32&lt;&gt;"",$K32&lt;&gt;""),(VLOOKUP($C32,'V-LOOKUP'!$C$4:$M$59,11,FALSE)),"0")</f>
        <v>0</v>
      </c>
      <c r="CS32" s="192" t="str">
        <f>IF(AND($C32&lt;&gt;"",$K32&lt;&gt;""),(VLOOKUP($C32,'V-LOOKUP'!$C$4:$N$59,12,FALSE)),"0")</f>
        <v>0</v>
      </c>
      <c r="CT32" s="192" t="str">
        <f>IF(AND($C32&lt;&gt;"",L32&lt;&gt;""),(VLOOKUP($C32,'V-LOOKUP'!$C$4:$M$59,4,FALSE)),"0")</f>
        <v>0</v>
      </c>
      <c r="CU32" s="192" t="str">
        <f>IF(AND($C32&lt;&gt;"",$L32&lt;&gt;""),(VLOOKUP($C32,'V-LOOKUP'!$C$4:$M$59,5,FALSE)),"0")</f>
        <v>0</v>
      </c>
      <c r="CV32" s="192" t="str">
        <f>IF(AND($C32&lt;&gt;"",$L32&lt;&gt;""),(VLOOKUP($C32,'V-LOOKUP'!$C$4:$M$59,6,FALSE)),"0")</f>
        <v>0</v>
      </c>
      <c r="CW32" s="192" t="str">
        <f>IF(AND($C32&lt;&gt;"",$L32&lt;&gt;""),(VLOOKUP($C32,'V-LOOKUP'!$C$4:$M$59,7,FALSE)),"0")</f>
        <v>0</v>
      </c>
      <c r="CX32" s="192" t="str">
        <f>IF(AND($C32&lt;&gt;"",$L32&lt;&gt;""),(VLOOKUP($C32,'V-LOOKUP'!$C$4:$M$59,8,FALSE)),"0")</f>
        <v>0</v>
      </c>
      <c r="CY32" s="192" t="str">
        <f>IF(AND($C32&lt;&gt;"",$L32&lt;&gt;""),(VLOOKUP($C32,'V-LOOKUP'!$C$4:$M$59,9,FALSE)),"0")</f>
        <v>0</v>
      </c>
      <c r="CZ32" s="192" t="str">
        <f>IF(AND($C32&lt;&gt;"",$L32&lt;&gt;""),(VLOOKUP($C32,'V-LOOKUP'!$C$4:$M$59,10,FALSE)),"0")</f>
        <v>0</v>
      </c>
      <c r="DA32" s="192" t="str">
        <f>IF(AND($C32&lt;&gt;"",$L32&lt;&gt;""),(VLOOKUP($C32,'V-LOOKUP'!$C$4:$M$59,11,FALSE)),"0")</f>
        <v>0</v>
      </c>
      <c r="DB32" s="192" t="str">
        <f>IF(AND($C32&lt;&gt;"",$L32&lt;&gt;""),(VLOOKUP($C32,'V-LOOKUP'!$C$4:$N$59,12,FALSE)),"0")</f>
        <v>0</v>
      </c>
      <c r="DC32" s="192" t="str">
        <f>IF(AND($C32&lt;&gt;"",M32&lt;&gt;""),(VLOOKUP($C32,'V-LOOKUP'!$C$4:$M$59,4,FALSE)),"0")</f>
        <v>0</v>
      </c>
      <c r="DD32" s="192" t="str">
        <f>IF(AND($C32&lt;&gt;"",$M32&lt;&gt;""),(VLOOKUP($C32,'V-LOOKUP'!$C$4:$M$59,5,FALSE)),"0")</f>
        <v>0</v>
      </c>
      <c r="DE32" s="192" t="str">
        <f>IF(AND($C32&lt;&gt;"",$M32&lt;&gt;""),(VLOOKUP($C32,'V-LOOKUP'!$C$4:$M$59,6,FALSE)),"0")</f>
        <v>0</v>
      </c>
      <c r="DF32" s="192" t="str">
        <f>IF(AND($C32&lt;&gt;"",$M32&lt;&gt;""),(VLOOKUP($C32,'V-LOOKUP'!$C$4:$M$59,7,FALSE)),"0")</f>
        <v>0</v>
      </c>
      <c r="DG32" s="192" t="str">
        <f>IF(AND($C32&lt;&gt;"",$M32&lt;&gt;""),(VLOOKUP($C32,'V-LOOKUP'!$C$4:$M$59,8,FALSE)),"0")</f>
        <v>0</v>
      </c>
      <c r="DH32" s="192" t="str">
        <f>IF(AND($C32&lt;&gt;"",$M32&lt;&gt;""),(VLOOKUP($C32,'V-LOOKUP'!$C$4:$M$59,9,FALSE)),"0")</f>
        <v>0</v>
      </c>
      <c r="DI32" s="192" t="str">
        <f>IF(AND($C32&lt;&gt;"",$M32&lt;&gt;""),(VLOOKUP($C32,'V-LOOKUP'!$C$4:$M$59,10,FALSE)),"0")</f>
        <v>0</v>
      </c>
      <c r="DJ32" s="192" t="str">
        <f>IF(AND($C32&lt;&gt;"",$M32&lt;&gt;""),(VLOOKUP($C32,'V-LOOKUP'!$C$4:$M$59,11,FALSE)),"0")</f>
        <v>0</v>
      </c>
      <c r="DK32" s="192" t="str">
        <f>IF(AND($C32&lt;&gt;"",$M32&lt;&gt;""),(VLOOKUP($C32,'V-LOOKUP'!$C$4:$N$59,12,FALSE)),"0")</f>
        <v>0</v>
      </c>
      <c r="DL32" s="192" t="str">
        <f>IF(AND($C32&lt;&gt;"",$N32&lt;&gt;""),(VLOOKUP($C32,'V-LOOKUP'!$C$4:$M$59,4,FALSE)),"0")</f>
        <v>0</v>
      </c>
      <c r="DM32" s="192" t="str">
        <f>IF(AND($C32&lt;&gt;"",$N32&lt;&gt;""),(VLOOKUP($C32,'V-LOOKUP'!$C$4:$M$59,5,FALSE)),"0")</f>
        <v>0</v>
      </c>
      <c r="DN32" s="192" t="str">
        <f>IF(AND($C32&lt;&gt;"",$N32&lt;&gt;""),(VLOOKUP($C32,'V-LOOKUP'!$C$4:$M$59,6,FALSE)),"0")</f>
        <v>0</v>
      </c>
      <c r="DO32" s="192" t="str">
        <f>IF(AND($C32&lt;&gt;"",$N32&lt;&gt;""),(VLOOKUP($C32,'V-LOOKUP'!$C$4:$M$59,7,FALSE)),"0")</f>
        <v>0</v>
      </c>
      <c r="DP32" s="192" t="str">
        <f>IF(AND($C32&lt;&gt;"",$N32&lt;&gt;""),(VLOOKUP($C32,'V-LOOKUP'!$C$4:$M$59,8,FALSE)),"0")</f>
        <v>0</v>
      </c>
      <c r="DQ32" s="192" t="str">
        <f>IF(AND($C32&lt;&gt;"",$N32&lt;&gt;""),(VLOOKUP($C32,'V-LOOKUP'!$C$4:$M$59,9,FALSE)),"0")</f>
        <v>0</v>
      </c>
      <c r="DR32" s="192" t="str">
        <f>IF(AND($C32&lt;&gt;"",$N32&lt;&gt;""),(VLOOKUP($C32,'V-LOOKUP'!$C$4:$M$59,10,FALSE)),"0")</f>
        <v>0</v>
      </c>
      <c r="DS32" s="192" t="str">
        <f>IF(AND($C32&lt;&gt;"",$N32&lt;&gt;""),(VLOOKUP($C32,'V-LOOKUP'!$C$4:$M$59,11,FALSE)),"0")</f>
        <v>0</v>
      </c>
      <c r="DT32" s="192" t="str">
        <f>IF(AND($C32&lt;&gt;"",$N32&lt;&gt;""),(VLOOKUP($C32,'V-LOOKUP'!$C$4:$N$59,12,FALSE)),"0")</f>
        <v>0</v>
      </c>
      <c r="DU32" s="192" t="str">
        <f>IF(AND($C32&lt;&gt;"",O32&lt;&gt;""),(VLOOKUP($C32,'V-LOOKUP'!$C$4:$M$59,4,FALSE)),"0")</f>
        <v>0</v>
      </c>
      <c r="DV32" s="192" t="str">
        <f>IF(AND($C32&lt;&gt;"",$O32&lt;&gt;""),(VLOOKUP($C32,'V-LOOKUP'!$C$4:$M$59,5,FALSE)),"0")</f>
        <v>0</v>
      </c>
      <c r="DW32" s="192" t="str">
        <f>IF(AND($C32&lt;&gt;"",$O32&lt;&gt;""),(VLOOKUP($C32,'V-LOOKUP'!$C$4:$M$59,6,FALSE)),"0")</f>
        <v>0</v>
      </c>
      <c r="DX32" s="192" t="str">
        <f>IF(AND($C32&lt;&gt;"",$O32&lt;&gt;""),(VLOOKUP($C32,'V-LOOKUP'!$C$4:$M$59,7,FALSE)),"0")</f>
        <v>0</v>
      </c>
      <c r="DY32" s="192" t="str">
        <f>IF(AND($C32&lt;&gt;"",$O32&lt;&gt;""),(VLOOKUP($C32,'V-LOOKUP'!$C$4:$M$59,8,FALSE)),"0")</f>
        <v>0</v>
      </c>
      <c r="DZ32" s="192" t="str">
        <f>IF(AND($C32&lt;&gt;"",$O32&lt;&gt;""),(VLOOKUP($C32,'V-LOOKUP'!$C$4:$M$59,9,FALSE)),"0")</f>
        <v>0</v>
      </c>
      <c r="EA32" s="192" t="str">
        <f>IF(AND($C32&lt;&gt;"",$O32&lt;&gt;""),(VLOOKUP($C32,'V-LOOKUP'!$C$4:$M$59,10,FALSE)),"0")</f>
        <v>0</v>
      </c>
      <c r="EB32" s="192" t="str">
        <f>IF(AND($C32&lt;&gt;"",$O32&lt;&gt;""),(VLOOKUP($C32,'V-LOOKUP'!$C$4:$M$59,11,FALSE)),"0")</f>
        <v>0</v>
      </c>
      <c r="EC32" s="192" t="str">
        <f>IF(AND($C32&lt;&gt;"",$O32&lt;&gt;""),(VLOOKUP($C32,'V-LOOKUP'!$C$4:$N$59,12,FALSE)),"0")</f>
        <v>0</v>
      </c>
      <c r="ED32" s="192" t="str">
        <f>IF(AND($C32&lt;&gt;"",P32&lt;&gt;""),(VLOOKUP($C32,'V-LOOKUP'!$C$4:$M$59,4,FALSE)),"0")</f>
        <v>0</v>
      </c>
      <c r="EE32" s="192" t="str">
        <f>IF(AND($C32&lt;&gt;"",$P32&lt;&gt;""),(VLOOKUP($C32,'V-LOOKUP'!$C$4:$M$59,5,FALSE)),"0")</f>
        <v>0</v>
      </c>
      <c r="EF32" s="192" t="str">
        <f>IF(AND($C32&lt;&gt;"",$P32&lt;&gt;""),(VLOOKUP($C32,'V-LOOKUP'!$C$4:$M$59,6,FALSE)),"0")</f>
        <v>0</v>
      </c>
      <c r="EG32" s="192" t="str">
        <f>IF(AND($C32&lt;&gt;"",$P32&lt;&gt;""),(VLOOKUP($C32,'V-LOOKUP'!$C$4:$M$59,7,FALSE)),"0")</f>
        <v>0</v>
      </c>
      <c r="EH32" s="192" t="str">
        <f>IF(AND($C32&lt;&gt;"",$P32&lt;&gt;""),(VLOOKUP($C32,'V-LOOKUP'!$C$4:$M$59,8,FALSE)),"0")</f>
        <v>0</v>
      </c>
      <c r="EI32" s="192" t="str">
        <f>IF(AND($C32&lt;&gt;"",$P32&lt;&gt;""),(VLOOKUP($C32,'V-LOOKUP'!$C$4:$M$59,9,FALSE)),"0")</f>
        <v>0</v>
      </c>
      <c r="EJ32" s="192" t="str">
        <f>IF(AND($C32&lt;&gt;"",$P32&lt;&gt;""),(VLOOKUP($C32,'V-LOOKUP'!$C$4:$M$59,10,FALSE)),"0")</f>
        <v>0</v>
      </c>
      <c r="EK32" s="192" t="str">
        <f>IF(AND($C32&lt;&gt;"",$P32&lt;&gt;""),(VLOOKUP($C32,'V-LOOKUP'!$C$4:$M$59,11,FALSE)),"0")</f>
        <v>0</v>
      </c>
      <c r="EL32" s="192" t="str">
        <f>IF(AND($C32&lt;&gt;"",$P32&lt;&gt;""),(VLOOKUP($C32,'V-LOOKUP'!$C$4:$N$59,12,FALSE)),"0")</f>
        <v>0</v>
      </c>
      <c r="EM32" s="192" t="str">
        <f>IF(AND($C32&lt;&gt;"",Q32&lt;&gt;""),(VLOOKUP($C32,'V-LOOKUP'!$C$4:$M$59,4,FALSE)),"0")</f>
        <v>0</v>
      </c>
      <c r="EN32" s="192" t="str">
        <f>IF(AND($C32&lt;&gt;"",$Q32&lt;&gt;""),(VLOOKUP($C32,'V-LOOKUP'!$C$4:$M$59,5,FALSE)),"0")</f>
        <v>0</v>
      </c>
      <c r="EO32" s="192" t="str">
        <f>IF(AND($C32&lt;&gt;"",$Q32&lt;&gt;""),(VLOOKUP($C32,'V-LOOKUP'!$C$4:$M$59,6,FALSE)),"0")</f>
        <v>0</v>
      </c>
      <c r="EP32" s="192" t="str">
        <f>IF(AND($C32&lt;&gt;"",$Q32&lt;&gt;""),(VLOOKUP($C32,'V-LOOKUP'!$C$4:$M$59,7,FALSE)),"0")</f>
        <v>0</v>
      </c>
      <c r="EQ32" s="192" t="str">
        <f>IF(AND($C32&lt;&gt;"",$Q32&lt;&gt;""),(VLOOKUP($C32,'V-LOOKUP'!$C$4:$M$59,8,FALSE)),"0")</f>
        <v>0</v>
      </c>
      <c r="ER32" s="192" t="str">
        <f>IF(AND($C32&lt;&gt;"",$Q32&lt;&gt;""),(VLOOKUP($C32,'V-LOOKUP'!$C$4:$M$59,9,FALSE)),"0")</f>
        <v>0</v>
      </c>
      <c r="ES32" s="192" t="str">
        <f>IF(AND($C32&lt;&gt;"",$Q32&lt;&gt;""),(VLOOKUP($C32,'V-LOOKUP'!$C$4:$M$59,10,FALSE)),"0")</f>
        <v>0</v>
      </c>
      <c r="ET32" s="192" t="str">
        <f>IF(AND($C32&lt;&gt;"",$Q32&lt;&gt;""),(VLOOKUP($C32,'V-LOOKUP'!$C$4:$M$59,11,FALSE)),"0")</f>
        <v>0</v>
      </c>
      <c r="EU32" s="192" t="str">
        <f>IF(AND($C32&lt;&gt;"",$Q32&lt;&gt;""),(VLOOKUP($C32,'V-LOOKUP'!$C$4:$N$59,12,FALSE)),"0")</f>
        <v>0</v>
      </c>
      <c r="EV32" s="192" t="str">
        <f>IF(AND($C32&lt;&gt;"",R32&lt;&gt;""),(VLOOKUP($C32,'V-LOOKUP'!$C$4:$M$59,4,FALSE)),"0")</f>
        <v>0</v>
      </c>
      <c r="EW32" s="192" t="str">
        <f>IF(AND($C32&lt;&gt;"",$R32&lt;&gt;""),(VLOOKUP($C32,'V-LOOKUP'!$C$4:$M$59,5,FALSE)),"0")</f>
        <v>0</v>
      </c>
      <c r="EX32" s="192" t="str">
        <f>IF(AND($C32&lt;&gt;"",$R32&lt;&gt;""),(VLOOKUP($C32,'V-LOOKUP'!$C$4:$M$59,6,FALSE)),"0")</f>
        <v>0</v>
      </c>
      <c r="EY32" s="192" t="str">
        <f>IF(AND($C32&lt;&gt;"",$R32&lt;&gt;""),(VLOOKUP($C32,'V-LOOKUP'!$C$4:$M$59,7,FALSE)),"0")</f>
        <v>0</v>
      </c>
      <c r="EZ32" s="192" t="str">
        <f>IF(AND($C32&lt;&gt;"",$R32&lt;&gt;""),(VLOOKUP($C32,'V-LOOKUP'!$C$4:$M$59,8,FALSE)),"0")</f>
        <v>0</v>
      </c>
      <c r="FA32" s="192" t="str">
        <f>IF(AND($C32&lt;&gt;"",$R32&lt;&gt;""),(VLOOKUP($C32,'V-LOOKUP'!$C$4:$M$59,9,FALSE)),"0")</f>
        <v>0</v>
      </c>
      <c r="FB32" s="192" t="str">
        <f>IF(AND($C32&lt;&gt;"",$R32&lt;&gt;""),(VLOOKUP($C32,'V-LOOKUP'!$C$4:$M$59,10,FALSE)),"0")</f>
        <v>0</v>
      </c>
      <c r="FC32" s="192" t="str">
        <f>IF(AND($C32&lt;&gt;"",$R32&lt;&gt;""),(VLOOKUP($C32,'V-LOOKUP'!$C$4:$M$59,11,FALSE)),"0")</f>
        <v>0</v>
      </c>
      <c r="FD32" s="192" t="str">
        <f>IF(AND($C32&lt;&gt;"",$R32&lt;&gt;""),(VLOOKUP($C32,'V-LOOKUP'!$C$4:$N$59,12,FALSE)),"0")</f>
        <v>0</v>
      </c>
      <c r="FE32" s="192" t="str">
        <f>IF(AND($C32&lt;&gt;"",S32&lt;&gt;""),(VLOOKUP($C32,'V-LOOKUP'!$C$4:$M$59,4,FALSE)),"0")</f>
        <v>0</v>
      </c>
      <c r="FF32" s="192" t="str">
        <f>IF(AND($C32&lt;&gt;"",$S32&lt;&gt;""),(VLOOKUP($C32,'V-LOOKUP'!$C$4:$M$59,5,FALSE)),"0")</f>
        <v>0</v>
      </c>
      <c r="FG32" s="192" t="str">
        <f>IF(AND($C32&lt;&gt;"",$S32&lt;&gt;""),(VLOOKUP($C32,'V-LOOKUP'!$C$4:$M$59,6,FALSE)),"0")</f>
        <v>0</v>
      </c>
      <c r="FH32" s="192" t="str">
        <f>IF(AND($C32&lt;&gt;"",$S32&lt;&gt;""),(VLOOKUP($C32,'V-LOOKUP'!$C$4:$M$59,7,FALSE)),"0")</f>
        <v>0</v>
      </c>
      <c r="FI32" s="192" t="str">
        <f>IF(AND($C32&lt;&gt;"",$S32&lt;&gt;""),(VLOOKUP($C32,'V-LOOKUP'!$C$4:$M$59,8,FALSE)),"0")</f>
        <v>0</v>
      </c>
      <c r="FJ32" s="192" t="str">
        <f>IF(AND($C32&lt;&gt;"",$S32&lt;&gt;""),(VLOOKUP($C32,'V-LOOKUP'!$C$4:$M$59,9,FALSE)),"0")</f>
        <v>0</v>
      </c>
      <c r="FK32" s="192" t="str">
        <f>IF(AND($C32&lt;&gt;"",$S32&lt;&gt;""),(VLOOKUP($C32,'V-LOOKUP'!$C$4:$M$59,10,FALSE)),"0")</f>
        <v>0</v>
      </c>
      <c r="FL32" s="192" t="str">
        <f>IF(AND($C32&lt;&gt;"",$S32&lt;&gt;""),(VLOOKUP($C32,'V-LOOKUP'!$C$4:$M$59,11,FALSE)),"0")</f>
        <v>0</v>
      </c>
      <c r="FM32" s="192" t="str">
        <f>IF(AND($C32&lt;&gt;"",$S32&lt;&gt;""),(VLOOKUP($C32,'V-LOOKUP'!$C$4:$N$59,12,FALSE)),"0")</f>
        <v>0</v>
      </c>
      <c r="FN32" s="192" t="str">
        <f>IF(AND($C32&lt;&gt;"",T32&lt;&gt;""),(VLOOKUP($C32,'V-LOOKUP'!$C$4:$M$59,4,FALSE)),"0")</f>
        <v>0</v>
      </c>
      <c r="FO32" s="192" t="str">
        <f>IF(AND($C32&lt;&gt;"",$T32&lt;&gt;""),(VLOOKUP($C32,'V-LOOKUP'!$C$4:$M$59,5,FALSE)),"0")</f>
        <v>0</v>
      </c>
      <c r="FP32" s="192" t="str">
        <f>IF(AND($C32&lt;&gt;"",$T32&lt;&gt;""),(VLOOKUP($C32,'V-LOOKUP'!$C$4:$M$59,6,FALSE)),"0")</f>
        <v>0</v>
      </c>
      <c r="FQ32" s="192" t="str">
        <f>IF(AND($C32&lt;&gt;"",$T32&lt;&gt;""),(VLOOKUP($C32,'V-LOOKUP'!$C$4:$M$59,7,FALSE)),"0")</f>
        <v>0</v>
      </c>
      <c r="FR32" s="192" t="str">
        <f>IF(AND($C32&lt;&gt;"",$T32&lt;&gt;""),(VLOOKUP($C32,'V-LOOKUP'!$C$4:$M$59,8,FALSE)),"0")</f>
        <v>0</v>
      </c>
      <c r="FS32" s="192" t="str">
        <f>IF(AND($C32&lt;&gt;"",$T32&lt;&gt;""),(VLOOKUP($C32,'V-LOOKUP'!$C$4:$M$59,9,FALSE)),"0")</f>
        <v>0</v>
      </c>
      <c r="FT32" s="192" t="str">
        <f>IF(AND($C32&lt;&gt;"",$T32&lt;&gt;""),(VLOOKUP($C32,'V-LOOKUP'!$C$4:$M$59,10,FALSE)),"0")</f>
        <v>0</v>
      </c>
      <c r="FU32" s="192" t="str">
        <f>IF(AND($C32&lt;&gt;"",$T32&lt;&gt;""),(VLOOKUP($C32,'V-LOOKUP'!$C$4:$M$59,11,FALSE)),"0")</f>
        <v>0</v>
      </c>
      <c r="FV32" s="192" t="str">
        <f>IF(AND($C32&lt;&gt;"",$T32&lt;&gt;""),(VLOOKUP($C32,'V-LOOKUP'!$C$4:$N$59,12,FALSE)),"0")</f>
        <v>0</v>
      </c>
      <c r="FW32" s="192" t="str">
        <f>IF(AND($C32&lt;&gt;"",U32&lt;&gt;""),(VLOOKUP($C32,'V-LOOKUP'!$C$4:$M$59,4,FALSE)),"0")</f>
        <v>0</v>
      </c>
      <c r="FX32" s="192" t="str">
        <f>IF(AND($C32&lt;&gt;"",$U32&lt;&gt;""),(VLOOKUP($C32,'V-LOOKUP'!$C$4:$M$59,5,FALSE)),"0")</f>
        <v>0</v>
      </c>
      <c r="FY32" s="192" t="str">
        <f>IF(AND($C32&lt;&gt;"",$U32&lt;&gt;""),(VLOOKUP($C32,'V-LOOKUP'!$C$4:$M$59,6,FALSE)),"0")</f>
        <v>0</v>
      </c>
      <c r="FZ32" s="192" t="str">
        <f>IF(AND($C32&lt;&gt;"",$U32&lt;&gt;""),(VLOOKUP($C32,'V-LOOKUP'!$C$4:$M$59,7,FALSE)),"0")</f>
        <v>0</v>
      </c>
      <c r="GA32" s="192" t="str">
        <f>IF(AND($C32&lt;&gt;"",$U32&lt;&gt;""),(VLOOKUP($C32,'V-LOOKUP'!$C$4:$M$59,8,FALSE)),"0")</f>
        <v>0</v>
      </c>
      <c r="GB32" s="192" t="str">
        <f>IF(AND($C32&lt;&gt;"",$U32&lt;&gt;""),(VLOOKUP($C32,'V-LOOKUP'!$C$4:$M$59,9,FALSE)),"0")</f>
        <v>0</v>
      </c>
      <c r="GC32" s="192" t="str">
        <f>IF(AND($C32&lt;&gt;"",$U32&lt;&gt;""),(VLOOKUP($C32,'V-LOOKUP'!$C$4:$M$59,10,FALSE)),"0")</f>
        <v>0</v>
      </c>
      <c r="GD32" s="192" t="str">
        <f>IF(AND($C32&lt;&gt;"",$U32&lt;&gt;""),(VLOOKUP($C32,'V-LOOKUP'!$C$4:$M$59,11,FALSE)),"0")</f>
        <v>0</v>
      </c>
      <c r="GE32" s="192" t="str">
        <f>IF(AND($C32&lt;&gt;"",$U32&lt;&gt;""),(VLOOKUP($C32,'V-LOOKUP'!$C$4:$N$59,12,FALSE)),"0")</f>
        <v>0</v>
      </c>
      <c r="GF32" s="192" t="str">
        <f>IF(AND($C32&lt;&gt;"",V32&lt;&gt;""),(VLOOKUP($C32,'V-LOOKUP'!$C$4:$M$59,4,FALSE)),"0")</f>
        <v>0</v>
      </c>
      <c r="GG32" s="192" t="str">
        <f>IF(AND($C32&lt;&gt;"",$V32&lt;&gt;""),(VLOOKUP($C32,'V-LOOKUP'!$C$4:$M$59,5,FALSE)),"0")</f>
        <v>0</v>
      </c>
      <c r="GH32" s="192" t="str">
        <f>IF(AND($C32&lt;&gt;"",$V32&lt;&gt;""),(VLOOKUP($C32,'V-LOOKUP'!$C$4:$M$59,6,FALSE)),"0")</f>
        <v>0</v>
      </c>
      <c r="GI32" s="192" t="str">
        <f>IF(AND($C32&lt;&gt;"",$V32&lt;&gt;""),(VLOOKUP($C32,'V-LOOKUP'!$C$4:$M$59,7,FALSE)),"0")</f>
        <v>0</v>
      </c>
      <c r="GJ32" s="192" t="str">
        <f>IF(AND($C32&lt;&gt;"",$V32&lt;&gt;""),(VLOOKUP($C32,'V-LOOKUP'!$C$4:$M$59,8,FALSE)),"0")</f>
        <v>0</v>
      </c>
      <c r="GK32" s="192" t="str">
        <f>IF(AND($C32&lt;&gt;"",$V32&lt;&gt;""),(VLOOKUP($C32,'V-LOOKUP'!$C$4:$M$59,9,FALSE)),"0")</f>
        <v>0</v>
      </c>
      <c r="GL32" s="192" t="str">
        <f>IF(AND($C32&lt;&gt;"",$V32&lt;&gt;""),(VLOOKUP($C32,'V-LOOKUP'!$C$4:$M$59,10,FALSE)),"0")</f>
        <v>0</v>
      </c>
      <c r="GM32" s="192" t="str">
        <f>IF(AND($C32&lt;&gt;"",$V32&lt;&gt;""),(VLOOKUP($C32,'V-LOOKUP'!$C$4:$M$59,11,FALSE)),"0")</f>
        <v>0</v>
      </c>
      <c r="GN32" s="192" t="str">
        <f>IF(AND($C32&lt;&gt;"",$V32&lt;&gt;""),(VLOOKUP($C32,'V-LOOKUP'!$C$4:$N$59,12,FALSE)),"0")</f>
        <v>0</v>
      </c>
      <c r="GO32" s="192" t="str">
        <f>IF(AND($C32&lt;&gt;"",W32&lt;&gt;""),(VLOOKUP($C32,'V-LOOKUP'!$C$4:$M$59,4,FALSE)),"0")</f>
        <v>0</v>
      </c>
      <c r="GP32" s="192" t="str">
        <f>IF(AND($C32&lt;&gt;"",$W32&lt;&gt;""),(VLOOKUP($C32,'V-LOOKUP'!$C$4:$M$59,5,FALSE)),"0")</f>
        <v>0</v>
      </c>
      <c r="GQ32" s="192" t="str">
        <f>IF(AND($C32&lt;&gt;"",$W32&lt;&gt;""),(VLOOKUP($C32,'V-LOOKUP'!$C$4:$M$59,6,FALSE)),"0")</f>
        <v>0</v>
      </c>
      <c r="GR32" s="192" t="str">
        <f>IF(AND($C32&lt;&gt;"",$W32&lt;&gt;""),(VLOOKUP($C32,'V-LOOKUP'!$C$4:$M$59,7,FALSE)),"0")</f>
        <v>0</v>
      </c>
      <c r="GS32" s="192" t="str">
        <f>IF(AND($C32&lt;&gt;"",$W32&lt;&gt;""),(VLOOKUP($C32,'V-LOOKUP'!$C$4:$M$59,8,FALSE)),"0")</f>
        <v>0</v>
      </c>
      <c r="GT32" s="192" t="str">
        <f>IF(AND($C32&lt;&gt;"",$W32&lt;&gt;""),(VLOOKUP($C32,'V-LOOKUP'!$C$4:$M$59,9,FALSE)),"0")</f>
        <v>0</v>
      </c>
      <c r="GU32" s="192" t="str">
        <f>IF(AND($C32&lt;&gt;"",$W32&lt;&gt;""),(VLOOKUP($C32,'V-LOOKUP'!$C$4:$M$59,10,FALSE)),"0")</f>
        <v>0</v>
      </c>
      <c r="GV32" s="192" t="str">
        <f>IF(AND($C32&lt;&gt;"",$W32&lt;&gt;""),(VLOOKUP($C32,'V-LOOKUP'!$C$4:$M$59,11,FALSE)),"0")</f>
        <v>0</v>
      </c>
      <c r="GW32" s="192" t="str">
        <f>IF(AND($C32&lt;&gt;"",$W32&lt;&gt;""),(VLOOKUP($C32,'V-LOOKUP'!$C$4:$N$59,12,FALSE)),"0")</f>
        <v>0</v>
      </c>
    </row>
    <row r="33" spans="1:205" ht="14.65" hidden="1" customHeight="1">
      <c r="A33" s="193"/>
      <c r="B33" s="245"/>
      <c r="C33" s="201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Y33" s="190"/>
      <c r="Z33" s="192" t="str">
        <f>IF(AND($C33&lt;&gt;"",$D33&lt;&gt;""),(VLOOKUP($C33,'V-LOOKUP'!$C$4:$M$59,4,FALSE)),"0")</f>
        <v>0</v>
      </c>
      <c r="AA33" s="192" t="str">
        <f>IF(AND($C33&lt;&gt;"",$D33&lt;&gt;""),(VLOOKUP($C33,'V-LOOKUP'!$C$4:$M$59,5,FALSE)),"0")</f>
        <v>0</v>
      </c>
      <c r="AB33" s="192" t="str">
        <f>IF(AND($C33&lt;&gt;"",$D33&lt;&gt;""),(VLOOKUP($C33,'V-LOOKUP'!$C$4:$M$59,6,FALSE)),"0")</f>
        <v>0</v>
      </c>
      <c r="AC33" s="192" t="str">
        <f>IF(AND($C33&lt;&gt;"",$D33&lt;&gt;""),(VLOOKUP($C33,'V-LOOKUP'!$C$4:$M$59,7,FALSE)),"0")</f>
        <v>0</v>
      </c>
      <c r="AD33" s="192" t="str">
        <f>IF(AND($C33&lt;&gt;"",$D33&lt;&gt;""),(VLOOKUP($C33,'V-LOOKUP'!$C$4:$M$59,8,FALSE)),"0")</f>
        <v>0</v>
      </c>
      <c r="AE33" s="192" t="str">
        <f>IF(AND($C33&lt;&gt;"",$D33&lt;&gt;""),(VLOOKUP($C33,'V-LOOKUP'!$C$4:$M$59,9,FALSE)),"0")</f>
        <v>0</v>
      </c>
      <c r="AF33" s="192" t="str">
        <f>IF(AND($C33&lt;&gt;"",$D33&lt;&gt;""),(VLOOKUP($C33,'V-LOOKUP'!$C$4:$M$59,10,FALSE)),"0")</f>
        <v>0</v>
      </c>
      <c r="AG33" s="192" t="str">
        <f>IF(AND($C33&lt;&gt;"",$D33&lt;&gt;""),(VLOOKUP($C33,'V-LOOKUP'!$C$4:$M$59,11,FALSE)),"0")</f>
        <v>0</v>
      </c>
      <c r="AH33" s="192" t="str">
        <f>IF(AND($C33&lt;&gt;"",$D33&lt;&gt;""),(VLOOKUP($C33,'V-LOOKUP'!$C$4:$N$59,12,FALSE)),"0")</f>
        <v>0</v>
      </c>
      <c r="AI33" s="192" t="str">
        <f>IF(AND($C33&lt;&gt;"",E33&lt;&gt;""),(VLOOKUP($C33,'V-LOOKUP'!$C$4:$M$59,4,FALSE)),"0")</f>
        <v>0</v>
      </c>
      <c r="AJ33" s="192" t="str">
        <f>IF(AND($C33&lt;&gt;"",$E33&lt;&gt;""),(VLOOKUP($C33,'V-LOOKUP'!$C$4:$M$59,5,FALSE)),"0")</f>
        <v>0</v>
      </c>
      <c r="AK33" s="192" t="str">
        <f>IF(AND($C33&lt;&gt;"",$E33&lt;&gt;""),(VLOOKUP($C33,'V-LOOKUP'!$C$4:$M$59,6,FALSE)),"0")</f>
        <v>0</v>
      </c>
      <c r="AL33" s="192" t="str">
        <f>IF(AND($C33&lt;&gt;"",$E33&lt;&gt;""),(VLOOKUP($C33,'V-LOOKUP'!$C$4:$M$59,7,FALSE)),"0")</f>
        <v>0</v>
      </c>
      <c r="AM33" s="192" t="str">
        <f>IF(AND($C33&lt;&gt;"",$E33&lt;&gt;""),(VLOOKUP($C33,'V-LOOKUP'!$C$4:$M$59,8,FALSE)),"0")</f>
        <v>0</v>
      </c>
      <c r="AN33" s="192" t="str">
        <f>IF(AND($C33&lt;&gt;"",$E33&lt;&gt;""),(VLOOKUP($C33,'V-LOOKUP'!$C$4:$M$59,9,FALSE)),"0")</f>
        <v>0</v>
      </c>
      <c r="AO33" s="192" t="str">
        <f>IF(AND($C33&lt;&gt;"",$E33&lt;&gt;""),(VLOOKUP($C33,'V-LOOKUP'!$C$4:$M$59,10,FALSE)),"0")</f>
        <v>0</v>
      </c>
      <c r="AP33" s="192" t="str">
        <f>IF(AND($C33&lt;&gt;"",$E33&lt;&gt;""),(VLOOKUP($C33,'V-LOOKUP'!$C$4:$M$59,11,FALSE)),"0")</f>
        <v>0</v>
      </c>
      <c r="AQ33" s="192" t="str">
        <f>IF(AND($C33&lt;&gt;"",$E33&lt;&gt;""),(VLOOKUP($C33,'V-LOOKUP'!$C$4:$N$59,12,FALSE)),"0")</f>
        <v>0</v>
      </c>
      <c r="AR33" s="192" t="str">
        <f>IF(AND($C33&lt;&gt;"",$F33&lt;&gt;""),(VLOOKUP($C33,'V-LOOKUP'!$C$4:$M$59,4,FALSE)),"0")</f>
        <v>0</v>
      </c>
      <c r="AS33" s="192" t="str">
        <f>IF(AND($C33&lt;&gt;"",$F33&lt;&gt;""),(VLOOKUP($C33,'V-LOOKUP'!$C$4:$M$59,5,FALSE)),"0")</f>
        <v>0</v>
      </c>
      <c r="AT33" s="192" t="str">
        <f>IF(AND($C33&lt;&gt;"",$F33&lt;&gt;""),(VLOOKUP($C33,'V-LOOKUP'!$C$4:$M$59,6,FALSE)),"0")</f>
        <v>0</v>
      </c>
      <c r="AU33" s="192" t="str">
        <f>IF(AND($C33&lt;&gt;"",$F33&lt;&gt;""),(VLOOKUP($C33,'V-LOOKUP'!$C$4:$M$59,7,FALSE)),"0")</f>
        <v>0</v>
      </c>
      <c r="AV33" s="192" t="str">
        <f>IF(AND($C33&lt;&gt;"",$F33&lt;&gt;""),(VLOOKUP($C33,'V-LOOKUP'!$C$4:$M$59,8,FALSE)),"0")</f>
        <v>0</v>
      </c>
      <c r="AW33" s="192" t="str">
        <f>IF(AND($C33&lt;&gt;"",$F33&lt;&gt;""),(VLOOKUP($C33,'V-LOOKUP'!$C$4:$M$59,9,FALSE)),"0")</f>
        <v>0</v>
      </c>
      <c r="AX33" s="192" t="str">
        <f>IF(AND($C33&lt;&gt;"",$F33&lt;&gt;""),(VLOOKUP($C33,'V-LOOKUP'!$C$4:$M$59,10,FALSE)),"0")</f>
        <v>0</v>
      </c>
      <c r="AY33" s="192" t="str">
        <f>IF(AND($C33&lt;&gt;"",$F33&lt;&gt;""),(VLOOKUP($C33,'V-LOOKUP'!$C$4:$M$59,11,FALSE)),"0")</f>
        <v>0</v>
      </c>
      <c r="AZ33" s="192" t="str">
        <f>IF(AND($C33&lt;&gt;"",$F33&lt;&gt;""),(VLOOKUP($C33,'V-LOOKUP'!$C$4:$N$59,12,FALSE)),"0")</f>
        <v>0</v>
      </c>
      <c r="BA33" s="192" t="str">
        <f>IF(AND($C33&lt;&gt;"",G33&lt;&gt;""),(VLOOKUP($C33,'V-LOOKUP'!$C$4:$M$59,4,FALSE)),"0")</f>
        <v>0</v>
      </c>
      <c r="BB33" s="192" t="str">
        <f>IF(AND($C33&lt;&gt;"",$G33&lt;&gt;""),(VLOOKUP($C33,'V-LOOKUP'!$C$4:$M$59,5,FALSE)),"0")</f>
        <v>0</v>
      </c>
      <c r="BC33" s="192" t="str">
        <f>IF(AND($C33&lt;&gt;"",$G33&lt;&gt;""),(VLOOKUP($C33,'V-LOOKUP'!$C$4:$M$59,6,FALSE)),"0")</f>
        <v>0</v>
      </c>
      <c r="BD33" s="192" t="str">
        <f>IF(AND($C33&lt;&gt;"",$G33&lt;&gt;""),(VLOOKUP($C33,'V-LOOKUP'!$C$4:$M$59,7,FALSE)),"0")</f>
        <v>0</v>
      </c>
      <c r="BE33" s="192" t="str">
        <f>IF(AND($C33&lt;&gt;"",$G33&lt;&gt;""),(VLOOKUP($C33,'V-LOOKUP'!$C$4:$M$59,8,FALSE)),"0")</f>
        <v>0</v>
      </c>
      <c r="BF33" s="192" t="str">
        <f>IF(AND($C33&lt;&gt;"",$G33&lt;&gt;""),(VLOOKUP($C33,'V-LOOKUP'!$C$4:$M$59,9,FALSE)),"0")</f>
        <v>0</v>
      </c>
      <c r="BG33" s="192" t="str">
        <f>IF(AND($C33&lt;&gt;"",$G33&lt;&gt;""),(VLOOKUP($C33,'V-LOOKUP'!$C$4:$M$59,10,FALSE)),"0")</f>
        <v>0</v>
      </c>
      <c r="BH33" s="192" t="str">
        <f>IF(AND($C33&lt;&gt;"",$G33&lt;&gt;""),(VLOOKUP($C33,'V-LOOKUP'!$C$4:$M$59,11,FALSE)),"0")</f>
        <v>0</v>
      </c>
      <c r="BI33" s="192" t="str">
        <f>IF(AND($C33&lt;&gt;"",$G33&lt;&gt;""),(VLOOKUP($C33,'V-LOOKUP'!$C$4:$N$59,12,FALSE)),"0")</f>
        <v>0</v>
      </c>
      <c r="BJ33" s="192" t="str">
        <f>IF(AND($C33&lt;&gt;"",H33&lt;&gt;""),(VLOOKUP($C33,'V-LOOKUP'!$C$4:$M$59,4,FALSE)),"0")</f>
        <v>0</v>
      </c>
      <c r="BK33" s="192" t="str">
        <f>IF(AND($C33&lt;&gt;"",$G33&lt;&gt;""),(VLOOKUP($C33,'V-LOOKUP'!$C$4:$M$59,5,FALSE)),"0")</f>
        <v>0</v>
      </c>
      <c r="BL33" s="192" t="str">
        <f>IF(AND($C33&lt;&gt;"",$H33&lt;&gt;""),(VLOOKUP($C33,'V-LOOKUP'!$C$4:$M$59,6,FALSE)),"0")</f>
        <v>0</v>
      </c>
      <c r="BM33" s="192" t="str">
        <f>IF(AND($C33&lt;&gt;"",$H33&lt;&gt;""),(VLOOKUP($C33,'V-LOOKUP'!$C$4:$M$59,7,FALSE)),"0")</f>
        <v>0</v>
      </c>
      <c r="BN33" s="192" t="str">
        <f>IF(AND($C33&lt;&gt;"",$H33&lt;&gt;""),(VLOOKUP($C33,'V-LOOKUP'!$C$4:$M$59,8,FALSE)),"0")</f>
        <v>0</v>
      </c>
      <c r="BO33" s="192" t="str">
        <f>IF(AND($C33&lt;&gt;"",$H33&lt;&gt;""),(VLOOKUP($C33,'V-LOOKUP'!$C$4:$M$59,9,FALSE)),"0")</f>
        <v>0</v>
      </c>
      <c r="BP33" s="192" t="str">
        <f>IF(AND($C33&lt;&gt;"",$H33&lt;&gt;""),(VLOOKUP($C33,'V-LOOKUP'!$C$4:$M$59,10,FALSE)),"0")</f>
        <v>0</v>
      </c>
      <c r="BQ33" s="192" t="str">
        <f>IF(AND($C33&lt;&gt;"",$H33&lt;&gt;""),(VLOOKUP($C33,'V-LOOKUP'!$C$4:$M$59,11,FALSE)),"0")</f>
        <v>0</v>
      </c>
      <c r="BR33" s="192" t="str">
        <f>IF(AND($C33&lt;&gt;"",$H33&lt;&gt;""),(VLOOKUP($C33,'V-LOOKUP'!$C$4:$N$59,12,FALSE)),"0")</f>
        <v>0</v>
      </c>
      <c r="BS33" s="192" t="str">
        <f>IF(AND($C33&lt;&gt;"",I33&lt;&gt;""),(VLOOKUP($C33,'V-LOOKUP'!$C$4:$M$59,4,FALSE)),"0")</f>
        <v>0</v>
      </c>
      <c r="BT33" s="192" t="str">
        <f>IF(AND($C33&lt;&gt;"",$I33&lt;&gt;""),(VLOOKUP($C33,'V-LOOKUP'!$C$4:$M$59,5,FALSE)),"0")</f>
        <v>0</v>
      </c>
      <c r="BU33" s="192" t="str">
        <f>IF(AND($C33&lt;&gt;"",$I33&lt;&gt;""),(VLOOKUP($C33,'V-LOOKUP'!$C$4:$M$59,6,FALSE)),"0")</f>
        <v>0</v>
      </c>
      <c r="BV33" s="192" t="str">
        <f>IF(AND($C33&lt;&gt;"",$I33&lt;&gt;""),(VLOOKUP($C33,'V-LOOKUP'!$C$4:$M$59,7,FALSE)),"0")</f>
        <v>0</v>
      </c>
      <c r="BW33" s="192" t="str">
        <f>IF(AND($C33&lt;&gt;"",$I33&lt;&gt;""),(VLOOKUP($C33,'V-LOOKUP'!$C$4:$M$59,8,FALSE)),"0")</f>
        <v>0</v>
      </c>
      <c r="BX33" s="192" t="str">
        <f>IF(AND($C33&lt;&gt;"",$I33&lt;&gt;""),(VLOOKUP($C33,'V-LOOKUP'!$C$4:$M$59,9,FALSE)),"0")</f>
        <v>0</v>
      </c>
      <c r="BY33" s="192" t="str">
        <f>IF(AND($C33&lt;&gt;"",$I33&lt;&gt;""),(VLOOKUP($C33,'V-LOOKUP'!$C$4:$M$59,10,FALSE)),"0")</f>
        <v>0</v>
      </c>
      <c r="BZ33" s="192" t="str">
        <f>IF(AND($C33&lt;&gt;"",$I33&lt;&gt;""),(VLOOKUP($C33,'V-LOOKUP'!$C$4:$M$59,11,FALSE)),"0")</f>
        <v>0</v>
      </c>
      <c r="CA33" s="192" t="str">
        <f>IF(AND($C33&lt;&gt;"",$I33&lt;&gt;""),(VLOOKUP($C33,'V-LOOKUP'!$C$4:$N$59,12,FALSE)),"0")</f>
        <v>0</v>
      </c>
      <c r="CB33" s="192" t="str">
        <f>IF(AND($C33&lt;&gt;"",J33&lt;&gt;""),(VLOOKUP($C33,'V-LOOKUP'!$C$4:$M$59,4,FALSE)),"0")</f>
        <v>0</v>
      </c>
      <c r="CC33" s="192" t="str">
        <f>IF(AND($C33&lt;&gt;"",$J33&lt;&gt;""),(VLOOKUP($C33,'V-LOOKUP'!$C$4:$M$59,5,FALSE)),"0")</f>
        <v>0</v>
      </c>
      <c r="CD33" s="192" t="str">
        <f>IF(AND($C33&lt;&gt;"",$J33&lt;&gt;""),(VLOOKUP($C33,'V-LOOKUP'!$C$4:$M$59,6,FALSE)),"0")</f>
        <v>0</v>
      </c>
      <c r="CE33" s="192" t="str">
        <f>IF(AND($C33&lt;&gt;"",$J33&lt;&gt;""),(VLOOKUP($C33,'V-LOOKUP'!$C$4:$M$59,7,FALSE)),"0")</f>
        <v>0</v>
      </c>
      <c r="CF33" s="192" t="str">
        <f>IF(AND($C33&lt;&gt;"",$J33&lt;&gt;""),(VLOOKUP($C33,'V-LOOKUP'!$C$4:$M$59,8,FALSE)),"0")</f>
        <v>0</v>
      </c>
      <c r="CG33" s="192" t="str">
        <f>IF(AND($C33&lt;&gt;"",$J33&lt;&gt;""),(VLOOKUP($C33,'V-LOOKUP'!$C$4:$M$59,9,FALSE)),"0")</f>
        <v>0</v>
      </c>
      <c r="CH33" s="192" t="str">
        <f>IF(AND($C33&lt;&gt;"",$J33&lt;&gt;""),(VLOOKUP($C33,'V-LOOKUP'!$C$4:$M$59,10,FALSE)),"0")</f>
        <v>0</v>
      </c>
      <c r="CI33" s="192" t="str">
        <f>IF(AND($C33&lt;&gt;"",$J33&lt;&gt;""),(VLOOKUP($C33,'V-LOOKUP'!$C$4:$M$59,11,FALSE)),"0")</f>
        <v>0</v>
      </c>
      <c r="CJ33" s="192" t="str">
        <f>IF(AND($C33&lt;&gt;"",$J33&lt;&gt;""),(VLOOKUP($C33,'V-LOOKUP'!$C$4:$N$59,12,FALSE)),"0")</f>
        <v>0</v>
      </c>
      <c r="CK33" s="192" t="str">
        <f>IF(AND($C33&lt;&gt;"",K33&lt;&gt;""),(VLOOKUP($C33,'V-LOOKUP'!$C$4:$M$59,4,FALSE)),"0")</f>
        <v>0</v>
      </c>
      <c r="CL33" s="192" t="str">
        <f>IF(AND($C33&lt;&gt;"",$K33&lt;&gt;""),(VLOOKUP($C33,'V-LOOKUP'!$C$4:$M$59,5,FALSE)),"0")</f>
        <v>0</v>
      </c>
      <c r="CM33" s="192" t="str">
        <f>IF(AND($C33&lt;&gt;"",$K33&lt;&gt;""),(VLOOKUP($C33,'V-LOOKUP'!$C$4:$M$59,6,FALSE)),"0")</f>
        <v>0</v>
      </c>
      <c r="CN33" s="192" t="str">
        <f>IF(AND($C33&lt;&gt;"",$K33&lt;&gt;""),(VLOOKUP($C33,'V-LOOKUP'!$C$4:$M$59,7,FALSE)),"0")</f>
        <v>0</v>
      </c>
      <c r="CO33" s="192" t="str">
        <f>IF(AND($C33&lt;&gt;"",$K33&lt;&gt;""),(VLOOKUP($C33,'V-LOOKUP'!$C$4:$M$59,8,FALSE)),"0")</f>
        <v>0</v>
      </c>
      <c r="CP33" s="192" t="str">
        <f>IF(AND($C33&lt;&gt;"",$K33&lt;&gt;""),(VLOOKUP($C33,'V-LOOKUP'!$C$4:$M$59,9,FALSE)),"0")</f>
        <v>0</v>
      </c>
      <c r="CQ33" s="192" t="str">
        <f>IF(AND($C33&lt;&gt;"",$K33&lt;&gt;""),(VLOOKUP($C33,'V-LOOKUP'!$C$4:$M$59,10,FALSE)),"0")</f>
        <v>0</v>
      </c>
      <c r="CR33" s="192" t="str">
        <f>IF(AND($C33&lt;&gt;"",$K33&lt;&gt;""),(VLOOKUP($C33,'V-LOOKUP'!$C$4:$M$59,11,FALSE)),"0")</f>
        <v>0</v>
      </c>
      <c r="CS33" s="192" t="str">
        <f>IF(AND($C33&lt;&gt;"",$K33&lt;&gt;""),(VLOOKUP($C33,'V-LOOKUP'!$C$4:$N$59,12,FALSE)),"0")</f>
        <v>0</v>
      </c>
      <c r="CT33" s="192" t="str">
        <f>IF(AND($C33&lt;&gt;"",L33&lt;&gt;""),(VLOOKUP($C33,'V-LOOKUP'!$C$4:$M$59,4,FALSE)),"0")</f>
        <v>0</v>
      </c>
      <c r="CU33" s="192" t="str">
        <f>IF(AND($C33&lt;&gt;"",$L33&lt;&gt;""),(VLOOKUP($C33,'V-LOOKUP'!$C$4:$M$59,5,FALSE)),"0")</f>
        <v>0</v>
      </c>
      <c r="CV33" s="192" t="str">
        <f>IF(AND($C33&lt;&gt;"",$L33&lt;&gt;""),(VLOOKUP($C33,'V-LOOKUP'!$C$4:$M$59,6,FALSE)),"0")</f>
        <v>0</v>
      </c>
      <c r="CW33" s="192" t="str">
        <f>IF(AND($C33&lt;&gt;"",$L33&lt;&gt;""),(VLOOKUP($C33,'V-LOOKUP'!$C$4:$M$59,7,FALSE)),"0")</f>
        <v>0</v>
      </c>
      <c r="CX33" s="192" t="str">
        <f>IF(AND($C33&lt;&gt;"",$L33&lt;&gt;""),(VLOOKUP($C33,'V-LOOKUP'!$C$4:$M$59,8,FALSE)),"0")</f>
        <v>0</v>
      </c>
      <c r="CY33" s="192" t="str">
        <f>IF(AND($C33&lt;&gt;"",$L33&lt;&gt;""),(VLOOKUP($C33,'V-LOOKUP'!$C$4:$M$59,9,FALSE)),"0")</f>
        <v>0</v>
      </c>
      <c r="CZ33" s="192" t="str">
        <f>IF(AND($C33&lt;&gt;"",$L33&lt;&gt;""),(VLOOKUP($C33,'V-LOOKUP'!$C$4:$M$59,10,FALSE)),"0")</f>
        <v>0</v>
      </c>
      <c r="DA33" s="192" t="str">
        <f>IF(AND($C33&lt;&gt;"",$L33&lt;&gt;""),(VLOOKUP($C33,'V-LOOKUP'!$C$4:$M$59,11,FALSE)),"0")</f>
        <v>0</v>
      </c>
      <c r="DB33" s="192" t="str">
        <f>IF(AND($C33&lt;&gt;"",$L33&lt;&gt;""),(VLOOKUP($C33,'V-LOOKUP'!$C$4:$N$59,12,FALSE)),"0")</f>
        <v>0</v>
      </c>
      <c r="DC33" s="192" t="str">
        <f>IF(AND($C33&lt;&gt;"",M33&lt;&gt;""),(VLOOKUP($C33,'V-LOOKUP'!$C$4:$M$59,4,FALSE)),"0")</f>
        <v>0</v>
      </c>
      <c r="DD33" s="192" t="str">
        <f>IF(AND($C33&lt;&gt;"",$M33&lt;&gt;""),(VLOOKUP($C33,'V-LOOKUP'!$C$4:$M$59,5,FALSE)),"0")</f>
        <v>0</v>
      </c>
      <c r="DE33" s="192" t="str">
        <f>IF(AND($C33&lt;&gt;"",$M33&lt;&gt;""),(VLOOKUP($C33,'V-LOOKUP'!$C$4:$M$59,6,FALSE)),"0")</f>
        <v>0</v>
      </c>
      <c r="DF33" s="192" t="str">
        <f>IF(AND($C33&lt;&gt;"",$M33&lt;&gt;""),(VLOOKUP($C33,'V-LOOKUP'!$C$4:$M$59,7,FALSE)),"0")</f>
        <v>0</v>
      </c>
      <c r="DG33" s="192" t="str">
        <f>IF(AND($C33&lt;&gt;"",$M33&lt;&gt;""),(VLOOKUP($C33,'V-LOOKUP'!$C$4:$M$59,8,FALSE)),"0")</f>
        <v>0</v>
      </c>
      <c r="DH33" s="192" t="str">
        <f>IF(AND($C33&lt;&gt;"",$M33&lt;&gt;""),(VLOOKUP($C33,'V-LOOKUP'!$C$4:$M$59,9,FALSE)),"0")</f>
        <v>0</v>
      </c>
      <c r="DI33" s="192" t="str">
        <f>IF(AND($C33&lt;&gt;"",$M33&lt;&gt;""),(VLOOKUP($C33,'V-LOOKUP'!$C$4:$M$59,10,FALSE)),"0")</f>
        <v>0</v>
      </c>
      <c r="DJ33" s="192" t="str">
        <f>IF(AND($C33&lt;&gt;"",$M33&lt;&gt;""),(VLOOKUP($C33,'V-LOOKUP'!$C$4:$M$59,11,FALSE)),"0")</f>
        <v>0</v>
      </c>
      <c r="DK33" s="192" t="str">
        <f>IF(AND($C33&lt;&gt;"",$M33&lt;&gt;""),(VLOOKUP($C33,'V-LOOKUP'!$C$4:$N$59,12,FALSE)),"0")</f>
        <v>0</v>
      </c>
      <c r="DL33" s="192" t="str">
        <f>IF(AND($C33&lt;&gt;"",$N33&lt;&gt;""),(VLOOKUP($C33,'V-LOOKUP'!$C$4:$M$59,4,FALSE)),"0")</f>
        <v>0</v>
      </c>
      <c r="DM33" s="192" t="str">
        <f>IF(AND($C33&lt;&gt;"",$N33&lt;&gt;""),(VLOOKUP($C33,'V-LOOKUP'!$C$4:$M$59,5,FALSE)),"0")</f>
        <v>0</v>
      </c>
      <c r="DN33" s="192" t="str">
        <f>IF(AND($C33&lt;&gt;"",$N33&lt;&gt;""),(VLOOKUP($C33,'V-LOOKUP'!$C$4:$M$59,6,FALSE)),"0")</f>
        <v>0</v>
      </c>
      <c r="DO33" s="192" t="str">
        <f>IF(AND($C33&lt;&gt;"",$N33&lt;&gt;""),(VLOOKUP($C33,'V-LOOKUP'!$C$4:$M$59,7,FALSE)),"0")</f>
        <v>0</v>
      </c>
      <c r="DP33" s="192" t="str">
        <f>IF(AND($C33&lt;&gt;"",$N33&lt;&gt;""),(VLOOKUP($C33,'V-LOOKUP'!$C$4:$M$59,8,FALSE)),"0")</f>
        <v>0</v>
      </c>
      <c r="DQ33" s="192" t="str">
        <f>IF(AND($C33&lt;&gt;"",$N33&lt;&gt;""),(VLOOKUP($C33,'V-LOOKUP'!$C$4:$M$59,9,FALSE)),"0")</f>
        <v>0</v>
      </c>
      <c r="DR33" s="192" t="str">
        <f>IF(AND($C33&lt;&gt;"",$N33&lt;&gt;""),(VLOOKUP($C33,'V-LOOKUP'!$C$4:$M$59,10,FALSE)),"0")</f>
        <v>0</v>
      </c>
      <c r="DS33" s="192" t="str">
        <f>IF(AND($C33&lt;&gt;"",$N33&lt;&gt;""),(VLOOKUP($C33,'V-LOOKUP'!$C$4:$M$59,11,FALSE)),"0")</f>
        <v>0</v>
      </c>
      <c r="DT33" s="192" t="str">
        <f>IF(AND($C33&lt;&gt;"",$N33&lt;&gt;""),(VLOOKUP($C33,'V-LOOKUP'!$C$4:$N$59,12,FALSE)),"0")</f>
        <v>0</v>
      </c>
      <c r="DU33" s="192" t="str">
        <f>IF(AND($C33&lt;&gt;"",O33&lt;&gt;""),(VLOOKUP($C33,'V-LOOKUP'!$C$4:$M$59,4,FALSE)),"0")</f>
        <v>0</v>
      </c>
      <c r="DV33" s="192" t="str">
        <f>IF(AND($C33&lt;&gt;"",$O33&lt;&gt;""),(VLOOKUP($C33,'V-LOOKUP'!$C$4:$M$59,5,FALSE)),"0")</f>
        <v>0</v>
      </c>
      <c r="DW33" s="192" t="str">
        <f>IF(AND($C33&lt;&gt;"",$O33&lt;&gt;""),(VLOOKUP($C33,'V-LOOKUP'!$C$4:$M$59,6,FALSE)),"0")</f>
        <v>0</v>
      </c>
      <c r="DX33" s="192" t="str">
        <f>IF(AND($C33&lt;&gt;"",$O33&lt;&gt;""),(VLOOKUP($C33,'V-LOOKUP'!$C$4:$M$59,7,FALSE)),"0")</f>
        <v>0</v>
      </c>
      <c r="DY33" s="192" t="str">
        <f>IF(AND($C33&lt;&gt;"",$O33&lt;&gt;""),(VLOOKUP($C33,'V-LOOKUP'!$C$4:$M$59,8,FALSE)),"0")</f>
        <v>0</v>
      </c>
      <c r="DZ33" s="192" t="str">
        <f>IF(AND($C33&lt;&gt;"",$O33&lt;&gt;""),(VLOOKUP($C33,'V-LOOKUP'!$C$4:$M$59,9,FALSE)),"0")</f>
        <v>0</v>
      </c>
      <c r="EA33" s="192" t="str">
        <f>IF(AND($C33&lt;&gt;"",$O33&lt;&gt;""),(VLOOKUP($C33,'V-LOOKUP'!$C$4:$M$59,10,FALSE)),"0")</f>
        <v>0</v>
      </c>
      <c r="EB33" s="192" t="str">
        <f>IF(AND($C33&lt;&gt;"",$O33&lt;&gt;""),(VLOOKUP($C33,'V-LOOKUP'!$C$4:$M$59,11,FALSE)),"0")</f>
        <v>0</v>
      </c>
      <c r="EC33" s="192" t="str">
        <f>IF(AND($C33&lt;&gt;"",$O33&lt;&gt;""),(VLOOKUP($C33,'V-LOOKUP'!$C$4:$N$59,12,FALSE)),"0")</f>
        <v>0</v>
      </c>
      <c r="ED33" s="192" t="str">
        <f>IF(AND($C33&lt;&gt;"",P33&lt;&gt;""),(VLOOKUP($C33,'V-LOOKUP'!$C$4:$M$59,4,FALSE)),"0")</f>
        <v>0</v>
      </c>
      <c r="EE33" s="192" t="str">
        <f>IF(AND($C33&lt;&gt;"",$P33&lt;&gt;""),(VLOOKUP($C33,'V-LOOKUP'!$C$4:$M$59,5,FALSE)),"0")</f>
        <v>0</v>
      </c>
      <c r="EF33" s="192" t="str">
        <f>IF(AND($C33&lt;&gt;"",$P33&lt;&gt;""),(VLOOKUP($C33,'V-LOOKUP'!$C$4:$M$59,6,FALSE)),"0")</f>
        <v>0</v>
      </c>
      <c r="EG33" s="192" t="str">
        <f>IF(AND($C33&lt;&gt;"",$P33&lt;&gt;""),(VLOOKUP($C33,'V-LOOKUP'!$C$4:$M$59,7,FALSE)),"0")</f>
        <v>0</v>
      </c>
      <c r="EH33" s="192" t="str">
        <f>IF(AND($C33&lt;&gt;"",$P33&lt;&gt;""),(VLOOKUP($C33,'V-LOOKUP'!$C$4:$M$59,8,FALSE)),"0")</f>
        <v>0</v>
      </c>
      <c r="EI33" s="192" t="str">
        <f>IF(AND($C33&lt;&gt;"",$P33&lt;&gt;""),(VLOOKUP($C33,'V-LOOKUP'!$C$4:$M$59,9,FALSE)),"0")</f>
        <v>0</v>
      </c>
      <c r="EJ33" s="192" t="str">
        <f>IF(AND($C33&lt;&gt;"",$P33&lt;&gt;""),(VLOOKUP($C33,'V-LOOKUP'!$C$4:$M$59,10,FALSE)),"0")</f>
        <v>0</v>
      </c>
      <c r="EK33" s="192" t="str">
        <f>IF(AND($C33&lt;&gt;"",$P33&lt;&gt;""),(VLOOKUP($C33,'V-LOOKUP'!$C$4:$M$59,11,FALSE)),"0")</f>
        <v>0</v>
      </c>
      <c r="EL33" s="192" t="str">
        <f>IF(AND($C33&lt;&gt;"",$P33&lt;&gt;""),(VLOOKUP($C33,'V-LOOKUP'!$C$4:$N$59,12,FALSE)),"0")</f>
        <v>0</v>
      </c>
      <c r="EM33" s="192" t="str">
        <f>IF(AND($C33&lt;&gt;"",Q33&lt;&gt;""),(VLOOKUP($C33,'V-LOOKUP'!$C$4:$M$59,4,FALSE)),"0")</f>
        <v>0</v>
      </c>
      <c r="EN33" s="192" t="str">
        <f>IF(AND($C33&lt;&gt;"",$Q33&lt;&gt;""),(VLOOKUP($C33,'V-LOOKUP'!$C$4:$M$59,5,FALSE)),"0")</f>
        <v>0</v>
      </c>
      <c r="EO33" s="192" t="str">
        <f>IF(AND($C33&lt;&gt;"",$Q33&lt;&gt;""),(VLOOKUP($C33,'V-LOOKUP'!$C$4:$M$59,6,FALSE)),"0")</f>
        <v>0</v>
      </c>
      <c r="EP33" s="192" t="str">
        <f>IF(AND($C33&lt;&gt;"",$Q33&lt;&gt;""),(VLOOKUP($C33,'V-LOOKUP'!$C$4:$M$59,7,FALSE)),"0")</f>
        <v>0</v>
      </c>
      <c r="EQ33" s="192" t="str">
        <f>IF(AND($C33&lt;&gt;"",$Q33&lt;&gt;""),(VLOOKUP($C33,'V-LOOKUP'!$C$4:$M$59,8,FALSE)),"0")</f>
        <v>0</v>
      </c>
      <c r="ER33" s="192" t="str">
        <f>IF(AND($C33&lt;&gt;"",$Q33&lt;&gt;""),(VLOOKUP($C33,'V-LOOKUP'!$C$4:$M$59,9,FALSE)),"0")</f>
        <v>0</v>
      </c>
      <c r="ES33" s="192" t="str">
        <f>IF(AND($C33&lt;&gt;"",$Q33&lt;&gt;""),(VLOOKUP($C33,'V-LOOKUP'!$C$4:$M$59,10,FALSE)),"0")</f>
        <v>0</v>
      </c>
      <c r="ET33" s="192" t="str">
        <f>IF(AND($C33&lt;&gt;"",$Q33&lt;&gt;""),(VLOOKUP($C33,'V-LOOKUP'!$C$4:$M$59,11,FALSE)),"0")</f>
        <v>0</v>
      </c>
      <c r="EU33" s="192" t="str">
        <f>IF(AND($C33&lt;&gt;"",$Q33&lt;&gt;""),(VLOOKUP($C33,'V-LOOKUP'!$C$4:$N$59,12,FALSE)),"0")</f>
        <v>0</v>
      </c>
      <c r="EV33" s="192" t="str">
        <f>IF(AND($C33&lt;&gt;"",R33&lt;&gt;""),(VLOOKUP($C33,'V-LOOKUP'!$C$4:$M$59,4,FALSE)),"0")</f>
        <v>0</v>
      </c>
      <c r="EW33" s="192" t="str">
        <f>IF(AND($C33&lt;&gt;"",$R33&lt;&gt;""),(VLOOKUP($C33,'V-LOOKUP'!$C$4:$M$59,5,FALSE)),"0")</f>
        <v>0</v>
      </c>
      <c r="EX33" s="192" t="str">
        <f>IF(AND($C33&lt;&gt;"",$R33&lt;&gt;""),(VLOOKUP($C33,'V-LOOKUP'!$C$4:$M$59,6,FALSE)),"0")</f>
        <v>0</v>
      </c>
      <c r="EY33" s="192" t="str">
        <f>IF(AND($C33&lt;&gt;"",$R33&lt;&gt;""),(VLOOKUP($C33,'V-LOOKUP'!$C$4:$M$59,7,FALSE)),"0")</f>
        <v>0</v>
      </c>
      <c r="EZ33" s="192" t="str">
        <f>IF(AND($C33&lt;&gt;"",$R33&lt;&gt;""),(VLOOKUP($C33,'V-LOOKUP'!$C$4:$M$59,8,FALSE)),"0")</f>
        <v>0</v>
      </c>
      <c r="FA33" s="192" t="str">
        <f>IF(AND($C33&lt;&gt;"",$R33&lt;&gt;""),(VLOOKUP($C33,'V-LOOKUP'!$C$4:$M$59,9,FALSE)),"0")</f>
        <v>0</v>
      </c>
      <c r="FB33" s="192" t="str">
        <f>IF(AND($C33&lt;&gt;"",$R33&lt;&gt;""),(VLOOKUP($C33,'V-LOOKUP'!$C$4:$M$59,10,FALSE)),"0")</f>
        <v>0</v>
      </c>
      <c r="FC33" s="192" t="str">
        <f>IF(AND($C33&lt;&gt;"",$R33&lt;&gt;""),(VLOOKUP($C33,'V-LOOKUP'!$C$4:$M$59,11,FALSE)),"0")</f>
        <v>0</v>
      </c>
      <c r="FD33" s="192" t="str">
        <f>IF(AND($C33&lt;&gt;"",$R33&lt;&gt;""),(VLOOKUP($C33,'V-LOOKUP'!$C$4:$N$59,12,FALSE)),"0")</f>
        <v>0</v>
      </c>
      <c r="FE33" s="192" t="str">
        <f>IF(AND($C33&lt;&gt;"",S33&lt;&gt;""),(VLOOKUP($C33,'V-LOOKUP'!$C$4:$M$59,4,FALSE)),"0")</f>
        <v>0</v>
      </c>
      <c r="FF33" s="192" t="str">
        <f>IF(AND($C33&lt;&gt;"",$S33&lt;&gt;""),(VLOOKUP($C33,'V-LOOKUP'!$C$4:$M$59,5,FALSE)),"0")</f>
        <v>0</v>
      </c>
      <c r="FG33" s="192" t="str">
        <f>IF(AND($C33&lt;&gt;"",$S33&lt;&gt;""),(VLOOKUP($C33,'V-LOOKUP'!$C$4:$M$59,6,FALSE)),"0")</f>
        <v>0</v>
      </c>
      <c r="FH33" s="192" t="str">
        <f>IF(AND($C33&lt;&gt;"",$S33&lt;&gt;""),(VLOOKUP($C33,'V-LOOKUP'!$C$4:$M$59,7,FALSE)),"0")</f>
        <v>0</v>
      </c>
      <c r="FI33" s="192" t="str">
        <f>IF(AND($C33&lt;&gt;"",$S33&lt;&gt;""),(VLOOKUP($C33,'V-LOOKUP'!$C$4:$M$59,8,FALSE)),"0")</f>
        <v>0</v>
      </c>
      <c r="FJ33" s="192" t="str">
        <f>IF(AND($C33&lt;&gt;"",$S33&lt;&gt;""),(VLOOKUP($C33,'V-LOOKUP'!$C$4:$M$59,9,FALSE)),"0")</f>
        <v>0</v>
      </c>
      <c r="FK33" s="192" t="str">
        <f>IF(AND($C33&lt;&gt;"",$S33&lt;&gt;""),(VLOOKUP($C33,'V-LOOKUP'!$C$4:$M$59,10,FALSE)),"0")</f>
        <v>0</v>
      </c>
      <c r="FL33" s="192" t="str">
        <f>IF(AND($C33&lt;&gt;"",$S33&lt;&gt;""),(VLOOKUP($C33,'V-LOOKUP'!$C$4:$M$59,11,FALSE)),"0")</f>
        <v>0</v>
      </c>
      <c r="FM33" s="192" t="str">
        <f>IF(AND($C33&lt;&gt;"",$S33&lt;&gt;""),(VLOOKUP($C33,'V-LOOKUP'!$C$4:$N$59,12,FALSE)),"0")</f>
        <v>0</v>
      </c>
      <c r="FN33" s="192" t="str">
        <f>IF(AND($C33&lt;&gt;"",T33&lt;&gt;""),(VLOOKUP($C33,'V-LOOKUP'!$C$4:$M$59,4,FALSE)),"0")</f>
        <v>0</v>
      </c>
      <c r="FO33" s="192" t="str">
        <f>IF(AND($C33&lt;&gt;"",$T33&lt;&gt;""),(VLOOKUP($C33,'V-LOOKUP'!$C$4:$M$59,5,FALSE)),"0")</f>
        <v>0</v>
      </c>
      <c r="FP33" s="192" t="str">
        <f>IF(AND($C33&lt;&gt;"",$T33&lt;&gt;""),(VLOOKUP($C33,'V-LOOKUP'!$C$4:$M$59,6,FALSE)),"0")</f>
        <v>0</v>
      </c>
      <c r="FQ33" s="192" t="str">
        <f>IF(AND($C33&lt;&gt;"",$T33&lt;&gt;""),(VLOOKUP($C33,'V-LOOKUP'!$C$4:$M$59,7,FALSE)),"0")</f>
        <v>0</v>
      </c>
      <c r="FR33" s="192" t="str">
        <f>IF(AND($C33&lt;&gt;"",$T33&lt;&gt;""),(VLOOKUP($C33,'V-LOOKUP'!$C$4:$M$59,8,FALSE)),"0")</f>
        <v>0</v>
      </c>
      <c r="FS33" s="192" t="str">
        <f>IF(AND($C33&lt;&gt;"",$T33&lt;&gt;""),(VLOOKUP($C33,'V-LOOKUP'!$C$4:$M$59,9,FALSE)),"0")</f>
        <v>0</v>
      </c>
      <c r="FT33" s="192" t="str">
        <f>IF(AND($C33&lt;&gt;"",$T33&lt;&gt;""),(VLOOKUP($C33,'V-LOOKUP'!$C$4:$M$59,10,FALSE)),"0")</f>
        <v>0</v>
      </c>
      <c r="FU33" s="192" t="str">
        <f>IF(AND($C33&lt;&gt;"",$T33&lt;&gt;""),(VLOOKUP($C33,'V-LOOKUP'!$C$4:$M$59,11,FALSE)),"0")</f>
        <v>0</v>
      </c>
      <c r="FV33" s="192" t="str">
        <f>IF(AND($C33&lt;&gt;"",$T33&lt;&gt;""),(VLOOKUP($C33,'V-LOOKUP'!$C$4:$N$59,12,FALSE)),"0")</f>
        <v>0</v>
      </c>
      <c r="FW33" s="192" t="str">
        <f>IF(AND($C33&lt;&gt;"",U33&lt;&gt;""),(VLOOKUP($C33,'V-LOOKUP'!$C$4:$M$59,4,FALSE)),"0")</f>
        <v>0</v>
      </c>
      <c r="FX33" s="192" t="str">
        <f>IF(AND($C33&lt;&gt;"",$U33&lt;&gt;""),(VLOOKUP($C33,'V-LOOKUP'!$C$4:$M$59,5,FALSE)),"0")</f>
        <v>0</v>
      </c>
      <c r="FY33" s="192" t="str">
        <f>IF(AND($C33&lt;&gt;"",$U33&lt;&gt;""),(VLOOKUP($C33,'V-LOOKUP'!$C$4:$M$59,6,FALSE)),"0")</f>
        <v>0</v>
      </c>
      <c r="FZ33" s="192" t="str">
        <f>IF(AND($C33&lt;&gt;"",$U33&lt;&gt;""),(VLOOKUP($C33,'V-LOOKUP'!$C$4:$M$59,7,FALSE)),"0")</f>
        <v>0</v>
      </c>
      <c r="GA33" s="192" t="str">
        <f>IF(AND($C33&lt;&gt;"",$U33&lt;&gt;""),(VLOOKUP($C33,'V-LOOKUP'!$C$4:$M$59,8,FALSE)),"0")</f>
        <v>0</v>
      </c>
      <c r="GB33" s="192" t="str">
        <f>IF(AND($C33&lt;&gt;"",$U33&lt;&gt;""),(VLOOKUP($C33,'V-LOOKUP'!$C$4:$M$59,9,FALSE)),"0")</f>
        <v>0</v>
      </c>
      <c r="GC33" s="192" t="str">
        <f>IF(AND($C33&lt;&gt;"",$U33&lt;&gt;""),(VLOOKUP($C33,'V-LOOKUP'!$C$4:$M$59,10,FALSE)),"0")</f>
        <v>0</v>
      </c>
      <c r="GD33" s="192" t="str">
        <f>IF(AND($C33&lt;&gt;"",$U33&lt;&gt;""),(VLOOKUP($C33,'V-LOOKUP'!$C$4:$M$59,11,FALSE)),"0")</f>
        <v>0</v>
      </c>
      <c r="GE33" s="192" t="str">
        <f>IF(AND($C33&lt;&gt;"",$U33&lt;&gt;""),(VLOOKUP($C33,'V-LOOKUP'!$C$4:$N$59,12,FALSE)),"0")</f>
        <v>0</v>
      </c>
      <c r="GF33" s="192" t="str">
        <f>IF(AND($C33&lt;&gt;"",V33&lt;&gt;""),(VLOOKUP($C33,'V-LOOKUP'!$C$4:$M$59,4,FALSE)),"0")</f>
        <v>0</v>
      </c>
      <c r="GG33" s="192" t="str">
        <f>IF(AND($C33&lt;&gt;"",$V33&lt;&gt;""),(VLOOKUP($C33,'V-LOOKUP'!$C$4:$M$59,5,FALSE)),"0")</f>
        <v>0</v>
      </c>
      <c r="GH33" s="192" t="str">
        <f>IF(AND($C33&lt;&gt;"",$V33&lt;&gt;""),(VLOOKUP($C33,'V-LOOKUP'!$C$4:$M$59,6,FALSE)),"0")</f>
        <v>0</v>
      </c>
      <c r="GI33" s="192" t="str">
        <f>IF(AND($C33&lt;&gt;"",$V33&lt;&gt;""),(VLOOKUP($C33,'V-LOOKUP'!$C$4:$M$59,7,FALSE)),"0")</f>
        <v>0</v>
      </c>
      <c r="GJ33" s="192" t="str">
        <f>IF(AND($C33&lt;&gt;"",$V33&lt;&gt;""),(VLOOKUP($C33,'V-LOOKUP'!$C$4:$M$59,8,FALSE)),"0")</f>
        <v>0</v>
      </c>
      <c r="GK33" s="192" t="str">
        <f>IF(AND($C33&lt;&gt;"",$V33&lt;&gt;""),(VLOOKUP($C33,'V-LOOKUP'!$C$4:$M$59,9,FALSE)),"0")</f>
        <v>0</v>
      </c>
      <c r="GL33" s="192" t="str">
        <f>IF(AND($C33&lt;&gt;"",$V33&lt;&gt;""),(VLOOKUP($C33,'V-LOOKUP'!$C$4:$M$59,10,FALSE)),"0")</f>
        <v>0</v>
      </c>
      <c r="GM33" s="192" t="str">
        <f>IF(AND($C33&lt;&gt;"",$V33&lt;&gt;""),(VLOOKUP($C33,'V-LOOKUP'!$C$4:$M$59,11,FALSE)),"0")</f>
        <v>0</v>
      </c>
      <c r="GN33" s="192" t="str">
        <f>IF(AND($C33&lt;&gt;"",$V33&lt;&gt;""),(VLOOKUP($C33,'V-LOOKUP'!$C$4:$N$59,12,FALSE)),"0")</f>
        <v>0</v>
      </c>
      <c r="GO33" s="192" t="str">
        <f>IF(AND($C33&lt;&gt;"",W33&lt;&gt;""),(VLOOKUP($C33,'V-LOOKUP'!$C$4:$M$59,4,FALSE)),"0")</f>
        <v>0</v>
      </c>
      <c r="GP33" s="192" t="str">
        <f>IF(AND($C33&lt;&gt;"",$W33&lt;&gt;""),(VLOOKUP($C33,'V-LOOKUP'!$C$4:$M$59,5,FALSE)),"0")</f>
        <v>0</v>
      </c>
      <c r="GQ33" s="192" t="str">
        <f>IF(AND($C33&lt;&gt;"",$W33&lt;&gt;""),(VLOOKUP($C33,'V-LOOKUP'!$C$4:$M$59,6,FALSE)),"0")</f>
        <v>0</v>
      </c>
      <c r="GR33" s="192" t="str">
        <f>IF(AND($C33&lt;&gt;"",$W33&lt;&gt;""),(VLOOKUP($C33,'V-LOOKUP'!$C$4:$M$59,7,FALSE)),"0")</f>
        <v>0</v>
      </c>
      <c r="GS33" s="192" t="str">
        <f>IF(AND($C33&lt;&gt;"",$W33&lt;&gt;""),(VLOOKUP($C33,'V-LOOKUP'!$C$4:$M$59,8,FALSE)),"0")</f>
        <v>0</v>
      </c>
      <c r="GT33" s="192" t="str">
        <f>IF(AND($C33&lt;&gt;"",$W33&lt;&gt;""),(VLOOKUP($C33,'V-LOOKUP'!$C$4:$M$59,9,FALSE)),"0")</f>
        <v>0</v>
      </c>
      <c r="GU33" s="192" t="str">
        <f>IF(AND($C33&lt;&gt;"",$W33&lt;&gt;""),(VLOOKUP($C33,'V-LOOKUP'!$C$4:$M$59,10,FALSE)),"0")</f>
        <v>0</v>
      </c>
      <c r="GV33" s="192" t="str">
        <f>IF(AND($C33&lt;&gt;"",$W33&lt;&gt;""),(VLOOKUP($C33,'V-LOOKUP'!$C$4:$M$59,11,FALSE)),"0")</f>
        <v>0</v>
      </c>
      <c r="GW33" s="192" t="str">
        <f>IF(AND($C33&lt;&gt;"",$W33&lt;&gt;""),(VLOOKUP($C33,'V-LOOKUP'!$C$4:$N$59,12,FALSE)),"0")</f>
        <v>0</v>
      </c>
    </row>
    <row r="34" spans="1:205" ht="13.9" hidden="1" customHeight="1">
      <c r="A34" s="193"/>
      <c r="B34" s="245"/>
      <c r="C34" s="201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Y34" s="190"/>
      <c r="Z34" s="192" t="str">
        <f>IF(AND($C34&lt;&gt;"",$D34&lt;&gt;""),(VLOOKUP($C34,'V-LOOKUP'!$C$4:$M$59,4,FALSE)),"0")</f>
        <v>0</v>
      </c>
      <c r="AA34" s="192" t="str">
        <f>IF(AND($C34&lt;&gt;"",$D34&lt;&gt;""),(VLOOKUP($C34,'V-LOOKUP'!$C$4:$M$59,5,FALSE)),"0")</f>
        <v>0</v>
      </c>
      <c r="AB34" s="192" t="str">
        <f>IF(AND($C34&lt;&gt;"",$D34&lt;&gt;""),(VLOOKUP($C34,'V-LOOKUP'!$C$4:$M$59,6,FALSE)),"0")</f>
        <v>0</v>
      </c>
      <c r="AC34" s="192" t="str">
        <f>IF(AND($C34&lt;&gt;"",$D34&lt;&gt;""),(VLOOKUP($C34,'V-LOOKUP'!$C$4:$M$59,7,FALSE)),"0")</f>
        <v>0</v>
      </c>
      <c r="AD34" s="192" t="str">
        <f>IF(AND($C34&lt;&gt;"",$D34&lt;&gt;""),(VLOOKUP($C34,'V-LOOKUP'!$C$4:$M$59,8,FALSE)),"0")</f>
        <v>0</v>
      </c>
      <c r="AE34" s="192" t="str">
        <f>IF(AND($C34&lt;&gt;"",$D34&lt;&gt;""),(VLOOKUP($C34,'V-LOOKUP'!$C$4:$M$59,9,FALSE)),"0")</f>
        <v>0</v>
      </c>
      <c r="AF34" s="192" t="str">
        <f>IF(AND($C34&lt;&gt;"",$D34&lt;&gt;""),(VLOOKUP($C34,'V-LOOKUP'!$C$4:$M$59,10,FALSE)),"0")</f>
        <v>0</v>
      </c>
      <c r="AG34" s="192" t="str">
        <f>IF(AND($C34&lt;&gt;"",$D34&lt;&gt;""),(VLOOKUP($C34,'V-LOOKUP'!$C$4:$M$59,11,FALSE)),"0")</f>
        <v>0</v>
      </c>
      <c r="AH34" s="192" t="str">
        <f>IF(AND($C34&lt;&gt;"",$D34&lt;&gt;""),(VLOOKUP($C34,'V-LOOKUP'!$C$4:$M$59,11,FALSE)),"0")</f>
        <v>0</v>
      </c>
      <c r="AI34" s="192" t="str">
        <f>IF(AND($C34&lt;&gt;"",E34&lt;&gt;""),(VLOOKUP($C34,'V-LOOKUP'!$C$4:$M$59,4,FALSE)),"0")</f>
        <v>0</v>
      </c>
      <c r="AJ34" s="192" t="str">
        <f>IF(AND($C34&lt;&gt;"",$E34&lt;&gt;""),(VLOOKUP($C34,'V-LOOKUP'!$C$4:$M$59,5,FALSE)),"0")</f>
        <v>0</v>
      </c>
      <c r="AK34" s="192" t="str">
        <f>IF(AND($C34&lt;&gt;"",$E34&lt;&gt;""),(VLOOKUP($C34,'V-LOOKUP'!$C$4:$M$59,6,FALSE)),"0")</f>
        <v>0</v>
      </c>
      <c r="AL34" s="192" t="str">
        <f>IF(AND($C34&lt;&gt;"",$E34&lt;&gt;""),(VLOOKUP($C34,'V-LOOKUP'!$C$4:$M$59,7,FALSE)),"0")</f>
        <v>0</v>
      </c>
      <c r="AM34" s="192" t="str">
        <f>IF(AND($C34&lt;&gt;"",$E34&lt;&gt;""),(VLOOKUP($C34,'V-LOOKUP'!$C$4:$M$59,8,FALSE)),"0")</f>
        <v>0</v>
      </c>
      <c r="AN34" s="192" t="str">
        <f>IF(AND($C34&lt;&gt;"",$E34&lt;&gt;""),(VLOOKUP($C34,'V-LOOKUP'!$C$4:$M$59,9,FALSE)),"0")</f>
        <v>0</v>
      </c>
      <c r="AO34" s="192" t="str">
        <f>IF(AND($C34&lt;&gt;"",$E34&lt;&gt;""),(VLOOKUP($C34,'V-LOOKUP'!$C$4:$M$59,10,FALSE)),"0")</f>
        <v>0</v>
      </c>
      <c r="AP34" s="192" t="str">
        <f>IF(AND($C34&lt;&gt;"",$E34&lt;&gt;""),(VLOOKUP($C34,'V-LOOKUP'!$C$4:$M$59,11,FALSE)),"0")</f>
        <v>0</v>
      </c>
      <c r="AQ34" s="192" t="str">
        <f>IF(AND($C34&lt;&gt;"",$E34&lt;&gt;""),(VLOOKUP($C34,'V-LOOKUP'!$C$4:$N$59,12,FALSE)),"0")</f>
        <v>0</v>
      </c>
      <c r="AR34" s="192" t="str">
        <f>IF(AND($C34&lt;&gt;"",$F34&lt;&gt;""),(VLOOKUP($C34,'V-LOOKUP'!$C$4:$M$59,4,FALSE)),"0")</f>
        <v>0</v>
      </c>
      <c r="AS34" s="192" t="str">
        <f>IF(AND($C34&lt;&gt;"",$F34&lt;&gt;""),(VLOOKUP($C34,'V-LOOKUP'!$C$4:$M$59,5,FALSE)),"0")</f>
        <v>0</v>
      </c>
      <c r="AT34" s="192" t="str">
        <f>IF(AND($C34&lt;&gt;"",$F34&lt;&gt;""),(VLOOKUP($C34,'V-LOOKUP'!$C$4:$M$59,6,FALSE)),"0")</f>
        <v>0</v>
      </c>
      <c r="AU34" s="192" t="str">
        <f>IF(AND($C34&lt;&gt;"",$F34&lt;&gt;""),(VLOOKUP($C34,'V-LOOKUP'!$C$4:$M$59,7,FALSE)),"0")</f>
        <v>0</v>
      </c>
      <c r="AV34" s="192" t="str">
        <f>IF(AND($C34&lt;&gt;"",$F34&lt;&gt;""),(VLOOKUP($C34,'V-LOOKUP'!$C$4:$M$59,8,FALSE)),"0")</f>
        <v>0</v>
      </c>
      <c r="AW34" s="192" t="str">
        <f>IF(AND($C34&lt;&gt;"",$F34&lt;&gt;""),(VLOOKUP($C34,'V-LOOKUP'!$C$4:$M$59,9,FALSE)),"0")</f>
        <v>0</v>
      </c>
      <c r="AX34" s="192" t="str">
        <f>IF(AND($C34&lt;&gt;"",$F34&lt;&gt;""),(VLOOKUP($C34,'V-LOOKUP'!$C$4:$M$59,10,FALSE)),"0")</f>
        <v>0</v>
      </c>
      <c r="AY34" s="192" t="str">
        <f>IF(AND($C34&lt;&gt;"",$F34&lt;&gt;""),(VLOOKUP($C34,'V-LOOKUP'!$C$4:$M$59,11,FALSE)),"0")</f>
        <v>0</v>
      </c>
      <c r="AZ34" s="192" t="str">
        <f>IF(AND($C34&lt;&gt;"",$F34&lt;&gt;""),(VLOOKUP($C34,'V-LOOKUP'!$C$4:$N$59,12,FALSE)),"0")</f>
        <v>0</v>
      </c>
      <c r="BA34" s="192" t="str">
        <f>IF(AND($C34&lt;&gt;"",G34&lt;&gt;""),(VLOOKUP($C34,'V-LOOKUP'!$C$4:$M$59,4,FALSE)),"0")</f>
        <v>0</v>
      </c>
      <c r="BB34" s="192" t="str">
        <f>IF(AND($C34&lt;&gt;"",$G34&lt;&gt;""),(VLOOKUP($C34,'V-LOOKUP'!$C$4:$M$59,5,FALSE)),"0")</f>
        <v>0</v>
      </c>
      <c r="BC34" s="192" t="str">
        <f>IF(AND($C34&lt;&gt;"",$G34&lt;&gt;""),(VLOOKUP($C34,'V-LOOKUP'!$C$4:$M$59,6,FALSE)),"0")</f>
        <v>0</v>
      </c>
      <c r="BD34" s="192" t="str">
        <f>IF(AND($C34&lt;&gt;"",$G34&lt;&gt;""),(VLOOKUP($C34,'V-LOOKUP'!$C$4:$M$59,7,FALSE)),"0")</f>
        <v>0</v>
      </c>
      <c r="BE34" s="192" t="str">
        <f>IF(AND($C34&lt;&gt;"",$G34&lt;&gt;""),(VLOOKUP($C34,'V-LOOKUP'!$C$4:$M$59,8,FALSE)),"0")</f>
        <v>0</v>
      </c>
      <c r="BF34" s="192" t="str">
        <f>IF(AND($C34&lt;&gt;"",$G34&lt;&gt;""),(VLOOKUP($C34,'V-LOOKUP'!$C$4:$M$59,9,FALSE)),"0")</f>
        <v>0</v>
      </c>
      <c r="BG34" s="192" t="str">
        <f>IF(AND($C34&lt;&gt;"",$G34&lt;&gt;""),(VLOOKUP($C34,'V-LOOKUP'!$C$4:$M$59,10,FALSE)),"0")</f>
        <v>0</v>
      </c>
      <c r="BH34" s="192" t="str">
        <f>IF(AND($C34&lt;&gt;"",$G34&lt;&gt;""),(VLOOKUP($C34,'V-LOOKUP'!$C$4:$M$59,11,FALSE)),"0")</f>
        <v>0</v>
      </c>
      <c r="BI34" s="192" t="str">
        <f>IF(AND($C34&lt;&gt;"",$G34&lt;&gt;""),(VLOOKUP($C34,'V-LOOKUP'!$C$4:$N$59,12,FALSE)),"0")</f>
        <v>0</v>
      </c>
      <c r="BJ34" s="192" t="str">
        <f>IF(AND($C34&lt;&gt;"",H34&lt;&gt;""),(VLOOKUP($C34,'V-LOOKUP'!$C$4:$M$59,4,FALSE)),"0")</f>
        <v>0</v>
      </c>
      <c r="BK34" s="192" t="str">
        <f>IF(AND($C34&lt;&gt;"",$G34&lt;&gt;""),(VLOOKUP($C34,'V-LOOKUP'!$C$4:$M$59,5,FALSE)),"0")</f>
        <v>0</v>
      </c>
      <c r="BL34" s="192" t="str">
        <f>IF(AND($C34&lt;&gt;"",$H34&lt;&gt;""),(VLOOKUP($C34,'V-LOOKUP'!$C$4:$M$59,6,FALSE)),"0")</f>
        <v>0</v>
      </c>
      <c r="BM34" s="192" t="str">
        <f>IF(AND($C34&lt;&gt;"",$H34&lt;&gt;""),(VLOOKUP($C34,'V-LOOKUP'!$C$4:$M$59,7,FALSE)),"0")</f>
        <v>0</v>
      </c>
      <c r="BN34" s="192" t="str">
        <f>IF(AND($C34&lt;&gt;"",$H34&lt;&gt;""),(VLOOKUP($C34,'V-LOOKUP'!$C$4:$M$59,8,FALSE)),"0")</f>
        <v>0</v>
      </c>
      <c r="BO34" s="192" t="str">
        <f>IF(AND($C34&lt;&gt;"",$H34&lt;&gt;""),(VLOOKUP($C34,'V-LOOKUP'!$C$4:$M$59,9,FALSE)),"0")</f>
        <v>0</v>
      </c>
      <c r="BP34" s="192" t="str">
        <f>IF(AND($C34&lt;&gt;"",$H34&lt;&gt;""),(VLOOKUP($C34,'V-LOOKUP'!$C$4:$M$59,10,FALSE)),"0")</f>
        <v>0</v>
      </c>
      <c r="BQ34" s="192" t="str">
        <f>IF(AND($C34&lt;&gt;"",$H34&lt;&gt;""),(VLOOKUP($C34,'V-LOOKUP'!$C$4:$M$59,11,FALSE)),"0")</f>
        <v>0</v>
      </c>
      <c r="BR34" s="192" t="str">
        <f>IF(AND($C34&lt;&gt;"",$H34&lt;&gt;""),(VLOOKUP($C34,'V-LOOKUP'!$C$4:$N$59,12,FALSE)),"0")</f>
        <v>0</v>
      </c>
      <c r="BS34" s="192" t="str">
        <f>IF(AND($C34&lt;&gt;"",I34&lt;&gt;""),(VLOOKUP($C34,'V-LOOKUP'!$C$4:$M$59,4,FALSE)),"0")</f>
        <v>0</v>
      </c>
      <c r="BT34" s="192" t="str">
        <f>IF(AND($C34&lt;&gt;"",$I34&lt;&gt;""),(VLOOKUP($C34,'V-LOOKUP'!$C$4:$M$59,5,FALSE)),"0")</f>
        <v>0</v>
      </c>
      <c r="BU34" s="192" t="str">
        <f>IF(AND($C34&lt;&gt;"",$I34&lt;&gt;""),(VLOOKUP($C34,'V-LOOKUP'!$C$4:$M$59,6,FALSE)),"0")</f>
        <v>0</v>
      </c>
      <c r="BV34" s="192" t="str">
        <f>IF(AND($C34&lt;&gt;"",$I34&lt;&gt;""),(VLOOKUP($C34,'V-LOOKUP'!$C$4:$M$59,7,FALSE)),"0")</f>
        <v>0</v>
      </c>
      <c r="BW34" s="192" t="str">
        <f>IF(AND($C34&lt;&gt;"",$I34&lt;&gt;""),(VLOOKUP($C34,'V-LOOKUP'!$C$4:$M$59,8,FALSE)),"0")</f>
        <v>0</v>
      </c>
      <c r="BX34" s="192" t="str">
        <f>IF(AND($C34&lt;&gt;"",$I34&lt;&gt;""),(VLOOKUP($C34,'V-LOOKUP'!$C$4:$M$59,9,FALSE)),"0")</f>
        <v>0</v>
      </c>
      <c r="BY34" s="192" t="str">
        <f>IF(AND($C34&lt;&gt;"",$I34&lt;&gt;""),(VLOOKUP($C34,'V-LOOKUP'!$C$4:$M$59,10,FALSE)),"0")</f>
        <v>0</v>
      </c>
      <c r="BZ34" s="192" t="str">
        <f>IF(AND($C34&lt;&gt;"",$I34&lt;&gt;""),(VLOOKUP($C34,'V-LOOKUP'!$C$4:$M$59,11,FALSE)),"0")</f>
        <v>0</v>
      </c>
      <c r="CA34" s="192" t="str">
        <f>IF(AND($C34&lt;&gt;"",$I34&lt;&gt;""),(VLOOKUP($C34,'V-LOOKUP'!$C$4:$N$59,12,FALSE)),"0")</f>
        <v>0</v>
      </c>
      <c r="CB34" s="192" t="str">
        <f>IF(AND($C34&lt;&gt;"",J34&lt;&gt;""),(VLOOKUP($C34,'V-LOOKUP'!$C$4:$M$59,4,FALSE)),"0")</f>
        <v>0</v>
      </c>
      <c r="CC34" s="192" t="str">
        <f>IF(AND($C34&lt;&gt;"",$J34&lt;&gt;""),(VLOOKUP($C34,'V-LOOKUP'!$C$4:$M$59,5,FALSE)),"0")</f>
        <v>0</v>
      </c>
      <c r="CD34" s="192" t="str">
        <f>IF(AND($C34&lt;&gt;"",$J34&lt;&gt;""),(VLOOKUP($C34,'V-LOOKUP'!$C$4:$M$59,6,FALSE)),"0")</f>
        <v>0</v>
      </c>
      <c r="CE34" s="192" t="str">
        <f>IF(AND($C34&lt;&gt;"",$J34&lt;&gt;""),(VLOOKUP($C34,'V-LOOKUP'!$C$4:$M$59,7,FALSE)),"0")</f>
        <v>0</v>
      </c>
      <c r="CF34" s="192" t="str">
        <f>IF(AND($C34&lt;&gt;"",$J34&lt;&gt;""),(VLOOKUP($C34,'V-LOOKUP'!$C$4:$M$59,8,FALSE)),"0")</f>
        <v>0</v>
      </c>
      <c r="CG34" s="192" t="str">
        <f>IF(AND($C34&lt;&gt;"",$J34&lt;&gt;""),(VLOOKUP($C34,'V-LOOKUP'!$C$4:$M$59,9,FALSE)),"0")</f>
        <v>0</v>
      </c>
      <c r="CH34" s="192" t="str">
        <f>IF(AND($C34&lt;&gt;"",$J34&lt;&gt;""),(VLOOKUP($C34,'V-LOOKUP'!$C$4:$M$59,10,FALSE)),"0")</f>
        <v>0</v>
      </c>
      <c r="CI34" s="192" t="str">
        <f>IF(AND($C34&lt;&gt;"",$J34&lt;&gt;""),(VLOOKUP($C34,'V-LOOKUP'!$C$4:$M$59,11,FALSE)),"0")</f>
        <v>0</v>
      </c>
      <c r="CJ34" s="192" t="str">
        <f>IF(AND($C34&lt;&gt;"",$J34&lt;&gt;""),(VLOOKUP($C34,'V-LOOKUP'!$C$4:$N$59,12,FALSE)),"0")</f>
        <v>0</v>
      </c>
      <c r="CK34" s="192" t="str">
        <f>IF(AND($C34&lt;&gt;"",K34&lt;&gt;""),(VLOOKUP($C34,'V-LOOKUP'!$C$4:$M$59,4,FALSE)),"0")</f>
        <v>0</v>
      </c>
      <c r="CL34" s="192" t="str">
        <f>IF(AND($C34&lt;&gt;"",$K34&lt;&gt;""),(VLOOKUP($C34,'V-LOOKUP'!$C$4:$M$59,5,FALSE)),"0")</f>
        <v>0</v>
      </c>
      <c r="CM34" s="192" t="str">
        <f>IF(AND($C34&lt;&gt;"",$K34&lt;&gt;""),(VLOOKUP($C34,'V-LOOKUP'!$C$4:$M$59,6,FALSE)),"0")</f>
        <v>0</v>
      </c>
      <c r="CN34" s="192" t="str">
        <f>IF(AND($C34&lt;&gt;"",$K34&lt;&gt;""),(VLOOKUP($C34,'V-LOOKUP'!$C$4:$M$59,7,FALSE)),"0")</f>
        <v>0</v>
      </c>
      <c r="CO34" s="192" t="str">
        <f>IF(AND($C34&lt;&gt;"",$K34&lt;&gt;""),(VLOOKUP($C34,'V-LOOKUP'!$C$4:$M$59,8,FALSE)),"0")</f>
        <v>0</v>
      </c>
      <c r="CP34" s="192" t="str">
        <f>IF(AND($C34&lt;&gt;"",$K34&lt;&gt;""),(VLOOKUP($C34,'V-LOOKUP'!$C$4:$M$59,9,FALSE)),"0")</f>
        <v>0</v>
      </c>
      <c r="CQ34" s="192" t="str">
        <f>IF(AND($C34&lt;&gt;"",$K34&lt;&gt;""),(VLOOKUP($C34,'V-LOOKUP'!$C$4:$M$59,10,FALSE)),"0")</f>
        <v>0</v>
      </c>
      <c r="CR34" s="192" t="str">
        <f>IF(AND($C34&lt;&gt;"",$K34&lt;&gt;""),(VLOOKUP($C34,'V-LOOKUP'!$C$4:$M$59,11,FALSE)),"0")</f>
        <v>0</v>
      </c>
      <c r="CS34" s="192" t="str">
        <f>IF(AND($C34&lt;&gt;"",$K34&lt;&gt;""),(VLOOKUP($C34,'V-LOOKUP'!$C$4:$N$59,12,FALSE)),"0")</f>
        <v>0</v>
      </c>
      <c r="CT34" s="192" t="str">
        <f>IF(AND($C34&lt;&gt;"",L34&lt;&gt;""),(VLOOKUP($C34,'V-LOOKUP'!$C$4:$M$59,4,FALSE)),"0")</f>
        <v>0</v>
      </c>
      <c r="CU34" s="192" t="str">
        <f>IF(AND($C34&lt;&gt;"",$L34&lt;&gt;""),(VLOOKUP($C34,'V-LOOKUP'!$C$4:$M$59,5,FALSE)),"0")</f>
        <v>0</v>
      </c>
      <c r="CV34" s="192" t="str">
        <f>IF(AND($C34&lt;&gt;"",$L34&lt;&gt;""),(VLOOKUP($C34,'V-LOOKUP'!$C$4:$M$59,6,FALSE)),"0")</f>
        <v>0</v>
      </c>
      <c r="CW34" s="192" t="str">
        <f>IF(AND($C34&lt;&gt;"",$L34&lt;&gt;""),(VLOOKUP($C34,'V-LOOKUP'!$C$4:$M$59,7,FALSE)),"0")</f>
        <v>0</v>
      </c>
      <c r="CX34" s="192" t="str">
        <f>IF(AND($C34&lt;&gt;"",$L34&lt;&gt;""),(VLOOKUP($C34,'V-LOOKUP'!$C$4:$M$59,8,FALSE)),"0")</f>
        <v>0</v>
      </c>
      <c r="CY34" s="192" t="str">
        <f>IF(AND($C34&lt;&gt;"",$L34&lt;&gt;""),(VLOOKUP($C34,'V-LOOKUP'!$C$4:$M$59,9,FALSE)),"0")</f>
        <v>0</v>
      </c>
      <c r="CZ34" s="192" t="str">
        <f>IF(AND($C34&lt;&gt;"",$L34&lt;&gt;""),(VLOOKUP($C34,'V-LOOKUP'!$C$4:$M$59,10,FALSE)),"0")</f>
        <v>0</v>
      </c>
      <c r="DA34" s="192" t="str">
        <f>IF(AND($C34&lt;&gt;"",$L34&lt;&gt;""),(VLOOKUP($C34,'V-LOOKUP'!$C$4:$M$59,11,FALSE)),"0")</f>
        <v>0</v>
      </c>
      <c r="DB34" s="192" t="str">
        <f>IF(AND($C34&lt;&gt;"",$L34&lt;&gt;""),(VLOOKUP($C34,'V-LOOKUP'!$C$4:$N$59,12,FALSE)),"0")</f>
        <v>0</v>
      </c>
      <c r="DC34" s="192" t="str">
        <f>IF(AND($C34&lt;&gt;"",M34&lt;&gt;""),(VLOOKUP($C34,'V-LOOKUP'!$C$4:$M$59,4,FALSE)),"0")</f>
        <v>0</v>
      </c>
      <c r="DD34" s="192" t="str">
        <f>IF(AND($C34&lt;&gt;"",$M34&lt;&gt;""),(VLOOKUP($C34,'V-LOOKUP'!$C$4:$M$59,5,FALSE)),"0")</f>
        <v>0</v>
      </c>
      <c r="DE34" s="192" t="str">
        <f>IF(AND($C34&lt;&gt;"",$M34&lt;&gt;""),(VLOOKUP($C34,'V-LOOKUP'!$C$4:$M$59,6,FALSE)),"0")</f>
        <v>0</v>
      </c>
      <c r="DF34" s="192" t="str">
        <f>IF(AND($C34&lt;&gt;"",$M34&lt;&gt;""),(VLOOKUP($C34,'V-LOOKUP'!$C$4:$M$59,7,FALSE)),"0")</f>
        <v>0</v>
      </c>
      <c r="DG34" s="192" t="str">
        <f>IF(AND($C34&lt;&gt;"",$M34&lt;&gt;""),(VLOOKUP($C34,'V-LOOKUP'!$C$4:$M$59,8,FALSE)),"0")</f>
        <v>0</v>
      </c>
      <c r="DH34" s="192" t="str">
        <f>IF(AND($C34&lt;&gt;"",$M34&lt;&gt;""),(VLOOKUP($C34,'V-LOOKUP'!$C$4:$M$59,9,FALSE)),"0")</f>
        <v>0</v>
      </c>
      <c r="DI34" s="192" t="str">
        <f>IF(AND($C34&lt;&gt;"",$M34&lt;&gt;""),(VLOOKUP($C34,'V-LOOKUP'!$C$4:$M$59,10,FALSE)),"0")</f>
        <v>0</v>
      </c>
      <c r="DJ34" s="192" t="str">
        <f>IF(AND($C34&lt;&gt;"",$M34&lt;&gt;""),(VLOOKUP($C34,'V-LOOKUP'!$C$4:$M$59,11,FALSE)),"0")</f>
        <v>0</v>
      </c>
      <c r="DK34" s="192" t="str">
        <f>IF(AND($C34&lt;&gt;"",$M34&lt;&gt;""),(VLOOKUP($C34,'V-LOOKUP'!$C$4:$N$59,12,FALSE)),"0")</f>
        <v>0</v>
      </c>
      <c r="DL34" s="192" t="str">
        <f>IF(AND($C34&lt;&gt;"",$N34&lt;&gt;""),(VLOOKUP($C34,'V-LOOKUP'!$C$4:$M$59,4,FALSE)),"0")</f>
        <v>0</v>
      </c>
      <c r="DM34" s="192" t="str">
        <f>IF(AND($C34&lt;&gt;"",$N34&lt;&gt;""),(VLOOKUP($C34,'V-LOOKUP'!$C$4:$M$59,5,FALSE)),"0")</f>
        <v>0</v>
      </c>
      <c r="DN34" s="192" t="str">
        <f>IF(AND($C34&lt;&gt;"",$N34&lt;&gt;""),(VLOOKUP($C34,'V-LOOKUP'!$C$4:$M$59,6,FALSE)),"0")</f>
        <v>0</v>
      </c>
      <c r="DO34" s="192" t="str">
        <f>IF(AND($C34&lt;&gt;"",$N34&lt;&gt;""),(VLOOKUP($C34,'V-LOOKUP'!$C$4:$M$59,7,FALSE)),"0")</f>
        <v>0</v>
      </c>
      <c r="DP34" s="192" t="str">
        <f>IF(AND($C34&lt;&gt;"",$N34&lt;&gt;""),(VLOOKUP($C34,'V-LOOKUP'!$C$4:$M$59,8,FALSE)),"0")</f>
        <v>0</v>
      </c>
      <c r="DQ34" s="192" t="str">
        <f>IF(AND($C34&lt;&gt;"",$N34&lt;&gt;""),(VLOOKUP($C34,'V-LOOKUP'!$C$4:$M$59,9,FALSE)),"0")</f>
        <v>0</v>
      </c>
      <c r="DR34" s="192" t="str">
        <f>IF(AND($C34&lt;&gt;"",$N34&lt;&gt;""),(VLOOKUP($C34,'V-LOOKUP'!$C$4:$M$59,10,FALSE)),"0")</f>
        <v>0</v>
      </c>
      <c r="DS34" s="192" t="str">
        <f>IF(AND($C34&lt;&gt;"",$N34&lt;&gt;""),(VLOOKUP($C34,'V-LOOKUP'!$C$4:$M$59,11,FALSE)),"0")</f>
        <v>0</v>
      </c>
      <c r="DT34" s="192" t="str">
        <f>IF(AND($C34&lt;&gt;"",$N34&lt;&gt;""),(VLOOKUP($C34,'V-LOOKUP'!$C$4:$N$59,12,FALSE)),"0")</f>
        <v>0</v>
      </c>
      <c r="DU34" s="192" t="str">
        <f>IF(AND($C34&lt;&gt;"",O34&lt;&gt;""),(VLOOKUP($C34,'V-LOOKUP'!$C$4:$M$59,4,FALSE)),"0")</f>
        <v>0</v>
      </c>
      <c r="DV34" s="192" t="str">
        <f>IF(AND($C34&lt;&gt;"",$O34&lt;&gt;""),(VLOOKUP($C34,'V-LOOKUP'!$C$4:$M$59,5,FALSE)),"0")</f>
        <v>0</v>
      </c>
      <c r="DW34" s="192" t="str">
        <f>IF(AND($C34&lt;&gt;"",$O34&lt;&gt;""),(VLOOKUP($C34,'V-LOOKUP'!$C$4:$M$59,6,FALSE)),"0")</f>
        <v>0</v>
      </c>
      <c r="DX34" s="192" t="str">
        <f>IF(AND($C34&lt;&gt;"",$O34&lt;&gt;""),(VLOOKUP($C34,'V-LOOKUP'!$C$4:$M$59,7,FALSE)),"0")</f>
        <v>0</v>
      </c>
      <c r="DY34" s="192" t="str">
        <f>IF(AND($C34&lt;&gt;"",$O34&lt;&gt;""),(VLOOKUP($C34,'V-LOOKUP'!$C$4:$M$59,8,FALSE)),"0")</f>
        <v>0</v>
      </c>
      <c r="DZ34" s="192" t="str">
        <f>IF(AND($C34&lt;&gt;"",$O34&lt;&gt;""),(VLOOKUP($C34,'V-LOOKUP'!$C$4:$M$59,9,FALSE)),"0")</f>
        <v>0</v>
      </c>
      <c r="EA34" s="192" t="str">
        <f>IF(AND($C34&lt;&gt;"",$O34&lt;&gt;""),(VLOOKUP($C34,'V-LOOKUP'!$C$4:$M$59,10,FALSE)),"0")</f>
        <v>0</v>
      </c>
      <c r="EB34" s="192" t="str">
        <f>IF(AND($C34&lt;&gt;"",$O34&lt;&gt;""),(VLOOKUP($C34,'V-LOOKUP'!$C$4:$M$59,11,FALSE)),"0")</f>
        <v>0</v>
      </c>
      <c r="EC34" s="192" t="str">
        <f>IF(AND($C34&lt;&gt;"",$O34&lt;&gt;""),(VLOOKUP($C34,'V-LOOKUP'!$C$4:$N$59,12,FALSE)),"0")</f>
        <v>0</v>
      </c>
      <c r="ED34" s="192" t="str">
        <f>IF(AND($C34&lt;&gt;"",P34&lt;&gt;""),(VLOOKUP($C34,'V-LOOKUP'!$C$4:$M$59,4,FALSE)),"0")</f>
        <v>0</v>
      </c>
      <c r="EE34" s="192" t="str">
        <f>IF(AND($C34&lt;&gt;"",$P34&lt;&gt;""),(VLOOKUP($C34,'V-LOOKUP'!$C$4:$M$59,5,FALSE)),"0")</f>
        <v>0</v>
      </c>
      <c r="EF34" s="192" t="str">
        <f>IF(AND($C34&lt;&gt;"",$P34&lt;&gt;""),(VLOOKUP($C34,'V-LOOKUP'!$C$4:$M$59,6,FALSE)),"0")</f>
        <v>0</v>
      </c>
      <c r="EG34" s="192" t="str">
        <f>IF(AND($C34&lt;&gt;"",$P34&lt;&gt;""),(VLOOKUP($C34,'V-LOOKUP'!$C$4:$M$59,7,FALSE)),"0")</f>
        <v>0</v>
      </c>
      <c r="EH34" s="192" t="str">
        <f>IF(AND($C34&lt;&gt;"",$P34&lt;&gt;""),(VLOOKUP($C34,'V-LOOKUP'!$C$4:$M$59,8,FALSE)),"0")</f>
        <v>0</v>
      </c>
      <c r="EI34" s="192" t="str">
        <f>IF(AND($C34&lt;&gt;"",$P34&lt;&gt;""),(VLOOKUP($C34,'V-LOOKUP'!$C$4:$M$59,9,FALSE)),"0")</f>
        <v>0</v>
      </c>
      <c r="EJ34" s="192" t="str">
        <f>IF(AND($C34&lt;&gt;"",$P34&lt;&gt;""),(VLOOKUP($C34,'V-LOOKUP'!$C$4:$M$59,10,FALSE)),"0")</f>
        <v>0</v>
      </c>
      <c r="EK34" s="192" t="str">
        <f>IF(AND($C34&lt;&gt;"",$P34&lt;&gt;""),(VLOOKUP($C34,'V-LOOKUP'!$C$4:$M$59,11,FALSE)),"0")</f>
        <v>0</v>
      </c>
      <c r="EL34" s="192" t="str">
        <f>IF(AND($C34&lt;&gt;"",$P34&lt;&gt;""),(VLOOKUP($C34,'V-LOOKUP'!$C$4:$N$59,12,FALSE)),"0")</f>
        <v>0</v>
      </c>
      <c r="EM34" s="192" t="str">
        <f>IF(AND($C34&lt;&gt;"",Q34&lt;&gt;""),(VLOOKUP($C34,'V-LOOKUP'!$C$4:$M$59,4,FALSE)),"0")</f>
        <v>0</v>
      </c>
      <c r="EN34" s="192" t="str">
        <f>IF(AND($C34&lt;&gt;"",$Q34&lt;&gt;""),(VLOOKUP($C34,'V-LOOKUP'!$C$4:$M$59,5,FALSE)),"0")</f>
        <v>0</v>
      </c>
      <c r="EO34" s="192" t="str">
        <f>IF(AND($C34&lt;&gt;"",$Q34&lt;&gt;""),(VLOOKUP($C34,'V-LOOKUP'!$C$4:$M$59,6,FALSE)),"0")</f>
        <v>0</v>
      </c>
      <c r="EP34" s="192" t="str">
        <f>IF(AND($C34&lt;&gt;"",$Q34&lt;&gt;""),(VLOOKUP($C34,'V-LOOKUP'!$C$4:$M$59,7,FALSE)),"0")</f>
        <v>0</v>
      </c>
      <c r="EQ34" s="192" t="str">
        <f>IF(AND($C34&lt;&gt;"",$Q34&lt;&gt;""),(VLOOKUP($C34,'V-LOOKUP'!$C$4:$M$59,8,FALSE)),"0")</f>
        <v>0</v>
      </c>
      <c r="ER34" s="192" t="str">
        <f>IF(AND($C34&lt;&gt;"",$Q34&lt;&gt;""),(VLOOKUP($C34,'V-LOOKUP'!$C$4:$M$59,9,FALSE)),"0")</f>
        <v>0</v>
      </c>
      <c r="ES34" s="192" t="str">
        <f>IF(AND($C34&lt;&gt;"",$Q34&lt;&gt;""),(VLOOKUP($C34,'V-LOOKUP'!$C$4:$M$59,10,FALSE)),"0")</f>
        <v>0</v>
      </c>
      <c r="ET34" s="192" t="str">
        <f>IF(AND($C34&lt;&gt;"",$Q34&lt;&gt;""),(VLOOKUP($C34,'V-LOOKUP'!$C$4:$M$59,11,FALSE)),"0")</f>
        <v>0</v>
      </c>
      <c r="EU34" s="192" t="str">
        <f>IF(AND($C34&lt;&gt;"",$Q34&lt;&gt;""),(VLOOKUP($C34,'V-LOOKUP'!$C$4:$N$59,12,FALSE)),"0")</f>
        <v>0</v>
      </c>
      <c r="EV34" s="192" t="str">
        <f>IF(AND($C34&lt;&gt;"",R34&lt;&gt;""),(VLOOKUP($C34,'V-LOOKUP'!$C$4:$M$59,4,FALSE)),"0")</f>
        <v>0</v>
      </c>
      <c r="EW34" s="192" t="str">
        <f>IF(AND($C34&lt;&gt;"",$R34&lt;&gt;""),(VLOOKUP($C34,'V-LOOKUP'!$C$4:$M$59,5,FALSE)),"0")</f>
        <v>0</v>
      </c>
      <c r="EX34" s="192" t="str">
        <f>IF(AND($C34&lt;&gt;"",$R34&lt;&gt;""),(VLOOKUP($C34,'V-LOOKUP'!$C$4:$M$59,6,FALSE)),"0")</f>
        <v>0</v>
      </c>
      <c r="EY34" s="192" t="str">
        <f>IF(AND($C34&lt;&gt;"",$R34&lt;&gt;""),(VLOOKUP($C34,'V-LOOKUP'!$C$4:$M$59,7,FALSE)),"0")</f>
        <v>0</v>
      </c>
      <c r="EZ34" s="192" t="str">
        <f>IF(AND($C34&lt;&gt;"",$R34&lt;&gt;""),(VLOOKUP($C34,'V-LOOKUP'!$C$4:$M$59,8,FALSE)),"0")</f>
        <v>0</v>
      </c>
      <c r="FA34" s="192" t="str">
        <f>IF(AND($C34&lt;&gt;"",$R34&lt;&gt;""),(VLOOKUP($C34,'V-LOOKUP'!$C$4:$M$59,9,FALSE)),"0")</f>
        <v>0</v>
      </c>
      <c r="FB34" s="192" t="str">
        <f>IF(AND($C34&lt;&gt;"",$R34&lt;&gt;""),(VLOOKUP($C34,'V-LOOKUP'!$C$4:$M$59,10,FALSE)),"0")</f>
        <v>0</v>
      </c>
      <c r="FC34" s="192" t="str">
        <f>IF(AND($C34&lt;&gt;"",$R34&lt;&gt;""),(VLOOKUP($C34,'V-LOOKUP'!$C$4:$M$59,11,FALSE)),"0")</f>
        <v>0</v>
      </c>
      <c r="FD34" s="192" t="str">
        <f>IF(AND($C34&lt;&gt;"",$R34&lt;&gt;""),(VLOOKUP($C34,'V-LOOKUP'!$C$4:$N$59,12,FALSE)),"0")</f>
        <v>0</v>
      </c>
      <c r="FE34" s="192" t="str">
        <f>IF(AND($C34&lt;&gt;"",S34&lt;&gt;""),(VLOOKUP($C34,'V-LOOKUP'!$C$4:$M$59,4,FALSE)),"0")</f>
        <v>0</v>
      </c>
      <c r="FF34" s="192" t="str">
        <f>IF(AND($C34&lt;&gt;"",$S34&lt;&gt;""),(VLOOKUP($C34,'V-LOOKUP'!$C$4:$M$59,5,FALSE)),"0")</f>
        <v>0</v>
      </c>
      <c r="FG34" s="192" t="str">
        <f>IF(AND($C34&lt;&gt;"",$S34&lt;&gt;""),(VLOOKUP($C34,'V-LOOKUP'!$C$4:$M$59,6,FALSE)),"0")</f>
        <v>0</v>
      </c>
      <c r="FH34" s="192" t="str">
        <f>IF(AND($C34&lt;&gt;"",$S34&lt;&gt;""),(VLOOKUP($C34,'V-LOOKUP'!$C$4:$M$59,7,FALSE)),"0")</f>
        <v>0</v>
      </c>
      <c r="FI34" s="192" t="str">
        <f>IF(AND($C34&lt;&gt;"",$S34&lt;&gt;""),(VLOOKUP($C34,'V-LOOKUP'!$C$4:$M$59,8,FALSE)),"0")</f>
        <v>0</v>
      </c>
      <c r="FJ34" s="192" t="str">
        <f>IF(AND($C34&lt;&gt;"",$S34&lt;&gt;""),(VLOOKUP($C34,'V-LOOKUP'!$C$4:$M$59,9,FALSE)),"0")</f>
        <v>0</v>
      </c>
      <c r="FK34" s="192" t="str">
        <f>IF(AND($C34&lt;&gt;"",$S34&lt;&gt;""),(VLOOKUP($C34,'V-LOOKUP'!$C$4:$M$59,10,FALSE)),"0")</f>
        <v>0</v>
      </c>
      <c r="FL34" s="192" t="str">
        <f>IF(AND($C34&lt;&gt;"",$S34&lt;&gt;""),(VLOOKUP($C34,'V-LOOKUP'!$C$4:$M$59,11,FALSE)),"0")</f>
        <v>0</v>
      </c>
      <c r="FM34" s="192" t="str">
        <f>IF(AND($C34&lt;&gt;"",$S34&lt;&gt;""),(VLOOKUP($C34,'V-LOOKUP'!$C$4:$N$59,12,FALSE)),"0")</f>
        <v>0</v>
      </c>
      <c r="FN34" s="192" t="str">
        <f>IF(AND($C34&lt;&gt;"",T34&lt;&gt;""),(VLOOKUP($C34,'V-LOOKUP'!$C$4:$M$59,4,FALSE)),"0")</f>
        <v>0</v>
      </c>
      <c r="FO34" s="192" t="str">
        <f>IF(AND($C34&lt;&gt;"",$T34&lt;&gt;""),(VLOOKUP($C34,'V-LOOKUP'!$C$4:$M$59,5,FALSE)),"0")</f>
        <v>0</v>
      </c>
      <c r="FP34" s="192" t="str">
        <f>IF(AND($C34&lt;&gt;"",$T34&lt;&gt;""),(VLOOKUP($C34,'V-LOOKUP'!$C$4:$M$59,6,FALSE)),"0")</f>
        <v>0</v>
      </c>
      <c r="FQ34" s="192" t="str">
        <f>IF(AND($C34&lt;&gt;"",$T34&lt;&gt;""),(VLOOKUP($C34,'V-LOOKUP'!$C$4:$M$59,7,FALSE)),"0")</f>
        <v>0</v>
      </c>
      <c r="FR34" s="192" t="str">
        <f>IF(AND($C34&lt;&gt;"",$T34&lt;&gt;""),(VLOOKUP($C34,'V-LOOKUP'!$C$4:$M$59,8,FALSE)),"0")</f>
        <v>0</v>
      </c>
      <c r="FS34" s="192" t="str">
        <f>IF(AND($C34&lt;&gt;"",$T34&lt;&gt;""),(VLOOKUP($C34,'V-LOOKUP'!$C$4:$M$59,9,FALSE)),"0")</f>
        <v>0</v>
      </c>
      <c r="FT34" s="192" t="str">
        <f>IF(AND($C34&lt;&gt;"",$T34&lt;&gt;""),(VLOOKUP($C34,'V-LOOKUP'!$C$4:$M$59,10,FALSE)),"0")</f>
        <v>0</v>
      </c>
      <c r="FU34" s="192" t="str">
        <f>IF(AND($C34&lt;&gt;"",$T34&lt;&gt;""),(VLOOKUP($C34,'V-LOOKUP'!$C$4:$M$59,11,FALSE)),"0")</f>
        <v>0</v>
      </c>
      <c r="FV34" s="192" t="str">
        <f>IF(AND($C34&lt;&gt;"",$T34&lt;&gt;""),(VLOOKUP($C34,'V-LOOKUP'!$C$4:$N$59,12,FALSE)),"0")</f>
        <v>0</v>
      </c>
      <c r="FW34" s="192" t="str">
        <f>IF(AND($C34&lt;&gt;"",U34&lt;&gt;""),(VLOOKUP($C34,'V-LOOKUP'!$C$4:$M$59,4,FALSE)),"0")</f>
        <v>0</v>
      </c>
      <c r="FX34" s="192" t="str">
        <f>IF(AND($C34&lt;&gt;"",$U34&lt;&gt;""),(VLOOKUP($C34,'V-LOOKUP'!$C$4:$M$59,5,FALSE)),"0")</f>
        <v>0</v>
      </c>
      <c r="FY34" s="192" t="str">
        <f>IF(AND($C34&lt;&gt;"",$U34&lt;&gt;""),(VLOOKUP($C34,'V-LOOKUP'!$C$4:$M$59,6,FALSE)),"0")</f>
        <v>0</v>
      </c>
      <c r="FZ34" s="192" t="str">
        <f>IF(AND($C34&lt;&gt;"",$U34&lt;&gt;""),(VLOOKUP($C34,'V-LOOKUP'!$C$4:$M$59,7,FALSE)),"0")</f>
        <v>0</v>
      </c>
      <c r="GA34" s="192" t="str">
        <f>IF(AND($C34&lt;&gt;"",$U34&lt;&gt;""),(VLOOKUP($C34,'V-LOOKUP'!$C$4:$M$59,8,FALSE)),"0")</f>
        <v>0</v>
      </c>
      <c r="GB34" s="192" t="str">
        <f>IF(AND($C34&lt;&gt;"",$U34&lt;&gt;""),(VLOOKUP($C34,'V-LOOKUP'!$C$4:$M$59,9,FALSE)),"0")</f>
        <v>0</v>
      </c>
      <c r="GC34" s="192" t="str">
        <f>IF(AND($C34&lt;&gt;"",$U34&lt;&gt;""),(VLOOKUP($C34,'V-LOOKUP'!$C$4:$M$59,10,FALSE)),"0")</f>
        <v>0</v>
      </c>
      <c r="GD34" s="192" t="str">
        <f>IF(AND($C34&lt;&gt;"",$U34&lt;&gt;""),(VLOOKUP($C34,'V-LOOKUP'!$C$4:$M$59,11,FALSE)),"0")</f>
        <v>0</v>
      </c>
      <c r="GE34" s="192" t="str">
        <f>IF(AND($C34&lt;&gt;"",$U34&lt;&gt;""),(VLOOKUP($C34,'V-LOOKUP'!$C$4:$N$59,12,FALSE)),"0")</f>
        <v>0</v>
      </c>
      <c r="GF34" s="192" t="str">
        <f>IF(AND($C34&lt;&gt;"",V34&lt;&gt;""),(VLOOKUP($C34,'V-LOOKUP'!$C$4:$M$59,4,FALSE)),"0")</f>
        <v>0</v>
      </c>
      <c r="GG34" s="192" t="str">
        <f>IF(AND($C34&lt;&gt;"",$V34&lt;&gt;""),(VLOOKUP($C34,'V-LOOKUP'!$C$4:$M$59,5,FALSE)),"0")</f>
        <v>0</v>
      </c>
      <c r="GH34" s="192" t="str">
        <f>IF(AND($C34&lt;&gt;"",$V34&lt;&gt;""),(VLOOKUP($C34,'V-LOOKUP'!$C$4:$M$59,6,FALSE)),"0")</f>
        <v>0</v>
      </c>
      <c r="GI34" s="192" t="str">
        <f>IF(AND($C34&lt;&gt;"",$V34&lt;&gt;""),(VLOOKUP($C34,'V-LOOKUP'!$C$4:$M$59,7,FALSE)),"0")</f>
        <v>0</v>
      </c>
      <c r="GJ34" s="192" t="str">
        <f>IF(AND($C34&lt;&gt;"",$V34&lt;&gt;""),(VLOOKUP($C34,'V-LOOKUP'!$C$4:$M$59,8,FALSE)),"0")</f>
        <v>0</v>
      </c>
      <c r="GK34" s="192" t="str">
        <f>IF(AND($C34&lt;&gt;"",$V34&lt;&gt;""),(VLOOKUP($C34,'V-LOOKUP'!$C$4:$M$59,9,FALSE)),"0")</f>
        <v>0</v>
      </c>
      <c r="GL34" s="192" t="str">
        <f>IF(AND($C34&lt;&gt;"",$V34&lt;&gt;""),(VLOOKUP($C34,'V-LOOKUP'!$C$4:$M$59,10,FALSE)),"0")</f>
        <v>0</v>
      </c>
      <c r="GM34" s="192" t="str">
        <f>IF(AND($C34&lt;&gt;"",$V34&lt;&gt;""),(VLOOKUP($C34,'V-LOOKUP'!$C$4:$M$59,11,FALSE)),"0")</f>
        <v>0</v>
      </c>
      <c r="GN34" s="192" t="str">
        <f>IF(AND($C34&lt;&gt;"",$V34&lt;&gt;""),(VLOOKUP($C34,'V-LOOKUP'!$C$4:$N$59,12,FALSE)),"0")</f>
        <v>0</v>
      </c>
      <c r="GO34" s="192" t="str">
        <f>IF(AND($C34&lt;&gt;"",W34&lt;&gt;""),(VLOOKUP($C34,'V-LOOKUP'!$C$4:$M$59,4,FALSE)),"0")</f>
        <v>0</v>
      </c>
      <c r="GP34" s="192" t="str">
        <f>IF(AND($C34&lt;&gt;"",$W34&lt;&gt;""),(VLOOKUP($C34,'V-LOOKUP'!$C$4:$M$59,5,FALSE)),"0")</f>
        <v>0</v>
      </c>
      <c r="GQ34" s="192" t="str">
        <f>IF(AND($C34&lt;&gt;"",$W34&lt;&gt;""),(VLOOKUP($C34,'V-LOOKUP'!$C$4:$M$59,6,FALSE)),"0")</f>
        <v>0</v>
      </c>
      <c r="GR34" s="192" t="str">
        <f>IF(AND($C34&lt;&gt;"",$W34&lt;&gt;""),(VLOOKUP($C34,'V-LOOKUP'!$C$4:$M$59,7,FALSE)),"0")</f>
        <v>0</v>
      </c>
      <c r="GS34" s="192" t="str">
        <f>IF(AND($C34&lt;&gt;"",$W34&lt;&gt;""),(VLOOKUP($C34,'V-LOOKUP'!$C$4:$M$59,8,FALSE)),"0")</f>
        <v>0</v>
      </c>
      <c r="GT34" s="192" t="str">
        <f>IF(AND($C34&lt;&gt;"",$W34&lt;&gt;""),(VLOOKUP($C34,'V-LOOKUP'!$C$4:$M$59,9,FALSE)),"0")</f>
        <v>0</v>
      </c>
      <c r="GU34" s="192" t="str">
        <f>IF(AND($C34&lt;&gt;"",$W34&lt;&gt;""),(VLOOKUP($C34,'V-LOOKUP'!$C$4:$M$59,10,FALSE)),"0")</f>
        <v>0</v>
      </c>
      <c r="GV34" s="192" t="str">
        <f>IF(AND($C34&lt;&gt;"",$W34&lt;&gt;""),(VLOOKUP($C34,'V-LOOKUP'!$C$4:$M$59,11,FALSE)),"0")</f>
        <v>0</v>
      </c>
      <c r="GW34" s="192" t="str">
        <f>IF(AND($C34&lt;&gt;"",$W34&lt;&gt;""),(VLOOKUP($C34,'V-LOOKUP'!$C$4:$N$59,12,FALSE)),"0")</f>
        <v>0</v>
      </c>
    </row>
    <row r="35" spans="1:205" ht="14.65" hidden="1" customHeight="1">
      <c r="A35" s="193"/>
      <c r="B35" s="246"/>
      <c r="C35" s="201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Y35" s="190"/>
      <c r="Z35" s="192" t="str">
        <f>IF(AND($C35&lt;&gt;"",$D35&lt;&gt;""),(VLOOKUP($C35,'V-LOOKUP'!$C$4:$M$59,4,FALSE)),"0")</f>
        <v>0</v>
      </c>
      <c r="AA35" s="192" t="str">
        <f>IF(AND($C35&lt;&gt;"",$D35&lt;&gt;""),(VLOOKUP($C35,'V-LOOKUP'!$C$4:$M$59,5,FALSE)),"0")</f>
        <v>0</v>
      </c>
      <c r="AB35" s="192" t="str">
        <f>IF(AND($C35&lt;&gt;"",$D35&lt;&gt;""),(VLOOKUP($C35,'V-LOOKUP'!$C$4:$M$59,6,FALSE)),"0")</f>
        <v>0</v>
      </c>
      <c r="AC35" s="192" t="str">
        <f>IF(AND($C35&lt;&gt;"",$D35&lt;&gt;""),(VLOOKUP($C35,'V-LOOKUP'!$C$4:$M$59,7,FALSE)),"0")</f>
        <v>0</v>
      </c>
      <c r="AD35" s="192" t="str">
        <f>IF(AND($C35&lt;&gt;"",$D35&lt;&gt;""),(VLOOKUP($C35,'V-LOOKUP'!$C$4:$M$59,8,FALSE)),"0")</f>
        <v>0</v>
      </c>
      <c r="AE35" s="192" t="str">
        <f>IF(AND($C35&lt;&gt;"",$D35&lt;&gt;""),(VLOOKUP($C35,'V-LOOKUP'!$C$4:$M$59,9,FALSE)),"0")</f>
        <v>0</v>
      </c>
      <c r="AF35" s="192" t="str">
        <f>IF(AND($C35&lt;&gt;"",$D35&lt;&gt;""),(VLOOKUP($C35,'V-LOOKUP'!$C$4:$M$59,10,FALSE)),"0")</f>
        <v>0</v>
      </c>
      <c r="AG35" s="192" t="str">
        <f>IF(AND($C35&lt;&gt;"",$D35&lt;&gt;""),(VLOOKUP($C35,'V-LOOKUP'!$C$4:$M$59,11,FALSE)),"0")</f>
        <v>0</v>
      </c>
      <c r="AH35" s="192" t="str">
        <f>IF(AND($C35&lt;&gt;"",$D35&lt;&gt;""),(VLOOKUP($C35,'V-LOOKUP'!$C$4:$M$59,11,FALSE)),"0")</f>
        <v>0</v>
      </c>
      <c r="AI35" s="192" t="str">
        <f>IF(AND($C35&lt;&gt;"",E35&lt;&gt;""),(VLOOKUP($C35,'V-LOOKUP'!$C$4:$M$59,4,FALSE)),"0")</f>
        <v>0</v>
      </c>
      <c r="AJ35" s="192" t="str">
        <f>IF(AND($C35&lt;&gt;"",$E35&lt;&gt;""),(VLOOKUP($C35,'V-LOOKUP'!$C$4:$M$59,5,FALSE)),"0")</f>
        <v>0</v>
      </c>
      <c r="AK35" s="192" t="str">
        <f>IF(AND($C35&lt;&gt;"",$E35&lt;&gt;""),(VLOOKUP($C35,'V-LOOKUP'!$C$4:$M$59,6,FALSE)),"0")</f>
        <v>0</v>
      </c>
      <c r="AL35" s="192" t="str">
        <f>IF(AND($C35&lt;&gt;"",$E35&lt;&gt;""),(VLOOKUP($C35,'V-LOOKUP'!$C$4:$M$59,7,FALSE)),"0")</f>
        <v>0</v>
      </c>
      <c r="AM35" s="192" t="str">
        <f>IF(AND($C35&lt;&gt;"",$E35&lt;&gt;""),(VLOOKUP($C35,'V-LOOKUP'!$C$4:$M$59,8,FALSE)),"0")</f>
        <v>0</v>
      </c>
      <c r="AN35" s="192" t="str">
        <f>IF(AND($C35&lt;&gt;"",$E35&lt;&gt;""),(VLOOKUP($C35,'V-LOOKUP'!$C$4:$M$59,9,FALSE)),"0")</f>
        <v>0</v>
      </c>
      <c r="AO35" s="192" t="str">
        <f>IF(AND($C35&lt;&gt;"",$E35&lt;&gt;""),(VLOOKUP($C35,'V-LOOKUP'!$C$4:$M$59,10,FALSE)),"0")</f>
        <v>0</v>
      </c>
      <c r="AP35" s="192" t="str">
        <f>IF(AND($C35&lt;&gt;"",$E35&lt;&gt;""),(VLOOKUP($C35,'V-LOOKUP'!$C$4:$M$59,11,FALSE)),"0")</f>
        <v>0</v>
      </c>
      <c r="AQ35" s="192" t="str">
        <f>IF(AND($C35&lt;&gt;"",$E35&lt;&gt;""),(VLOOKUP($C35,'V-LOOKUP'!$C$4:$N$59,12,FALSE)),"0")</f>
        <v>0</v>
      </c>
      <c r="AR35" s="192" t="str">
        <f>IF(AND($C35&lt;&gt;"",$F35&lt;&gt;""),(VLOOKUP($C35,'V-LOOKUP'!$C$4:$M$59,4,FALSE)),"0")</f>
        <v>0</v>
      </c>
      <c r="AS35" s="192" t="str">
        <f>IF(AND($C35&lt;&gt;"",$F35&lt;&gt;""),(VLOOKUP($C35,'V-LOOKUP'!$C$4:$M$59,5,FALSE)),"0")</f>
        <v>0</v>
      </c>
      <c r="AT35" s="192" t="str">
        <f>IF(AND($C35&lt;&gt;"",$F35&lt;&gt;""),(VLOOKUP($C35,'V-LOOKUP'!$C$4:$M$59,6,FALSE)),"0")</f>
        <v>0</v>
      </c>
      <c r="AU35" s="192" t="str">
        <f>IF(AND($C35&lt;&gt;"",$F35&lt;&gt;""),(VLOOKUP($C35,'V-LOOKUP'!$C$4:$M$59,7,FALSE)),"0")</f>
        <v>0</v>
      </c>
      <c r="AV35" s="192" t="str">
        <f>IF(AND($C35&lt;&gt;"",$F35&lt;&gt;""),(VLOOKUP($C35,'V-LOOKUP'!$C$4:$M$59,8,FALSE)),"0")</f>
        <v>0</v>
      </c>
      <c r="AW35" s="192" t="str">
        <f>IF(AND($C35&lt;&gt;"",$F35&lt;&gt;""),(VLOOKUP($C35,'V-LOOKUP'!$C$4:$M$59,9,FALSE)),"0")</f>
        <v>0</v>
      </c>
      <c r="AX35" s="192" t="str">
        <f>IF(AND($C35&lt;&gt;"",$F35&lt;&gt;""),(VLOOKUP($C35,'V-LOOKUP'!$C$4:$M$59,10,FALSE)),"0")</f>
        <v>0</v>
      </c>
      <c r="AY35" s="192" t="str">
        <f>IF(AND($C35&lt;&gt;"",$F35&lt;&gt;""),(VLOOKUP($C35,'V-LOOKUP'!$C$4:$M$59,11,FALSE)),"0")</f>
        <v>0</v>
      </c>
      <c r="AZ35" s="192" t="str">
        <f>IF(AND($C35&lt;&gt;"",$F35&lt;&gt;""),(VLOOKUP($C35,'V-LOOKUP'!$C$4:$N$59,12,FALSE)),"0")</f>
        <v>0</v>
      </c>
      <c r="BA35" s="192" t="str">
        <f>IF(AND($C35&lt;&gt;"",G35&lt;&gt;""),(VLOOKUP($C35,'V-LOOKUP'!$C$4:$M$59,4,FALSE)),"0")</f>
        <v>0</v>
      </c>
      <c r="BB35" s="192" t="str">
        <f>IF(AND($C35&lt;&gt;"",$G35&lt;&gt;""),(VLOOKUP($C35,'V-LOOKUP'!$C$4:$M$59,5,FALSE)),"0")</f>
        <v>0</v>
      </c>
      <c r="BC35" s="192" t="str">
        <f>IF(AND($C35&lt;&gt;"",$G35&lt;&gt;""),(VLOOKUP($C35,'V-LOOKUP'!$C$4:$M$59,6,FALSE)),"0")</f>
        <v>0</v>
      </c>
      <c r="BD35" s="192" t="str">
        <f>IF(AND($C35&lt;&gt;"",$G35&lt;&gt;""),(VLOOKUP($C35,'V-LOOKUP'!$C$4:$M$59,7,FALSE)),"0")</f>
        <v>0</v>
      </c>
      <c r="BE35" s="192" t="str">
        <f>IF(AND($C35&lt;&gt;"",$G35&lt;&gt;""),(VLOOKUP($C35,'V-LOOKUP'!$C$4:$M$59,8,FALSE)),"0")</f>
        <v>0</v>
      </c>
      <c r="BF35" s="192" t="str">
        <f>IF(AND($C35&lt;&gt;"",$G35&lt;&gt;""),(VLOOKUP($C35,'V-LOOKUP'!$C$4:$M$59,9,FALSE)),"0")</f>
        <v>0</v>
      </c>
      <c r="BG35" s="192" t="str">
        <f>IF(AND($C35&lt;&gt;"",$G35&lt;&gt;""),(VLOOKUP($C35,'V-LOOKUP'!$C$4:$M$59,10,FALSE)),"0")</f>
        <v>0</v>
      </c>
      <c r="BH35" s="192" t="str">
        <f>IF(AND($C35&lt;&gt;"",$G35&lt;&gt;""),(VLOOKUP($C35,'V-LOOKUP'!$C$4:$M$59,11,FALSE)),"0")</f>
        <v>0</v>
      </c>
      <c r="BI35" s="192" t="str">
        <f>IF(AND($C35&lt;&gt;"",$G35&lt;&gt;""),(VLOOKUP($C35,'V-LOOKUP'!$C$4:$N$59,12,FALSE)),"0")</f>
        <v>0</v>
      </c>
      <c r="BJ35" s="192" t="str">
        <f>IF(AND($C35&lt;&gt;"",H35&lt;&gt;""),(VLOOKUP($C35,'V-LOOKUP'!$C$4:$M$59,4,FALSE)),"0")</f>
        <v>0</v>
      </c>
      <c r="BK35" s="192" t="str">
        <f>IF(AND($C35&lt;&gt;"",$G35&lt;&gt;""),(VLOOKUP($C35,'V-LOOKUP'!$C$4:$M$59,5,FALSE)),"0")</f>
        <v>0</v>
      </c>
      <c r="BL35" s="192" t="str">
        <f>IF(AND($C35&lt;&gt;"",$H35&lt;&gt;""),(VLOOKUP($C35,'V-LOOKUP'!$C$4:$M$59,6,FALSE)),"0")</f>
        <v>0</v>
      </c>
      <c r="BM35" s="192" t="str">
        <f>IF(AND($C35&lt;&gt;"",$H35&lt;&gt;""),(VLOOKUP($C35,'V-LOOKUP'!$C$4:$M$59,7,FALSE)),"0")</f>
        <v>0</v>
      </c>
      <c r="BN35" s="192" t="str">
        <f>IF(AND($C35&lt;&gt;"",$H35&lt;&gt;""),(VLOOKUP($C35,'V-LOOKUP'!$C$4:$M$59,8,FALSE)),"0")</f>
        <v>0</v>
      </c>
      <c r="BO35" s="192" t="str">
        <f>IF(AND($C35&lt;&gt;"",$H35&lt;&gt;""),(VLOOKUP($C35,'V-LOOKUP'!$C$4:$M$59,9,FALSE)),"0")</f>
        <v>0</v>
      </c>
      <c r="BP35" s="192" t="str">
        <f>IF(AND($C35&lt;&gt;"",$H35&lt;&gt;""),(VLOOKUP($C35,'V-LOOKUP'!$C$4:$M$59,10,FALSE)),"0")</f>
        <v>0</v>
      </c>
      <c r="BQ35" s="192" t="str">
        <f>IF(AND($C35&lt;&gt;"",$H35&lt;&gt;""),(VLOOKUP($C35,'V-LOOKUP'!$C$4:$M$59,11,FALSE)),"0")</f>
        <v>0</v>
      </c>
      <c r="BR35" s="192" t="str">
        <f>IF(AND($C35&lt;&gt;"",$H35&lt;&gt;""),(VLOOKUP($C35,'V-LOOKUP'!$C$4:$N$59,12,FALSE)),"0")</f>
        <v>0</v>
      </c>
      <c r="BS35" s="192" t="str">
        <f>IF(AND($C35&lt;&gt;"",I35&lt;&gt;""),(VLOOKUP($C35,'V-LOOKUP'!$C$4:$M$59,4,FALSE)),"0")</f>
        <v>0</v>
      </c>
      <c r="BT35" s="192" t="str">
        <f>IF(AND($C35&lt;&gt;"",$I35&lt;&gt;""),(VLOOKUP($C35,'V-LOOKUP'!$C$4:$M$59,5,FALSE)),"0")</f>
        <v>0</v>
      </c>
      <c r="BU35" s="192" t="str">
        <f>IF(AND($C35&lt;&gt;"",$I35&lt;&gt;""),(VLOOKUP($C35,'V-LOOKUP'!$C$4:$M$59,6,FALSE)),"0")</f>
        <v>0</v>
      </c>
      <c r="BV35" s="192" t="str">
        <f>IF(AND($C35&lt;&gt;"",$I35&lt;&gt;""),(VLOOKUP($C35,'V-LOOKUP'!$C$4:$M$59,7,FALSE)),"0")</f>
        <v>0</v>
      </c>
      <c r="BW35" s="192" t="str">
        <f>IF(AND($C35&lt;&gt;"",$I35&lt;&gt;""),(VLOOKUP($C35,'V-LOOKUP'!$C$4:$M$59,8,FALSE)),"0")</f>
        <v>0</v>
      </c>
      <c r="BX35" s="192" t="str">
        <f>IF(AND($C35&lt;&gt;"",$I35&lt;&gt;""),(VLOOKUP($C35,'V-LOOKUP'!$C$4:$M$59,9,FALSE)),"0")</f>
        <v>0</v>
      </c>
      <c r="BY35" s="192" t="str">
        <f>IF(AND($C35&lt;&gt;"",$I35&lt;&gt;""),(VLOOKUP($C35,'V-LOOKUP'!$C$4:$M$59,10,FALSE)),"0")</f>
        <v>0</v>
      </c>
      <c r="BZ35" s="192" t="str">
        <f>IF(AND($C35&lt;&gt;"",$I35&lt;&gt;""),(VLOOKUP($C35,'V-LOOKUP'!$C$4:$M$59,11,FALSE)),"0")</f>
        <v>0</v>
      </c>
      <c r="CA35" s="192" t="str">
        <f>IF(AND($C35&lt;&gt;"",$I35&lt;&gt;""),(VLOOKUP($C35,'V-LOOKUP'!$C$4:$N$59,12,FALSE)),"0")</f>
        <v>0</v>
      </c>
      <c r="CB35" s="192" t="str">
        <f>IF(AND($C35&lt;&gt;"",J35&lt;&gt;""),(VLOOKUP($C35,'V-LOOKUP'!$C$4:$M$59,4,FALSE)),"0")</f>
        <v>0</v>
      </c>
      <c r="CC35" s="192" t="str">
        <f>IF(AND($C35&lt;&gt;"",$J35&lt;&gt;""),(VLOOKUP($C35,'V-LOOKUP'!$C$4:$M$59,5,FALSE)),"0")</f>
        <v>0</v>
      </c>
      <c r="CD35" s="192" t="str">
        <f>IF(AND($C35&lt;&gt;"",$J35&lt;&gt;""),(VLOOKUP($C35,'V-LOOKUP'!$C$4:$M$59,6,FALSE)),"0")</f>
        <v>0</v>
      </c>
      <c r="CE35" s="192" t="str">
        <f>IF(AND($C35&lt;&gt;"",$J35&lt;&gt;""),(VLOOKUP($C35,'V-LOOKUP'!$C$4:$M$59,7,FALSE)),"0")</f>
        <v>0</v>
      </c>
      <c r="CF35" s="192" t="str">
        <f>IF(AND($C35&lt;&gt;"",$J35&lt;&gt;""),(VLOOKUP($C35,'V-LOOKUP'!$C$4:$M$59,8,FALSE)),"0")</f>
        <v>0</v>
      </c>
      <c r="CG35" s="192" t="str">
        <f>IF(AND($C35&lt;&gt;"",$J35&lt;&gt;""),(VLOOKUP($C35,'V-LOOKUP'!$C$4:$M$59,9,FALSE)),"0")</f>
        <v>0</v>
      </c>
      <c r="CH35" s="192" t="str">
        <f>IF(AND($C35&lt;&gt;"",$J35&lt;&gt;""),(VLOOKUP($C35,'V-LOOKUP'!$C$4:$M$59,10,FALSE)),"0")</f>
        <v>0</v>
      </c>
      <c r="CI35" s="192" t="str">
        <f>IF(AND($C35&lt;&gt;"",$J35&lt;&gt;""),(VLOOKUP($C35,'V-LOOKUP'!$C$4:$M$59,11,FALSE)),"0")</f>
        <v>0</v>
      </c>
      <c r="CJ35" s="192" t="str">
        <f>IF(AND($C35&lt;&gt;"",$J35&lt;&gt;""),(VLOOKUP($C35,'V-LOOKUP'!$C$4:$N$59,12,FALSE)),"0")</f>
        <v>0</v>
      </c>
      <c r="CK35" s="192" t="str">
        <f>IF(AND($C35&lt;&gt;"",K35&lt;&gt;""),(VLOOKUP($C35,'V-LOOKUP'!$C$4:$M$59,4,FALSE)),"0")</f>
        <v>0</v>
      </c>
      <c r="CL35" s="192" t="str">
        <f>IF(AND($C35&lt;&gt;"",$K35&lt;&gt;""),(VLOOKUP($C35,'V-LOOKUP'!$C$4:$M$59,5,FALSE)),"0")</f>
        <v>0</v>
      </c>
      <c r="CM35" s="192" t="str">
        <f>IF(AND($C35&lt;&gt;"",$K35&lt;&gt;""),(VLOOKUP($C35,'V-LOOKUP'!$C$4:$M$59,6,FALSE)),"0")</f>
        <v>0</v>
      </c>
      <c r="CN35" s="192" t="str">
        <f>IF(AND($C35&lt;&gt;"",$K35&lt;&gt;""),(VLOOKUP($C35,'V-LOOKUP'!$C$4:$M$59,7,FALSE)),"0")</f>
        <v>0</v>
      </c>
      <c r="CO35" s="192" t="str">
        <f>IF(AND($C35&lt;&gt;"",$K35&lt;&gt;""),(VLOOKUP($C35,'V-LOOKUP'!$C$4:$M$59,8,FALSE)),"0")</f>
        <v>0</v>
      </c>
      <c r="CP35" s="192" t="str">
        <f>IF(AND($C35&lt;&gt;"",$K35&lt;&gt;""),(VLOOKUP($C35,'V-LOOKUP'!$C$4:$M$59,9,FALSE)),"0")</f>
        <v>0</v>
      </c>
      <c r="CQ35" s="192" t="str">
        <f>IF(AND($C35&lt;&gt;"",$K35&lt;&gt;""),(VLOOKUP($C35,'V-LOOKUP'!$C$4:$M$59,10,FALSE)),"0")</f>
        <v>0</v>
      </c>
      <c r="CR35" s="192" t="str">
        <f>IF(AND($C35&lt;&gt;"",$K35&lt;&gt;""),(VLOOKUP($C35,'V-LOOKUP'!$C$4:$M$59,11,FALSE)),"0")</f>
        <v>0</v>
      </c>
      <c r="CS35" s="192" t="str">
        <f>IF(AND($C35&lt;&gt;"",$K35&lt;&gt;""),(VLOOKUP($C35,'V-LOOKUP'!$C$4:$N$59,12,FALSE)),"0")</f>
        <v>0</v>
      </c>
      <c r="CT35" s="192" t="str">
        <f>IF(AND($C35&lt;&gt;"",L35&lt;&gt;""),(VLOOKUP($C35,'V-LOOKUP'!$C$4:$M$59,4,FALSE)),"0")</f>
        <v>0</v>
      </c>
      <c r="CU35" s="192" t="str">
        <f>IF(AND($C35&lt;&gt;"",$L35&lt;&gt;""),(VLOOKUP($C35,'V-LOOKUP'!$C$4:$M$59,5,FALSE)),"0")</f>
        <v>0</v>
      </c>
      <c r="CV35" s="192" t="str">
        <f>IF(AND($C35&lt;&gt;"",$L35&lt;&gt;""),(VLOOKUP($C35,'V-LOOKUP'!$C$4:$M$59,6,FALSE)),"0")</f>
        <v>0</v>
      </c>
      <c r="CW35" s="192" t="str">
        <f>IF(AND($C35&lt;&gt;"",$L35&lt;&gt;""),(VLOOKUP($C35,'V-LOOKUP'!$C$4:$M$59,7,FALSE)),"0")</f>
        <v>0</v>
      </c>
      <c r="CX35" s="192" t="str">
        <f>IF(AND($C35&lt;&gt;"",$L35&lt;&gt;""),(VLOOKUP($C35,'V-LOOKUP'!$C$4:$M$59,8,FALSE)),"0")</f>
        <v>0</v>
      </c>
      <c r="CY35" s="192" t="str">
        <f>IF(AND($C35&lt;&gt;"",$L35&lt;&gt;""),(VLOOKUP($C35,'V-LOOKUP'!$C$4:$M$59,9,FALSE)),"0")</f>
        <v>0</v>
      </c>
      <c r="CZ35" s="192" t="str">
        <f>IF(AND($C35&lt;&gt;"",$L35&lt;&gt;""),(VLOOKUP($C35,'V-LOOKUP'!$C$4:$M$59,10,FALSE)),"0")</f>
        <v>0</v>
      </c>
      <c r="DA35" s="192" t="str">
        <f>IF(AND($C35&lt;&gt;"",$L35&lt;&gt;""),(VLOOKUP($C35,'V-LOOKUP'!$C$4:$M$59,11,FALSE)),"0")</f>
        <v>0</v>
      </c>
      <c r="DB35" s="192" t="str">
        <f>IF(AND($C35&lt;&gt;"",$L35&lt;&gt;""),(VLOOKUP($C35,'V-LOOKUP'!$C$4:$N$59,12,FALSE)),"0")</f>
        <v>0</v>
      </c>
      <c r="DC35" s="192" t="str">
        <f>IF(AND($C35&lt;&gt;"",M35&lt;&gt;""),(VLOOKUP($C35,'V-LOOKUP'!$C$4:$M$59,4,FALSE)),"0")</f>
        <v>0</v>
      </c>
      <c r="DD35" s="192" t="str">
        <f>IF(AND($C35&lt;&gt;"",$M35&lt;&gt;""),(VLOOKUP($C35,'V-LOOKUP'!$C$4:$M$59,5,FALSE)),"0")</f>
        <v>0</v>
      </c>
      <c r="DE35" s="192" t="str">
        <f>IF(AND($C35&lt;&gt;"",$M35&lt;&gt;""),(VLOOKUP($C35,'V-LOOKUP'!$C$4:$M$59,6,FALSE)),"0")</f>
        <v>0</v>
      </c>
      <c r="DF35" s="192" t="str">
        <f>IF(AND($C35&lt;&gt;"",$M35&lt;&gt;""),(VLOOKUP($C35,'V-LOOKUP'!$C$4:$M$59,7,FALSE)),"0")</f>
        <v>0</v>
      </c>
      <c r="DG35" s="192" t="str">
        <f>IF(AND($C35&lt;&gt;"",$M35&lt;&gt;""),(VLOOKUP($C35,'V-LOOKUP'!$C$4:$M$59,8,FALSE)),"0")</f>
        <v>0</v>
      </c>
      <c r="DH35" s="192" t="str">
        <f>IF(AND($C35&lt;&gt;"",$M35&lt;&gt;""),(VLOOKUP($C35,'V-LOOKUP'!$C$4:$M$59,9,FALSE)),"0")</f>
        <v>0</v>
      </c>
      <c r="DI35" s="192" t="str">
        <f>IF(AND($C35&lt;&gt;"",$M35&lt;&gt;""),(VLOOKUP($C35,'V-LOOKUP'!$C$4:$M$59,10,FALSE)),"0")</f>
        <v>0</v>
      </c>
      <c r="DJ35" s="192" t="str">
        <f>IF(AND($C35&lt;&gt;"",$M35&lt;&gt;""),(VLOOKUP($C35,'V-LOOKUP'!$C$4:$M$59,11,FALSE)),"0")</f>
        <v>0</v>
      </c>
      <c r="DK35" s="192" t="str">
        <f>IF(AND($C35&lt;&gt;"",$M35&lt;&gt;""),(VLOOKUP($C35,'V-LOOKUP'!$C$4:$N$59,12,FALSE)),"0")</f>
        <v>0</v>
      </c>
      <c r="DL35" s="192" t="str">
        <f>IF(AND($C35&lt;&gt;"",$N35&lt;&gt;""),(VLOOKUP($C35,'V-LOOKUP'!$C$4:$M$59,4,FALSE)),"0")</f>
        <v>0</v>
      </c>
      <c r="DM35" s="192" t="str">
        <f>IF(AND($C35&lt;&gt;"",$N35&lt;&gt;""),(VLOOKUP($C35,'V-LOOKUP'!$C$4:$M$59,5,FALSE)),"0")</f>
        <v>0</v>
      </c>
      <c r="DN35" s="192" t="str">
        <f>IF(AND($C35&lt;&gt;"",$N35&lt;&gt;""),(VLOOKUP($C35,'V-LOOKUP'!$C$4:$M$59,6,FALSE)),"0")</f>
        <v>0</v>
      </c>
      <c r="DO35" s="192" t="str">
        <f>IF(AND($C35&lt;&gt;"",$N35&lt;&gt;""),(VLOOKUP($C35,'V-LOOKUP'!$C$4:$M$59,7,FALSE)),"0")</f>
        <v>0</v>
      </c>
      <c r="DP35" s="192" t="str">
        <f>IF(AND($C35&lt;&gt;"",$N35&lt;&gt;""),(VLOOKUP($C35,'V-LOOKUP'!$C$4:$M$59,8,FALSE)),"0")</f>
        <v>0</v>
      </c>
      <c r="DQ35" s="192" t="str">
        <f>IF(AND($C35&lt;&gt;"",$N35&lt;&gt;""),(VLOOKUP($C35,'V-LOOKUP'!$C$4:$M$59,9,FALSE)),"0")</f>
        <v>0</v>
      </c>
      <c r="DR35" s="192" t="str">
        <f>IF(AND($C35&lt;&gt;"",$N35&lt;&gt;""),(VLOOKUP($C35,'V-LOOKUP'!$C$4:$M$59,10,FALSE)),"0")</f>
        <v>0</v>
      </c>
      <c r="DS35" s="192" t="str">
        <f>IF(AND($C35&lt;&gt;"",$N35&lt;&gt;""),(VLOOKUP($C35,'V-LOOKUP'!$C$4:$M$59,11,FALSE)),"0")</f>
        <v>0</v>
      </c>
      <c r="DT35" s="192" t="str">
        <f>IF(AND($C35&lt;&gt;"",$N35&lt;&gt;""),(VLOOKUP($C35,'V-LOOKUP'!$C$4:$N$59,12,FALSE)),"0")</f>
        <v>0</v>
      </c>
      <c r="DU35" s="192" t="str">
        <f>IF(AND($C35&lt;&gt;"",O35&lt;&gt;""),(VLOOKUP($C35,'V-LOOKUP'!$C$4:$M$59,4,FALSE)),"0")</f>
        <v>0</v>
      </c>
      <c r="DV35" s="192" t="str">
        <f>IF(AND($C35&lt;&gt;"",$O35&lt;&gt;""),(VLOOKUP($C35,'V-LOOKUP'!$C$4:$M$59,5,FALSE)),"0")</f>
        <v>0</v>
      </c>
      <c r="DW35" s="192" t="str">
        <f>IF(AND($C35&lt;&gt;"",$O35&lt;&gt;""),(VLOOKUP($C35,'V-LOOKUP'!$C$4:$M$59,6,FALSE)),"0")</f>
        <v>0</v>
      </c>
      <c r="DX35" s="192" t="str">
        <f>IF(AND($C35&lt;&gt;"",$O35&lt;&gt;""),(VLOOKUP($C35,'V-LOOKUP'!$C$4:$M$59,7,FALSE)),"0")</f>
        <v>0</v>
      </c>
      <c r="DY35" s="192" t="str">
        <f>IF(AND($C35&lt;&gt;"",$O35&lt;&gt;""),(VLOOKUP($C35,'V-LOOKUP'!$C$4:$M$59,8,FALSE)),"0")</f>
        <v>0</v>
      </c>
      <c r="DZ35" s="192" t="str">
        <f>IF(AND($C35&lt;&gt;"",$O35&lt;&gt;""),(VLOOKUP($C35,'V-LOOKUP'!$C$4:$M$59,9,FALSE)),"0")</f>
        <v>0</v>
      </c>
      <c r="EA35" s="192" t="str">
        <f>IF(AND($C35&lt;&gt;"",$O35&lt;&gt;""),(VLOOKUP($C35,'V-LOOKUP'!$C$4:$M$59,10,FALSE)),"0")</f>
        <v>0</v>
      </c>
      <c r="EB35" s="192" t="str">
        <f>IF(AND($C35&lt;&gt;"",$O35&lt;&gt;""),(VLOOKUP($C35,'V-LOOKUP'!$C$4:$M$59,11,FALSE)),"0")</f>
        <v>0</v>
      </c>
      <c r="EC35" s="192" t="str">
        <f>IF(AND($C35&lt;&gt;"",$O35&lt;&gt;""),(VLOOKUP($C35,'V-LOOKUP'!$C$4:$N$59,12,FALSE)),"0")</f>
        <v>0</v>
      </c>
      <c r="ED35" s="192" t="str">
        <f>IF(AND($C35&lt;&gt;"",P35&lt;&gt;""),(VLOOKUP($C35,'V-LOOKUP'!$C$4:$M$59,4,FALSE)),"0")</f>
        <v>0</v>
      </c>
      <c r="EE35" s="192" t="str">
        <f>IF(AND($C35&lt;&gt;"",$P35&lt;&gt;""),(VLOOKUP($C35,'V-LOOKUP'!$C$4:$M$59,5,FALSE)),"0")</f>
        <v>0</v>
      </c>
      <c r="EF35" s="192" t="str">
        <f>IF(AND($C35&lt;&gt;"",$P35&lt;&gt;""),(VLOOKUP($C35,'V-LOOKUP'!$C$4:$M$59,6,FALSE)),"0")</f>
        <v>0</v>
      </c>
      <c r="EG35" s="192" t="str">
        <f>IF(AND($C35&lt;&gt;"",$P35&lt;&gt;""),(VLOOKUP($C35,'V-LOOKUP'!$C$4:$M$59,7,FALSE)),"0")</f>
        <v>0</v>
      </c>
      <c r="EH35" s="192" t="str">
        <f>IF(AND($C35&lt;&gt;"",$P35&lt;&gt;""),(VLOOKUP($C35,'V-LOOKUP'!$C$4:$M$59,8,FALSE)),"0")</f>
        <v>0</v>
      </c>
      <c r="EI35" s="192" t="str">
        <f>IF(AND($C35&lt;&gt;"",$P35&lt;&gt;""),(VLOOKUP($C35,'V-LOOKUP'!$C$4:$M$59,9,FALSE)),"0")</f>
        <v>0</v>
      </c>
      <c r="EJ35" s="192" t="str">
        <f>IF(AND($C35&lt;&gt;"",$P35&lt;&gt;""),(VLOOKUP($C35,'V-LOOKUP'!$C$4:$M$59,10,FALSE)),"0")</f>
        <v>0</v>
      </c>
      <c r="EK35" s="192" t="str">
        <f>IF(AND($C35&lt;&gt;"",$P35&lt;&gt;""),(VLOOKUP($C35,'V-LOOKUP'!$C$4:$M$59,11,FALSE)),"0")</f>
        <v>0</v>
      </c>
      <c r="EL35" s="192" t="str">
        <f>IF(AND($C35&lt;&gt;"",$P35&lt;&gt;""),(VLOOKUP($C35,'V-LOOKUP'!$C$4:$N$59,12,FALSE)),"0")</f>
        <v>0</v>
      </c>
      <c r="EM35" s="192" t="str">
        <f>IF(AND($C35&lt;&gt;"",Q35&lt;&gt;""),(VLOOKUP($C35,'V-LOOKUP'!$C$4:$M$59,4,FALSE)),"0")</f>
        <v>0</v>
      </c>
      <c r="EN35" s="192" t="str">
        <f>IF(AND($C35&lt;&gt;"",$Q35&lt;&gt;""),(VLOOKUP($C35,'V-LOOKUP'!$C$4:$M$59,5,FALSE)),"0")</f>
        <v>0</v>
      </c>
      <c r="EO35" s="192" t="str">
        <f>IF(AND($C35&lt;&gt;"",$Q35&lt;&gt;""),(VLOOKUP($C35,'V-LOOKUP'!$C$4:$M$59,6,FALSE)),"0")</f>
        <v>0</v>
      </c>
      <c r="EP35" s="192" t="str">
        <f>IF(AND($C35&lt;&gt;"",$Q35&lt;&gt;""),(VLOOKUP($C35,'V-LOOKUP'!$C$4:$M$59,7,FALSE)),"0")</f>
        <v>0</v>
      </c>
      <c r="EQ35" s="192" t="str">
        <f>IF(AND($C35&lt;&gt;"",$Q35&lt;&gt;""),(VLOOKUP($C35,'V-LOOKUP'!$C$4:$M$59,8,FALSE)),"0")</f>
        <v>0</v>
      </c>
      <c r="ER35" s="192" t="str">
        <f>IF(AND($C35&lt;&gt;"",$Q35&lt;&gt;""),(VLOOKUP($C35,'V-LOOKUP'!$C$4:$M$59,9,FALSE)),"0")</f>
        <v>0</v>
      </c>
      <c r="ES35" s="192" t="str">
        <f>IF(AND($C35&lt;&gt;"",$Q35&lt;&gt;""),(VLOOKUP($C35,'V-LOOKUP'!$C$4:$M$59,10,FALSE)),"0")</f>
        <v>0</v>
      </c>
      <c r="ET35" s="192" t="str">
        <f>IF(AND($C35&lt;&gt;"",$Q35&lt;&gt;""),(VLOOKUP($C35,'V-LOOKUP'!$C$4:$M$59,11,FALSE)),"0")</f>
        <v>0</v>
      </c>
      <c r="EU35" s="192" t="str">
        <f>IF(AND($C35&lt;&gt;"",$Q35&lt;&gt;""),(VLOOKUP($C35,'V-LOOKUP'!$C$4:$N$59,12,FALSE)),"0")</f>
        <v>0</v>
      </c>
      <c r="EV35" s="192" t="str">
        <f>IF(AND($C35&lt;&gt;"",R35&lt;&gt;""),(VLOOKUP($C35,'V-LOOKUP'!$C$4:$M$59,4,FALSE)),"0")</f>
        <v>0</v>
      </c>
      <c r="EW35" s="192" t="str">
        <f>IF(AND($C35&lt;&gt;"",$R35&lt;&gt;""),(VLOOKUP($C35,'V-LOOKUP'!$C$4:$M$59,5,FALSE)),"0")</f>
        <v>0</v>
      </c>
      <c r="EX35" s="192" t="str">
        <f>IF(AND($C35&lt;&gt;"",$R35&lt;&gt;""),(VLOOKUP($C35,'V-LOOKUP'!$C$4:$M$59,6,FALSE)),"0")</f>
        <v>0</v>
      </c>
      <c r="EY35" s="192" t="str">
        <f>IF(AND($C35&lt;&gt;"",$R35&lt;&gt;""),(VLOOKUP($C35,'V-LOOKUP'!$C$4:$M$59,7,FALSE)),"0")</f>
        <v>0</v>
      </c>
      <c r="EZ35" s="192" t="str">
        <f>IF(AND($C35&lt;&gt;"",$R35&lt;&gt;""),(VLOOKUP($C35,'V-LOOKUP'!$C$4:$M$59,8,FALSE)),"0")</f>
        <v>0</v>
      </c>
      <c r="FA35" s="192" t="str">
        <f>IF(AND($C35&lt;&gt;"",$R35&lt;&gt;""),(VLOOKUP($C35,'V-LOOKUP'!$C$4:$M$59,9,FALSE)),"0")</f>
        <v>0</v>
      </c>
      <c r="FB35" s="192" t="str">
        <f>IF(AND($C35&lt;&gt;"",$R35&lt;&gt;""),(VLOOKUP($C35,'V-LOOKUP'!$C$4:$M$59,10,FALSE)),"0")</f>
        <v>0</v>
      </c>
      <c r="FC35" s="192" t="str">
        <f>IF(AND($C35&lt;&gt;"",$R35&lt;&gt;""),(VLOOKUP($C35,'V-LOOKUP'!$C$4:$M$59,11,FALSE)),"0")</f>
        <v>0</v>
      </c>
      <c r="FD35" s="192" t="str">
        <f>IF(AND($C35&lt;&gt;"",$R35&lt;&gt;""),(VLOOKUP($C35,'V-LOOKUP'!$C$4:$N$59,12,FALSE)),"0")</f>
        <v>0</v>
      </c>
      <c r="FE35" s="192" t="str">
        <f>IF(AND($C35&lt;&gt;"",S35&lt;&gt;""),(VLOOKUP($C35,'V-LOOKUP'!$C$4:$M$59,4,FALSE)),"0")</f>
        <v>0</v>
      </c>
      <c r="FF35" s="192" t="str">
        <f>IF(AND($C35&lt;&gt;"",$S35&lt;&gt;""),(VLOOKUP($C35,'V-LOOKUP'!$C$4:$M$59,5,FALSE)),"0")</f>
        <v>0</v>
      </c>
      <c r="FG35" s="192" t="str">
        <f>IF(AND($C35&lt;&gt;"",$S35&lt;&gt;""),(VLOOKUP($C35,'V-LOOKUP'!$C$4:$M$59,6,FALSE)),"0")</f>
        <v>0</v>
      </c>
      <c r="FH35" s="192" t="str">
        <f>IF(AND($C35&lt;&gt;"",$S35&lt;&gt;""),(VLOOKUP($C35,'V-LOOKUP'!$C$4:$M$59,7,FALSE)),"0")</f>
        <v>0</v>
      </c>
      <c r="FI35" s="192" t="str">
        <f>IF(AND($C35&lt;&gt;"",$S35&lt;&gt;""),(VLOOKUP($C35,'V-LOOKUP'!$C$4:$M$59,8,FALSE)),"0")</f>
        <v>0</v>
      </c>
      <c r="FJ35" s="192" t="str">
        <f>IF(AND($C35&lt;&gt;"",$S35&lt;&gt;""),(VLOOKUP($C35,'V-LOOKUP'!$C$4:$M$59,9,FALSE)),"0")</f>
        <v>0</v>
      </c>
      <c r="FK35" s="192" t="str">
        <f>IF(AND($C35&lt;&gt;"",$S35&lt;&gt;""),(VLOOKUP($C35,'V-LOOKUP'!$C$4:$M$59,10,FALSE)),"0")</f>
        <v>0</v>
      </c>
      <c r="FL35" s="192" t="str">
        <f>IF(AND($C35&lt;&gt;"",$S35&lt;&gt;""),(VLOOKUP($C35,'V-LOOKUP'!$C$4:$M$59,11,FALSE)),"0")</f>
        <v>0</v>
      </c>
      <c r="FM35" s="192" t="str">
        <f>IF(AND($C35&lt;&gt;"",$S35&lt;&gt;""),(VLOOKUP($C35,'V-LOOKUP'!$C$4:$N$59,12,FALSE)),"0")</f>
        <v>0</v>
      </c>
      <c r="FN35" s="192" t="str">
        <f>IF(AND($C35&lt;&gt;"",T35&lt;&gt;""),(VLOOKUP($C35,'V-LOOKUP'!$C$4:$M$59,4,FALSE)),"0")</f>
        <v>0</v>
      </c>
      <c r="FO35" s="192" t="str">
        <f>IF(AND($C35&lt;&gt;"",$T35&lt;&gt;""),(VLOOKUP($C35,'V-LOOKUP'!$C$4:$M$59,5,FALSE)),"0")</f>
        <v>0</v>
      </c>
      <c r="FP35" s="192" t="str">
        <f>IF(AND($C35&lt;&gt;"",$T35&lt;&gt;""),(VLOOKUP($C35,'V-LOOKUP'!$C$4:$M$59,6,FALSE)),"0")</f>
        <v>0</v>
      </c>
      <c r="FQ35" s="192" t="str">
        <f>IF(AND($C35&lt;&gt;"",$T35&lt;&gt;""),(VLOOKUP($C35,'V-LOOKUP'!$C$4:$M$59,7,FALSE)),"0")</f>
        <v>0</v>
      </c>
      <c r="FR35" s="192" t="str">
        <f>IF(AND($C35&lt;&gt;"",$T35&lt;&gt;""),(VLOOKUP($C35,'V-LOOKUP'!$C$4:$M$59,8,FALSE)),"0")</f>
        <v>0</v>
      </c>
      <c r="FS35" s="192" t="str">
        <f>IF(AND($C35&lt;&gt;"",$T35&lt;&gt;""),(VLOOKUP($C35,'V-LOOKUP'!$C$4:$M$59,9,FALSE)),"0")</f>
        <v>0</v>
      </c>
      <c r="FT35" s="192" t="str">
        <f>IF(AND($C35&lt;&gt;"",$T35&lt;&gt;""),(VLOOKUP($C35,'V-LOOKUP'!$C$4:$M$59,10,FALSE)),"0")</f>
        <v>0</v>
      </c>
      <c r="FU35" s="192" t="str">
        <f>IF(AND($C35&lt;&gt;"",$T35&lt;&gt;""),(VLOOKUP($C35,'V-LOOKUP'!$C$4:$M$59,11,FALSE)),"0")</f>
        <v>0</v>
      </c>
      <c r="FV35" s="192" t="str">
        <f>IF(AND($C35&lt;&gt;"",$T35&lt;&gt;""),(VLOOKUP($C35,'V-LOOKUP'!$C$4:$N$59,12,FALSE)),"0")</f>
        <v>0</v>
      </c>
      <c r="FW35" s="192" t="str">
        <f>IF(AND($C35&lt;&gt;"",U35&lt;&gt;""),(VLOOKUP($C35,'V-LOOKUP'!$C$4:$M$59,4,FALSE)),"0")</f>
        <v>0</v>
      </c>
      <c r="FX35" s="192" t="str">
        <f>IF(AND($C35&lt;&gt;"",$U35&lt;&gt;""),(VLOOKUP($C35,'V-LOOKUP'!$C$4:$M$59,5,FALSE)),"0")</f>
        <v>0</v>
      </c>
      <c r="FY35" s="192" t="str">
        <f>IF(AND($C35&lt;&gt;"",$U35&lt;&gt;""),(VLOOKUP($C35,'V-LOOKUP'!$C$4:$M$59,6,FALSE)),"0")</f>
        <v>0</v>
      </c>
      <c r="FZ35" s="192" t="str">
        <f>IF(AND($C35&lt;&gt;"",$U35&lt;&gt;""),(VLOOKUP($C35,'V-LOOKUP'!$C$4:$M$59,7,FALSE)),"0")</f>
        <v>0</v>
      </c>
      <c r="GA35" s="192" t="str">
        <f>IF(AND($C35&lt;&gt;"",$U35&lt;&gt;""),(VLOOKUP($C35,'V-LOOKUP'!$C$4:$M$59,8,FALSE)),"0")</f>
        <v>0</v>
      </c>
      <c r="GB35" s="192" t="str">
        <f>IF(AND($C35&lt;&gt;"",$U35&lt;&gt;""),(VLOOKUP($C35,'V-LOOKUP'!$C$4:$M$59,9,FALSE)),"0")</f>
        <v>0</v>
      </c>
      <c r="GC35" s="192" t="str">
        <f>IF(AND($C35&lt;&gt;"",$U35&lt;&gt;""),(VLOOKUP($C35,'V-LOOKUP'!$C$4:$M$59,10,FALSE)),"0")</f>
        <v>0</v>
      </c>
      <c r="GD35" s="192" t="str">
        <f>IF(AND($C35&lt;&gt;"",$U35&lt;&gt;""),(VLOOKUP($C35,'V-LOOKUP'!$C$4:$M$59,11,FALSE)),"0")</f>
        <v>0</v>
      </c>
      <c r="GE35" s="192" t="str">
        <f>IF(AND($C35&lt;&gt;"",$U35&lt;&gt;""),(VLOOKUP($C35,'V-LOOKUP'!$C$4:$N$59,12,FALSE)),"0")</f>
        <v>0</v>
      </c>
      <c r="GF35" s="192" t="str">
        <f>IF(AND($C35&lt;&gt;"",V35&lt;&gt;""),(VLOOKUP($C35,'V-LOOKUP'!$C$4:$M$59,4,FALSE)),"0")</f>
        <v>0</v>
      </c>
      <c r="GG35" s="192" t="str">
        <f>IF(AND($C35&lt;&gt;"",$V35&lt;&gt;""),(VLOOKUP($C35,'V-LOOKUP'!$C$4:$M$59,5,FALSE)),"0")</f>
        <v>0</v>
      </c>
      <c r="GH35" s="192" t="str">
        <f>IF(AND($C35&lt;&gt;"",$V35&lt;&gt;""),(VLOOKUP($C35,'V-LOOKUP'!$C$4:$M$59,6,FALSE)),"0")</f>
        <v>0</v>
      </c>
      <c r="GI35" s="192" t="str">
        <f>IF(AND($C35&lt;&gt;"",$V35&lt;&gt;""),(VLOOKUP($C35,'V-LOOKUP'!$C$4:$M$59,7,FALSE)),"0")</f>
        <v>0</v>
      </c>
      <c r="GJ35" s="192" t="str">
        <f>IF(AND($C35&lt;&gt;"",$V35&lt;&gt;""),(VLOOKUP($C35,'V-LOOKUP'!$C$4:$M$59,8,FALSE)),"0")</f>
        <v>0</v>
      </c>
      <c r="GK35" s="192" t="str">
        <f>IF(AND($C35&lt;&gt;"",$V35&lt;&gt;""),(VLOOKUP($C35,'V-LOOKUP'!$C$4:$M$59,9,FALSE)),"0")</f>
        <v>0</v>
      </c>
      <c r="GL35" s="192" t="str">
        <f>IF(AND($C35&lt;&gt;"",$V35&lt;&gt;""),(VLOOKUP($C35,'V-LOOKUP'!$C$4:$M$59,10,FALSE)),"0")</f>
        <v>0</v>
      </c>
      <c r="GM35" s="192" t="str">
        <f>IF(AND($C35&lt;&gt;"",$V35&lt;&gt;""),(VLOOKUP($C35,'V-LOOKUP'!$C$4:$M$59,11,FALSE)),"0")</f>
        <v>0</v>
      </c>
      <c r="GN35" s="192" t="str">
        <f>IF(AND($C35&lt;&gt;"",$V35&lt;&gt;""),(VLOOKUP($C35,'V-LOOKUP'!$C$4:$N$59,12,FALSE)),"0")</f>
        <v>0</v>
      </c>
      <c r="GO35" s="192" t="str">
        <f>IF(AND($C35&lt;&gt;"",W35&lt;&gt;""),(VLOOKUP($C35,'V-LOOKUP'!$C$4:$M$59,4,FALSE)),"0")</f>
        <v>0</v>
      </c>
      <c r="GP35" s="192" t="str">
        <f>IF(AND($C35&lt;&gt;"",$W35&lt;&gt;""),(VLOOKUP($C35,'V-LOOKUP'!$C$4:$M$59,5,FALSE)),"0")</f>
        <v>0</v>
      </c>
      <c r="GQ35" s="192" t="str">
        <f>IF(AND($C35&lt;&gt;"",$W35&lt;&gt;""),(VLOOKUP($C35,'V-LOOKUP'!$C$4:$M$59,6,FALSE)),"0")</f>
        <v>0</v>
      </c>
      <c r="GR35" s="192" t="str">
        <f>IF(AND($C35&lt;&gt;"",$W35&lt;&gt;""),(VLOOKUP($C35,'V-LOOKUP'!$C$4:$M$59,7,FALSE)),"0")</f>
        <v>0</v>
      </c>
      <c r="GS35" s="192" t="str">
        <f>IF(AND($C35&lt;&gt;"",$W35&lt;&gt;""),(VLOOKUP($C35,'V-LOOKUP'!$C$4:$M$59,8,FALSE)),"0")</f>
        <v>0</v>
      </c>
      <c r="GT35" s="192" t="str">
        <f>IF(AND($C35&lt;&gt;"",$W35&lt;&gt;""),(VLOOKUP($C35,'V-LOOKUP'!$C$4:$M$59,9,FALSE)),"0")</f>
        <v>0</v>
      </c>
      <c r="GU35" s="192" t="str">
        <f>IF(AND($C35&lt;&gt;"",$W35&lt;&gt;""),(VLOOKUP($C35,'V-LOOKUP'!$C$4:$M$59,10,FALSE)),"0")</f>
        <v>0</v>
      </c>
      <c r="GV35" s="192" t="str">
        <f>IF(AND($C35&lt;&gt;"",$W35&lt;&gt;""),(VLOOKUP($C35,'V-LOOKUP'!$C$4:$M$59,11,FALSE)),"0")</f>
        <v>0</v>
      </c>
      <c r="GW35" s="192" t="str">
        <f>IF(AND($C35&lt;&gt;"",$W35&lt;&gt;""),(VLOOKUP($C35,'V-LOOKUP'!$C$4:$N$59,12,FALSE)),"0")</f>
        <v>0</v>
      </c>
    </row>
    <row r="36" spans="1:205" ht="6" customHeight="1">
      <c r="A36" s="193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Y36" s="190" t="s">
        <v>34</v>
      </c>
      <c r="Z36" s="191">
        <f>SUM(Z6:Z35)</f>
        <v>0</v>
      </c>
      <c r="AA36" s="191">
        <f t="shared" ref="AA36:CT36" si="0">SUM(AA6:AA35)</f>
        <v>0</v>
      </c>
      <c r="AB36" s="191">
        <f t="shared" si="0"/>
        <v>0</v>
      </c>
      <c r="AC36" s="191">
        <f t="shared" si="0"/>
        <v>0</v>
      </c>
      <c r="AD36" s="191">
        <f t="shared" si="0"/>
        <v>0</v>
      </c>
      <c r="AE36" s="191">
        <f t="shared" si="0"/>
        <v>0</v>
      </c>
      <c r="AF36" s="191">
        <f t="shared" si="0"/>
        <v>0</v>
      </c>
      <c r="AG36" s="191">
        <f t="shared" si="0"/>
        <v>0</v>
      </c>
      <c r="AH36" s="191">
        <f t="shared" ref="AH36" si="1">SUM(AH6:AH35)</f>
        <v>0</v>
      </c>
      <c r="AI36" s="191">
        <f t="shared" si="0"/>
        <v>0</v>
      </c>
      <c r="AJ36" s="191">
        <f t="shared" si="0"/>
        <v>0</v>
      </c>
      <c r="AK36" s="191">
        <f t="shared" si="0"/>
        <v>0</v>
      </c>
      <c r="AL36" s="191">
        <f t="shared" si="0"/>
        <v>0</v>
      </c>
      <c r="AM36" s="191">
        <f t="shared" si="0"/>
        <v>0</v>
      </c>
      <c r="AN36" s="191">
        <f t="shared" si="0"/>
        <v>0</v>
      </c>
      <c r="AO36" s="191">
        <f t="shared" si="0"/>
        <v>0</v>
      </c>
      <c r="AP36" s="191">
        <f t="shared" si="0"/>
        <v>0</v>
      </c>
      <c r="AQ36" s="191">
        <f t="shared" si="0"/>
        <v>0</v>
      </c>
      <c r="AR36" s="191">
        <f t="shared" si="0"/>
        <v>0</v>
      </c>
      <c r="AS36" s="191">
        <f t="shared" si="0"/>
        <v>0</v>
      </c>
      <c r="AT36" s="191">
        <f t="shared" si="0"/>
        <v>0</v>
      </c>
      <c r="AU36" s="191">
        <f t="shared" si="0"/>
        <v>0</v>
      </c>
      <c r="AV36" s="191">
        <f t="shared" si="0"/>
        <v>0</v>
      </c>
      <c r="AW36" s="191">
        <f t="shared" si="0"/>
        <v>0</v>
      </c>
      <c r="AX36" s="191">
        <f t="shared" si="0"/>
        <v>0</v>
      </c>
      <c r="AY36" s="191">
        <f t="shared" si="0"/>
        <v>0</v>
      </c>
      <c r="AZ36" s="191">
        <f t="shared" ref="AZ36" si="2">SUM(AZ6:AZ35)</f>
        <v>0</v>
      </c>
      <c r="BA36" s="191">
        <f t="shared" si="0"/>
        <v>0</v>
      </c>
      <c r="BB36" s="191">
        <f t="shared" si="0"/>
        <v>0</v>
      </c>
      <c r="BC36" s="191">
        <f t="shared" si="0"/>
        <v>0</v>
      </c>
      <c r="BD36" s="191">
        <f t="shared" si="0"/>
        <v>0</v>
      </c>
      <c r="BE36" s="191">
        <f t="shared" si="0"/>
        <v>0</v>
      </c>
      <c r="BF36" s="191">
        <f t="shared" si="0"/>
        <v>0</v>
      </c>
      <c r="BG36" s="191">
        <f t="shared" si="0"/>
        <v>0</v>
      </c>
      <c r="BH36" s="191">
        <f t="shared" si="0"/>
        <v>0</v>
      </c>
      <c r="BI36" s="191">
        <f t="shared" ref="BI36" si="3">SUM(BI6:BI35)</f>
        <v>0</v>
      </c>
      <c r="BJ36" s="191">
        <f t="shared" si="0"/>
        <v>0</v>
      </c>
      <c r="BK36" s="191">
        <f t="shared" si="0"/>
        <v>0</v>
      </c>
      <c r="BL36" s="191">
        <f t="shared" si="0"/>
        <v>0</v>
      </c>
      <c r="BM36" s="191">
        <f t="shared" si="0"/>
        <v>0</v>
      </c>
      <c r="BN36" s="191">
        <f t="shared" si="0"/>
        <v>0</v>
      </c>
      <c r="BO36" s="191">
        <f t="shared" si="0"/>
        <v>0</v>
      </c>
      <c r="BP36" s="191">
        <f t="shared" si="0"/>
        <v>0</v>
      </c>
      <c r="BQ36" s="191">
        <f t="shared" si="0"/>
        <v>0</v>
      </c>
      <c r="BR36" s="191">
        <f t="shared" si="0"/>
        <v>0</v>
      </c>
      <c r="BS36" s="191">
        <f t="shared" si="0"/>
        <v>0</v>
      </c>
      <c r="BT36" s="191">
        <f t="shared" si="0"/>
        <v>0</v>
      </c>
      <c r="BU36" s="191">
        <f t="shared" si="0"/>
        <v>0</v>
      </c>
      <c r="BV36" s="191">
        <f t="shared" si="0"/>
        <v>0</v>
      </c>
      <c r="BW36" s="191">
        <f t="shared" si="0"/>
        <v>0</v>
      </c>
      <c r="BX36" s="191">
        <f t="shared" si="0"/>
        <v>0</v>
      </c>
      <c r="BY36" s="191">
        <f t="shared" si="0"/>
        <v>0</v>
      </c>
      <c r="BZ36" s="191">
        <f t="shared" si="0"/>
        <v>0</v>
      </c>
      <c r="CA36" s="191">
        <f t="shared" ref="CA36" si="4">SUM(CA6:CA35)</f>
        <v>0</v>
      </c>
      <c r="CB36" s="191">
        <f t="shared" si="0"/>
        <v>0</v>
      </c>
      <c r="CC36" s="191">
        <f t="shared" si="0"/>
        <v>0</v>
      </c>
      <c r="CD36" s="191">
        <f t="shared" si="0"/>
        <v>0</v>
      </c>
      <c r="CE36" s="191">
        <f t="shared" si="0"/>
        <v>0</v>
      </c>
      <c r="CF36" s="191">
        <f t="shared" si="0"/>
        <v>0</v>
      </c>
      <c r="CG36" s="191">
        <f t="shared" si="0"/>
        <v>0</v>
      </c>
      <c r="CH36" s="191">
        <f t="shared" si="0"/>
        <v>0</v>
      </c>
      <c r="CI36" s="191">
        <f t="shared" si="0"/>
        <v>0</v>
      </c>
      <c r="CJ36" s="191">
        <f t="shared" ref="CJ36" si="5">SUM(CJ6:CJ35)</f>
        <v>0</v>
      </c>
      <c r="CK36" s="191">
        <f t="shared" si="0"/>
        <v>0</v>
      </c>
      <c r="CL36" s="191">
        <f t="shared" si="0"/>
        <v>0</v>
      </c>
      <c r="CM36" s="191">
        <f t="shared" si="0"/>
        <v>0</v>
      </c>
      <c r="CN36" s="191">
        <f t="shared" si="0"/>
        <v>0</v>
      </c>
      <c r="CO36" s="191">
        <f t="shared" si="0"/>
        <v>0</v>
      </c>
      <c r="CP36" s="191">
        <f t="shared" si="0"/>
        <v>0</v>
      </c>
      <c r="CQ36" s="191">
        <f t="shared" si="0"/>
        <v>0</v>
      </c>
      <c r="CR36" s="191">
        <f t="shared" si="0"/>
        <v>0</v>
      </c>
      <c r="CS36" s="191">
        <f t="shared" ref="CS36" si="6">SUM(CS6:CS35)</f>
        <v>0</v>
      </c>
      <c r="CT36" s="191">
        <f t="shared" si="0"/>
        <v>0</v>
      </c>
      <c r="CU36" s="191">
        <f t="shared" ref="CU36:DK36" si="7">SUM(CU6:CU35)</f>
        <v>0</v>
      </c>
      <c r="CV36" s="191">
        <f t="shared" si="7"/>
        <v>0</v>
      </c>
      <c r="CW36" s="191">
        <f t="shared" si="7"/>
        <v>0</v>
      </c>
      <c r="CX36" s="191">
        <f t="shared" si="7"/>
        <v>0</v>
      </c>
      <c r="CY36" s="191">
        <f t="shared" si="7"/>
        <v>0</v>
      </c>
      <c r="CZ36" s="191">
        <f t="shared" si="7"/>
        <v>0</v>
      </c>
      <c r="DA36" s="191">
        <f t="shared" si="7"/>
        <v>0</v>
      </c>
      <c r="DB36" s="191">
        <f t="shared" si="7"/>
        <v>0</v>
      </c>
      <c r="DC36" s="191">
        <f t="shared" si="7"/>
        <v>0</v>
      </c>
      <c r="DD36" s="191">
        <f t="shared" si="7"/>
        <v>0</v>
      </c>
      <c r="DE36" s="191">
        <f t="shared" si="7"/>
        <v>0</v>
      </c>
      <c r="DF36" s="191">
        <f t="shared" si="7"/>
        <v>0</v>
      </c>
      <c r="DG36" s="191">
        <f t="shared" si="7"/>
        <v>0</v>
      </c>
      <c r="DH36" s="191">
        <f t="shared" si="7"/>
        <v>0</v>
      </c>
      <c r="DI36" s="191">
        <f t="shared" si="7"/>
        <v>0</v>
      </c>
      <c r="DJ36" s="191">
        <f t="shared" si="7"/>
        <v>0</v>
      </c>
      <c r="DK36" s="191">
        <f t="shared" si="7"/>
        <v>0</v>
      </c>
      <c r="DL36" s="191">
        <f>SUM(DL6:DL35)</f>
        <v>0</v>
      </c>
      <c r="DM36" s="191">
        <f t="shared" ref="DM36:GD36" si="8">SUM(DM6:DM35)</f>
        <v>0</v>
      </c>
      <c r="DN36" s="191">
        <f t="shared" si="8"/>
        <v>0</v>
      </c>
      <c r="DO36" s="191">
        <f t="shared" si="8"/>
        <v>0</v>
      </c>
      <c r="DP36" s="191">
        <f t="shared" si="8"/>
        <v>0</v>
      </c>
      <c r="DQ36" s="191">
        <f t="shared" si="8"/>
        <v>0</v>
      </c>
      <c r="DR36" s="191">
        <f t="shared" si="8"/>
        <v>0</v>
      </c>
      <c r="DS36" s="191">
        <f t="shared" si="8"/>
        <v>0</v>
      </c>
      <c r="DT36" s="191">
        <f t="shared" si="8"/>
        <v>0</v>
      </c>
      <c r="DU36" s="191">
        <f t="shared" si="8"/>
        <v>0</v>
      </c>
      <c r="DV36" s="191">
        <f t="shared" si="8"/>
        <v>0</v>
      </c>
      <c r="DW36" s="191">
        <f t="shared" si="8"/>
        <v>0</v>
      </c>
      <c r="DX36" s="191">
        <f t="shared" si="8"/>
        <v>0</v>
      </c>
      <c r="DY36" s="191">
        <f t="shared" si="8"/>
        <v>0</v>
      </c>
      <c r="DZ36" s="191">
        <f t="shared" si="8"/>
        <v>0</v>
      </c>
      <c r="EA36" s="191">
        <f t="shared" si="8"/>
        <v>0</v>
      </c>
      <c r="EB36" s="191">
        <f t="shared" si="8"/>
        <v>0</v>
      </c>
      <c r="EC36" s="191">
        <f t="shared" si="8"/>
        <v>0</v>
      </c>
      <c r="ED36" s="218">
        <f t="shared" si="8"/>
        <v>0</v>
      </c>
      <c r="EE36" s="218">
        <f t="shared" si="8"/>
        <v>0</v>
      </c>
      <c r="EF36" s="218">
        <f t="shared" si="8"/>
        <v>0</v>
      </c>
      <c r="EG36" s="218">
        <f t="shared" si="8"/>
        <v>0</v>
      </c>
      <c r="EH36" s="218">
        <f t="shared" si="8"/>
        <v>0</v>
      </c>
      <c r="EI36" s="218">
        <f t="shared" si="8"/>
        <v>0</v>
      </c>
      <c r="EJ36" s="218">
        <f t="shared" si="8"/>
        <v>0</v>
      </c>
      <c r="EK36" s="218">
        <f t="shared" si="8"/>
        <v>0</v>
      </c>
      <c r="EL36" s="191">
        <f t="shared" si="8"/>
        <v>0</v>
      </c>
      <c r="EM36" s="218">
        <f t="shared" si="8"/>
        <v>0</v>
      </c>
      <c r="EN36" s="218">
        <f t="shared" si="8"/>
        <v>0</v>
      </c>
      <c r="EO36" s="218">
        <f t="shared" si="8"/>
        <v>0</v>
      </c>
      <c r="EP36" s="218">
        <f t="shared" si="8"/>
        <v>0</v>
      </c>
      <c r="EQ36" s="218">
        <f t="shared" si="8"/>
        <v>0</v>
      </c>
      <c r="ER36" s="218">
        <f t="shared" si="8"/>
        <v>0</v>
      </c>
      <c r="ES36" s="218">
        <f t="shared" si="8"/>
        <v>0</v>
      </c>
      <c r="ET36" s="218">
        <f t="shared" si="8"/>
        <v>0</v>
      </c>
      <c r="EU36" s="191">
        <f t="shared" si="8"/>
        <v>0</v>
      </c>
      <c r="EV36" s="218">
        <f t="shared" si="8"/>
        <v>0</v>
      </c>
      <c r="EW36" s="218">
        <f t="shared" si="8"/>
        <v>0</v>
      </c>
      <c r="EX36" s="218">
        <f t="shared" si="8"/>
        <v>0</v>
      </c>
      <c r="EY36" s="218">
        <f t="shared" si="8"/>
        <v>0</v>
      </c>
      <c r="EZ36" s="218">
        <f t="shared" si="8"/>
        <v>0</v>
      </c>
      <c r="FA36" s="218">
        <f t="shared" si="8"/>
        <v>0</v>
      </c>
      <c r="FB36" s="218">
        <f t="shared" si="8"/>
        <v>0</v>
      </c>
      <c r="FC36" s="218">
        <f t="shared" si="8"/>
        <v>0</v>
      </c>
      <c r="FD36" s="191">
        <f t="shared" si="8"/>
        <v>0</v>
      </c>
      <c r="FE36" s="218">
        <f t="shared" si="8"/>
        <v>0</v>
      </c>
      <c r="FF36" s="218">
        <f t="shared" si="8"/>
        <v>0</v>
      </c>
      <c r="FG36" s="218">
        <f t="shared" si="8"/>
        <v>0</v>
      </c>
      <c r="FH36" s="218">
        <f t="shared" si="8"/>
        <v>0</v>
      </c>
      <c r="FI36" s="218">
        <f t="shared" si="8"/>
        <v>0</v>
      </c>
      <c r="FJ36" s="218">
        <f t="shared" si="8"/>
        <v>0</v>
      </c>
      <c r="FK36" s="218">
        <f t="shared" si="8"/>
        <v>0</v>
      </c>
      <c r="FL36" s="218">
        <f t="shared" si="8"/>
        <v>0</v>
      </c>
      <c r="FM36" s="191">
        <f t="shared" si="8"/>
        <v>0</v>
      </c>
      <c r="FN36" s="218">
        <f t="shared" si="8"/>
        <v>0</v>
      </c>
      <c r="FO36" s="218">
        <f t="shared" si="8"/>
        <v>0</v>
      </c>
      <c r="FP36" s="218">
        <f t="shared" si="8"/>
        <v>0</v>
      </c>
      <c r="FQ36" s="218">
        <f t="shared" si="8"/>
        <v>0</v>
      </c>
      <c r="FR36" s="218">
        <f t="shared" si="8"/>
        <v>0</v>
      </c>
      <c r="FS36" s="218">
        <f t="shared" si="8"/>
        <v>0</v>
      </c>
      <c r="FT36" s="218">
        <f t="shared" si="8"/>
        <v>0</v>
      </c>
      <c r="FU36" s="218">
        <f t="shared" si="8"/>
        <v>0</v>
      </c>
      <c r="FV36" s="191">
        <f t="shared" si="8"/>
        <v>0</v>
      </c>
      <c r="FW36" s="218">
        <f t="shared" si="8"/>
        <v>0</v>
      </c>
      <c r="FX36" s="218">
        <f t="shared" si="8"/>
        <v>0</v>
      </c>
      <c r="FY36" s="218">
        <f t="shared" si="8"/>
        <v>0</v>
      </c>
      <c r="FZ36" s="218">
        <f t="shared" si="8"/>
        <v>0</v>
      </c>
      <c r="GA36" s="218">
        <f t="shared" si="8"/>
        <v>0</v>
      </c>
      <c r="GB36" s="218">
        <f t="shared" si="8"/>
        <v>0</v>
      </c>
      <c r="GC36" s="218">
        <f t="shared" si="8"/>
        <v>0</v>
      </c>
      <c r="GD36" s="218">
        <f t="shared" si="8"/>
        <v>0</v>
      </c>
      <c r="GE36" s="191">
        <f t="shared" ref="GE36" si="9">SUM(GE6:GE35)</f>
        <v>0</v>
      </c>
      <c r="GF36" s="218">
        <f t="shared" ref="GF36:GW36" si="10">SUM(GF6:GF35)</f>
        <v>0</v>
      </c>
      <c r="GG36" s="218">
        <f t="shared" si="10"/>
        <v>0</v>
      </c>
      <c r="GH36" s="218">
        <f t="shared" si="10"/>
        <v>0</v>
      </c>
      <c r="GI36" s="218">
        <f t="shared" si="10"/>
        <v>0</v>
      </c>
      <c r="GJ36" s="218">
        <f t="shared" si="10"/>
        <v>0</v>
      </c>
      <c r="GK36" s="218">
        <f t="shared" si="10"/>
        <v>0</v>
      </c>
      <c r="GL36" s="218">
        <f t="shared" si="10"/>
        <v>0</v>
      </c>
      <c r="GM36" s="218">
        <f t="shared" si="10"/>
        <v>0</v>
      </c>
      <c r="GN36" s="191">
        <f t="shared" si="10"/>
        <v>0</v>
      </c>
      <c r="GO36" s="218">
        <f t="shared" si="10"/>
        <v>0</v>
      </c>
      <c r="GP36" s="218">
        <f t="shared" si="10"/>
        <v>0</v>
      </c>
      <c r="GQ36" s="218">
        <f t="shared" si="10"/>
        <v>0</v>
      </c>
      <c r="GR36" s="218">
        <f t="shared" si="10"/>
        <v>0</v>
      </c>
      <c r="GS36" s="218">
        <f t="shared" si="10"/>
        <v>0</v>
      </c>
      <c r="GT36" s="218">
        <f t="shared" si="10"/>
        <v>0</v>
      </c>
      <c r="GU36" s="218">
        <f t="shared" si="10"/>
        <v>0</v>
      </c>
      <c r="GV36" s="218">
        <f t="shared" si="10"/>
        <v>0</v>
      </c>
      <c r="GW36" s="191">
        <f t="shared" si="10"/>
        <v>0</v>
      </c>
    </row>
    <row r="37" spans="1:205" ht="14.65" customHeight="1">
      <c r="A37" s="193"/>
      <c r="B37" s="244" t="s">
        <v>35</v>
      </c>
      <c r="C37" s="203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Y37" s="190" t="s">
        <v>35</v>
      </c>
      <c r="Z37" s="192" t="str">
        <f>IF(AND($C37&lt;&gt;"",$D37&lt;&gt;""),(VLOOKUP($C37,'V-LOOKUP'!$C$61:$M$120,4,FALSE)),"0")</f>
        <v>0</v>
      </c>
      <c r="AA37" s="192" t="str">
        <f>IF(AND($C37&lt;&gt;"",$D37&lt;&gt;""),(VLOOKUP($C37,'V-LOOKUP'!$C$61:$M$120,5,FALSE)),"0")</f>
        <v>0</v>
      </c>
      <c r="AB37" s="192" t="str">
        <f>IF(AND($C37&lt;&gt;"",$D37&lt;&gt;""),(VLOOKUP($C37,'V-LOOKUP'!$C$61:$M$120,6,FALSE)),"0")</f>
        <v>0</v>
      </c>
      <c r="AC37" s="192" t="str">
        <f>IF(AND($C37&lt;&gt;"",$D37&lt;&gt;""),(VLOOKUP($C37,'V-LOOKUP'!$C$61:$M$120,7,FALSE)),"0")</f>
        <v>0</v>
      </c>
      <c r="AD37" s="192" t="str">
        <f>IF(AND($C37&lt;&gt;"",$D37&lt;&gt;""),(VLOOKUP($C37,'V-LOOKUP'!$C$61:$M$120,8,FALSE)),"0")</f>
        <v>0</v>
      </c>
      <c r="AE37" s="192" t="str">
        <f>IF(AND($C37&lt;&gt;"",$D37&lt;&gt;""),(VLOOKUP($C37,'V-LOOKUP'!$C$61:$M$120,9,FALSE)),"0")</f>
        <v>0</v>
      </c>
      <c r="AF37" s="192" t="str">
        <f>IF(AND($C37&lt;&gt;"",$D37&lt;&gt;""),(VLOOKUP($C37,'V-LOOKUP'!$C$61:$M$120,10,FALSE)),"0")</f>
        <v>0</v>
      </c>
      <c r="AG37" s="192" t="str">
        <f>IF(AND($C37&lt;&gt;"",$D37&lt;&gt;""),(VLOOKUP($C37,'V-LOOKUP'!$C$61:$M$120,11,FALSE)),"0")</f>
        <v>0</v>
      </c>
      <c r="AH37" s="192" t="str">
        <f>IF(AND($C37&lt;&gt;"",$D37&lt;&gt;""),(VLOOKUP($C37,'V-LOOKUP'!$C$61:$N$120,12,FALSE)),"0")</f>
        <v>0</v>
      </c>
      <c r="AI37" s="192" t="str">
        <f>IF(AND($C37&lt;&gt;"",$E37&lt;&gt;""),(VLOOKUP($C37,'V-LOOKUP'!$C$61:$M$120,4,FALSE)),"0")</f>
        <v>0</v>
      </c>
      <c r="AJ37" s="192" t="str">
        <f>IF(AND($C37&lt;&gt;"",$E37&lt;&gt;""),(VLOOKUP($C37,'V-LOOKUP'!$C$61:$M$120,5,FALSE)),"0")</f>
        <v>0</v>
      </c>
      <c r="AK37" s="192" t="str">
        <f>IF(AND($C37&lt;&gt;"",$E37&lt;&gt;""),(VLOOKUP($C37,'V-LOOKUP'!$C$61:$M$120,6,FALSE)),"0")</f>
        <v>0</v>
      </c>
      <c r="AL37" s="192" t="str">
        <f>IF(AND($C37&lt;&gt;"",$E37&lt;&gt;""),(VLOOKUP($C37,'V-LOOKUP'!$C$61:$M$120,7,FALSE)),"0")</f>
        <v>0</v>
      </c>
      <c r="AM37" s="192" t="str">
        <f>IF(AND($C37&lt;&gt;"",$E37&lt;&gt;""),(VLOOKUP($C37,'V-LOOKUP'!$C$61:$M$120,8,FALSE)),"0")</f>
        <v>0</v>
      </c>
      <c r="AN37" s="192" t="str">
        <f>IF(AND($C37&lt;&gt;"",$E37&lt;&gt;""),(VLOOKUP($C37,'V-LOOKUP'!$C$61:$M$120,9,FALSE)),"0")</f>
        <v>0</v>
      </c>
      <c r="AO37" s="192" t="str">
        <f>IF(AND($C37&lt;&gt;"",$E37&lt;&gt;""),(VLOOKUP($C37,'V-LOOKUP'!$C$61:$M$120,10,FALSE)),"0")</f>
        <v>0</v>
      </c>
      <c r="AP37" s="192" t="str">
        <f>IF(AND($C37&lt;&gt;"",$E37&lt;&gt;""),(VLOOKUP($C37,'V-LOOKUP'!$C$61:$M$120,11,FALSE)),"0")</f>
        <v>0</v>
      </c>
      <c r="AQ37" s="192" t="str">
        <f>IF(AND($C37&lt;&gt;"",$E37&lt;&gt;""),(VLOOKUP($C37,'V-LOOKUP'!$C$61:$N$120,12,FALSE)),"0")</f>
        <v>0</v>
      </c>
      <c r="AR37" s="192" t="str">
        <f>IF(AND($C37&lt;&gt;"",$F37&lt;&gt;""),(VLOOKUP($C37,'V-LOOKUP'!$C$61:$M$120,4,FALSE)),"0")</f>
        <v>0</v>
      </c>
      <c r="AS37" s="192" t="str">
        <f>IF(AND($C37&lt;&gt;"",$F37&lt;&gt;""),(VLOOKUP($C37,'V-LOOKUP'!$C$61:$M$120,5,FALSE)),"0")</f>
        <v>0</v>
      </c>
      <c r="AT37" s="192" t="str">
        <f>IF(AND($C37&lt;&gt;"",$F37&lt;&gt;""),(VLOOKUP($C37,'V-LOOKUP'!$C$61:$M$120,6,FALSE)),"0")</f>
        <v>0</v>
      </c>
      <c r="AU37" s="192" t="str">
        <f>IF(AND($C37&lt;&gt;"",$F37&lt;&gt;""),(VLOOKUP($C37,'V-LOOKUP'!$C$61:$M$120,7,FALSE)),"0")</f>
        <v>0</v>
      </c>
      <c r="AV37" s="192" t="str">
        <f>IF(AND($C37&lt;&gt;"",$F37&lt;&gt;""),(VLOOKUP($C37,'V-LOOKUP'!$C$61:$M$120,8,FALSE)),"0")</f>
        <v>0</v>
      </c>
      <c r="AW37" s="192" t="str">
        <f>IF(AND($C37&lt;&gt;"",$F37&lt;&gt;""),(VLOOKUP($C37,'V-LOOKUP'!$C$61:$M$120,9,FALSE)),"0")</f>
        <v>0</v>
      </c>
      <c r="AX37" s="192" t="str">
        <f>IF(AND($C37&lt;&gt;"",$F37&lt;&gt;""),(VLOOKUP($C37,'V-LOOKUP'!$C$61:$M$120,10,FALSE)),"0")</f>
        <v>0</v>
      </c>
      <c r="AY37" s="192" t="str">
        <f>IF(AND($C37&lt;&gt;"",$F37&lt;&gt;""),(VLOOKUP($C37,'V-LOOKUP'!$C$61:$M$120,11,FALSE)),"0")</f>
        <v>0</v>
      </c>
      <c r="AZ37" s="192" t="str">
        <f>IF(AND($C37&lt;&gt;"",$F37&lt;&gt;""),(VLOOKUP($C37,'V-LOOKUP'!$C$61:$N$120,12,FALSE)),"0")</f>
        <v>0</v>
      </c>
      <c r="BA37" s="192" t="str">
        <f>IF(AND($C37&lt;&gt;"",$G37&lt;&gt;""),(VLOOKUP($C37,'V-LOOKUP'!$C$61:$M$120,4,FALSE)),"0")</f>
        <v>0</v>
      </c>
      <c r="BB37" s="192" t="str">
        <f>IF(AND($C37&lt;&gt;"",$G37&lt;&gt;""),(VLOOKUP($C37,'V-LOOKUP'!$C$61:$M$120,5,FALSE)),"0")</f>
        <v>0</v>
      </c>
      <c r="BC37" s="192" t="str">
        <f>IF(AND($C37&lt;&gt;"",$G37&lt;&gt;""),(VLOOKUP($C37,'V-LOOKUP'!$C$61:$M$120,6,FALSE)),"0")</f>
        <v>0</v>
      </c>
      <c r="BD37" s="192" t="str">
        <f>IF(AND($C37&lt;&gt;"",$G37&lt;&gt;""),(VLOOKUP($C37,'V-LOOKUP'!$C$61:$M$120,7,FALSE)),"0")</f>
        <v>0</v>
      </c>
      <c r="BE37" s="192" t="str">
        <f>IF(AND($C37&lt;&gt;"",$G37&lt;&gt;""),(VLOOKUP($C37,'V-LOOKUP'!$C$61:$M$120,8,FALSE)),"0")</f>
        <v>0</v>
      </c>
      <c r="BF37" s="192" t="str">
        <f>IF(AND($C37&lt;&gt;"",$G37&lt;&gt;""),(VLOOKUP($C37,'V-LOOKUP'!$C$61:$M$120,9,FALSE)),"0")</f>
        <v>0</v>
      </c>
      <c r="BG37" s="192" t="str">
        <f>IF(AND($C37&lt;&gt;"",$G37&lt;&gt;""),(VLOOKUP($C37,'V-LOOKUP'!$C$61:$M$120,10,FALSE)),"0")</f>
        <v>0</v>
      </c>
      <c r="BH37" s="192" t="str">
        <f>IF(AND($C37&lt;&gt;"",$G37&lt;&gt;""),(VLOOKUP($C37,'V-LOOKUP'!$C$61:$M$120,11,FALSE)),"0")</f>
        <v>0</v>
      </c>
      <c r="BI37" s="192" t="str">
        <f>IF(AND($C37&lt;&gt;"",$G37&lt;&gt;""),(VLOOKUP($C37,'V-LOOKUP'!$C$61:$N$120,12,FALSE)),"0")</f>
        <v>0</v>
      </c>
      <c r="BJ37" s="192" t="str">
        <f>IF(AND($C37&lt;&gt;"",$H37&lt;&gt;""),(VLOOKUP($C37,'V-LOOKUP'!$C$61:$M$120,4,FALSE)),"0")</f>
        <v>0</v>
      </c>
      <c r="BK37" s="192" t="str">
        <f>IF(AND($C37&lt;&gt;"",$H37&lt;&gt;""),(VLOOKUP($C37,'V-LOOKUP'!$C$61:$M$120,5,FALSE)),"0")</f>
        <v>0</v>
      </c>
      <c r="BL37" s="192" t="str">
        <f>IF(AND($C37&lt;&gt;"",$H37&lt;&gt;""),(VLOOKUP($C37,'V-LOOKUP'!$C$61:$M$120,6,FALSE)),"0")</f>
        <v>0</v>
      </c>
      <c r="BM37" s="192" t="str">
        <f>IF(AND($C37&lt;&gt;"",$H37&lt;&gt;""),(VLOOKUP($C37,'V-LOOKUP'!$C$61:$M$120,7,FALSE)),"0")</f>
        <v>0</v>
      </c>
      <c r="BN37" s="192" t="str">
        <f>IF(AND($C37&lt;&gt;"",$H37&lt;&gt;""),(VLOOKUP($C37,'V-LOOKUP'!$C$61:$M$120,8,FALSE)),"0")</f>
        <v>0</v>
      </c>
      <c r="BO37" s="192" t="str">
        <f>IF(AND($C37&lt;&gt;"",$H37&lt;&gt;""),(VLOOKUP($C37,'V-LOOKUP'!$C$61:$M$120,9,FALSE)),"0")</f>
        <v>0</v>
      </c>
      <c r="BP37" s="192" t="str">
        <f>IF(AND($C37&lt;&gt;"",$H37&lt;&gt;""),(VLOOKUP($C37,'V-LOOKUP'!$C$61:$M$120,10,FALSE)),"0")</f>
        <v>0</v>
      </c>
      <c r="BQ37" s="192" t="str">
        <f>IF(AND($C37&lt;&gt;"",$H37&lt;&gt;""),(VLOOKUP($C37,'V-LOOKUP'!$C$61:$M$120,11,FALSE)),"0")</f>
        <v>0</v>
      </c>
      <c r="BR37" s="192" t="str">
        <f>IF(AND($C37&lt;&gt;"",$H37&lt;&gt;""),(VLOOKUP($C37,'V-LOOKUP'!$C$61:$N$120,12,FALSE)),"0")</f>
        <v>0</v>
      </c>
      <c r="BS37" s="192" t="str">
        <f>IF(AND($C37&lt;&gt;"",$I37&lt;&gt;""),(VLOOKUP($C37,'V-LOOKUP'!$C$61:$M$120,4,FALSE)),"0")</f>
        <v>0</v>
      </c>
      <c r="BT37" s="192" t="str">
        <f>IF(AND($C37&lt;&gt;"",$I37&lt;&gt;""),(VLOOKUP($C37,'V-LOOKUP'!$C$61:$M$120,5,FALSE)),"0")</f>
        <v>0</v>
      </c>
      <c r="BU37" s="192" t="str">
        <f>IF(AND($C37&lt;&gt;"",$I37&lt;&gt;""),(VLOOKUP($C37,'V-LOOKUP'!$C$61:$M$120,6,FALSE)),"0")</f>
        <v>0</v>
      </c>
      <c r="BV37" s="192" t="str">
        <f>IF(AND($C37&lt;&gt;"",$I37&lt;&gt;""),(VLOOKUP($C37,'V-LOOKUP'!$C$61:$M$120,7,FALSE)),"0")</f>
        <v>0</v>
      </c>
      <c r="BW37" s="192" t="str">
        <f>IF(AND($C37&lt;&gt;"",$I37&lt;&gt;""),(VLOOKUP($C37,'V-LOOKUP'!$C$61:$M$120,8,FALSE)),"0")</f>
        <v>0</v>
      </c>
      <c r="BX37" s="192" t="str">
        <f>IF(AND($C37&lt;&gt;"",$I37&lt;&gt;""),(VLOOKUP($C37,'V-LOOKUP'!$C$61:$M$120,9,FALSE)),"0")</f>
        <v>0</v>
      </c>
      <c r="BY37" s="192" t="str">
        <f>IF(AND($C37&lt;&gt;"",$I37&lt;&gt;""),(VLOOKUP($C37,'V-LOOKUP'!$C$61:$M$120,10,FALSE)),"0")</f>
        <v>0</v>
      </c>
      <c r="BZ37" s="192" t="str">
        <f>IF(AND($C37&lt;&gt;"",$I37&lt;&gt;""),(VLOOKUP($C37,'V-LOOKUP'!$C$61:$M$120,11,FALSE)),"0")</f>
        <v>0</v>
      </c>
      <c r="CA37" s="192" t="str">
        <f>IF(AND($C37&lt;&gt;"",$I37&lt;&gt;""),(VLOOKUP($C37,'V-LOOKUP'!$C$61:$N$120,12,FALSE)),"0")</f>
        <v>0</v>
      </c>
      <c r="CB37" s="192" t="str">
        <f>IF(AND($C37&lt;&gt;"",$J37&lt;&gt;""),(VLOOKUP($C37,'V-LOOKUP'!$C$61:$M$120,4,FALSE)),"0")</f>
        <v>0</v>
      </c>
      <c r="CC37" s="192" t="str">
        <f>IF(AND($C37&lt;&gt;"",$J37&lt;&gt;""),(VLOOKUP($C37,'V-LOOKUP'!$C$61:$M$120,5,FALSE)),"0")</f>
        <v>0</v>
      </c>
      <c r="CD37" s="192" t="str">
        <f>IF(AND($C37&lt;&gt;"",$J37&lt;&gt;""),(VLOOKUP($C37,'V-LOOKUP'!$C$61:$M$120,6,FALSE)),"0")</f>
        <v>0</v>
      </c>
      <c r="CE37" s="192" t="str">
        <f>IF(AND($C37&lt;&gt;"",$J37&lt;&gt;""),(VLOOKUP($C37,'V-LOOKUP'!$C$61:$M$120,7,FALSE)),"0")</f>
        <v>0</v>
      </c>
      <c r="CF37" s="192" t="str">
        <f>IF(AND($C37&lt;&gt;"",$J37&lt;&gt;""),(VLOOKUP($C37,'V-LOOKUP'!$C$61:$M$120,8,FALSE)),"0")</f>
        <v>0</v>
      </c>
      <c r="CG37" s="192" t="str">
        <f>IF(AND($C37&lt;&gt;"",$J37&lt;&gt;""),(VLOOKUP($C37,'V-LOOKUP'!$C$61:$M$120,9,FALSE)),"0")</f>
        <v>0</v>
      </c>
      <c r="CH37" s="192" t="str">
        <f>IF(AND($C37&lt;&gt;"",$J37&lt;&gt;""),(VLOOKUP($C37,'V-LOOKUP'!$C$61:$M$120,10,FALSE)),"0")</f>
        <v>0</v>
      </c>
      <c r="CI37" s="192" t="str">
        <f>IF(AND($C37&lt;&gt;"",$J37&lt;&gt;""),(VLOOKUP($C37,'V-LOOKUP'!$C$61:$M$120,11,FALSE)),"0")</f>
        <v>0</v>
      </c>
      <c r="CJ37" s="192" t="str">
        <f>IF(AND($C37&lt;&gt;"",$J37&lt;&gt;""),(VLOOKUP($C37,'V-LOOKUP'!$C$61:$N$120,12,FALSE)),"0")</f>
        <v>0</v>
      </c>
      <c r="CK37" s="192" t="str">
        <f>IF(AND($C37&lt;&gt;"",$K37&lt;&gt;""),(VLOOKUP($C37,'V-LOOKUP'!$C$61:$M$120,4,FALSE)),"0")</f>
        <v>0</v>
      </c>
      <c r="CL37" s="192" t="str">
        <f>IF(AND($C37&lt;&gt;"",$K37&lt;&gt;""),(VLOOKUP($C37,'V-LOOKUP'!$C$61:$M$120,5,FALSE)),"0")</f>
        <v>0</v>
      </c>
      <c r="CM37" s="192" t="str">
        <f>IF(AND($C37&lt;&gt;"",$K37&lt;&gt;""),(VLOOKUP($C37,'V-LOOKUP'!$C$61:$M$120,6,FALSE)),"0")</f>
        <v>0</v>
      </c>
      <c r="CN37" s="192" t="str">
        <f>IF(AND($C37&lt;&gt;"",$K37&lt;&gt;""),(VLOOKUP($C37,'V-LOOKUP'!$C$61:$M$120,7,FALSE)),"0")</f>
        <v>0</v>
      </c>
      <c r="CO37" s="192" t="str">
        <f>IF(AND($C37&lt;&gt;"",$K37&lt;&gt;""),(VLOOKUP($C37,'V-LOOKUP'!$C$61:$M$120,8,FALSE)),"0")</f>
        <v>0</v>
      </c>
      <c r="CP37" s="192" t="str">
        <f>IF(AND($C37&lt;&gt;"",$K37&lt;&gt;""),(VLOOKUP($C37,'V-LOOKUP'!$C$61:$M$120,9,FALSE)),"0")</f>
        <v>0</v>
      </c>
      <c r="CQ37" s="192" t="str">
        <f>IF(AND($C37&lt;&gt;"",$K37&lt;&gt;""),(VLOOKUP($C37,'V-LOOKUP'!$C$61:$M$120,10,FALSE)),"0")</f>
        <v>0</v>
      </c>
      <c r="CR37" s="192" t="str">
        <f>IF(AND($C37&lt;&gt;"",$K37&lt;&gt;""),(VLOOKUP($C37,'V-LOOKUP'!$C$61:$M$120,11,FALSE)),"0")</f>
        <v>0</v>
      </c>
      <c r="CS37" s="192" t="str">
        <f>IF(AND($C37&lt;&gt;"",$K37&lt;&gt;""),(VLOOKUP($C37,'V-LOOKUP'!$C$61:$N$120,12,FALSE)),"0")</f>
        <v>0</v>
      </c>
      <c r="CT37" s="192" t="str">
        <f>IF(AND($C37&lt;&gt;"",$L37&lt;&gt;""),(VLOOKUP($C37,'V-LOOKUP'!$C$61:$M$120,4,FALSE)),"0")</f>
        <v>0</v>
      </c>
      <c r="CU37" s="192" t="str">
        <f>IF(AND($C37&lt;&gt;"",$L37&lt;&gt;""),(VLOOKUP($C37,'V-LOOKUP'!$C$61:$M$120,5,FALSE)),"0")</f>
        <v>0</v>
      </c>
      <c r="CV37" s="192" t="str">
        <f>IF(AND($C37&lt;&gt;"",$L37&lt;&gt;""),(VLOOKUP($C37,'V-LOOKUP'!$C$61:$M$120,6,FALSE)),"0")</f>
        <v>0</v>
      </c>
      <c r="CW37" s="192" t="str">
        <f>IF(AND($C37&lt;&gt;"",$L37&lt;&gt;""),(VLOOKUP($C37,'V-LOOKUP'!$C$61:$M$120,7,FALSE)),"0")</f>
        <v>0</v>
      </c>
      <c r="CX37" s="192" t="str">
        <f>IF(AND($C37&lt;&gt;"",$L37&lt;&gt;""),(VLOOKUP($C37,'V-LOOKUP'!$C$61:$M$120,8,FALSE)),"0")</f>
        <v>0</v>
      </c>
      <c r="CY37" s="192" t="str">
        <f>IF(AND($C37&lt;&gt;"",$L37&lt;&gt;""),(VLOOKUP($C37,'V-LOOKUP'!$C$61:$M$120,9,FALSE)),"0")</f>
        <v>0</v>
      </c>
      <c r="CZ37" s="192" t="str">
        <f>IF(AND($C37&lt;&gt;"",$L37&lt;&gt;""),(VLOOKUP($C37,'V-LOOKUP'!$C$61:$M$120,10,FALSE)),"0")</f>
        <v>0</v>
      </c>
      <c r="DA37" s="192" t="str">
        <f>IF(AND($C37&lt;&gt;"",$L37&lt;&gt;""),(VLOOKUP($C37,'V-LOOKUP'!$C$61:$M$120,11,FALSE)),"0")</f>
        <v>0</v>
      </c>
      <c r="DB37" s="192" t="str">
        <f>IF(AND($C37&lt;&gt;"",$L37&lt;&gt;""),(VLOOKUP($C37,'V-LOOKUP'!$C$61:$N$120,12,FALSE)),"0")</f>
        <v>0</v>
      </c>
      <c r="DC37" s="192" t="str">
        <f>IF(AND($C37&lt;&gt;"",$M37&lt;&gt;""),(VLOOKUP($C37,'V-LOOKUP'!$C$61:$M$120,4,FALSE)),"0")</f>
        <v>0</v>
      </c>
      <c r="DD37" s="192" t="str">
        <f>IF(AND($C37&lt;&gt;"",$M37&lt;&gt;""),(VLOOKUP($C37,'V-LOOKUP'!$C$61:$M$120,5,FALSE)),"0")</f>
        <v>0</v>
      </c>
      <c r="DE37" s="192" t="str">
        <f>IF(AND($C37&lt;&gt;"",$M37&lt;&gt;""),(VLOOKUP($C37,'V-LOOKUP'!$C$61:$M$120,6,FALSE)),"0")</f>
        <v>0</v>
      </c>
      <c r="DF37" s="192" t="str">
        <f>IF(AND($C37&lt;&gt;"",$M37&lt;&gt;""),(VLOOKUP($C37,'V-LOOKUP'!$C$61:$M$120,7,FALSE)),"0")</f>
        <v>0</v>
      </c>
      <c r="DG37" s="192" t="str">
        <f>IF(AND($C37&lt;&gt;"",$M37&lt;&gt;""),(VLOOKUP($C37,'V-LOOKUP'!$C$61:$M$120,8,FALSE)),"0")</f>
        <v>0</v>
      </c>
      <c r="DH37" s="192" t="str">
        <f>IF(AND($C37&lt;&gt;"",$M37&lt;&gt;""),(VLOOKUP($C37,'V-LOOKUP'!$C$61:$M$120,9,FALSE)),"0")</f>
        <v>0</v>
      </c>
      <c r="DI37" s="192" t="str">
        <f>IF(AND($C37&lt;&gt;"",$M37&lt;&gt;""),(VLOOKUP($C37,'V-LOOKUP'!$C$61:$M$120,10,FALSE)),"0")</f>
        <v>0</v>
      </c>
      <c r="DJ37" s="192" t="str">
        <f>IF(AND($C37&lt;&gt;"",$M37&lt;&gt;""),(VLOOKUP($C37,'V-LOOKUP'!$C$61:$M$120,11,FALSE)),"0")</f>
        <v>0</v>
      </c>
      <c r="DK37" s="192" t="str">
        <f>IF(AND($C37&lt;&gt;"",$M37&lt;&gt;""),(VLOOKUP($C37,'V-LOOKUP'!$C$61:$N$120,12,FALSE)),"0")</f>
        <v>0</v>
      </c>
      <c r="DL37" s="192" t="str">
        <f>IF(AND($C37&lt;&gt;"",$N37&lt;&gt;""),(VLOOKUP($C37,'V-LOOKUP'!$C$61:$M$120,4,FALSE)),"0")</f>
        <v>0</v>
      </c>
      <c r="DM37" s="192" t="str">
        <f>IF(AND($C37&lt;&gt;"",$N37&lt;&gt;""),(VLOOKUP($C37,'V-LOOKUP'!$C$61:$M$120,5,FALSE)),"0")</f>
        <v>0</v>
      </c>
      <c r="DN37" s="192" t="str">
        <f>IF(AND($C37&lt;&gt;"",$N37&lt;&gt;""),(VLOOKUP($C37,'V-LOOKUP'!$C$61:$M$120,6,FALSE)),"0")</f>
        <v>0</v>
      </c>
      <c r="DO37" s="192" t="str">
        <f>IF(AND($C37&lt;&gt;"",$N37&lt;&gt;""),(VLOOKUP($C37,'V-LOOKUP'!$C$61:$M$120,7,FALSE)),"0")</f>
        <v>0</v>
      </c>
      <c r="DP37" s="192" t="str">
        <f>IF(AND($C37&lt;&gt;"",$N37&lt;&gt;""),(VLOOKUP($C37,'V-LOOKUP'!$C$61:$M$120,8,FALSE)),"0")</f>
        <v>0</v>
      </c>
      <c r="DQ37" s="192" t="str">
        <f>IF(AND($C37&lt;&gt;"",$N37&lt;&gt;""),(VLOOKUP($C37,'V-LOOKUP'!$C$61:$M$120,9,FALSE)),"0")</f>
        <v>0</v>
      </c>
      <c r="DR37" s="192" t="str">
        <f>IF(AND($C37&lt;&gt;"",$N37&lt;&gt;""),(VLOOKUP($C37,'V-LOOKUP'!$C$61:$M$120,10,FALSE)),"0")</f>
        <v>0</v>
      </c>
      <c r="DS37" s="192" t="str">
        <f>IF(AND($C37&lt;&gt;"",$N37&lt;&gt;""),(VLOOKUP($C37,'V-LOOKUP'!$C$61:$M$120,11,FALSE)),"0")</f>
        <v>0</v>
      </c>
      <c r="DT37" s="192" t="str">
        <f>IF(AND($C37&lt;&gt;"",$N37&lt;&gt;""),(VLOOKUP($C37,'V-LOOKUP'!$C$61:$N$120,12,FALSE)),"0")</f>
        <v>0</v>
      </c>
      <c r="DU37" s="192" t="str">
        <f>IF(AND($C37&lt;&gt;"",$O37&lt;&gt;""),(VLOOKUP($C37,'V-LOOKUP'!$C$61:$M$120,4,FALSE)),"0")</f>
        <v>0</v>
      </c>
      <c r="DV37" s="192" t="str">
        <f>IF(AND($C37&lt;&gt;"",$O37&lt;&gt;""),(VLOOKUP($C37,'V-LOOKUP'!$C$61:$M$120,5,FALSE)),"0")</f>
        <v>0</v>
      </c>
      <c r="DW37" s="192" t="str">
        <f>IF(AND($C37&lt;&gt;"",$O37&lt;&gt;""),(VLOOKUP($C37,'V-LOOKUP'!$C$61:$M$120,6,FALSE)),"0")</f>
        <v>0</v>
      </c>
      <c r="DX37" s="192" t="str">
        <f>IF(AND($C37&lt;&gt;"",$O37&lt;&gt;""),(VLOOKUP($C37,'V-LOOKUP'!$C$61:$M$120,7,FALSE)),"0")</f>
        <v>0</v>
      </c>
      <c r="DY37" s="192" t="str">
        <f>IF(AND($C37&lt;&gt;"",$O37&lt;&gt;""),(VLOOKUP($C37,'V-LOOKUP'!$C$61:$M$120,8,FALSE)),"0")</f>
        <v>0</v>
      </c>
      <c r="DZ37" s="192" t="str">
        <f>IF(AND($C37&lt;&gt;"",$O37&lt;&gt;""),(VLOOKUP($C37,'V-LOOKUP'!$C$61:$M$120,9,FALSE)),"0")</f>
        <v>0</v>
      </c>
      <c r="EA37" s="192" t="str">
        <f>IF(AND($C37&lt;&gt;"",$O37&lt;&gt;""),(VLOOKUP($C37,'V-LOOKUP'!$C$61:$M$120,10,FALSE)),"0")</f>
        <v>0</v>
      </c>
      <c r="EB37" s="192" t="str">
        <f>IF(AND($C37&lt;&gt;"",$O37&lt;&gt;""),(VLOOKUP($C37,'V-LOOKUP'!$C$61:$M$120,11,FALSE)),"0")</f>
        <v>0</v>
      </c>
      <c r="EC37" s="192" t="str">
        <f>IF(AND($C37&lt;&gt;"",$O37&lt;&gt;""),(VLOOKUP($C37,'V-LOOKUP'!$C$61:$N$120,12,FALSE)),"0")</f>
        <v>0</v>
      </c>
      <c r="ED37" s="192" t="str">
        <f>IF(AND($C37&lt;&gt;"",$P37&lt;&gt;""),(VLOOKUP($C37,'V-LOOKUP'!$C$61:$M$120,4,FALSE)),"0")</f>
        <v>0</v>
      </c>
      <c r="EE37" s="192" t="str">
        <f>IF(AND($C37&lt;&gt;"",$P37&lt;&gt;""),(VLOOKUP($C37,'V-LOOKUP'!$C$61:$M$120,5,FALSE)),"0")</f>
        <v>0</v>
      </c>
      <c r="EF37" s="192" t="str">
        <f>IF(AND($C37&lt;&gt;"",$P37&lt;&gt;""),(VLOOKUP($C37,'V-LOOKUP'!$C$61:$M$120,6,FALSE)),"0")</f>
        <v>0</v>
      </c>
      <c r="EG37" s="192" t="str">
        <f>IF(AND($C37&lt;&gt;"",$P37&lt;&gt;""),(VLOOKUP($C37,'V-LOOKUP'!$C$61:$M$120,7,FALSE)),"0")</f>
        <v>0</v>
      </c>
      <c r="EH37" s="192" t="str">
        <f>IF(AND($C37&lt;&gt;"",$P37&lt;&gt;""),(VLOOKUP($C37,'V-LOOKUP'!$C$61:$M$120,8,FALSE)),"0")</f>
        <v>0</v>
      </c>
      <c r="EI37" s="192" t="str">
        <f>IF(AND($C37&lt;&gt;"",$P37&lt;&gt;""),(VLOOKUP($C37,'V-LOOKUP'!$C$61:$M$120,9,FALSE)),"0")</f>
        <v>0</v>
      </c>
      <c r="EJ37" s="192" t="str">
        <f>IF(AND($C37&lt;&gt;"",$P37&lt;&gt;""),(VLOOKUP($C37,'V-LOOKUP'!$C$61:$M$120,10,FALSE)),"0")</f>
        <v>0</v>
      </c>
      <c r="EK37" s="192" t="str">
        <f>IF(AND($C37&lt;&gt;"",$P37&lt;&gt;""),(VLOOKUP($C37,'V-LOOKUP'!$C$61:$M$120,11,FALSE)),"0")</f>
        <v>0</v>
      </c>
      <c r="EL37" s="192" t="str">
        <f>IF(AND($C37&lt;&gt;"",$P37&lt;&gt;""),(VLOOKUP($C37,'V-LOOKUP'!$C$61:$N$120,12,FALSE)),"0")</f>
        <v>0</v>
      </c>
      <c r="EM37" s="192" t="str">
        <f>IF(AND($C37&lt;&gt;"",$Q37&lt;&gt;""),(VLOOKUP($C37,'V-LOOKUP'!$C$61:$M$120,4,FALSE)),"0")</f>
        <v>0</v>
      </c>
      <c r="EN37" s="192" t="str">
        <f>IF(AND($C37&lt;&gt;"",$Q37&lt;&gt;""),(VLOOKUP($C37,'V-LOOKUP'!$C$61:$M$120,5,FALSE)),"0")</f>
        <v>0</v>
      </c>
      <c r="EO37" s="192" t="str">
        <f>IF(AND($C37&lt;&gt;"",$Q37&lt;&gt;""),(VLOOKUP($C37,'V-LOOKUP'!$C$61:$M$120,6,FALSE)),"0")</f>
        <v>0</v>
      </c>
      <c r="EP37" s="192" t="str">
        <f>IF(AND($C37&lt;&gt;"",$Q37&lt;&gt;""),(VLOOKUP($C37,'V-LOOKUP'!$C$61:$M$120,7,FALSE)),"0")</f>
        <v>0</v>
      </c>
      <c r="EQ37" s="192" t="str">
        <f>IF(AND($C37&lt;&gt;"",$Q37&lt;&gt;""),(VLOOKUP($C37,'V-LOOKUP'!$C$61:$M$120,8,FALSE)),"0")</f>
        <v>0</v>
      </c>
      <c r="ER37" s="192" t="str">
        <f>IF(AND($C37&lt;&gt;"",$Q37&lt;&gt;""),(VLOOKUP($C37,'V-LOOKUP'!$C$61:$M$120,9,FALSE)),"0")</f>
        <v>0</v>
      </c>
      <c r="ES37" s="192" t="str">
        <f>IF(AND($C37&lt;&gt;"",$Q37&lt;&gt;""),(VLOOKUP($C37,'V-LOOKUP'!$C$61:$M$120,10,FALSE)),"0")</f>
        <v>0</v>
      </c>
      <c r="ET37" s="192" t="str">
        <f>IF(AND($C37&lt;&gt;"",$Q37&lt;&gt;""),(VLOOKUP($C37,'V-LOOKUP'!$C$61:$M$120,11,FALSE)),"0")</f>
        <v>0</v>
      </c>
      <c r="EU37" s="192" t="str">
        <f>IF(AND($C37&lt;&gt;"",$Q37&lt;&gt;""),(VLOOKUP($C37,'V-LOOKUP'!$C$61:$N$120,12,FALSE)),"0")</f>
        <v>0</v>
      </c>
      <c r="EV37" s="192" t="str">
        <f>IF(AND($C37&lt;&gt;"",$R37&lt;&gt;""),(VLOOKUP($C37,'V-LOOKUP'!$C$61:$M$120,4,FALSE)),"0")</f>
        <v>0</v>
      </c>
      <c r="EW37" s="192" t="str">
        <f>IF(AND($C37&lt;&gt;"",$R37&lt;&gt;""),(VLOOKUP($C37,'V-LOOKUP'!$C$61:$M$120,5,FALSE)),"0")</f>
        <v>0</v>
      </c>
      <c r="EX37" s="192" t="str">
        <f>IF(AND($C37&lt;&gt;"",$R37&lt;&gt;""),(VLOOKUP($C37,'V-LOOKUP'!$C$61:$M$120,6,FALSE)),"0")</f>
        <v>0</v>
      </c>
      <c r="EY37" s="192" t="str">
        <f>IF(AND($C37&lt;&gt;"",$R37&lt;&gt;""),(VLOOKUP($C37,'V-LOOKUP'!$C$61:$M$120,7,FALSE)),"0")</f>
        <v>0</v>
      </c>
      <c r="EZ37" s="192" t="str">
        <f>IF(AND($C37&lt;&gt;"",$R37&lt;&gt;""),(VLOOKUP($C37,'V-LOOKUP'!$C$61:$M$120,8,FALSE)),"0")</f>
        <v>0</v>
      </c>
      <c r="FA37" s="192" t="str">
        <f>IF(AND($C37&lt;&gt;"",$R37&lt;&gt;""),(VLOOKUP($C37,'V-LOOKUP'!$C$61:$M$120,9,FALSE)),"0")</f>
        <v>0</v>
      </c>
      <c r="FB37" s="192" t="str">
        <f>IF(AND($C37&lt;&gt;"",$R37&lt;&gt;""),(VLOOKUP($C37,'V-LOOKUP'!$C$61:$M$120,10,FALSE)),"0")</f>
        <v>0</v>
      </c>
      <c r="FC37" s="192" t="str">
        <f>IF(AND($C37&lt;&gt;"",$R37&lt;&gt;""),(VLOOKUP($C37,'V-LOOKUP'!$C$61:$M$120,11,FALSE)),"0")</f>
        <v>0</v>
      </c>
      <c r="FD37" s="192" t="str">
        <f>IF(AND($C37&lt;&gt;"",$R37&lt;&gt;""),(VLOOKUP($C37,'V-LOOKUP'!$C$61:$N$120,12,FALSE)),"0")</f>
        <v>0</v>
      </c>
      <c r="FE37" s="192" t="str">
        <f>IF(AND($C37&lt;&gt;"",$S37&lt;&gt;""),(VLOOKUP($C37,'V-LOOKUP'!$C$61:$M$120,4,FALSE)),"0")</f>
        <v>0</v>
      </c>
      <c r="FF37" s="192" t="str">
        <f>IF(AND($C37&lt;&gt;"",$S37&lt;&gt;""),(VLOOKUP($C37,'V-LOOKUP'!$C$61:$M$120,5,FALSE)),"0")</f>
        <v>0</v>
      </c>
      <c r="FG37" s="192" t="str">
        <f>IF(AND($C37&lt;&gt;"",$S37&lt;&gt;""),(VLOOKUP($C37,'V-LOOKUP'!$C$61:$M$120,6,FALSE)),"0")</f>
        <v>0</v>
      </c>
      <c r="FH37" s="192" t="str">
        <f>IF(AND($C37&lt;&gt;"",$S37&lt;&gt;""),(VLOOKUP($C37,'V-LOOKUP'!$C$61:$M$120,7,FALSE)),"0")</f>
        <v>0</v>
      </c>
      <c r="FI37" s="192" t="str">
        <f>IF(AND($C37&lt;&gt;"",$S37&lt;&gt;""),(VLOOKUP($C37,'V-LOOKUP'!$C$61:$M$120,8,FALSE)),"0")</f>
        <v>0</v>
      </c>
      <c r="FJ37" s="192" t="str">
        <f>IF(AND($C37&lt;&gt;"",$S37&lt;&gt;""),(VLOOKUP($C37,'V-LOOKUP'!$C$61:$M$120,9,FALSE)),"0")</f>
        <v>0</v>
      </c>
      <c r="FK37" s="192" t="str">
        <f>IF(AND($C37&lt;&gt;"",$S37&lt;&gt;""),(VLOOKUP($C37,'V-LOOKUP'!$C$61:$M$120,10,FALSE)),"0")</f>
        <v>0</v>
      </c>
      <c r="FL37" s="192" t="str">
        <f>IF(AND($C37&lt;&gt;"",$S37&lt;&gt;""),(VLOOKUP($C37,'V-LOOKUP'!$C$61:$M$120,11,FALSE)),"0")</f>
        <v>0</v>
      </c>
      <c r="FM37" s="192" t="str">
        <f>IF(AND($C37&lt;&gt;"",$S37&lt;&gt;""),(VLOOKUP($C37,'V-LOOKUP'!$C$61:$N$120,12,FALSE)),"0")</f>
        <v>0</v>
      </c>
      <c r="FN37" s="192" t="str">
        <f>IF(AND($C37&lt;&gt;"",$T37&lt;&gt;""),(VLOOKUP($C37,'V-LOOKUP'!$C$61:$M$120,4,FALSE)),"0")</f>
        <v>0</v>
      </c>
      <c r="FO37" s="192" t="str">
        <f>IF(AND($C37&lt;&gt;"",$T37&lt;&gt;""),(VLOOKUP($C37,'V-LOOKUP'!$C$61:$M$120,5,FALSE)),"0")</f>
        <v>0</v>
      </c>
      <c r="FP37" s="192" t="str">
        <f>IF(AND($C37&lt;&gt;"",$T37&lt;&gt;""),(VLOOKUP($C37,'V-LOOKUP'!$C$61:$M$120,6,FALSE)),"0")</f>
        <v>0</v>
      </c>
      <c r="FQ37" s="192" t="str">
        <f>IF(AND($C37&lt;&gt;"",$T37&lt;&gt;""),(VLOOKUP($C37,'V-LOOKUP'!$C$61:$M$120,7,FALSE)),"0")</f>
        <v>0</v>
      </c>
      <c r="FR37" s="192" t="str">
        <f>IF(AND($C37&lt;&gt;"",$T37&lt;&gt;""),(VLOOKUP($C37,'V-LOOKUP'!$C$61:$M$120,8,FALSE)),"0")</f>
        <v>0</v>
      </c>
      <c r="FS37" s="192" t="str">
        <f>IF(AND($C37&lt;&gt;"",$T37&lt;&gt;""),(VLOOKUP($C37,'V-LOOKUP'!$C$61:$M$120,9,FALSE)),"0")</f>
        <v>0</v>
      </c>
      <c r="FT37" s="192" t="str">
        <f>IF(AND($C37&lt;&gt;"",$T37&lt;&gt;""),(VLOOKUP($C37,'V-LOOKUP'!$C$61:$M$120,10,FALSE)),"0")</f>
        <v>0</v>
      </c>
      <c r="FU37" s="192" t="str">
        <f>IF(AND($C37&lt;&gt;"",$T37&lt;&gt;""),(VLOOKUP($C37,'V-LOOKUP'!$C$61:$M$120,11,FALSE)),"0")</f>
        <v>0</v>
      </c>
      <c r="FV37" s="192" t="str">
        <f>IF(AND($C37&lt;&gt;"",$T37&lt;&gt;""),(VLOOKUP($C37,'V-LOOKUP'!$C$61:$N$120,12,FALSE)),"0")</f>
        <v>0</v>
      </c>
      <c r="FW37" s="192" t="str">
        <f>IF(AND($C37&lt;&gt;"",$U37&lt;&gt;""),(VLOOKUP($C37,'V-LOOKUP'!$C$61:$M$120,4,FALSE)),"0")</f>
        <v>0</v>
      </c>
      <c r="FX37" s="192" t="str">
        <f>IF(AND($C37&lt;&gt;"",$U37&lt;&gt;""),(VLOOKUP($C37,'V-LOOKUP'!$C$61:$M$120,5,FALSE)),"0")</f>
        <v>0</v>
      </c>
      <c r="FY37" s="192" t="str">
        <f>IF(AND($C37&lt;&gt;"",$U37&lt;&gt;""),(VLOOKUP($C37,'V-LOOKUP'!$C$61:$M$120,6,FALSE)),"0")</f>
        <v>0</v>
      </c>
      <c r="FZ37" s="192" t="str">
        <f>IF(AND($C37&lt;&gt;"",$U37&lt;&gt;""),(VLOOKUP($C37,'V-LOOKUP'!$C$61:$M$120,7,FALSE)),"0")</f>
        <v>0</v>
      </c>
      <c r="GA37" s="192" t="str">
        <f>IF(AND($C37&lt;&gt;"",$U37&lt;&gt;""),(VLOOKUP($C37,'V-LOOKUP'!$C$61:$M$120,8,FALSE)),"0")</f>
        <v>0</v>
      </c>
      <c r="GB37" s="192" t="str">
        <f>IF(AND($C37&lt;&gt;"",$U37&lt;&gt;""),(VLOOKUP($C37,'V-LOOKUP'!$C$61:$M$120,9,FALSE)),"0")</f>
        <v>0</v>
      </c>
      <c r="GC37" s="192" t="str">
        <f>IF(AND($C37&lt;&gt;"",$U37&lt;&gt;""),(VLOOKUP($C37,'V-LOOKUP'!$C$61:$M$120,10,FALSE)),"0")</f>
        <v>0</v>
      </c>
      <c r="GD37" s="192" t="str">
        <f>IF(AND($C37&lt;&gt;"",$U37&lt;&gt;""),(VLOOKUP($C37,'V-LOOKUP'!$C$61:$M$120,11,FALSE)),"0")</f>
        <v>0</v>
      </c>
      <c r="GE37" s="192" t="str">
        <f>IF(AND($C37&lt;&gt;"",$U37&lt;&gt;""),(VLOOKUP($C37,'V-LOOKUP'!$C$61:$N$120,12,FALSE)),"0")</f>
        <v>0</v>
      </c>
      <c r="GF37" s="192" t="str">
        <f>IF(AND($C37&lt;&gt;"",$V37&lt;&gt;""),(VLOOKUP($C37,'V-LOOKUP'!$C$61:$M$120,4,FALSE)),"0")</f>
        <v>0</v>
      </c>
      <c r="GG37" s="192" t="str">
        <f>IF(AND($C37&lt;&gt;"",V37&lt;&gt;""),(VLOOKUP($C37,'V-LOOKUP'!$C$61:$M$120,5,FALSE)),"0")</f>
        <v>0</v>
      </c>
      <c r="GH37" s="192" t="str">
        <f>IF(AND($C37&lt;&gt;"",$V37&lt;&gt;""),(VLOOKUP($C37,'V-LOOKUP'!$C$61:$M$120,6,FALSE)),"0")</f>
        <v>0</v>
      </c>
      <c r="GI37" s="192" t="str">
        <f>IF(AND($C37&lt;&gt;"",$V37&lt;&gt;""),(VLOOKUP($C37,'V-LOOKUP'!$C$61:$M$120,7,FALSE)),"0")</f>
        <v>0</v>
      </c>
      <c r="GJ37" s="192" t="str">
        <f>IF(AND($C37&lt;&gt;"",$V37&lt;&gt;""),(VLOOKUP($C37,'V-LOOKUP'!$C$61:$M$120,8,FALSE)),"0")</f>
        <v>0</v>
      </c>
      <c r="GK37" s="192" t="str">
        <f>IF(AND($C37&lt;&gt;"",$V37&lt;&gt;""),(VLOOKUP($C37,'V-LOOKUP'!$C$61:$M$120,9,FALSE)),"0")</f>
        <v>0</v>
      </c>
      <c r="GL37" s="192" t="str">
        <f>IF(AND($C37&lt;&gt;"",$V37&lt;&gt;""),(VLOOKUP($C37,'V-LOOKUP'!$C$61:$M$120,10,FALSE)),"0")</f>
        <v>0</v>
      </c>
      <c r="GM37" s="192" t="str">
        <f>IF(AND($C37&lt;&gt;"",$V37&lt;&gt;""),(VLOOKUP($C37,'V-LOOKUP'!$C$61:$M$120,11,FALSE)),"0")</f>
        <v>0</v>
      </c>
      <c r="GN37" s="192" t="str">
        <f>IF(AND($C37&lt;&gt;"",$V37&lt;&gt;""),(VLOOKUP($C37,'V-LOOKUP'!$C$61:$N$120,12,FALSE)),"0")</f>
        <v>0</v>
      </c>
      <c r="GO37" s="192" t="str">
        <f>IF(AND($C37&lt;&gt;"",$W37&lt;&gt;""),(VLOOKUP($C37,'V-LOOKUP'!$C$61:$M$120,4,FALSE)),"0")</f>
        <v>0</v>
      </c>
      <c r="GP37" s="192" t="str">
        <f>IF(AND($C37&lt;&gt;"",$W37&lt;&gt;""),(VLOOKUP($C37,'V-LOOKUP'!$C$61:$M$120,5,FALSE)),"0")</f>
        <v>0</v>
      </c>
      <c r="GQ37" s="192" t="str">
        <f>IF(AND($C37&lt;&gt;"",$W37&lt;&gt;""),(VLOOKUP($C37,'V-LOOKUP'!$C$61:$M$120,6,FALSE)),"0")</f>
        <v>0</v>
      </c>
      <c r="GR37" s="192" t="str">
        <f>IF(AND($C37&lt;&gt;"",$W37&lt;&gt;""),(VLOOKUP($C37,'V-LOOKUP'!$C$61:$M$120,7,FALSE)),"0")</f>
        <v>0</v>
      </c>
      <c r="GS37" s="192" t="str">
        <f>IF(AND($C37&lt;&gt;"",$W37&lt;&gt;""),(VLOOKUP($C37,'V-LOOKUP'!$C$61:$M$120,8,FALSE)),"0")</f>
        <v>0</v>
      </c>
      <c r="GT37" s="192" t="str">
        <f>IF(AND($C37&lt;&gt;"",$W37&lt;&gt;""),(VLOOKUP($C37,'V-LOOKUP'!$C$61:$M$120,9,FALSE)),"0")</f>
        <v>0</v>
      </c>
      <c r="GU37" s="192" t="str">
        <f>IF(AND($C37&lt;&gt;"",$W37&lt;&gt;""),(VLOOKUP($C37,'V-LOOKUP'!$C$61:$M$120,10,FALSE)),"0")</f>
        <v>0</v>
      </c>
      <c r="GV37" s="192" t="str">
        <f>IF(AND($C37&lt;&gt;"",$W37&lt;&gt;""),(VLOOKUP($C37,'V-LOOKUP'!$C$61:$M$120,11,FALSE)),"0")</f>
        <v>0</v>
      </c>
      <c r="GW37" s="192" t="str">
        <f>IF(AND($C37&lt;&gt;"",$W37&lt;&gt;""),(VLOOKUP($C37,'V-LOOKUP'!$C$61:$N$120,12,FALSE)),"0")</f>
        <v>0</v>
      </c>
    </row>
    <row r="38" spans="1:205" ht="14.65" customHeight="1">
      <c r="A38" s="193"/>
      <c r="B38" s="245"/>
      <c r="C38" s="203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Y38" s="190"/>
      <c r="Z38" s="192" t="str">
        <f>IF(AND($C38&lt;&gt;"",$D38&lt;&gt;""),(VLOOKUP($C38,'V-LOOKUP'!$C$61:$M$120,4,FALSE)),"0")</f>
        <v>0</v>
      </c>
      <c r="AA38" s="192" t="str">
        <f>IF(AND($C38&lt;&gt;"",$D38&lt;&gt;""),(VLOOKUP($C38,'V-LOOKUP'!$C$61:$M$120,5,FALSE)),"0")</f>
        <v>0</v>
      </c>
      <c r="AB38" s="192" t="str">
        <f>IF(AND($C38&lt;&gt;"",$D38&lt;&gt;""),(VLOOKUP($C38,'V-LOOKUP'!$C$61:$M$120,6,FALSE)),"0")</f>
        <v>0</v>
      </c>
      <c r="AC38" s="192" t="str">
        <f>IF(AND($C38&lt;&gt;"",$D38&lt;&gt;""),(VLOOKUP($C38,'V-LOOKUP'!$C$61:$M$120,7,FALSE)),"0")</f>
        <v>0</v>
      </c>
      <c r="AD38" s="192" t="str">
        <f>IF(AND($C38&lt;&gt;"",$D38&lt;&gt;""),(VLOOKUP($C38,'V-LOOKUP'!$C$61:$M$120,8,FALSE)),"0")</f>
        <v>0</v>
      </c>
      <c r="AE38" s="192" t="str">
        <f>IF(AND($C38&lt;&gt;"",$D38&lt;&gt;""),(VLOOKUP($C38,'V-LOOKUP'!$C$61:$M$120,9,FALSE)),"0")</f>
        <v>0</v>
      </c>
      <c r="AF38" s="192" t="str">
        <f>IF(AND($C38&lt;&gt;"",$D38&lt;&gt;""),(VLOOKUP($C38,'V-LOOKUP'!$C$61:$M$120,10,FALSE)),"0")</f>
        <v>0</v>
      </c>
      <c r="AG38" s="192" t="str">
        <f>IF(AND($C38&lt;&gt;"",$D38&lt;&gt;""),(VLOOKUP($C38,'V-LOOKUP'!$C$61:$M$120,11,FALSE)),"0")</f>
        <v>0</v>
      </c>
      <c r="AH38" s="192" t="str">
        <f>IF(AND($C38&lt;&gt;"",$D38&lt;&gt;""),(VLOOKUP($C38,'V-LOOKUP'!$C$61:$N$120,12,FALSE)),"0")</f>
        <v>0</v>
      </c>
      <c r="AI38" s="192" t="str">
        <f>IF(AND($C38&lt;&gt;"",$E38&lt;&gt;""),(VLOOKUP($C38,'V-LOOKUP'!$C$61:$M$120,4,FALSE)),"0")</f>
        <v>0</v>
      </c>
      <c r="AJ38" s="192" t="str">
        <f>IF(AND($C38&lt;&gt;"",$E38&lt;&gt;""),(VLOOKUP($C38,'V-LOOKUP'!$C$61:$M$120,5,FALSE)),"0")</f>
        <v>0</v>
      </c>
      <c r="AK38" s="192" t="str">
        <f>IF(AND($C38&lt;&gt;"",$E38&lt;&gt;""),(VLOOKUP($C38,'V-LOOKUP'!$C$61:$M$120,6,FALSE)),"0")</f>
        <v>0</v>
      </c>
      <c r="AL38" s="192" t="str">
        <f>IF(AND($C38&lt;&gt;"",$E38&lt;&gt;""),(VLOOKUP($C38,'V-LOOKUP'!$C$61:$M$120,7,FALSE)),"0")</f>
        <v>0</v>
      </c>
      <c r="AM38" s="192" t="str">
        <f>IF(AND($C38&lt;&gt;"",$E38&lt;&gt;""),(VLOOKUP($C38,'V-LOOKUP'!$C$61:$M$120,8,FALSE)),"0")</f>
        <v>0</v>
      </c>
      <c r="AN38" s="192" t="str">
        <f>IF(AND($C38&lt;&gt;"",$E38&lt;&gt;""),(VLOOKUP($C38,'V-LOOKUP'!$C$61:$M$120,9,FALSE)),"0")</f>
        <v>0</v>
      </c>
      <c r="AO38" s="192" t="str">
        <f>IF(AND($C38&lt;&gt;"",$E38&lt;&gt;""),(VLOOKUP($C38,'V-LOOKUP'!$C$61:$M$120,10,FALSE)),"0")</f>
        <v>0</v>
      </c>
      <c r="AP38" s="192" t="str">
        <f>IF(AND($C38&lt;&gt;"",$E38&lt;&gt;""),(VLOOKUP($C38,'V-LOOKUP'!$C$61:$M$120,11,FALSE)),"0")</f>
        <v>0</v>
      </c>
      <c r="AQ38" s="192" t="str">
        <f>IF(AND($C38&lt;&gt;"",$E38&lt;&gt;""),(VLOOKUP($C38,'V-LOOKUP'!$C$61:$N$120,12,FALSE)),"0")</f>
        <v>0</v>
      </c>
      <c r="AR38" s="192" t="str">
        <f>IF(AND($C38&lt;&gt;"",$F38&lt;&gt;""),(VLOOKUP($C38,'V-LOOKUP'!$C$61:$M$120,4,FALSE)),"0")</f>
        <v>0</v>
      </c>
      <c r="AS38" s="192" t="str">
        <f>IF(AND($C38&lt;&gt;"",$F38&lt;&gt;""),(VLOOKUP($C38,'V-LOOKUP'!$C$61:$M$120,5,FALSE)),"0")</f>
        <v>0</v>
      </c>
      <c r="AT38" s="192" t="str">
        <f>IF(AND($C38&lt;&gt;"",$F38&lt;&gt;""),(VLOOKUP($C38,'V-LOOKUP'!$C$61:$M$120,6,FALSE)),"0")</f>
        <v>0</v>
      </c>
      <c r="AU38" s="192" t="str">
        <f>IF(AND($C38&lt;&gt;"",$F38&lt;&gt;""),(VLOOKUP($C38,'V-LOOKUP'!$C$61:$M$120,7,FALSE)),"0")</f>
        <v>0</v>
      </c>
      <c r="AV38" s="192" t="str">
        <f>IF(AND($C38&lt;&gt;"",$F38&lt;&gt;""),(VLOOKUP($C38,'V-LOOKUP'!$C$61:$M$120,8,FALSE)),"0")</f>
        <v>0</v>
      </c>
      <c r="AW38" s="192" t="str">
        <f>IF(AND($C38&lt;&gt;"",$F38&lt;&gt;""),(VLOOKUP($C38,'V-LOOKUP'!$C$61:$M$120,9,FALSE)),"0")</f>
        <v>0</v>
      </c>
      <c r="AX38" s="192" t="str">
        <f>IF(AND($C38&lt;&gt;"",$F38&lt;&gt;""),(VLOOKUP($C38,'V-LOOKUP'!$C$61:$M$120,10,FALSE)),"0")</f>
        <v>0</v>
      </c>
      <c r="AY38" s="192" t="str">
        <f>IF(AND($C38&lt;&gt;"",$F38&lt;&gt;""),(VLOOKUP($C38,'V-LOOKUP'!$C$61:$M$120,11,FALSE)),"0")</f>
        <v>0</v>
      </c>
      <c r="AZ38" s="192" t="str">
        <f>IF(AND($C38&lt;&gt;"",$F38&lt;&gt;""),(VLOOKUP($C38,'V-LOOKUP'!$C$61:$N$120,12,FALSE)),"0")</f>
        <v>0</v>
      </c>
      <c r="BA38" s="192" t="str">
        <f>IF(AND($C38&lt;&gt;"",$G38&lt;&gt;""),(VLOOKUP($C38,'V-LOOKUP'!$C$61:$M$120,4,FALSE)),"0")</f>
        <v>0</v>
      </c>
      <c r="BB38" s="192" t="str">
        <f>IF(AND($C38&lt;&gt;"",$G38&lt;&gt;""),(VLOOKUP($C38,'V-LOOKUP'!$C$61:$M$120,5,FALSE)),"0")</f>
        <v>0</v>
      </c>
      <c r="BC38" s="192" t="str">
        <f>IF(AND($C38&lt;&gt;"",$G38&lt;&gt;""),(VLOOKUP($C38,'V-LOOKUP'!$C$61:$M$120,6,FALSE)),"0")</f>
        <v>0</v>
      </c>
      <c r="BD38" s="192" t="str">
        <f>IF(AND($C38&lt;&gt;"",$G38&lt;&gt;""),(VLOOKUP($C38,'V-LOOKUP'!$C$61:$M$120,7,FALSE)),"0")</f>
        <v>0</v>
      </c>
      <c r="BE38" s="192" t="str">
        <f>IF(AND($C38&lt;&gt;"",$G38&lt;&gt;""),(VLOOKUP($C38,'V-LOOKUP'!$C$61:$M$120,8,FALSE)),"0")</f>
        <v>0</v>
      </c>
      <c r="BF38" s="192" t="str">
        <f>IF(AND($C38&lt;&gt;"",$G38&lt;&gt;""),(VLOOKUP($C38,'V-LOOKUP'!$C$61:$M$120,9,FALSE)),"0")</f>
        <v>0</v>
      </c>
      <c r="BG38" s="192" t="str">
        <f>IF(AND($C38&lt;&gt;"",$G38&lt;&gt;""),(VLOOKUP($C38,'V-LOOKUP'!$C$61:$M$120,10,FALSE)),"0")</f>
        <v>0</v>
      </c>
      <c r="BH38" s="192" t="str">
        <f>IF(AND($C38&lt;&gt;"",$G38&lt;&gt;""),(VLOOKUP($C38,'V-LOOKUP'!$C$61:$M$120,11,FALSE)),"0")</f>
        <v>0</v>
      </c>
      <c r="BI38" s="192" t="str">
        <f>IF(AND($C38&lt;&gt;"",$G38&lt;&gt;""),(VLOOKUP($C38,'V-LOOKUP'!$C$61:$N$120,12,FALSE)),"0")</f>
        <v>0</v>
      </c>
      <c r="BJ38" s="192" t="str">
        <f>IF(AND($C38&lt;&gt;"",$H38&lt;&gt;""),(VLOOKUP($C38,'V-LOOKUP'!$C$61:$M$120,4,FALSE)),"0")</f>
        <v>0</v>
      </c>
      <c r="BK38" s="192" t="str">
        <f>IF(AND($C38&lt;&gt;"",$H38&lt;&gt;""),(VLOOKUP($C38,'V-LOOKUP'!$C$61:$M$120,5,FALSE)),"0")</f>
        <v>0</v>
      </c>
      <c r="BL38" s="192" t="str">
        <f>IF(AND($C38&lt;&gt;"",$H38&lt;&gt;""),(VLOOKUP($C38,'V-LOOKUP'!$C$61:$M$120,6,FALSE)),"0")</f>
        <v>0</v>
      </c>
      <c r="BM38" s="192" t="str">
        <f>IF(AND($C38&lt;&gt;"",$H38&lt;&gt;""),(VLOOKUP($C38,'V-LOOKUP'!$C$61:$M$120,7,FALSE)),"0")</f>
        <v>0</v>
      </c>
      <c r="BN38" s="192" t="str">
        <f>IF(AND($C38&lt;&gt;"",$H38&lt;&gt;""),(VLOOKUP($C38,'V-LOOKUP'!$C$61:$M$120,8,FALSE)),"0")</f>
        <v>0</v>
      </c>
      <c r="BO38" s="192" t="str">
        <f>IF(AND($C38&lt;&gt;"",$H38&lt;&gt;""),(VLOOKUP($C38,'V-LOOKUP'!$C$61:$M$120,9,FALSE)),"0")</f>
        <v>0</v>
      </c>
      <c r="BP38" s="192" t="str">
        <f>IF(AND($C38&lt;&gt;"",$H38&lt;&gt;""),(VLOOKUP($C38,'V-LOOKUP'!$C$61:$M$120,10,FALSE)),"0")</f>
        <v>0</v>
      </c>
      <c r="BQ38" s="192" t="str">
        <f>IF(AND($C38&lt;&gt;"",$H38&lt;&gt;""),(VLOOKUP($C38,'V-LOOKUP'!$C$61:$M$120,11,FALSE)),"0")</f>
        <v>0</v>
      </c>
      <c r="BR38" s="192" t="str">
        <f>IF(AND($C38&lt;&gt;"",$H38&lt;&gt;""),(VLOOKUP($C38,'V-LOOKUP'!$C$61:$N$120,12,FALSE)),"0")</f>
        <v>0</v>
      </c>
      <c r="BS38" s="192" t="str">
        <f>IF(AND($C38&lt;&gt;"",$I38&lt;&gt;""),(VLOOKUP($C38,'V-LOOKUP'!$C$61:$M$120,4,FALSE)),"0")</f>
        <v>0</v>
      </c>
      <c r="BT38" s="192" t="str">
        <f>IF(AND($C38&lt;&gt;"",$I38&lt;&gt;""),(VLOOKUP($C38,'V-LOOKUP'!$C$61:$M$120,5,FALSE)),"0")</f>
        <v>0</v>
      </c>
      <c r="BU38" s="192" t="str">
        <f>IF(AND($C38&lt;&gt;"",$I38&lt;&gt;""),(VLOOKUP($C38,'V-LOOKUP'!$C$61:$M$120,6,FALSE)),"0")</f>
        <v>0</v>
      </c>
      <c r="BV38" s="192" t="str">
        <f>IF(AND($C38&lt;&gt;"",$I38&lt;&gt;""),(VLOOKUP($C38,'V-LOOKUP'!$C$61:$M$120,7,FALSE)),"0")</f>
        <v>0</v>
      </c>
      <c r="BW38" s="192" t="str">
        <f>IF(AND($C38&lt;&gt;"",$I38&lt;&gt;""),(VLOOKUP($C38,'V-LOOKUP'!$C$61:$M$120,8,FALSE)),"0")</f>
        <v>0</v>
      </c>
      <c r="BX38" s="192" t="str">
        <f>IF(AND($C38&lt;&gt;"",$I38&lt;&gt;""),(VLOOKUP($C38,'V-LOOKUP'!$C$61:$M$120,9,FALSE)),"0")</f>
        <v>0</v>
      </c>
      <c r="BY38" s="192" t="str">
        <f>IF(AND($C38&lt;&gt;"",$I38&lt;&gt;""),(VLOOKUP($C38,'V-LOOKUP'!$C$61:$M$120,10,FALSE)),"0")</f>
        <v>0</v>
      </c>
      <c r="BZ38" s="192" t="str">
        <f>IF(AND($C38&lt;&gt;"",$I38&lt;&gt;""),(VLOOKUP($C38,'V-LOOKUP'!$C$61:$M$120,11,FALSE)),"0")</f>
        <v>0</v>
      </c>
      <c r="CA38" s="192" t="str">
        <f>IF(AND($C38&lt;&gt;"",$I38&lt;&gt;""),(VLOOKUP($C38,'V-LOOKUP'!$C$61:$N$120,12,FALSE)),"0")</f>
        <v>0</v>
      </c>
      <c r="CB38" s="192" t="str">
        <f>IF(AND($C38&lt;&gt;"",$J38&lt;&gt;""),(VLOOKUP($C38,'V-LOOKUP'!$C$61:$M$120,4,FALSE)),"0")</f>
        <v>0</v>
      </c>
      <c r="CC38" s="192" t="str">
        <f>IF(AND($C38&lt;&gt;"",$J38&lt;&gt;""),(VLOOKUP($C38,'V-LOOKUP'!$C$61:$M$120,5,FALSE)),"0")</f>
        <v>0</v>
      </c>
      <c r="CD38" s="192" t="str">
        <f>IF(AND($C38&lt;&gt;"",$J38&lt;&gt;""),(VLOOKUP($C38,'V-LOOKUP'!$C$61:$M$120,6,FALSE)),"0")</f>
        <v>0</v>
      </c>
      <c r="CE38" s="192" t="str">
        <f>IF(AND($C38&lt;&gt;"",$J38&lt;&gt;""),(VLOOKUP($C38,'V-LOOKUP'!$C$61:$M$120,7,FALSE)),"0")</f>
        <v>0</v>
      </c>
      <c r="CF38" s="192" t="str">
        <f>IF(AND($C38&lt;&gt;"",$J38&lt;&gt;""),(VLOOKUP($C38,'V-LOOKUP'!$C$61:$M$120,8,FALSE)),"0")</f>
        <v>0</v>
      </c>
      <c r="CG38" s="192" t="str">
        <f>IF(AND($C38&lt;&gt;"",$J38&lt;&gt;""),(VLOOKUP($C38,'V-LOOKUP'!$C$61:$M$120,9,FALSE)),"0")</f>
        <v>0</v>
      </c>
      <c r="CH38" s="192" t="str">
        <f>IF(AND($C38&lt;&gt;"",$J38&lt;&gt;""),(VLOOKUP($C38,'V-LOOKUP'!$C$61:$M$120,10,FALSE)),"0")</f>
        <v>0</v>
      </c>
      <c r="CI38" s="192" t="str">
        <f>IF(AND($C38&lt;&gt;"",$J38&lt;&gt;""),(VLOOKUP($C38,'V-LOOKUP'!$C$61:$M$120,11,FALSE)),"0")</f>
        <v>0</v>
      </c>
      <c r="CJ38" s="192" t="str">
        <f>IF(AND($C38&lt;&gt;"",$J38&lt;&gt;""),(VLOOKUP($C38,'V-LOOKUP'!$C$61:$N$120,12,FALSE)),"0")</f>
        <v>0</v>
      </c>
      <c r="CK38" s="192" t="str">
        <f>IF(AND($C38&lt;&gt;"",$K38&lt;&gt;""),(VLOOKUP($C38,'V-LOOKUP'!$C$61:$M$120,4,FALSE)),"0")</f>
        <v>0</v>
      </c>
      <c r="CL38" s="192" t="str">
        <f>IF(AND($C38&lt;&gt;"",$K38&lt;&gt;""),(VLOOKUP($C38,'V-LOOKUP'!$C$61:$M$120,5,FALSE)),"0")</f>
        <v>0</v>
      </c>
      <c r="CM38" s="192" t="str">
        <f>IF(AND($C38&lt;&gt;"",$K38&lt;&gt;""),(VLOOKUP($C38,'V-LOOKUP'!$C$61:$M$120,6,FALSE)),"0")</f>
        <v>0</v>
      </c>
      <c r="CN38" s="192" t="str">
        <f>IF(AND($C38&lt;&gt;"",$K38&lt;&gt;""),(VLOOKUP($C38,'V-LOOKUP'!$C$61:$M$120,7,FALSE)),"0")</f>
        <v>0</v>
      </c>
      <c r="CO38" s="192" t="str">
        <f>IF(AND($C38&lt;&gt;"",$K38&lt;&gt;""),(VLOOKUP($C38,'V-LOOKUP'!$C$61:$M$120,8,FALSE)),"0")</f>
        <v>0</v>
      </c>
      <c r="CP38" s="192" t="str">
        <f>IF(AND($C38&lt;&gt;"",$K38&lt;&gt;""),(VLOOKUP($C38,'V-LOOKUP'!$C$61:$M$120,9,FALSE)),"0")</f>
        <v>0</v>
      </c>
      <c r="CQ38" s="192" t="str">
        <f>IF(AND($C38&lt;&gt;"",$K38&lt;&gt;""),(VLOOKUP($C38,'V-LOOKUP'!$C$61:$M$120,10,FALSE)),"0")</f>
        <v>0</v>
      </c>
      <c r="CR38" s="192" t="str">
        <f>IF(AND($C38&lt;&gt;"",$K38&lt;&gt;""),(VLOOKUP($C38,'V-LOOKUP'!$C$61:$M$120,11,FALSE)),"0")</f>
        <v>0</v>
      </c>
      <c r="CS38" s="192" t="str">
        <f>IF(AND($C38&lt;&gt;"",$K38&lt;&gt;""),(VLOOKUP($C38,'V-LOOKUP'!$C$61:$N$120,12,FALSE)),"0")</f>
        <v>0</v>
      </c>
      <c r="CT38" s="192" t="str">
        <f>IF(AND($C38&lt;&gt;"",$L38&lt;&gt;""),(VLOOKUP($C38,'V-LOOKUP'!$C$61:$M$120,4,FALSE)),"0")</f>
        <v>0</v>
      </c>
      <c r="CU38" s="192" t="str">
        <f>IF(AND($C38&lt;&gt;"",$L38&lt;&gt;""),(VLOOKUP($C38,'V-LOOKUP'!$C$61:$M$120,5,FALSE)),"0")</f>
        <v>0</v>
      </c>
      <c r="CV38" s="192" t="str">
        <f>IF(AND($C38&lt;&gt;"",$L38&lt;&gt;""),(VLOOKUP($C38,'V-LOOKUP'!$C$61:$M$120,6,FALSE)),"0")</f>
        <v>0</v>
      </c>
      <c r="CW38" s="192" t="str">
        <f>IF(AND($C38&lt;&gt;"",$L38&lt;&gt;""),(VLOOKUP($C38,'V-LOOKUP'!$C$61:$M$120,7,FALSE)),"0")</f>
        <v>0</v>
      </c>
      <c r="CX38" s="192" t="str">
        <f>IF(AND($C38&lt;&gt;"",$L38&lt;&gt;""),(VLOOKUP($C38,'V-LOOKUP'!$C$61:$M$120,8,FALSE)),"0")</f>
        <v>0</v>
      </c>
      <c r="CY38" s="192" t="str">
        <f>IF(AND($C38&lt;&gt;"",$L38&lt;&gt;""),(VLOOKUP($C38,'V-LOOKUP'!$C$61:$M$120,9,FALSE)),"0")</f>
        <v>0</v>
      </c>
      <c r="CZ38" s="192" t="str">
        <f>IF(AND($C38&lt;&gt;"",$L38&lt;&gt;""),(VLOOKUP($C38,'V-LOOKUP'!$C$61:$M$120,10,FALSE)),"0")</f>
        <v>0</v>
      </c>
      <c r="DA38" s="192" t="str">
        <f>IF(AND($C38&lt;&gt;"",$L38&lt;&gt;""),(VLOOKUP($C38,'V-LOOKUP'!$C$61:$M$120,11,FALSE)),"0")</f>
        <v>0</v>
      </c>
      <c r="DB38" s="192" t="str">
        <f>IF(AND($C38&lt;&gt;"",$L38&lt;&gt;""),(VLOOKUP($C38,'V-LOOKUP'!$C$61:$N$120,12,FALSE)),"0")</f>
        <v>0</v>
      </c>
      <c r="DC38" s="192" t="str">
        <f>IF(AND($C38&lt;&gt;"",$M38&lt;&gt;""),(VLOOKUP($C38,'V-LOOKUP'!$C$61:$M$120,4,FALSE)),"0")</f>
        <v>0</v>
      </c>
      <c r="DD38" s="192" t="str">
        <f>IF(AND($C38&lt;&gt;"",$M38&lt;&gt;""),(VLOOKUP($C38,'V-LOOKUP'!$C$61:$M$120,5,FALSE)),"0")</f>
        <v>0</v>
      </c>
      <c r="DE38" s="192" t="str">
        <f>IF(AND($C38&lt;&gt;"",$M38&lt;&gt;""),(VLOOKUP($C38,'V-LOOKUP'!$C$61:$M$120,6,FALSE)),"0")</f>
        <v>0</v>
      </c>
      <c r="DF38" s="192" t="str">
        <f>IF(AND($C38&lt;&gt;"",$M38&lt;&gt;""),(VLOOKUP($C38,'V-LOOKUP'!$C$61:$M$120,7,FALSE)),"0")</f>
        <v>0</v>
      </c>
      <c r="DG38" s="192" t="str">
        <f>IF(AND($C38&lt;&gt;"",$M38&lt;&gt;""),(VLOOKUP($C38,'V-LOOKUP'!$C$61:$M$120,8,FALSE)),"0")</f>
        <v>0</v>
      </c>
      <c r="DH38" s="192" t="str">
        <f>IF(AND($C38&lt;&gt;"",$M38&lt;&gt;""),(VLOOKUP($C38,'V-LOOKUP'!$C$61:$M$120,9,FALSE)),"0")</f>
        <v>0</v>
      </c>
      <c r="DI38" s="192" t="str">
        <f>IF(AND($C38&lt;&gt;"",$M38&lt;&gt;""),(VLOOKUP($C38,'V-LOOKUP'!$C$61:$M$120,10,FALSE)),"0")</f>
        <v>0</v>
      </c>
      <c r="DJ38" s="192" t="str">
        <f>IF(AND($C38&lt;&gt;"",$M38&lt;&gt;""),(VLOOKUP($C38,'V-LOOKUP'!$C$61:$M$120,11,FALSE)),"0")</f>
        <v>0</v>
      </c>
      <c r="DK38" s="192" t="str">
        <f>IF(AND($C38&lt;&gt;"",$M38&lt;&gt;""),(VLOOKUP($C38,'V-LOOKUP'!$C$61:$N$120,12,FALSE)),"0")</f>
        <v>0</v>
      </c>
      <c r="DL38" s="192" t="str">
        <f>IF(AND($C38&lt;&gt;"",$N38&lt;&gt;""),(VLOOKUP($C38,'V-LOOKUP'!$C$61:$M$120,4,FALSE)),"0")</f>
        <v>0</v>
      </c>
      <c r="DM38" s="192" t="str">
        <f>IF(AND($C38&lt;&gt;"",$N38&lt;&gt;""),(VLOOKUP($C38,'V-LOOKUP'!$C$61:$M$120,5,FALSE)),"0")</f>
        <v>0</v>
      </c>
      <c r="DN38" s="192" t="str">
        <f>IF(AND($C38&lt;&gt;"",$N38&lt;&gt;""),(VLOOKUP($C38,'V-LOOKUP'!$C$61:$M$120,6,FALSE)),"0")</f>
        <v>0</v>
      </c>
      <c r="DO38" s="192" t="str">
        <f>IF(AND($C38&lt;&gt;"",$N38&lt;&gt;""),(VLOOKUP($C38,'V-LOOKUP'!$C$61:$M$120,7,FALSE)),"0")</f>
        <v>0</v>
      </c>
      <c r="DP38" s="192" t="str">
        <f>IF(AND($C38&lt;&gt;"",$N38&lt;&gt;""),(VLOOKUP($C38,'V-LOOKUP'!$C$61:$M$120,8,FALSE)),"0")</f>
        <v>0</v>
      </c>
      <c r="DQ38" s="192" t="str">
        <f>IF(AND($C38&lt;&gt;"",$N38&lt;&gt;""),(VLOOKUP($C38,'V-LOOKUP'!$C$61:$M$120,9,FALSE)),"0")</f>
        <v>0</v>
      </c>
      <c r="DR38" s="192" t="str">
        <f>IF(AND($C38&lt;&gt;"",$N38&lt;&gt;""),(VLOOKUP($C38,'V-LOOKUP'!$C$61:$M$120,10,FALSE)),"0")</f>
        <v>0</v>
      </c>
      <c r="DS38" s="192" t="str">
        <f>IF(AND($C38&lt;&gt;"",$N38&lt;&gt;""),(VLOOKUP($C38,'V-LOOKUP'!$C$61:$M$120,11,FALSE)),"0")</f>
        <v>0</v>
      </c>
      <c r="DT38" s="192" t="str">
        <f>IF(AND($C38&lt;&gt;"",$N38&lt;&gt;""),(VLOOKUP($C38,'V-LOOKUP'!$C$61:$N$120,12,FALSE)),"0")</f>
        <v>0</v>
      </c>
      <c r="DU38" s="192" t="str">
        <f>IF(AND($C38&lt;&gt;"",$O38&lt;&gt;""),(VLOOKUP($C38,'V-LOOKUP'!$C$61:$M$120,4,FALSE)),"0")</f>
        <v>0</v>
      </c>
      <c r="DV38" s="192" t="str">
        <f>IF(AND($C38&lt;&gt;"",$O38&lt;&gt;""),(VLOOKUP($C38,'V-LOOKUP'!$C$61:$M$120,5,FALSE)),"0")</f>
        <v>0</v>
      </c>
      <c r="DW38" s="192" t="str">
        <f>IF(AND($C38&lt;&gt;"",$O38&lt;&gt;""),(VLOOKUP($C38,'V-LOOKUP'!$C$61:$M$120,6,FALSE)),"0")</f>
        <v>0</v>
      </c>
      <c r="DX38" s="192" t="str">
        <f>IF(AND($C38&lt;&gt;"",$O38&lt;&gt;""),(VLOOKUP($C38,'V-LOOKUP'!$C$61:$M$120,7,FALSE)),"0")</f>
        <v>0</v>
      </c>
      <c r="DY38" s="192" t="str">
        <f>IF(AND($C38&lt;&gt;"",$O38&lt;&gt;""),(VLOOKUP($C38,'V-LOOKUP'!$C$61:$M$120,8,FALSE)),"0")</f>
        <v>0</v>
      </c>
      <c r="DZ38" s="192" t="str">
        <f>IF(AND($C38&lt;&gt;"",$O38&lt;&gt;""),(VLOOKUP($C38,'V-LOOKUP'!$C$61:$M$120,9,FALSE)),"0")</f>
        <v>0</v>
      </c>
      <c r="EA38" s="192" t="str">
        <f>IF(AND($C38&lt;&gt;"",$O38&lt;&gt;""),(VLOOKUP($C38,'V-LOOKUP'!$C$61:$M$120,10,FALSE)),"0")</f>
        <v>0</v>
      </c>
      <c r="EB38" s="192" t="str">
        <f>IF(AND($C38&lt;&gt;"",$O38&lt;&gt;""),(VLOOKUP($C38,'V-LOOKUP'!$C$61:$M$120,11,FALSE)),"0")</f>
        <v>0</v>
      </c>
      <c r="EC38" s="192" t="str">
        <f>IF(AND($C38&lt;&gt;"",$O38&lt;&gt;""),(VLOOKUP($C38,'V-LOOKUP'!$C$61:$N$120,12,FALSE)),"0")</f>
        <v>0</v>
      </c>
      <c r="ED38" s="192" t="str">
        <f>IF(AND($C38&lt;&gt;"",$P38&lt;&gt;""),(VLOOKUP($C38,'V-LOOKUP'!$C$61:$M$120,4,FALSE)),"0")</f>
        <v>0</v>
      </c>
      <c r="EE38" s="192" t="str">
        <f>IF(AND($C38&lt;&gt;"",$P38&lt;&gt;""),(VLOOKUP($C38,'V-LOOKUP'!$C$61:$M$120,5,FALSE)),"0")</f>
        <v>0</v>
      </c>
      <c r="EF38" s="192" t="str">
        <f>IF(AND($C38&lt;&gt;"",$P38&lt;&gt;""),(VLOOKUP($C38,'V-LOOKUP'!$C$61:$M$120,6,FALSE)),"0")</f>
        <v>0</v>
      </c>
      <c r="EG38" s="192" t="str">
        <f>IF(AND($C38&lt;&gt;"",$P38&lt;&gt;""),(VLOOKUP($C38,'V-LOOKUP'!$C$61:$M$120,7,FALSE)),"0")</f>
        <v>0</v>
      </c>
      <c r="EH38" s="192" t="str">
        <f>IF(AND($C38&lt;&gt;"",$P38&lt;&gt;""),(VLOOKUP($C38,'V-LOOKUP'!$C$61:$M$120,8,FALSE)),"0")</f>
        <v>0</v>
      </c>
      <c r="EI38" s="192" t="str">
        <f>IF(AND($C38&lt;&gt;"",$P38&lt;&gt;""),(VLOOKUP($C38,'V-LOOKUP'!$C$61:$M$120,9,FALSE)),"0")</f>
        <v>0</v>
      </c>
      <c r="EJ38" s="192" t="str">
        <f>IF(AND($C38&lt;&gt;"",$P38&lt;&gt;""),(VLOOKUP($C38,'V-LOOKUP'!$C$61:$M$120,10,FALSE)),"0")</f>
        <v>0</v>
      </c>
      <c r="EK38" s="192" t="str">
        <f>IF(AND($C38&lt;&gt;"",$P38&lt;&gt;""),(VLOOKUP($C38,'V-LOOKUP'!$C$61:$M$120,11,FALSE)),"0")</f>
        <v>0</v>
      </c>
      <c r="EL38" s="192" t="str">
        <f>IF(AND($C38&lt;&gt;"",$P38&lt;&gt;""),(VLOOKUP($C38,'V-LOOKUP'!$C$61:$N$120,12,FALSE)),"0")</f>
        <v>0</v>
      </c>
      <c r="EM38" s="192" t="str">
        <f>IF(AND($C38&lt;&gt;"",$Q38&lt;&gt;""),(VLOOKUP($C38,'V-LOOKUP'!$C$61:$M$120,4,FALSE)),"0")</f>
        <v>0</v>
      </c>
      <c r="EN38" s="192" t="str">
        <f>IF(AND($C38&lt;&gt;"",$Q38&lt;&gt;""),(VLOOKUP($C38,'V-LOOKUP'!$C$61:$M$120,5,FALSE)),"0")</f>
        <v>0</v>
      </c>
      <c r="EO38" s="192" t="str">
        <f>IF(AND($C38&lt;&gt;"",$Q38&lt;&gt;""),(VLOOKUP($C38,'V-LOOKUP'!$C$61:$M$120,6,FALSE)),"0")</f>
        <v>0</v>
      </c>
      <c r="EP38" s="192" t="str">
        <f>IF(AND($C38&lt;&gt;"",$Q38&lt;&gt;""),(VLOOKUP($C38,'V-LOOKUP'!$C$61:$M$120,7,FALSE)),"0")</f>
        <v>0</v>
      </c>
      <c r="EQ38" s="192" t="str">
        <f>IF(AND($C38&lt;&gt;"",$Q38&lt;&gt;""),(VLOOKUP($C38,'V-LOOKUP'!$C$61:$M$120,8,FALSE)),"0")</f>
        <v>0</v>
      </c>
      <c r="ER38" s="192" t="str">
        <f>IF(AND($C38&lt;&gt;"",$Q38&lt;&gt;""),(VLOOKUP($C38,'V-LOOKUP'!$C$61:$M$120,9,FALSE)),"0")</f>
        <v>0</v>
      </c>
      <c r="ES38" s="192" t="str">
        <f>IF(AND($C38&lt;&gt;"",$Q38&lt;&gt;""),(VLOOKUP($C38,'V-LOOKUP'!$C$61:$M$120,10,FALSE)),"0")</f>
        <v>0</v>
      </c>
      <c r="ET38" s="192" t="str">
        <f>IF(AND($C38&lt;&gt;"",$Q38&lt;&gt;""),(VLOOKUP($C38,'V-LOOKUP'!$C$61:$M$120,11,FALSE)),"0")</f>
        <v>0</v>
      </c>
      <c r="EU38" s="192" t="str">
        <f>IF(AND($C38&lt;&gt;"",$Q38&lt;&gt;""),(VLOOKUP($C38,'V-LOOKUP'!$C$61:$N$120,12,FALSE)),"0")</f>
        <v>0</v>
      </c>
      <c r="EV38" s="192" t="str">
        <f>IF(AND($C38&lt;&gt;"",$R38&lt;&gt;""),(VLOOKUP($C38,'V-LOOKUP'!$C$61:$M$120,4,FALSE)),"0")</f>
        <v>0</v>
      </c>
      <c r="EW38" s="192" t="str">
        <f>IF(AND($C38&lt;&gt;"",$R38&lt;&gt;""),(VLOOKUP($C38,'V-LOOKUP'!$C$61:$M$120,5,FALSE)),"0")</f>
        <v>0</v>
      </c>
      <c r="EX38" s="192" t="str">
        <f>IF(AND($C38&lt;&gt;"",$R38&lt;&gt;""),(VLOOKUP($C38,'V-LOOKUP'!$C$61:$M$120,6,FALSE)),"0")</f>
        <v>0</v>
      </c>
      <c r="EY38" s="192" t="str">
        <f>IF(AND($C38&lt;&gt;"",$R38&lt;&gt;""),(VLOOKUP($C38,'V-LOOKUP'!$C$61:$M$120,7,FALSE)),"0")</f>
        <v>0</v>
      </c>
      <c r="EZ38" s="192" t="str">
        <f>IF(AND($C38&lt;&gt;"",$R38&lt;&gt;""),(VLOOKUP($C38,'V-LOOKUP'!$C$61:$M$120,8,FALSE)),"0")</f>
        <v>0</v>
      </c>
      <c r="FA38" s="192" t="str">
        <f>IF(AND($C38&lt;&gt;"",$R38&lt;&gt;""),(VLOOKUP($C38,'V-LOOKUP'!$C$61:$M$120,9,FALSE)),"0")</f>
        <v>0</v>
      </c>
      <c r="FB38" s="192" t="str">
        <f>IF(AND($C38&lt;&gt;"",$R38&lt;&gt;""),(VLOOKUP($C38,'V-LOOKUP'!$C$61:$M$120,10,FALSE)),"0")</f>
        <v>0</v>
      </c>
      <c r="FC38" s="192" t="str">
        <f>IF(AND($C38&lt;&gt;"",$R38&lt;&gt;""),(VLOOKUP($C38,'V-LOOKUP'!$C$61:$M$120,11,FALSE)),"0")</f>
        <v>0</v>
      </c>
      <c r="FD38" s="192" t="str">
        <f>IF(AND($C38&lt;&gt;"",$R38&lt;&gt;""),(VLOOKUP($C38,'V-LOOKUP'!$C$61:$N$120,12,FALSE)),"0")</f>
        <v>0</v>
      </c>
      <c r="FE38" s="192" t="str">
        <f>IF(AND($C38&lt;&gt;"",$S38&lt;&gt;""),(VLOOKUP($C38,'V-LOOKUP'!$C$61:$M$120,4,FALSE)),"0")</f>
        <v>0</v>
      </c>
      <c r="FF38" s="192" t="str">
        <f>IF(AND($C38&lt;&gt;"",$S38&lt;&gt;""),(VLOOKUP($C38,'V-LOOKUP'!$C$61:$M$120,5,FALSE)),"0")</f>
        <v>0</v>
      </c>
      <c r="FG38" s="192" t="str">
        <f>IF(AND($C38&lt;&gt;"",$S38&lt;&gt;""),(VLOOKUP($C38,'V-LOOKUP'!$C$61:$M$120,6,FALSE)),"0")</f>
        <v>0</v>
      </c>
      <c r="FH38" s="192" t="str">
        <f>IF(AND($C38&lt;&gt;"",$S38&lt;&gt;""),(VLOOKUP($C38,'V-LOOKUP'!$C$61:$M$120,7,FALSE)),"0")</f>
        <v>0</v>
      </c>
      <c r="FI38" s="192" t="str">
        <f>IF(AND($C38&lt;&gt;"",$S38&lt;&gt;""),(VLOOKUP($C38,'V-LOOKUP'!$C$61:$M$120,8,FALSE)),"0")</f>
        <v>0</v>
      </c>
      <c r="FJ38" s="192" t="str">
        <f>IF(AND($C38&lt;&gt;"",$S38&lt;&gt;""),(VLOOKUP($C38,'V-LOOKUP'!$C$61:$M$120,9,FALSE)),"0")</f>
        <v>0</v>
      </c>
      <c r="FK38" s="192" t="str">
        <f>IF(AND($C38&lt;&gt;"",$S38&lt;&gt;""),(VLOOKUP($C38,'V-LOOKUP'!$C$61:$M$120,10,FALSE)),"0")</f>
        <v>0</v>
      </c>
      <c r="FL38" s="192" t="str">
        <f>IF(AND($C38&lt;&gt;"",$S38&lt;&gt;""),(VLOOKUP($C38,'V-LOOKUP'!$C$61:$M$120,11,FALSE)),"0")</f>
        <v>0</v>
      </c>
      <c r="FM38" s="192" t="str">
        <f>IF(AND($C38&lt;&gt;"",$S38&lt;&gt;""),(VLOOKUP($C38,'V-LOOKUP'!$C$61:$N$120,12,FALSE)),"0")</f>
        <v>0</v>
      </c>
      <c r="FN38" s="192" t="str">
        <f>IF(AND($C38&lt;&gt;"",$T38&lt;&gt;""),(VLOOKUP($C38,'V-LOOKUP'!$C$61:$M$120,4,FALSE)),"0")</f>
        <v>0</v>
      </c>
      <c r="FO38" s="192" t="str">
        <f>IF(AND($C38&lt;&gt;"",$T38&lt;&gt;""),(VLOOKUP($C38,'V-LOOKUP'!$C$61:$M$120,5,FALSE)),"0")</f>
        <v>0</v>
      </c>
      <c r="FP38" s="192" t="str">
        <f>IF(AND($C38&lt;&gt;"",$T38&lt;&gt;""),(VLOOKUP($C38,'V-LOOKUP'!$C$61:$M$120,6,FALSE)),"0")</f>
        <v>0</v>
      </c>
      <c r="FQ38" s="192" t="str">
        <f>IF(AND($C38&lt;&gt;"",$T38&lt;&gt;""),(VLOOKUP($C38,'V-LOOKUP'!$C$61:$M$120,7,FALSE)),"0")</f>
        <v>0</v>
      </c>
      <c r="FR38" s="192" t="str">
        <f>IF(AND($C38&lt;&gt;"",$T38&lt;&gt;""),(VLOOKUP($C38,'V-LOOKUP'!$C$61:$M$120,8,FALSE)),"0")</f>
        <v>0</v>
      </c>
      <c r="FS38" s="192" t="str">
        <f>IF(AND($C38&lt;&gt;"",$T38&lt;&gt;""),(VLOOKUP($C38,'V-LOOKUP'!$C$61:$M$120,9,FALSE)),"0")</f>
        <v>0</v>
      </c>
      <c r="FT38" s="192" t="str">
        <f>IF(AND($C38&lt;&gt;"",$T38&lt;&gt;""),(VLOOKUP($C38,'V-LOOKUP'!$C$61:$M$120,10,FALSE)),"0")</f>
        <v>0</v>
      </c>
      <c r="FU38" s="192" t="str">
        <f>IF(AND($C38&lt;&gt;"",$T38&lt;&gt;""),(VLOOKUP($C38,'V-LOOKUP'!$C$61:$M$120,11,FALSE)),"0")</f>
        <v>0</v>
      </c>
      <c r="FV38" s="192" t="str">
        <f>IF(AND($C38&lt;&gt;"",$T38&lt;&gt;""),(VLOOKUP($C38,'V-LOOKUP'!$C$61:$N$120,12,FALSE)),"0")</f>
        <v>0</v>
      </c>
      <c r="FW38" s="192" t="str">
        <f>IF(AND($C38&lt;&gt;"",$U38&lt;&gt;""),(VLOOKUP($C38,'V-LOOKUP'!$C$61:$M$120,4,FALSE)),"0")</f>
        <v>0</v>
      </c>
      <c r="FX38" s="192" t="str">
        <f>IF(AND($C38&lt;&gt;"",$U38&lt;&gt;""),(VLOOKUP($C38,'V-LOOKUP'!$C$61:$M$120,5,FALSE)),"0")</f>
        <v>0</v>
      </c>
      <c r="FY38" s="192" t="str">
        <f>IF(AND($C38&lt;&gt;"",$U38&lt;&gt;""),(VLOOKUP($C38,'V-LOOKUP'!$C$61:$M$120,6,FALSE)),"0")</f>
        <v>0</v>
      </c>
      <c r="FZ38" s="192" t="str">
        <f>IF(AND($C38&lt;&gt;"",$U38&lt;&gt;""),(VLOOKUP($C38,'V-LOOKUP'!$C$61:$M$120,7,FALSE)),"0")</f>
        <v>0</v>
      </c>
      <c r="GA38" s="192" t="str">
        <f>IF(AND($C38&lt;&gt;"",$U38&lt;&gt;""),(VLOOKUP($C38,'V-LOOKUP'!$C$61:$M$120,8,FALSE)),"0")</f>
        <v>0</v>
      </c>
      <c r="GB38" s="192" t="str">
        <f>IF(AND($C38&lt;&gt;"",$U38&lt;&gt;""),(VLOOKUP($C38,'V-LOOKUP'!$C$61:$M$120,9,FALSE)),"0")</f>
        <v>0</v>
      </c>
      <c r="GC38" s="192" t="str">
        <f>IF(AND($C38&lt;&gt;"",$U38&lt;&gt;""),(VLOOKUP($C38,'V-LOOKUP'!$C$61:$M$120,10,FALSE)),"0")</f>
        <v>0</v>
      </c>
      <c r="GD38" s="192" t="str">
        <f>IF(AND($C38&lt;&gt;"",$U38&lt;&gt;""),(VLOOKUP($C38,'V-LOOKUP'!$C$61:$M$120,11,FALSE)),"0")</f>
        <v>0</v>
      </c>
      <c r="GE38" s="192" t="str">
        <f>IF(AND($C38&lt;&gt;"",$U38&lt;&gt;""),(VLOOKUP($C38,'V-LOOKUP'!$C$61:$N$120,12,FALSE)),"0")</f>
        <v>0</v>
      </c>
      <c r="GF38" s="192" t="str">
        <f>IF(AND($C38&lt;&gt;"",$V38&lt;&gt;""),(VLOOKUP($C38,'V-LOOKUP'!$C$61:$M$120,4,FALSE)),"0")</f>
        <v>0</v>
      </c>
      <c r="GG38" s="192" t="str">
        <f>IF(AND($C38&lt;&gt;"",V38&lt;&gt;""),(VLOOKUP($C38,'V-LOOKUP'!$C$61:$M$120,5,FALSE)),"0")</f>
        <v>0</v>
      </c>
      <c r="GH38" s="192" t="str">
        <f>IF(AND($C38&lt;&gt;"",$V38&lt;&gt;""),(VLOOKUP($C38,'V-LOOKUP'!$C$61:$M$120,6,FALSE)),"0")</f>
        <v>0</v>
      </c>
      <c r="GI38" s="192" t="str">
        <f>IF(AND($C38&lt;&gt;"",$V38&lt;&gt;""),(VLOOKUP($C38,'V-LOOKUP'!$C$61:$M$120,7,FALSE)),"0")</f>
        <v>0</v>
      </c>
      <c r="GJ38" s="192" t="str">
        <f>IF(AND($C38&lt;&gt;"",$V38&lt;&gt;""),(VLOOKUP($C38,'V-LOOKUP'!$C$61:$M$120,8,FALSE)),"0")</f>
        <v>0</v>
      </c>
      <c r="GK38" s="192" t="str">
        <f>IF(AND($C38&lt;&gt;"",$V38&lt;&gt;""),(VLOOKUP($C38,'V-LOOKUP'!$C$61:$M$120,9,FALSE)),"0")</f>
        <v>0</v>
      </c>
      <c r="GL38" s="192" t="str">
        <f>IF(AND($C38&lt;&gt;"",$V38&lt;&gt;""),(VLOOKUP($C38,'V-LOOKUP'!$C$61:$M$120,10,FALSE)),"0")</f>
        <v>0</v>
      </c>
      <c r="GM38" s="192" t="str">
        <f>IF(AND($C38&lt;&gt;"",$V38&lt;&gt;""),(VLOOKUP($C38,'V-LOOKUP'!$C$61:$M$120,11,FALSE)),"0")</f>
        <v>0</v>
      </c>
      <c r="GN38" s="192" t="str">
        <f>IF(AND($C38&lt;&gt;"",$V38&lt;&gt;""),(VLOOKUP($C38,'V-LOOKUP'!$C$61:$N$120,12,FALSE)),"0")</f>
        <v>0</v>
      </c>
      <c r="GO38" s="192" t="str">
        <f>IF(AND($C38&lt;&gt;"",$W38&lt;&gt;""),(VLOOKUP($C38,'V-LOOKUP'!$C$61:$M$120,4,FALSE)),"0")</f>
        <v>0</v>
      </c>
      <c r="GP38" s="192" t="str">
        <f>IF(AND($C38&lt;&gt;"",$W38&lt;&gt;""),(VLOOKUP($C38,'V-LOOKUP'!$C$61:$M$120,5,FALSE)),"0")</f>
        <v>0</v>
      </c>
      <c r="GQ38" s="192" t="str">
        <f>IF(AND($C38&lt;&gt;"",$W38&lt;&gt;""),(VLOOKUP($C38,'V-LOOKUP'!$C$61:$M$120,6,FALSE)),"0")</f>
        <v>0</v>
      </c>
      <c r="GR38" s="192" t="str">
        <f>IF(AND($C38&lt;&gt;"",$W38&lt;&gt;""),(VLOOKUP($C38,'V-LOOKUP'!$C$61:$M$120,7,FALSE)),"0")</f>
        <v>0</v>
      </c>
      <c r="GS38" s="192" t="str">
        <f>IF(AND($C38&lt;&gt;"",$W38&lt;&gt;""),(VLOOKUP($C38,'V-LOOKUP'!$C$61:$M$120,8,FALSE)),"0")</f>
        <v>0</v>
      </c>
      <c r="GT38" s="192" t="str">
        <f>IF(AND($C38&lt;&gt;"",$W38&lt;&gt;""),(VLOOKUP($C38,'V-LOOKUP'!$C$61:$M$120,9,FALSE)),"0")</f>
        <v>0</v>
      </c>
      <c r="GU38" s="192" t="str">
        <f>IF(AND($C38&lt;&gt;"",$W38&lt;&gt;""),(VLOOKUP($C38,'V-LOOKUP'!$C$61:$M$120,10,FALSE)),"0")</f>
        <v>0</v>
      </c>
      <c r="GV38" s="192" t="str">
        <f>IF(AND($C38&lt;&gt;"",$W38&lt;&gt;""),(VLOOKUP($C38,'V-LOOKUP'!$C$61:$M$120,11,FALSE)),"0")</f>
        <v>0</v>
      </c>
      <c r="GW38" s="192" t="str">
        <f>IF(AND($C38&lt;&gt;"",$W38&lt;&gt;""),(VLOOKUP($C38,'V-LOOKUP'!$C$61:$N$120,12,FALSE)),"0")</f>
        <v>0</v>
      </c>
    </row>
    <row r="39" spans="1:205" ht="14.65" customHeight="1">
      <c r="A39" s="193"/>
      <c r="B39" s="245"/>
      <c r="C39" s="203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Y39" s="190"/>
      <c r="Z39" s="192" t="str">
        <f>IF(AND($C39&lt;&gt;"",$D39&lt;&gt;""),(VLOOKUP($C39,'V-LOOKUP'!$C$61:$M$120,4,FALSE)),"0")</f>
        <v>0</v>
      </c>
      <c r="AA39" s="192" t="str">
        <f>IF(AND($C39&lt;&gt;"",$D39&lt;&gt;""),(VLOOKUP($C39,'V-LOOKUP'!$C$61:$M$120,5,FALSE)),"0")</f>
        <v>0</v>
      </c>
      <c r="AB39" s="192" t="str">
        <f>IF(AND($C39&lt;&gt;"",$D39&lt;&gt;""),(VLOOKUP($C39,'V-LOOKUP'!$C$61:$M$120,6,FALSE)),"0")</f>
        <v>0</v>
      </c>
      <c r="AC39" s="192" t="str">
        <f>IF(AND($C39&lt;&gt;"",$D39&lt;&gt;""),(VLOOKUP($C39,'V-LOOKUP'!$C$61:$M$120,7,FALSE)),"0")</f>
        <v>0</v>
      </c>
      <c r="AD39" s="192" t="str">
        <f>IF(AND($C39&lt;&gt;"",$D39&lt;&gt;""),(VLOOKUP($C39,'V-LOOKUP'!$C$61:$M$120,8,FALSE)),"0")</f>
        <v>0</v>
      </c>
      <c r="AE39" s="192" t="str">
        <f>IF(AND($C39&lt;&gt;"",$D39&lt;&gt;""),(VLOOKUP($C39,'V-LOOKUP'!$C$61:$M$120,9,FALSE)),"0")</f>
        <v>0</v>
      </c>
      <c r="AF39" s="192" t="str">
        <f>IF(AND($C39&lt;&gt;"",$D39&lt;&gt;""),(VLOOKUP($C39,'V-LOOKUP'!$C$61:$M$120,10,FALSE)),"0")</f>
        <v>0</v>
      </c>
      <c r="AG39" s="192" t="str">
        <f>IF(AND($C39&lt;&gt;"",$D39&lt;&gt;""),(VLOOKUP($C39,'V-LOOKUP'!$C$61:$M$120,11,FALSE)),"0")</f>
        <v>0</v>
      </c>
      <c r="AH39" s="192" t="str">
        <f>IF(AND($C39&lt;&gt;"",$D39&lt;&gt;""),(VLOOKUP($C39,'V-LOOKUP'!$C$61:$N$120,12,FALSE)),"0")</f>
        <v>0</v>
      </c>
      <c r="AI39" s="192" t="str">
        <f>IF(AND($C39&lt;&gt;"",$E39&lt;&gt;""),(VLOOKUP($C39,'V-LOOKUP'!$C$61:$M$120,4,FALSE)),"0")</f>
        <v>0</v>
      </c>
      <c r="AJ39" s="192" t="str">
        <f>IF(AND($C39&lt;&gt;"",$E39&lt;&gt;""),(VLOOKUP($C39,'V-LOOKUP'!$C$61:$M$120,5,FALSE)),"0")</f>
        <v>0</v>
      </c>
      <c r="AK39" s="192" t="str">
        <f>IF(AND($C39&lt;&gt;"",$E39&lt;&gt;""),(VLOOKUP($C39,'V-LOOKUP'!$C$61:$M$120,6,FALSE)),"0")</f>
        <v>0</v>
      </c>
      <c r="AL39" s="192" t="str">
        <f>IF(AND($C39&lt;&gt;"",$E39&lt;&gt;""),(VLOOKUP($C39,'V-LOOKUP'!$C$61:$M$120,7,FALSE)),"0")</f>
        <v>0</v>
      </c>
      <c r="AM39" s="192" t="str">
        <f>IF(AND($C39&lt;&gt;"",$E39&lt;&gt;""),(VLOOKUP($C39,'V-LOOKUP'!$C$61:$M$120,8,FALSE)),"0")</f>
        <v>0</v>
      </c>
      <c r="AN39" s="192" t="str">
        <f>IF(AND($C39&lt;&gt;"",$E39&lt;&gt;""),(VLOOKUP($C39,'V-LOOKUP'!$C$61:$M$120,9,FALSE)),"0")</f>
        <v>0</v>
      </c>
      <c r="AO39" s="192" t="str">
        <f>IF(AND($C39&lt;&gt;"",$E39&lt;&gt;""),(VLOOKUP($C39,'V-LOOKUP'!$C$61:$M$120,10,FALSE)),"0")</f>
        <v>0</v>
      </c>
      <c r="AP39" s="192" t="str">
        <f>IF(AND($C39&lt;&gt;"",$E39&lt;&gt;""),(VLOOKUP($C39,'V-LOOKUP'!$C$61:$M$120,11,FALSE)),"0")</f>
        <v>0</v>
      </c>
      <c r="AQ39" s="192" t="str">
        <f>IF(AND($C39&lt;&gt;"",$E39&lt;&gt;""),(VLOOKUP($C39,'V-LOOKUP'!$C$61:$N$120,12,FALSE)),"0")</f>
        <v>0</v>
      </c>
      <c r="AR39" s="192" t="str">
        <f>IF(AND($C39&lt;&gt;"",$F39&lt;&gt;""),(VLOOKUP($C39,'V-LOOKUP'!$C$61:$M$120,4,FALSE)),"0")</f>
        <v>0</v>
      </c>
      <c r="AS39" s="192" t="str">
        <f>IF(AND($C39&lt;&gt;"",$F39&lt;&gt;""),(VLOOKUP($C39,'V-LOOKUP'!$C$61:$M$120,5,FALSE)),"0")</f>
        <v>0</v>
      </c>
      <c r="AT39" s="192" t="str">
        <f>IF(AND($C39&lt;&gt;"",$F39&lt;&gt;""),(VLOOKUP($C39,'V-LOOKUP'!$C$61:$M$120,6,FALSE)),"0")</f>
        <v>0</v>
      </c>
      <c r="AU39" s="192" t="str">
        <f>IF(AND($C39&lt;&gt;"",$F39&lt;&gt;""),(VLOOKUP($C39,'V-LOOKUP'!$C$61:$M$120,7,FALSE)),"0")</f>
        <v>0</v>
      </c>
      <c r="AV39" s="192" t="str">
        <f>IF(AND($C39&lt;&gt;"",$F39&lt;&gt;""),(VLOOKUP($C39,'V-LOOKUP'!$C$61:$M$120,8,FALSE)),"0")</f>
        <v>0</v>
      </c>
      <c r="AW39" s="192" t="str">
        <f>IF(AND($C39&lt;&gt;"",$F39&lt;&gt;""),(VLOOKUP($C39,'V-LOOKUP'!$C$61:$M$120,9,FALSE)),"0")</f>
        <v>0</v>
      </c>
      <c r="AX39" s="192" t="str">
        <f>IF(AND($C39&lt;&gt;"",$F39&lt;&gt;""),(VLOOKUP($C39,'V-LOOKUP'!$C$61:$M$120,10,FALSE)),"0")</f>
        <v>0</v>
      </c>
      <c r="AY39" s="192" t="str">
        <f>IF(AND($C39&lt;&gt;"",$F39&lt;&gt;""),(VLOOKUP($C39,'V-LOOKUP'!$C$61:$M$120,11,FALSE)),"0")</f>
        <v>0</v>
      </c>
      <c r="AZ39" s="192" t="str">
        <f>IF(AND($C39&lt;&gt;"",$F39&lt;&gt;""),(VLOOKUP($C39,'V-LOOKUP'!$C$61:$N$120,12,FALSE)),"0")</f>
        <v>0</v>
      </c>
      <c r="BA39" s="192" t="str">
        <f>IF(AND($C39&lt;&gt;"",$G39&lt;&gt;""),(VLOOKUP($C39,'V-LOOKUP'!$C$61:$M$120,4,FALSE)),"0")</f>
        <v>0</v>
      </c>
      <c r="BB39" s="192" t="str">
        <f>IF(AND($C39&lt;&gt;"",$G39&lt;&gt;""),(VLOOKUP($C39,'V-LOOKUP'!$C$61:$M$120,5,FALSE)),"0")</f>
        <v>0</v>
      </c>
      <c r="BC39" s="192" t="str">
        <f>IF(AND($C39&lt;&gt;"",$G39&lt;&gt;""),(VLOOKUP($C39,'V-LOOKUP'!$C$61:$M$120,6,FALSE)),"0")</f>
        <v>0</v>
      </c>
      <c r="BD39" s="192" t="str">
        <f>IF(AND($C39&lt;&gt;"",$G39&lt;&gt;""),(VLOOKUP($C39,'V-LOOKUP'!$C$61:$M$120,7,FALSE)),"0")</f>
        <v>0</v>
      </c>
      <c r="BE39" s="192" t="str">
        <f>IF(AND($C39&lt;&gt;"",$G39&lt;&gt;""),(VLOOKUP($C39,'V-LOOKUP'!$C$61:$M$120,8,FALSE)),"0")</f>
        <v>0</v>
      </c>
      <c r="BF39" s="192" t="str">
        <f>IF(AND($C39&lt;&gt;"",$G39&lt;&gt;""),(VLOOKUP($C39,'V-LOOKUP'!$C$61:$M$120,9,FALSE)),"0")</f>
        <v>0</v>
      </c>
      <c r="BG39" s="192" t="str">
        <f>IF(AND($C39&lt;&gt;"",$G39&lt;&gt;""),(VLOOKUP($C39,'V-LOOKUP'!$C$61:$M$120,10,FALSE)),"0")</f>
        <v>0</v>
      </c>
      <c r="BH39" s="192" t="str">
        <f>IF(AND($C39&lt;&gt;"",$G39&lt;&gt;""),(VLOOKUP($C39,'V-LOOKUP'!$C$61:$M$120,11,FALSE)),"0")</f>
        <v>0</v>
      </c>
      <c r="BI39" s="192" t="str">
        <f>IF(AND($C39&lt;&gt;"",$G39&lt;&gt;""),(VLOOKUP($C39,'V-LOOKUP'!$C$61:$N$120,12,FALSE)),"0")</f>
        <v>0</v>
      </c>
      <c r="BJ39" s="192" t="str">
        <f>IF(AND($C39&lt;&gt;"",$H39&lt;&gt;""),(VLOOKUP($C39,'V-LOOKUP'!$C$61:$M$120,4,FALSE)),"0")</f>
        <v>0</v>
      </c>
      <c r="BK39" s="192" t="str">
        <f>IF(AND($C39&lt;&gt;"",$H39&lt;&gt;""),(VLOOKUP($C39,'V-LOOKUP'!$C$61:$M$120,5,FALSE)),"0")</f>
        <v>0</v>
      </c>
      <c r="BL39" s="192" t="str">
        <f>IF(AND($C39&lt;&gt;"",$H39&lt;&gt;""),(VLOOKUP($C39,'V-LOOKUP'!$C$61:$M$120,6,FALSE)),"0")</f>
        <v>0</v>
      </c>
      <c r="BM39" s="192" t="str">
        <f>IF(AND($C39&lt;&gt;"",$H39&lt;&gt;""),(VLOOKUP($C39,'V-LOOKUP'!$C$61:$M$120,7,FALSE)),"0")</f>
        <v>0</v>
      </c>
      <c r="BN39" s="192" t="str">
        <f>IF(AND($C39&lt;&gt;"",$H39&lt;&gt;""),(VLOOKUP($C39,'V-LOOKUP'!$C$61:$M$120,8,FALSE)),"0")</f>
        <v>0</v>
      </c>
      <c r="BO39" s="192" t="str">
        <f>IF(AND($C39&lt;&gt;"",$H39&lt;&gt;""),(VLOOKUP($C39,'V-LOOKUP'!$C$61:$M$120,9,FALSE)),"0")</f>
        <v>0</v>
      </c>
      <c r="BP39" s="192" t="str">
        <f>IF(AND($C39&lt;&gt;"",$H39&lt;&gt;""),(VLOOKUP($C39,'V-LOOKUP'!$C$61:$M$120,10,FALSE)),"0")</f>
        <v>0</v>
      </c>
      <c r="BQ39" s="192" t="str">
        <f>IF(AND($C39&lt;&gt;"",$H39&lt;&gt;""),(VLOOKUP($C39,'V-LOOKUP'!$C$61:$M$120,11,FALSE)),"0")</f>
        <v>0</v>
      </c>
      <c r="BR39" s="192" t="str">
        <f>IF(AND($C39&lt;&gt;"",$H39&lt;&gt;""),(VLOOKUP($C39,'V-LOOKUP'!$C$61:$N$120,12,FALSE)),"0")</f>
        <v>0</v>
      </c>
      <c r="BS39" s="192" t="str">
        <f>IF(AND($C39&lt;&gt;"",$I39&lt;&gt;""),(VLOOKUP($C39,'V-LOOKUP'!$C$61:$M$120,4,FALSE)),"0")</f>
        <v>0</v>
      </c>
      <c r="BT39" s="192" t="str">
        <f>IF(AND($C39&lt;&gt;"",$I39&lt;&gt;""),(VLOOKUP($C39,'V-LOOKUP'!$C$61:$M$120,5,FALSE)),"0")</f>
        <v>0</v>
      </c>
      <c r="BU39" s="192" t="str">
        <f>IF(AND($C39&lt;&gt;"",$I39&lt;&gt;""),(VLOOKUP($C39,'V-LOOKUP'!$C$61:$M$120,6,FALSE)),"0")</f>
        <v>0</v>
      </c>
      <c r="BV39" s="192" t="str">
        <f>IF(AND($C39&lt;&gt;"",$I39&lt;&gt;""),(VLOOKUP($C39,'V-LOOKUP'!$C$61:$M$120,7,FALSE)),"0")</f>
        <v>0</v>
      </c>
      <c r="BW39" s="192" t="str">
        <f>IF(AND($C39&lt;&gt;"",$I39&lt;&gt;""),(VLOOKUP($C39,'V-LOOKUP'!$C$61:$M$120,8,FALSE)),"0")</f>
        <v>0</v>
      </c>
      <c r="BX39" s="192" t="str">
        <f>IF(AND($C39&lt;&gt;"",$I39&lt;&gt;""),(VLOOKUP($C39,'V-LOOKUP'!$C$61:$M$120,9,FALSE)),"0")</f>
        <v>0</v>
      </c>
      <c r="BY39" s="192" t="str">
        <f>IF(AND($C39&lt;&gt;"",$I39&lt;&gt;""),(VLOOKUP($C39,'V-LOOKUP'!$C$61:$M$120,10,FALSE)),"0")</f>
        <v>0</v>
      </c>
      <c r="BZ39" s="192" t="str">
        <f>IF(AND($C39&lt;&gt;"",$I39&lt;&gt;""),(VLOOKUP($C39,'V-LOOKUP'!$C$61:$M$120,11,FALSE)),"0")</f>
        <v>0</v>
      </c>
      <c r="CA39" s="192" t="str">
        <f>IF(AND($C39&lt;&gt;"",$I39&lt;&gt;""),(VLOOKUP($C39,'V-LOOKUP'!$C$61:$N$120,12,FALSE)),"0")</f>
        <v>0</v>
      </c>
      <c r="CB39" s="192" t="str">
        <f>IF(AND($C39&lt;&gt;"",$J39&lt;&gt;""),(VLOOKUP($C39,'V-LOOKUP'!$C$61:$M$120,4,FALSE)),"0")</f>
        <v>0</v>
      </c>
      <c r="CC39" s="192" t="str">
        <f>IF(AND($C39&lt;&gt;"",$J39&lt;&gt;""),(VLOOKUP($C39,'V-LOOKUP'!$C$61:$M$120,5,FALSE)),"0")</f>
        <v>0</v>
      </c>
      <c r="CD39" s="192" t="str">
        <f>IF(AND($C39&lt;&gt;"",$J39&lt;&gt;""),(VLOOKUP($C39,'V-LOOKUP'!$C$61:$M$120,6,FALSE)),"0")</f>
        <v>0</v>
      </c>
      <c r="CE39" s="192" t="str">
        <f>IF(AND($C39&lt;&gt;"",$J39&lt;&gt;""),(VLOOKUP($C39,'V-LOOKUP'!$C$61:$M$120,7,FALSE)),"0")</f>
        <v>0</v>
      </c>
      <c r="CF39" s="192" t="str">
        <f>IF(AND($C39&lt;&gt;"",$J39&lt;&gt;""),(VLOOKUP($C39,'V-LOOKUP'!$C$61:$M$120,8,FALSE)),"0")</f>
        <v>0</v>
      </c>
      <c r="CG39" s="192" t="str">
        <f>IF(AND($C39&lt;&gt;"",$J39&lt;&gt;""),(VLOOKUP($C39,'V-LOOKUP'!$C$61:$M$120,9,FALSE)),"0")</f>
        <v>0</v>
      </c>
      <c r="CH39" s="192" t="str">
        <f>IF(AND($C39&lt;&gt;"",$J39&lt;&gt;""),(VLOOKUP($C39,'V-LOOKUP'!$C$61:$M$120,10,FALSE)),"0")</f>
        <v>0</v>
      </c>
      <c r="CI39" s="192" t="str">
        <f>IF(AND($C39&lt;&gt;"",$J39&lt;&gt;""),(VLOOKUP($C39,'V-LOOKUP'!$C$61:$M$120,11,FALSE)),"0")</f>
        <v>0</v>
      </c>
      <c r="CJ39" s="192" t="str">
        <f>IF(AND($C39&lt;&gt;"",$J39&lt;&gt;""),(VLOOKUP($C39,'V-LOOKUP'!$C$61:$N$120,12,FALSE)),"0")</f>
        <v>0</v>
      </c>
      <c r="CK39" s="192" t="str">
        <f>IF(AND($C39&lt;&gt;"",$K39&lt;&gt;""),(VLOOKUP($C39,'V-LOOKUP'!$C$61:$M$120,4,FALSE)),"0")</f>
        <v>0</v>
      </c>
      <c r="CL39" s="192" t="str">
        <f>IF(AND($C39&lt;&gt;"",$K39&lt;&gt;""),(VLOOKUP($C39,'V-LOOKUP'!$C$61:$M$120,5,FALSE)),"0")</f>
        <v>0</v>
      </c>
      <c r="CM39" s="192" t="str">
        <f>IF(AND($C39&lt;&gt;"",$K39&lt;&gt;""),(VLOOKUP($C39,'V-LOOKUP'!$C$61:$M$120,6,FALSE)),"0")</f>
        <v>0</v>
      </c>
      <c r="CN39" s="192" t="str">
        <f>IF(AND($C39&lt;&gt;"",$K39&lt;&gt;""),(VLOOKUP($C39,'V-LOOKUP'!$C$61:$M$120,7,FALSE)),"0")</f>
        <v>0</v>
      </c>
      <c r="CO39" s="192" t="str">
        <f>IF(AND($C39&lt;&gt;"",$K39&lt;&gt;""),(VLOOKUP($C39,'V-LOOKUP'!$C$61:$M$120,8,FALSE)),"0")</f>
        <v>0</v>
      </c>
      <c r="CP39" s="192" t="str">
        <f>IF(AND($C39&lt;&gt;"",$K39&lt;&gt;""),(VLOOKUP($C39,'V-LOOKUP'!$C$61:$M$120,9,FALSE)),"0")</f>
        <v>0</v>
      </c>
      <c r="CQ39" s="192" t="str">
        <f>IF(AND($C39&lt;&gt;"",$K39&lt;&gt;""),(VLOOKUP($C39,'V-LOOKUP'!$C$61:$M$120,10,FALSE)),"0")</f>
        <v>0</v>
      </c>
      <c r="CR39" s="192" t="str">
        <f>IF(AND($C39&lt;&gt;"",$K39&lt;&gt;""),(VLOOKUP($C39,'V-LOOKUP'!$C$61:$M$120,11,FALSE)),"0")</f>
        <v>0</v>
      </c>
      <c r="CS39" s="192" t="str">
        <f>IF(AND($C39&lt;&gt;"",$K39&lt;&gt;""),(VLOOKUP($C39,'V-LOOKUP'!$C$61:$N$120,12,FALSE)),"0")</f>
        <v>0</v>
      </c>
      <c r="CT39" s="192" t="str">
        <f>IF(AND($C39&lt;&gt;"",$L39&lt;&gt;""),(VLOOKUP($C39,'V-LOOKUP'!$C$61:$M$120,4,FALSE)),"0")</f>
        <v>0</v>
      </c>
      <c r="CU39" s="192" t="str">
        <f>IF(AND($C39&lt;&gt;"",$L39&lt;&gt;""),(VLOOKUP($C39,'V-LOOKUP'!$C$61:$M$120,5,FALSE)),"0")</f>
        <v>0</v>
      </c>
      <c r="CV39" s="192" t="str">
        <f>IF(AND($C39&lt;&gt;"",$L39&lt;&gt;""),(VLOOKUP($C39,'V-LOOKUP'!$C$61:$M$120,6,FALSE)),"0")</f>
        <v>0</v>
      </c>
      <c r="CW39" s="192" t="str">
        <f>IF(AND($C39&lt;&gt;"",$L39&lt;&gt;""),(VLOOKUP($C39,'V-LOOKUP'!$C$61:$M$120,7,FALSE)),"0")</f>
        <v>0</v>
      </c>
      <c r="CX39" s="192" t="str">
        <f>IF(AND($C39&lt;&gt;"",$L39&lt;&gt;""),(VLOOKUP($C39,'V-LOOKUP'!$C$61:$M$120,8,FALSE)),"0")</f>
        <v>0</v>
      </c>
      <c r="CY39" s="192" t="str">
        <f>IF(AND($C39&lt;&gt;"",$L39&lt;&gt;""),(VLOOKUP($C39,'V-LOOKUP'!$C$61:$M$120,9,FALSE)),"0")</f>
        <v>0</v>
      </c>
      <c r="CZ39" s="192" t="str">
        <f>IF(AND($C39&lt;&gt;"",$L39&lt;&gt;""),(VLOOKUP($C39,'V-LOOKUP'!$C$61:$M$120,10,FALSE)),"0")</f>
        <v>0</v>
      </c>
      <c r="DA39" s="192" t="str">
        <f>IF(AND($C39&lt;&gt;"",$L39&lt;&gt;""),(VLOOKUP($C39,'V-LOOKUP'!$C$61:$M$120,11,FALSE)),"0")</f>
        <v>0</v>
      </c>
      <c r="DB39" s="192" t="str">
        <f>IF(AND($C39&lt;&gt;"",$L39&lt;&gt;""),(VLOOKUP($C39,'V-LOOKUP'!$C$61:$N$120,12,FALSE)),"0")</f>
        <v>0</v>
      </c>
      <c r="DC39" s="192" t="str">
        <f>IF(AND($C39&lt;&gt;"",$M39&lt;&gt;""),(VLOOKUP($C39,'V-LOOKUP'!$C$61:$M$120,4,FALSE)),"0")</f>
        <v>0</v>
      </c>
      <c r="DD39" s="192" t="str">
        <f>IF(AND($C39&lt;&gt;"",$M39&lt;&gt;""),(VLOOKUP($C39,'V-LOOKUP'!$C$61:$M$120,5,FALSE)),"0")</f>
        <v>0</v>
      </c>
      <c r="DE39" s="192" t="str">
        <f>IF(AND($C39&lt;&gt;"",$M39&lt;&gt;""),(VLOOKUP($C39,'V-LOOKUP'!$C$61:$M$120,6,FALSE)),"0")</f>
        <v>0</v>
      </c>
      <c r="DF39" s="192" t="str">
        <f>IF(AND($C39&lt;&gt;"",$M39&lt;&gt;""),(VLOOKUP($C39,'V-LOOKUP'!$C$61:$M$120,7,FALSE)),"0")</f>
        <v>0</v>
      </c>
      <c r="DG39" s="192" t="str">
        <f>IF(AND($C39&lt;&gt;"",$M39&lt;&gt;""),(VLOOKUP($C39,'V-LOOKUP'!$C$61:$M$120,8,FALSE)),"0")</f>
        <v>0</v>
      </c>
      <c r="DH39" s="192" t="str">
        <f>IF(AND($C39&lt;&gt;"",$M39&lt;&gt;""),(VLOOKUP($C39,'V-LOOKUP'!$C$61:$M$120,9,FALSE)),"0")</f>
        <v>0</v>
      </c>
      <c r="DI39" s="192" t="str">
        <f>IF(AND($C39&lt;&gt;"",$M39&lt;&gt;""),(VLOOKUP($C39,'V-LOOKUP'!$C$61:$M$120,10,FALSE)),"0")</f>
        <v>0</v>
      </c>
      <c r="DJ39" s="192" t="str">
        <f>IF(AND($C39&lt;&gt;"",$M39&lt;&gt;""),(VLOOKUP($C39,'V-LOOKUP'!$C$61:$M$120,11,FALSE)),"0")</f>
        <v>0</v>
      </c>
      <c r="DK39" s="192" t="str">
        <f>IF(AND($C39&lt;&gt;"",$M39&lt;&gt;""),(VLOOKUP($C39,'V-LOOKUP'!$C$61:$N$120,12,FALSE)),"0")</f>
        <v>0</v>
      </c>
      <c r="DL39" s="192" t="str">
        <f>IF(AND($C39&lt;&gt;"",$N39&lt;&gt;""),(VLOOKUP($C39,'V-LOOKUP'!$C$61:$M$120,4,FALSE)),"0")</f>
        <v>0</v>
      </c>
      <c r="DM39" s="192" t="str">
        <f>IF(AND($C39&lt;&gt;"",$N39&lt;&gt;""),(VLOOKUP($C39,'V-LOOKUP'!$C$61:$M$120,5,FALSE)),"0")</f>
        <v>0</v>
      </c>
      <c r="DN39" s="192" t="str">
        <f>IF(AND($C39&lt;&gt;"",$N39&lt;&gt;""),(VLOOKUP($C39,'V-LOOKUP'!$C$61:$M$120,6,FALSE)),"0")</f>
        <v>0</v>
      </c>
      <c r="DO39" s="192" t="str">
        <f>IF(AND($C39&lt;&gt;"",$N39&lt;&gt;""),(VLOOKUP($C39,'V-LOOKUP'!$C$61:$M$120,7,FALSE)),"0")</f>
        <v>0</v>
      </c>
      <c r="DP39" s="192" t="str">
        <f>IF(AND($C39&lt;&gt;"",$N39&lt;&gt;""),(VLOOKUP($C39,'V-LOOKUP'!$C$61:$M$120,8,FALSE)),"0")</f>
        <v>0</v>
      </c>
      <c r="DQ39" s="192" t="str">
        <f>IF(AND($C39&lt;&gt;"",$N39&lt;&gt;""),(VLOOKUP($C39,'V-LOOKUP'!$C$61:$M$120,9,FALSE)),"0")</f>
        <v>0</v>
      </c>
      <c r="DR39" s="192" t="str">
        <f>IF(AND($C39&lt;&gt;"",$N39&lt;&gt;""),(VLOOKUP($C39,'V-LOOKUP'!$C$61:$M$120,10,FALSE)),"0")</f>
        <v>0</v>
      </c>
      <c r="DS39" s="192" t="str">
        <f>IF(AND($C39&lt;&gt;"",$N39&lt;&gt;""),(VLOOKUP($C39,'V-LOOKUP'!$C$61:$M$120,11,FALSE)),"0")</f>
        <v>0</v>
      </c>
      <c r="DT39" s="192" t="str">
        <f>IF(AND($C39&lt;&gt;"",$N39&lt;&gt;""),(VLOOKUP($C39,'V-LOOKUP'!$C$61:$N$120,12,FALSE)),"0")</f>
        <v>0</v>
      </c>
      <c r="DU39" s="192" t="str">
        <f>IF(AND($C39&lt;&gt;"",$O39&lt;&gt;""),(VLOOKUP($C39,'V-LOOKUP'!$C$61:$M$120,4,FALSE)),"0")</f>
        <v>0</v>
      </c>
      <c r="DV39" s="192" t="str">
        <f>IF(AND($C39&lt;&gt;"",$O39&lt;&gt;""),(VLOOKUP($C39,'V-LOOKUP'!$C$61:$M$120,5,FALSE)),"0")</f>
        <v>0</v>
      </c>
      <c r="DW39" s="192" t="str">
        <f>IF(AND($C39&lt;&gt;"",$O39&lt;&gt;""),(VLOOKUP($C39,'V-LOOKUP'!$C$61:$M$120,6,FALSE)),"0")</f>
        <v>0</v>
      </c>
      <c r="DX39" s="192" t="str">
        <f>IF(AND($C39&lt;&gt;"",$O39&lt;&gt;""),(VLOOKUP($C39,'V-LOOKUP'!$C$61:$M$120,7,FALSE)),"0")</f>
        <v>0</v>
      </c>
      <c r="DY39" s="192" t="str">
        <f>IF(AND($C39&lt;&gt;"",$O39&lt;&gt;""),(VLOOKUP($C39,'V-LOOKUP'!$C$61:$M$120,8,FALSE)),"0")</f>
        <v>0</v>
      </c>
      <c r="DZ39" s="192" t="str">
        <f>IF(AND($C39&lt;&gt;"",$O39&lt;&gt;""),(VLOOKUP($C39,'V-LOOKUP'!$C$61:$M$120,9,FALSE)),"0")</f>
        <v>0</v>
      </c>
      <c r="EA39" s="192" t="str">
        <f>IF(AND($C39&lt;&gt;"",$O39&lt;&gt;""),(VLOOKUP($C39,'V-LOOKUP'!$C$61:$M$120,10,FALSE)),"0")</f>
        <v>0</v>
      </c>
      <c r="EB39" s="192" t="str">
        <f>IF(AND($C39&lt;&gt;"",$O39&lt;&gt;""),(VLOOKUP($C39,'V-LOOKUP'!$C$61:$M$120,11,FALSE)),"0")</f>
        <v>0</v>
      </c>
      <c r="EC39" s="192" t="str">
        <f>IF(AND($C39&lt;&gt;"",$O39&lt;&gt;""),(VLOOKUP($C39,'V-LOOKUP'!$C$61:$N$120,12,FALSE)),"0")</f>
        <v>0</v>
      </c>
      <c r="ED39" s="192" t="str">
        <f>IF(AND($C39&lt;&gt;"",$P39&lt;&gt;""),(VLOOKUP($C39,'V-LOOKUP'!$C$61:$M$120,4,FALSE)),"0")</f>
        <v>0</v>
      </c>
      <c r="EE39" s="192" t="str">
        <f>IF(AND($C39&lt;&gt;"",$P39&lt;&gt;""),(VLOOKUP($C39,'V-LOOKUP'!$C$61:$M$120,5,FALSE)),"0")</f>
        <v>0</v>
      </c>
      <c r="EF39" s="192" t="str">
        <f>IF(AND($C39&lt;&gt;"",$P39&lt;&gt;""),(VLOOKUP($C39,'V-LOOKUP'!$C$61:$M$120,6,FALSE)),"0")</f>
        <v>0</v>
      </c>
      <c r="EG39" s="192" t="str">
        <f>IF(AND($C39&lt;&gt;"",$P39&lt;&gt;""),(VLOOKUP($C39,'V-LOOKUP'!$C$61:$M$120,7,FALSE)),"0")</f>
        <v>0</v>
      </c>
      <c r="EH39" s="192" t="str">
        <f>IF(AND($C39&lt;&gt;"",$P39&lt;&gt;""),(VLOOKUP($C39,'V-LOOKUP'!$C$61:$M$120,8,FALSE)),"0")</f>
        <v>0</v>
      </c>
      <c r="EI39" s="192" t="str">
        <f>IF(AND($C39&lt;&gt;"",$P39&lt;&gt;""),(VLOOKUP($C39,'V-LOOKUP'!$C$61:$M$120,9,FALSE)),"0")</f>
        <v>0</v>
      </c>
      <c r="EJ39" s="192" t="str">
        <f>IF(AND($C39&lt;&gt;"",$P39&lt;&gt;""),(VLOOKUP($C39,'V-LOOKUP'!$C$61:$M$120,10,FALSE)),"0")</f>
        <v>0</v>
      </c>
      <c r="EK39" s="192" t="str">
        <f>IF(AND($C39&lt;&gt;"",$P39&lt;&gt;""),(VLOOKUP($C39,'V-LOOKUP'!$C$61:$M$120,11,FALSE)),"0")</f>
        <v>0</v>
      </c>
      <c r="EL39" s="192" t="str">
        <f>IF(AND($C39&lt;&gt;"",$P39&lt;&gt;""),(VLOOKUP($C39,'V-LOOKUP'!$C$61:$N$120,12,FALSE)),"0")</f>
        <v>0</v>
      </c>
      <c r="EM39" s="192" t="str">
        <f>IF(AND($C39&lt;&gt;"",$Q39&lt;&gt;""),(VLOOKUP($C39,'V-LOOKUP'!$C$61:$M$120,4,FALSE)),"0")</f>
        <v>0</v>
      </c>
      <c r="EN39" s="192" t="str">
        <f>IF(AND($C39&lt;&gt;"",$Q39&lt;&gt;""),(VLOOKUP($C39,'V-LOOKUP'!$C$61:$M$120,5,FALSE)),"0")</f>
        <v>0</v>
      </c>
      <c r="EO39" s="192" t="str">
        <f>IF(AND($C39&lt;&gt;"",$Q39&lt;&gt;""),(VLOOKUP($C39,'V-LOOKUP'!$C$61:$M$120,6,FALSE)),"0")</f>
        <v>0</v>
      </c>
      <c r="EP39" s="192" t="str">
        <f>IF(AND($C39&lt;&gt;"",$Q39&lt;&gt;""),(VLOOKUP($C39,'V-LOOKUP'!$C$61:$M$120,7,FALSE)),"0")</f>
        <v>0</v>
      </c>
      <c r="EQ39" s="192" t="str">
        <f>IF(AND($C39&lt;&gt;"",$Q39&lt;&gt;""),(VLOOKUP($C39,'V-LOOKUP'!$C$61:$M$120,8,FALSE)),"0")</f>
        <v>0</v>
      </c>
      <c r="ER39" s="192" t="str">
        <f>IF(AND($C39&lt;&gt;"",$Q39&lt;&gt;""),(VLOOKUP($C39,'V-LOOKUP'!$C$61:$M$120,9,FALSE)),"0")</f>
        <v>0</v>
      </c>
      <c r="ES39" s="192" t="str">
        <f>IF(AND($C39&lt;&gt;"",$Q39&lt;&gt;""),(VLOOKUP($C39,'V-LOOKUP'!$C$61:$M$120,10,FALSE)),"0")</f>
        <v>0</v>
      </c>
      <c r="ET39" s="192" t="str">
        <f>IF(AND($C39&lt;&gt;"",$Q39&lt;&gt;""),(VLOOKUP($C39,'V-LOOKUP'!$C$61:$M$120,11,FALSE)),"0")</f>
        <v>0</v>
      </c>
      <c r="EU39" s="192" t="str">
        <f>IF(AND($C39&lt;&gt;"",$Q39&lt;&gt;""),(VLOOKUP($C39,'V-LOOKUP'!$C$61:$N$120,12,FALSE)),"0")</f>
        <v>0</v>
      </c>
      <c r="EV39" s="192" t="str">
        <f>IF(AND($C39&lt;&gt;"",$R39&lt;&gt;""),(VLOOKUP($C39,'V-LOOKUP'!$C$61:$M$120,4,FALSE)),"0")</f>
        <v>0</v>
      </c>
      <c r="EW39" s="192" t="str">
        <f>IF(AND($C39&lt;&gt;"",$R39&lt;&gt;""),(VLOOKUP($C39,'V-LOOKUP'!$C$61:$M$120,5,FALSE)),"0")</f>
        <v>0</v>
      </c>
      <c r="EX39" s="192" t="str">
        <f>IF(AND($C39&lt;&gt;"",$R39&lt;&gt;""),(VLOOKUP($C39,'V-LOOKUP'!$C$61:$M$120,6,FALSE)),"0")</f>
        <v>0</v>
      </c>
      <c r="EY39" s="192" t="str">
        <f>IF(AND($C39&lt;&gt;"",$R39&lt;&gt;""),(VLOOKUP($C39,'V-LOOKUP'!$C$61:$M$120,7,FALSE)),"0")</f>
        <v>0</v>
      </c>
      <c r="EZ39" s="192" t="str">
        <f>IF(AND($C39&lt;&gt;"",$R39&lt;&gt;""),(VLOOKUP($C39,'V-LOOKUP'!$C$61:$M$120,8,FALSE)),"0")</f>
        <v>0</v>
      </c>
      <c r="FA39" s="192" t="str">
        <f>IF(AND($C39&lt;&gt;"",$R39&lt;&gt;""),(VLOOKUP($C39,'V-LOOKUP'!$C$61:$M$120,9,FALSE)),"0")</f>
        <v>0</v>
      </c>
      <c r="FB39" s="192" t="str">
        <f>IF(AND($C39&lt;&gt;"",$R39&lt;&gt;""),(VLOOKUP($C39,'V-LOOKUP'!$C$61:$M$120,10,FALSE)),"0")</f>
        <v>0</v>
      </c>
      <c r="FC39" s="192" t="str">
        <f>IF(AND($C39&lt;&gt;"",$R39&lt;&gt;""),(VLOOKUP($C39,'V-LOOKUP'!$C$61:$M$120,11,FALSE)),"0")</f>
        <v>0</v>
      </c>
      <c r="FD39" s="192" t="str">
        <f>IF(AND($C39&lt;&gt;"",$R39&lt;&gt;""),(VLOOKUP($C39,'V-LOOKUP'!$C$61:$N$120,12,FALSE)),"0")</f>
        <v>0</v>
      </c>
      <c r="FE39" s="192" t="str">
        <f>IF(AND($C39&lt;&gt;"",$S39&lt;&gt;""),(VLOOKUP($C39,'V-LOOKUP'!$C$61:$M$120,4,FALSE)),"0")</f>
        <v>0</v>
      </c>
      <c r="FF39" s="192" t="str">
        <f>IF(AND($C39&lt;&gt;"",$S39&lt;&gt;""),(VLOOKUP($C39,'V-LOOKUP'!$C$61:$M$120,5,FALSE)),"0")</f>
        <v>0</v>
      </c>
      <c r="FG39" s="192" t="str">
        <f>IF(AND($C39&lt;&gt;"",$S39&lt;&gt;""),(VLOOKUP($C39,'V-LOOKUP'!$C$61:$M$120,6,FALSE)),"0")</f>
        <v>0</v>
      </c>
      <c r="FH39" s="192" t="str">
        <f>IF(AND($C39&lt;&gt;"",$S39&lt;&gt;""),(VLOOKUP($C39,'V-LOOKUP'!$C$61:$M$120,7,FALSE)),"0")</f>
        <v>0</v>
      </c>
      <c r="FI39" s="192" t="str">
        <f>IF(AND($C39&lt;&gt;"",$S39&lt;&gt;""),(VLOOKUP($C39,'V-LOOKUP'!$C$61:$M$120,8,FALSE)),"0")</f>
        <v>0</v>
      </c>
      <c r="FJ39" s="192" t="str">
        <f>IF(AND($C39&lt;&gt;"",$S39&lt;&gt;""),(VLOOKUP($C39,'V-LOOKUP'!$C$61:$M$120,9,FALSE)),"0")</f>
        <v>0</v>
      </c>
      <c r="FK39" s="192" t="str">
        <f>IF(AND($C39&lt;&gt;"",$S39&lt;&gt;""),(VLOOKUP($C39,'V-LOOKUP'!$C$61:$M$120,10,FALSE)),"0")</f>
        <v>0</v>
      </c>
      <c r="FL39" s="192" t="str">
        <f>IF(AND($C39&lt;&gt;"",$S39&lt;&gt;""),(VLOOKUP($C39,'V-LOOKUP'!$C$61:$M$120,11,FALSE)),"0")</f>
        <v>0</v>
      </c>
      <c r="FM39" s="192" t="str">
        <f>IF(AND($C39&lt;&gt;"",$S39&lt;&gt;""),(VLOOKUP($C39,'V-LOOKUP'!$C$61:$N$120,12,FALSE)),"0")</f>
        <v>0</v>
      </c>
      <c r="FN39" s="192" t="str">
        <f>IF(AND($C39&lt;&gt;"",$T39&lt;&gt;""),(VLOOKUP($C39,'V-LOOKUP'!$C$61:$M$120,4,FALSE)),"0")</f>
        <v>0</v>
      </c>
      <c r="FO39" s="192" t="str">
        <f>IF(AND($C39&lt;&gt;"",$T39&lt;&gt;""),(VLOOKUP($C39,'V-LOOKUP'!$C$61:$M$120,5,FALSE)),"0")</f>
        <v>0</v>
      </c>
      <c r="FP39" s="192" t="str">
        <f>IF(AND($C39&lt;&gt;"",$T39&lt;&gt;""),(VLOOKUP($C39,'V-LOOKUP'!$C$61:$M$120,6,FALSE)),"0")</f>
        <v>0</v>
      </c>
      <c r="FQ39" s="192" t="str">
        <f>IF(AND($C39&lt;&gt;"",$T39&lt;&gt;""),(VLOOKUP($C39,'V-LOOKUP'!$C$61:$M$120,7,FALSE)),"0")</f>
        <v>0</v>
      </c>
      <c r="FR39" s="192" t="str">
        <f>IF(AND($C39&lt;&gt;"",$T39&lt;&gt;""),(VLOOKUP($C39,'V-LOOKUP'!$C$61:$M$120,8,FALSE)),"0")</f>
        <v>0</v>
      </c>
      <c r="FS39" s="192" t="str">
        <f>IF(AND($C39&lt;&gt;"",$T39&lt;&gt;""),(VLOOKUP($C39,'V-LOOKUP'!$C$61:$M$120,9,FALSE)),"0")</f>
        <v>0</v>
      </c>
      <c r="FT39" s="192" t="str">
        <f>IF(AND($C39&lt;&gt;"",$T39&lt;&gt;""),(VLOOKUP($C39,'V-LOOKUP'!$C$61:$M$120,10,FALSE)),"0")</f>
        <v>0</v>
      </c>
      <c r="FU39" s="192" t="str">
        <f>IF(AND($C39&lt;&gt;"",$T39&lt;&gt;""),(VLOOKUP($C39,'V-LOOKUP'!$C$61:$M$120,11,FALSE)),"0")</f>
        <v>0</v>
      </c>
      <c r="FV39" s="192" t="str">
        <f>IF(AND($C39&lt;&gt;"",$T39&lt;&gt;""),(VLOOKUP($C39,'V-LOOKUP'!$C$61:$N$120,12,FALSE)),"0")</f>
        <v>0</v>
      </c>
      <c r="FW39" s="192" t="str">
        <f>IF(AND($C39&lt;&gt;"",$U39&lt;&gt;""),(VLOOKUP($C39,'V-LOOKUP'!$C$61:$M$120,4,FALSE)),"0")</f>
        <v>0</v>
      </c>
      <c r="FX39" s="192" t="str">
        <f>IF(AND($C39&lt;&gt;"",$U39&lt;&gt;""),(VLOOKUP($C39,'V-LOOKUP'!$C$61:$M$120,5,FALSE)),"0")</f>
        <v>0</v>
      </c>
      <c r="FY39" s="192" t="str">
        <f>IF(AND($C39&lt;&gt;"",$U39&lt;&gt;""),(VLOOKUP($C39,'V-LOOKUP'!$C$61:$M$120,6,FALSE)),"0")</f>
        <v>0</v>
      </c>
      <c r="FZ39" s="192" t="str">
        <f>IF(AND($C39&lt;&gt;"",$U39&lt;&gt;""),(VLOOKUP($C39,'V-LOOKUP'!$C$61:$M$120,7,FALSE)),"0")</f>
        <v>0</v>
      </c>
      <c r="GA39" s="192" t="str">
        <f>IF(AND($C39&lt;&gt;"",$U39&lt;&gt;""),(VLOOKUP($C39,'V-LOOKUP'!$C$61:$M$120,8,FALSE)),"0")</f>
        <v>0</v>
      </c>
      <c r="GB39" s="192" t="str">
        <f>IF(AND($C39&lt;&gt;"",$U39&lt;&gt;""),(VLOOKUP($C39,'V-LOOKUP'!$C$61:$M$120,9,FALSE)),"0")</f>
        <v>0</v>
      </c>
      <c r="GC39" s="192" t="str">
        <f>IF(AND($C39&lt;&gt;"",$U39&lt;&gt;""),(VLOOKUP($C39,'V-LOOKUP'!$C$61:$M$120,10,FALSE)),"0")</f>
        <v>0</v>
      </c>
      <c r="GD39" s="192" t="str">
        <f>IF(AND($C39&lt;&gt;"",$U39&lt;&gt;""),(VLOOKUP($C39,'V-LOOKUP'!$C$61:$M$120,11,FALSE)),"0")</f>
        <v>0</v>
      </c>
      <c r="GE39" s="192" t="str">
        <f>IF(AND($C39&lt;&gt;"",$U39&lt;&gt;""),(VLOOKUP($C39,'V-LOOKUP'!$C$61:$N$120,12,FALSE)),"0")</f>
        <v>0</v>
      </c>
      <c r="GF39" s="192" t="str">
        <f>IF(AND($C39&lt;&gt;"",$V39&lt;&gt;""),(VLOOKUP($C39,'V-LOOKUP'!$C$61:$M$120,4,FALSE)),"0")</f>
        <v>0</v>
      </c>
      <c r="GG39" s="192" t="str">
        <f>IF(AND($C39&lt;&gt;"",V39&lt;&gt;""),(VLOOKUP($C39,'V-LOOKUP'!$C$61:$M$120,5,FALSE)),"0")</f>
        <v>0</v>
      </c>
      <c r="GH39" s="192" t="str">
        <f>IF(AND($C39&lt;&gt;"",$V39&lt;&gt;""),(VLOOKUP($C39,'V-LOOKUP'!$C$61:$M$120,6,FALSE)),"0")</f>
        <v>0</v>
      </c>
      <c r="GI39" s="192" t="str">
        <f>IF(AND($C39&lt;&gt;"",$V39&lt;&gt;""),(VLOOKUP($C39,'V-LOOKUP'!$C$61:$M$120,7,FALSE)),"0")</f>
        <v>0</v>
      </c>
      <c r="GJ39" s="192" t="str">
        <f>IF(AND($C39&lt;&gt;"",$V39&lt;&gt;""),(VLOOKUP($C39,'V-LOOKUP'!$C$61:$M$120,8,FALSE)),"0")</f>
        <v>0</v>
      </c>
      <c r="GK39" s="192" t="str">
        <f>IF(AND($C39&lt;&gt;"",$V39&lt;&gt;""),(VLOOKUP($C39,'V-LOOKUP'!$C$61:$M$120,9,FALSE)),"0")</f>
        <v>0</v>
      </c>
      <c r="GL39" s="192" t="str">
        <f>IF(AND($C39&lt;&gt;"",$V39&lt;&gt;""),(VLOOKUP($C39,'V-LOOKUP'!$C$61:$M$120,10,FALSE)),"0")</f>
        <v>0</v>
      </c>
      <c r="GM39" s="192" t="str">
        <f>IF(AND($C39&lt;&gt;"",$V39&lt;&gt;""),(VLOOKUP($C39,'V-LOOKUP'!$C$61:$M$120,11,FALSE)),"0")</f>
        <v>0</v>
      </c>
      <c r="GN39" s="192" t="str">
        <f>IF(AND($C39&lt;&gt;"",$V39&lt;&gt;""),(VLOOKUP($C39,'V-LOOKUP'!$C$61:$N$120,12,FALSE)),"0")</f>
        <v>0</v>
      </c>
      <c r="GO39" s="192" t="str">
        <f>IF(AND($C39&lt;&gt;"",$W39&lt;&gt;""),(VLOOKUP($C39,'V-LOOKUP'!$C$61:$M$120,4,FALSE)),"0")</f>
        <v>0</v>
      </c>
      <c r="GP39" s="192" t="str">
        <f>IF(AND($C39&lt;&gt;"",$W39&lt;&gt;""),(VLOOKUP($C39,'V-LOOKUP'!$C$61:$M$120,5,FALSE)),"0")</f>
        <v>0</v>
      </c>
      <c r="GQ39" s="192" t="str">
        <f>IF(AND($C39&lt;&gt;"",$W39&lt;&gt;""),(VLOOKUP($C39,'V-LOOKUP'!$C$61:$M$120,6,FALSE)),"0")</f>
        <v>0</v>
      </c>
      <c r="GR39" s="192" t="str">
        <f>IF(AND($C39&lt;&gt;"",$W39&lt;&gt;""),(VLOOKUP($C39,'V-LOOKUP'!$C$61:$M$120,7,FALSE)),"0")</f>
        <v>0</v>
      </c>
      <c r="GS39" s="192" t="str">
        <f>IF(AND($C39&lt;&gt;"",$W39&lt;&gt;""),(VLOOKUP($C39,'V-LOOKUP'!$C$61:$M$120,8,FALSE)),"0")</f>
        <v>0</v>
      </c>
      <c r="GT39" s="192" t="str">
        <f>IF(AND($C39&lt;&gt;"",$W39&lt;&gt;""),(VLOOKUP($C39,'V-LOOKUP'!$C$61:$M$120,9,FALSE)),"0")</f>
        <v>0</v>
      </c>
      <c r="GU39" s="192" t="str">
        <f>IF(AND($C39&lt;&gt;"",$W39&lt;&gt;""),(VLOOKUP($C39,'V-LOOKUP'!$C$61:$M$120,10,FALSE)),"0")</f>
        <v>0</v>
      </c>
      <c r="GV39" s="192" t="str">
        <f>IF(AND($C39&lt;&gt;"",$W39&lt;&gt;""),(VLOOKUP($C39,'V-LOOKUP'!$C$61:$M$120,11,FALSE)),"0")</f>
        <v>0</v>
      </c>
      <c r="GW39" s="192" t="str">
        <f>IF(AND($C39&lt;&gt;"",$W39&lt;&gt;""),(VLOOKUP($C39,'V-LOOKUP'!$C$61:$N$120,12,FALSE)),"0")</f>
        <v>0</v>
      </c>
    </row>
    <row r="40" spans="1:205" ht="14.65" customHeight="1">
      <c r="A40" s="193"/>
      <c r="B40" s="245"/>
      <c r="C40" s="203"/>
      <c r="D40" s="202"/>
      <c r="E40" s="202"/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Y40" s="190"/>
      <c r="Z40" s="192" t="str">
        <f>IF(AND($C40&lt;&gt;"",$D40&lt;&gt;""),(VLOOKUP($C40,'V-LOOKUP'!$C$61:$M$120,4,FALSE)),"0")</f>
        <v>0</v>
      </c>
      <c r="AA40" s="192" t="str">
        <f>IF(AND($C40&lt;&gt;"",$D40&lt;&gt;""),(VLOOKUP($C40,'V-LOOKUP'!$C$61:$M$120,5,FALSE)),"0")</f>
        <v>0</v>
      </c>
      <c r="AB40" s="192" t="str">
        <f>IF(AND($C40&lt;&gt;"",$D40&lt;&gt;""),(VLOOKUP($C40,'V-LOOKUP'!$C$61:$M$120,6,FALSE)),"0")</f>
        <v>0</v>
      </c>
      <c r="AC40" s="192" t="str">
        <f>IF(AND($C40&lt;&gt;"",$D40&lt;&gt;""),(VLOOKUP($C40,'V-LOOKUP'!$C$61:$M$120,7,FALSE)),"0")</f>
        <v>0</v>
      </c>
      <c r="AD40" s="192" t="str">
        <f>IF(AND($C40&lt;&gt;"",$D40&lt;&gt;""),(VLOOKUP($C40,'V-LOOKUP'!$C$61:$M$120,8,FALSE)),"0")</f>
        <v>0</v>
      </c>
      <c r="AE40" s="192" t="str">
        <f>IF(AND($C40&lt;&gt;"",$D40&lt;&gt;""),(VLOOKUP($C40,'V-LOOKUP'!$C$61:$M$120,9,FALSE)),"0")</f>
        <v>0</v>
      </c>
      <c r="AF40" s="192" t="str">
        <f>IF(AND($C40&lt;&gt;"",$D40&lt;&gt;""),(VLOOKUP($C40,'V-LOOKUP'!$C$61:$M$120,10,FALSE)),"0")</f>
        <v>0</v>
      </c>
      <c r="AG40" s="192" t="str">
        <f>IF(AND($C40&lt;&gt;"",$D40&lt;&gt;""),(VLOOKUP($C40,'V-LOOKUP'!$C$61:$M$120,11,FALSE)),"0")</f>
        <v>0</v>
      </c>
      <c r="AH40" s="192" t="str">
        <f>IF(AND($C40&lt;&gt;"",$D40&lt;&gt;""),(VLOOKUP($C40,'V-LOOKUP'!$C$61:$N$120,12,FALSE)),"0")</f>
        <v>0</v>
      </c>
      <c r="AI40" s="192" t="str">
        <f>IF(AND($C40&lt;&gt;"",$E40&lt;&gt;""),(VLOOKUP($C40,'V-LOOKUP'!$C$61:$M$120,4,FALSE)),"0")</f>
        <v>0</v>
      </c>
      <c r="AJ40" s="192" t="str">
        <f>IF(AND($C40&lt;&gt;"",$E40&lt;&gt;""),(VLOOKUP($C40,'V-LOOKUP'!$C$61:$M$120,5,FALSE)),"0")</f>
        <v>0</v>
      </c>
      <c r="AK40" s="192" t="str">
        <f>IF(AND($C40&lt;&gt;"",$E40&lt;&gt;""),(VLOOKUP($C40,'V-LOOKUP'!$C$61:$M$120,6,FALSE)),"0")</f>
        <v>0</v>
      </c>
      <c r="AL40" s="192" t="str">
        <f>IF(AND($C40&lt;&gt;"",$E40&lt;&gt;""),(VLOOKUP($C40,'V-LOOKUP'!$C$61:$M$120,7,FALSE)),"0")</f>
        <v>0</v>
      </c>
      <c r="AM40" s="192" t="str">
        <f>IF(AND($C40&lt;&gt;"",$E40&lt;&gt;""),(VLOOKUP($C40,'V-LOOKUP'!$C$61:$M$120,8,FALSE)),"0")</f>
        <v>0</v>
      </c>
      <c r="AN40" s="192" t="str">
        <f>IF(AND($C40&lt;&gt;"",$E40&lt;&gt;""),(VLOOKUP($C40,'V-LOOKUP'!$C$61:$M$120,9,FALSE)),"0")</f>
        <v>0</v>
      </c>
      <c r="AO40" s="192" t="str">
        <f>IF(AND($C40&lt;&gt;"",$E40&lt;&gt;""),(VLOOKUP($C40,'V-LOOKUP'!$C$61:$M$120,10,FALSE)),"0")</f>
        <v>0</v>
      </c>
      <c r="AP40" s="192" t="str">
        <f>IF(AND($C40&lt;&gt;"",$E40&lt;&gt;""),(VLOOKUP($C40,'V-LOOKUP'!$C$61:$M$120,11,FALSE)),"0")</f>
        <v>0</v>
      </c>
      <c r="AQ40" s="192" t="str">
        <f>IF(AND($C40&lt;&gt;"",$E40&lt;&gt;""),(VLOOKUP($C40,'V-LOOKUP'!$C$61:$N$120,12,FALSE)),"0")</f>
        <v>0</v>
      </c>
      <c r="AR40" s="192" t="str">
        <f>IF(AND($C40&lt;&gt;"",$F40&lt;&gt;""),(VLOOKUP($C40,'V-LOOKUP'!$C$61:$M$120,4,FALSE)),"0")</f>
        <v>0</v>
      </c>
      <c r="AS40" s="192" t="str">
        <f>IF(AND($C40&lt;&gt;"",$F40&lt;&gt;""),(VLOOKUP($C40,'V-LOOKUP'!$C$61:$M$120,5,FALSE)),"0")</f>
        <v>0</v>
      </c>
      <c r="AT40" s="192" t="str">
        <f>IF(AND($C40&lt;&gt;"",$F40&lt;&gt;""),(VLOOKUP($C40,'V-LOOKUP'!$C$61:$M$120,6,FALSE)),"0")</f>
        <v>0</v>
      </c>
      <c r="AU40" s="192" t="str">
        <f>IF(AND($C40&lt;&gt;"",$F40&lt;&gt;""),(VLOOKUP($C40,'V-LOOKUP'!$C$61:$M$120,7,FALSE)),"0")</f>
        <v>0</v>
      </c>
      <c r="AV40" s="192" t="str">
        <f>IF(AND($C40&lt;&gt;"",$F40&lt;&gt;""),(VLOOKUP($C40,'V-LOOKUP'!$C$61:$M$120,8,FALSE)),"0")</f>
        <v>0</v>
      </c>
      <c r="AW40" s="192" t="str">
        <f>IF(AND($C40&lt;&gt;"",$F40&lt;&gt;""),(VLOOKUP($C40,'V-LOOKUP'!$C$61:$M$120,9,FALSE)),"0")</f>
        <v>0</v>
      </c>
      <c r="AX40" s="192" t="str">
        <f>IF(AND($C40&lt;&gt;"",$F40&lt;&gt;""),(VLOOKUP($C40,'V-LOOKUP'!$C$61:$M$120,10,FALSE)),"0")</f>
        <v>0</v>
      </c>
      <c r="AY40" s="192" t="str">
        <f>IF(AND($C40&lt;&gt;"",$F40&lt;&gt;""),(VLOOKUP($C40,'V-LOOKUP'!$C$61:$M$120,11,FALSE)),"0")</f>
        <v>0</v>
      </c>
      <c r="AZ40" s="192" t="str">
        <f>IF(AND($C40&lt;&gt;"",$F40&lt;&gt;""),(VLOOKUP($C40,'V-LOOKUP'!$C$61:$N$120,12,FALSE)),"0")</f>
        <v>0</v>
      </c>
      <c r="BA40" s="192" t="str">
        <f>IF(AND($C40&lt;&gt;"",$G40&lt;&gt;""),(VLOOKUP($C40,'V-LOOKUP'!$C$61:$M$120,4,FALSE)),"0")</f>
        <v>0</v>
      </c>
      <c r="BB40" s="192" t="str">
        <f>IF(AND($C40&lt;&gt;"",$G40&lt;&gt;""),(VLOOKUP($C40,'V-LOOKUP'!$C$61:$M$120,5,FALSE)),"0")</f>
        <v>0</v>
      </c>
      <c r="BC40" s="192" t="str">
        <f>IF(AND($C40&lt;&gt;"",$G40&lt;&gt;""),(VLOOKUP($C40,'V-LOOKUP'!$C$61:$M$120,6,FALSE)),"0")</f>
        <v>0</v>
      </c>
      <c r="BD40" s="192" t="str">
        <f>IF(AND($C40&lt;&gt;"",$G40&lt;&gt;""),(VLOOKUP($C40,'V-LOOKUP'!$C$61:$M$120,7,FALSE)),"0")</f>
        <v>0</v>
      </c>
      <c r="BE40" s="192" t="str">
        <f>IF(AND($C40&lt;&gt;"",$G40&lt;&gt;""),(VLOOKUP($C40,'V-LOOKUP'!$C$61:$M$120,8,FALSE)),"0")</f>
        <v>0</v>
      </c>
      <c r="BF40" s="192" t="str">
        <f>IF(AND($C40&lt;&gt;"",$G40&lt;&gt;""),(VLOOKUP($C40,'V-LOOKUP'!$C$61:$M$120,9,FALSE)),"0")</f>
        <v>0</v>
      </c>
      <c r="BG40" s="192" t="str">
        <f>IF(AND($C40&lt;&gt;"",$G40&lt;&gt;""),(VLOOKUP($C40,'V-LOOKUP'!$C$61:$M$120,10,FALSE)),"0")</f>
        <v>0</v>
      </c>
      <c r="BH40" s="192" t="str">
        <f>IF(AND($C40&lt;&gt;"",$G40&lt;&gt;""),(VLOOKUP($C40,'V-LOOKUP'!$C$61:$M$120,11,FALSE)),"0")</f>
        <v>0</v>
      </c>
      <c r="BI40" s="192" t="str">
        <f>IF(AND($C40&lt;&gt;"",$G40&lt;&gt;""),(VLOOKUP($C40,'V-LOOKUP'!$C$61:$N$120,12,FALSE)),"0")</f>
        <v>0</v>
      </c>
      <c r="BJ40" s="192" t="str">
        <f>IF(AND($C40&lt;&gt;"",$H40&lt;&gt;""),(VLOOKUP($C40,'V-LOOKUP'!$C$61:$M$120,4,FALSE)),"0")</f>
        <v>0</v>
      </c>
      <c r="BK40" s="192" t="str">
        <f>IF(AND($C40&lt;&gt;"",$H40&lt;&gt;""),(VLOOKUP($C40,'V-LOOKUP'!$C$61:$M$120,5,FALSE)),"0")</f>
        <v>0</v>
      </c>
      <c r="BL40" s="192" t="str">
        <f>IF(AND($C40&lt;&gt;"",$H40&lt;&gt;""),(VLOOKUP($C40,'V-LOOKUP'!$C$61:$M$120,6,FALSE)),"0")</f>
        <v>0</v>
      </c>
      <c r="BM40" s="192" t="str">
        <f>IF(AND($C40&lt;&gt;"",$H40&lt;&gt;""),(VLOOKUP($C40,'V-LOOKUP'!$C$61:$M$120,7,FALSE)),"0")</f>
        <v>0</v>
      </c>
      <c r="BN40" s="192" t="str">
        <f>IF(AND($C40&lt;&gt;"",$H40&lt;&gt;""),(VLOOKUP($C40,'V-LOOKUP'!$C$61:$M$120,8,FALSE)),"0")</f>
        <v>0</v>
      </c>
      <c r="BO40" s="192" t="str">
        <f>IF(AND($C40&lt;&gt;"",$H40&lt;&gt;""),(VLOOKUP($C40,'V-LOOKUP'!$C$61:$M$120,9,FALSE)),"0")</f>
        <v>0</v>
      </c>
      <c r="BP40" s="192" t="str">
        <f>IF(AND($C40&lt;&gt;"",$H40&lt;&gt;""),(VLOOKUP($C40,'V-LOOKUP'!$C$61:$M$120,10,FALSE)),"0")</f>
        <v>0</v>
      </c>
      <c r="BQ40" s="192" t="str">
        <f>IF(AND($C40&lt;&gt;"",$H40&lt;&gt;""),(VLOOKUP($C40,'V-LOOKUP'!$C$61:$M$120,11,FALSE)),"0")</f>
        <v>0</v>
      </c>
      <c r="BR40" s="192" t="str">
        <f>IF(AND($C40&lt;&gt;"",$H40&lt;&gt;""),(VLOOKUP($C40,'V-LOOKUP'!$C$61:$N$120,12,FALSE)),"0")</f>
        <v>0</v>
      </c>
      <c r="BS40" s="192" t="str">
        <f>IF(AND($C40&lt;&gt;"",$I40&lt;&gt;""),(VLOOKUP($C40,'V-LOOKUP'!$C$61:$M$120,4,FALSE)),"0")</f>
        <v>0</v>
      </c>
      <c r="BT40" s="192" t="str">
        <f>IF(AND($C40&lt;&gt;"",$I40&lt;&gt;""),(VLOOKUP($C40,'V-LOOKUP'!$C$61:$M$120,5,FALSE)),"0")</f>
        <v>0</v>
      </c>
      <c r="BU40" s="192" t="str">
        <f>IF(AND($C40&lt;&gt;"",$I40&lt;&gt;""),(VLOOKUP($C40,'V-LOOKUP'!$C$61:$M$120,6,FALSE)),"0")</f>
        <v>0</v>
      </c>
      <c r="BV40" s="192" t="str">
        <f>IF(AND($C40&lt;&gt;"",$I40&lt;&gt;""),(VLOOKUP($C40,'V-LOOKUP'!$C$61:$M$120,7,FALSE)),"0")</f>
        <v>0</v>
      </c>
      <c r="BW40" s="192" t="str">
        <f>IF(AND($C40&lt;&gt;"",$I40&lt;&gt;""),(VLOOKUP($C40,'V-LOOKUP'!$C$61:$M$120,8,FALSE)),"0")</f>
        <v>0</v>
      </c>
      <c r="BX40" s="192" t="str">
        <f>IF(AND($C40&lt;&gt;"",$I40&lt;&gt;""),(VLOOKUP($C40,'V-LOOKUP'!$C$61:$M$120,9,FALSE)),"0")</f>
        <v>0</v>
      </c>
      <c r="BY40" s="192" t="str">
        <f>IF(AND($C40&lt;&gt;"",$I40&lt;&gt;""),(VLOOKUP($C40,'V-LOOKUP'!$C$61:$M$120,10,FALSE)),"0")</f>
        <v>0</v>
      </c>
      <c r="BZ40" s="192" t="str">
        <f>IF(AND($C40&lt;&gt;"",$I40&lt;&gt;""),(VLOOKUP($C40,'V-LOOKUP'!$C$61:$M$120,11,FALSE)),"0")</f>
        <v>0</v>
      </c>
      <c r="CA40" s="192" t="str">
        <f>IF(AND($C40&lt;&gt;"",$I40&lt;&gt;""),(VLOOKUP($C40,'V-LOOKUP'!$C$61:$N$120,12,FALSE)),"0")</f>
        <v>0</v>
      </c>
      <c r="CB40" s="192" t="str">
        <f>IF(AND($C40&lt;&gt;"",$J40&lt;&gt;""),(VLOOKUP($C40,'V-LOOKUP'!$C$61:$M$120,4,FALSE)),"0")</f>
        <v>0</v>
      </c>
      <c r="CC40" s="192" t="str">
        <f>IF(AND($C40&lt;&gt;"",$J40&lt;&gt;""),(VLOOKUP($C40,'V-LOOKUP'!$C$61:$M$120,5,FALSE)),"0")</f>
        <v>0</v>
      </c>
      <c r="CD40" s="192" t="str">
        <f>IF(AND($C40&lt;&gt;"",$J40&lt;&gt;""),(VLOOKUP($C40,'V-LOOKUP'!$C$61:$M$120,6,FALSE)),"0")</f>
        <v>0</v>
      </c>
      <c r="CE40" s="192" t="str">
        <f>IF(AND($C40&lt;&gt;"",$J40&lt;&gt;""),(VLOOKUP($C40,'V-LOOKUP'!$C$61:$M$120,7,FALSE)),"0")</f>
        <v>0</v>
      </c>
      <c r="CF40" s="192" t="str">
        <f>IF(AND($C40&lt;&gt;"",$J40&lt;&gt;""),(VLOOKUP($C40,'V-LOOKUP'!$C$61:$M$120,8,FALSE)),"0")</f>
        <v>0</v>
      </c>
      <c r="CG40" s="192" t="str">
        <f>IF(AND($C40&lt;&gt;"",$J40&lt;&gt;""),(VLOOKUP($C40,'V-LOOKUP'!$C$61:$M$120,9,FALSE)),"0")</f>
        <v>0</v>
      </c>
      <c r="CH40" s="192" t="str">
        <f>IF(AND($C40&lt;&gt;"",$J40&lt;&gt;""),(VLOOKUP($C40,'V-LOOKUP'!$C$61:$M$120,10,FALSE)),"0")</f>
        <v>0</v>
      </c>
      <c r="CI40" s="192" t="str">
        <f>IF(AND($C40&lt;&gt;"",$J40&lt;&gt;""),(VLOOKUP($C40,'V-LOOKUP'!$C$61:$M$120,11,FALSE)),"0")</f>
        <v>0</v>
      </c>
      <c r="CJ40" s="192" t="str">
        <f>IF(AND($C40&lt;&gt;"",$J40&lt;&gt;""),(VLOOKUP($C40,'V-LOOKUP'!$C$61:$N$120,12,FALSE)),"0")</f>
        <v>0</v>
      </c>
      <c r="CK40" s="192" t="str">
        <f>IF(AND($C40&lt;&gt;"",$K40&lt;&gt;""),(VLOOKUP($C40,'V-LOOKUP'!$C$61:$M$120,4,FALSE)),"0")</f>
        <v>0</v>
      </c>
      <c r="CL40" s="192" t="str">
        <f>IF(AND($C40&lt;&gt;"",$K40&lt;&gt;""),(VLOOKUP($C40,'V-LOOKUP'!$C$61:$M$120,5,FALSE)),"0")</f>
        <v>0</v>
      </c>
      <c r="CM40" s="192" t="str">
        <f>IF(AND($C40&lt;&gt;"",$K40&lt;&gt;""),(VLOOKUP($C40,'V-LOOKUP'!$C$61:$M$120,6,FALSE)),"0")</f>
        <v>0</v>
      </c>
      <c r="CN40" s="192" t="str">
        <f>IF(AND($C40&lt;&gt;"",$K40&lt;&gt;""),(VLOOKUP($C40,'V-LOOKUP'!$C$61:$M$120,7,FALSE)),"0")</f>
        <v>0</v>
      </c>
      <c r="CO40" s="192" t="str">
        <f>IF(AND($C40&lt;&gt;"",$K40&lt;&gt;""),(VLOOKUP($C40,'V-LOOKUP'!$C$61:$M$120,8,FALSE)),"0")</f>
        <v>0</v>
      </c>
      <c r="CP40" s="192" t="str">
        <f>IF(AND($C40&lt;&gt;"",$K40&lt;&gt;""),(VLOOKUP($C40,'V-LOOKUP'!$C$61:$M$120,9,FALSE)),"0")</f>
        <v>0</v>
      </c>
      <c r="CQ40" s="192" t="str">
        <f>IF(AND($C40&lt;&gt;"",$K40&lt;&gt;""),(VLOOKUP($C40,'V-LOOKUP'!$C$61:$M$120,10,FALSE)),"0")</f>
        <v>0</v>
      </c>
      <c r="CR40" s="192" t="str">
        <f>IF(AND($C40&lt;&gt;"",$K40&lt;&gt;""),(VLOOKUP($C40,'V-LOOKUP'!$C$61:$M$120,11,FALSE)),"0")</f>
        <v>0</v>
      </c>
      <c r="CS40" s="192" t="str">
        <f>IF(AND($C40&lt;&gt;"",$K40&lt;&gt;""),(VLOOKUP($C40,'V-LOOKUP'!$C$61:$N$120,12,FALSE)),"0")</f>
        <v>0</v>
      </c>
      <c r="CT40" s="192" t="str">
        <f>IF(AND($C40&lt;&gt;"",$L40&lt;&gt;""),(VLOOKUP($C40,'V-LOOKUP'!$C$61:$M$120,4,FALSE)),"0")</f>
        <v>0</v>
      </c>
      <c r="CU40" s="192" t="str">
        <f>IF(AND($C40&lt;&gt;"",$L40&lt;&gt;""),(VLOOKUP($C40,'V-LOOKUP'!$C$61:$M$120,5,FALSE)),"0")</f>
        <v>0</v>
      </c>
      <c r="CV40" s="192" t="str">
        <f>IF(AND($C40&lt;&gt;"",$L40&lt;&gt;""),(VLOOKUP($C40,'V-LOOKUP'!$C$61:$M$120,6,FALSE)),"0")</f>
        <v>0</v>
      </c>
      <c r="CW40" s="192" t="str">
        <f>IF(AND($C40&lt;&gt;"",$L40&lt;&gt;""),(VLOOKUP($C40,'V-LOOKUP'!$C$61:$M$120,7,FALSE)),"0")</f>
        <v>0</v>
      </c>
      <c r="CX40" s="192" t="str">
        <f>IF(AND($C40&lt;&gt;"",$L40&lt;&gt;""),(VLOOKUP($C40,'V-LOOKUP'!$C$61:$M$120,8,FALSE)),"0")</f>
        <v>0</v>
      </c>
      <c r="CY40" s="192" t="str">
        <f>IF(AND($C40&lt;&gt;"",$L40&lt;&gt;""),(VLOOKUP($C40,'V-LOOKUP'!$C$61:$M$120,9,FALSE)),"0")</f>
        <v>0</v>
      </c>
      <c r="CZ40" s="192" t="str">
        <f>IF(AND($C40&lt;&gt;"",$L40&lt;&gt;""),(VLOOKUP($C40,'V-LOOKUP'!$C$61:$M$120,10,FALSE)),"0")</f>
        <v>0</v>
      </c>
      <c r="DA40" s="192" t="str">
        <f>IF(AND($C40&lt;&gt;"",$L40&lt;&gt;""),(VLOOKUP($C40,'V-LOOKUP'!$C$61:$M$120,11,FALSE)),"0")</f>
        <v>0</v>
      </c>
      <c r="DB40" s="192" t="str">
        <f>IF(AND($C40&lt;&gt;"",$L40&lt;&gt;""),(VLOOKUP($C40,'V-LOOKUP'!$C$61:$N$120,12,FALSE)),"0")</f>
        <v>0</v>
      </c>
      <c r="DC40" s="192" t="str">
        <f>IF(AND($C40&lt;&gt;"",$M40&lt;&gt;""),(VLOOKUP($C40,'V-LOOKUP'!$C$61:$M$120,4,FALSE)),"0")</f>
        <v>0</v>
      </c>
      <c r="DD40" s="192" t="str">
        <f>IF(AND($C40&lt;&gt;"",$M40&lt;&gt;""),(VLOOKUP($C40,'V-LOOKUP'!$C$61:$M$120,5,FALSE)),"0")</f>
        <v>0</v>
      </c>
      <c r="DE40" s="192" t="str">
        <f>IF(AND($C40&lt;&gt;"",$M40&lt;&gt;""),(VLOOKUP($C40,'V-LOOKUP'!$C$61:$M$120,6,FALSE)),"0")</f>
        <v>0</v>
      </c>
      <c r="DF40" s="192" t="str">
        <f>IF(AND($C40&lt;&gt;"",$M40&lt;&gt;""),(VLOOKUP($C40,'V-LOOKUP'!$C$61:$M$120,7,FALSE)),"0")</f>
        <v>0</v>
      </c>
      <c r="DG40" s="192" t="str">
        <f>IF(AND($C40&lt;&gt;"",$M40&lt;&gt;""),(VLOOKUP($C40,'V-LOOKUP'!$C$61:$M$120,8,FALSE)),"0")</f>
        <v>0</v>
      </c>
      <c r="DH40" s="192" t="str">
        <f>IF(AND($C40&lt;&gt;"",$M40&lt;&gt;""),(VLOOKUP($C40,'V-LOOKUP'!$C$61:$M$120,9,FALSE)),"0")</f>
        <v>0</v>
      </c>
      <c r="DI40" s="192" t="str">
        <f>IF(AND($C40&lt;&gt;"",$M40&lt;&gt;""),(VLOOKUP($C40,'V-LOOKUP'!$C$61:$M$120,10,FALSE)),"0")</f>
        <v>0</v>
      </c>
      <c r="DJ40" s="192" t="str">
        <f>IF(AND($C40&lt;&gt;"",$M40&lt;&gt;""),(VLOOKUP($C40,'V-LOOKUP'!$C$61:$M$120,11,FALSE)),"0")</f>
        <v>0</v>
      </c>
      <c r="DK40" s="192" t="str">
        <f>IF(AND($C40&lt;&gt;"",$M40&lt;&gt;""),(VLOOKUP($C40,'V-LOOKUP'!$C$61:$N$120,12,FALSE)),"0")</f>
        <v>0</v>
      </c>
      <c r="DL40" s="192" t="str">
        <f>IF(AND($C40&lt;&gt;"",$N40&lt;&gt;""),(VLOOKUP($C40,'V-LOOKUP'!$C$61:$M$120,4,FALSE)),"0")</f>
        <v>0</v>
      </c>
      <c r="DM40" s="192" t="str">
        <f>IF(AND($C40&lt;&gt;"",$N40&lt;&gt;""),(VLOOKUP($C40,'V-LOOKUP'!$C$61:$M$120,5,FALSE)),"0")</f>
        <v>0</v>
      </c>
      <c r="DN40" s="192" t="str">
        <f>IF(AND($C40&lt;&gt;"",$N40&lt;&gt;""),(VLOOKUP($C40,'V-LOOKUP'!$C$61:$M$120,6,FALSE)),"0")</f>
        <v>0</v>
      </c>
      <c r="DO40" s="192" t="str">
        <f>IF(AND($C40&lt;&gt;"",$N40&lt;&gt;""),(VLOOKUP($C40,'V-LOOKUP'!$C$61:$M$120,7,FALSE)),"0")</f>
        <v>0</v>
      </c>
      <c r="DP40" s="192" t="str">
        <f>IF(AND($C40&lt;&gt;"",$N40&lt;&gt;""),(VLOOKUP($C40,'V-LOOKUP'!$C$61:$M$120,8,FALSE)),"0")</f>
        <v>0</v>
      </c>
      <c r="DQ40" s="192" t="str">
        <f>IF(AND($C40&lt;&gt;"",$N40&lt;&gt;""),(VLOOKUP($C40,'V-LOOKUP'!$C$61:$M$120,9,FALSE)),"0")</f>
        <v>0</v>
      </c>
      <c r="DR40" s="192" t="str">
        <f>IF(AND($C40&lt;&gt;"",$N40&lt;&gt;""),(VLOOKUP($C40,'V-LOOKUP'!$C$61:$M$120,10,FALSE)),"0")</f>
        <v>0</v>
      </c>
      <c r="DS40" s="192" t="str">
        <f>IF(AND($C40&lt;&gt;"",$N40&lt;&gt;""),(VLOOKUP($C40,'V-LOOKUP'!$C$61:$M$120,11,FALSE)),"0")</f>
        <v>0</v>
      </c>
      <c r="DT40" s="192" t="str">
        <f>IF(AND($C40&lt;&gt;"",$N40&lt;&gt;""),(VLOOKUP($C40,'V-LOOKUP'!$C$61:$N$120,12,FALSE)),"0")</f>
        <v>0</v>
      </c>
      <c r="DU40" s="192" t="str">
        <f>IF(AND($C40&lt;&gt;"",$O40&lt;&gt;""),(VLOOKUP($C40,'V-LOOKUP'!$C$61:$M$120,4,FALSE)),"0")</f>
        <v>0</v>
      </c>
      <c r="DV40" s="192" t="str">
        <f>IF(AND($C40&lt;&gt;"",$O40&lt;&gt;""),(VLOOKUP($C40,'V-LOOKUP'!$C$61:$M$120,5,FALSE)),"0")</f>
        <v>0</v>
      </c>
      <c r="DW40" s="192" t="str">
        <f>IF(AND($C40&lt;&gt;"",$O40&lt;&gt;""),(VLOOKUP($C40,'V-LOOKUP'!$C$61:$M$120,6,FALSE)),"0")</f>
        <v>0</v>
      </c>
      <c r="DX40" s="192" t="str">
        <f>IF(AND($C40&lt;&gt;"",$O40&lt;&gt;""),(VLOOKUP($C40,'V-LOOKUP'!$C$61:$M$120,7,FALSE)),"0")</f>
        <v>0</v>
      </c>
      <c r="DY40" s="192" t="str">
        <f>IF(AND($C40&lt;&gt;"",$O40&lt;&gt;""),(VLOOKUP($C40,'V-LOOKUP'!$C$61:$M$120,8,FALSE)),"0")</f>
        <v>0</v>
      </c>
      <c r="DZ40" s="192" t="str">
        <f>IF(AND($C40&lt;&gt;"",$O40&lt;&gt;""),(VLOOKUP($C40,'V-LOOKUP'!$C$61:$M$120,9,FALSE)),"0")</f>
        <v>0</v>
      </c>
      <c r="EA40" s="192" t="str">
        <f>IF(AND($C40&lt;&gt;"",$O40&lt;&gt;""),(VLOOKUP($C40,'V-LOOKUP'!$C$61:$M$120,10,FALSE)),"0")</f>
        <v>0</v>
      </c>
      <c r="EB40" s="192" t="str">
        <f>IF(AND($C40&lt;&gt;"",$O40&lt;&gt;""),(VLOOKUP($C40,'V-LOOKUP'!$C$61:$M$120,11,FALSE)),"0")</f>
        <v>0</v>
      </c>
      <c r="EC40" s="192" t="str">
        <f>IF(AND($C40&lt;&gt;"",$O40&lt;&gt;""),(VLOOKUP($C40,'V-LOOKUP'!$C$61:$N$120,12,FALSE)),"0")</f>
        <v>0</v>
      </c>
      <c r="ED40" s="192" t="str">
        <f>IF(AND($C40&lt;&gt;"",$P40&lt;&gt;""),(VLOOKUP($C40,'V-LOOKUP'!$C$61:$M$120,4,FALSE)),"0")</f>
        <v>0</v>
      </c>
      <c r="EE40" s="192" t="str">
        <f>IF(AND($C40&lt;&gt;"",$P40&lt;&gt;""),(VLOOKUP($C40,'V-LOOKUP'!$C$61:$M$120,5,FALSE)),"0")</f>
        <v>0</v>
      </c>
      <c r="EF40" s="192" t="str">
        <f>IF(AND($C40&lt;&gt;"",$P40&lt;&gt;""),(VLOOKUP($C40,'V-LOOKUP'!$C$61:$M$120,6,FALSE)),"0")</f>
        <v>0</v>
      </c>
      <c r="EG40" s="192" t="str">
        <f>IF(AND($C40&lt;&gt;"",$P40&lt;&gt;""),(VLOOKUP($C40,'V-LOOKUP'!$C$61:$M$120,7,FALSE)),"0")</f>
        <v>0</v>
      </c>
      <c r="EH40" s="192" t="str">
        <f>IF(AND($C40&lt;&gt;"",$P40&lt;&gt;""),(VLOOKUP($C40,'V-LOOKUP'!$C$61:$M$120,8,FALSE)),"0")</f>
        <v>0</v>
      </c>
      <c r="EI40" s="192" t="str">
        <f>IF(AND($C40&lt;&gt;"",$P40&lt;&gt;""),(VLOOKUP($C40,'V-LOOKUP'!$C$61:$M$120,9,FALSE)),"0")</f>
        <v>0</v>
      </c>
      <c r="EJ40" s="192" t="str">
        <f>IF(AND($C40&lt;&gt;"",$P40&lt;&gt;""),(VLOOKUP($C40,'V-LOOKUP'!$C$61:$M$120,10,FALSE)),"0")</f>
        <v>0</v>
      </c>
      <c r="EK40" s="192" t="str">
        <f>IF(AND($C40&lt;&gt;"",$P40&lt;&gt;""),(VLOOKUP($C40,'V-LOOKUP'!$C$61:$M$120,11,FALSE)),"0")</f>
        <v>0</v>
      </c>
      <c r="EL40" s="192" t="str">
        <f>IF(AND($C40&lt;&gt;"",$P40&lt;&gt;""),(VLOOKUP($C40,'V-LOOKUP'!$C$61:$N$120,12,FALSE)),"0")</f>
        <v>0</v>
      </c>
      <c r="EM40" s="192" t="str">
        <f>IF(AND($C40&lt;&gt;"",$Q40&lt;&gt;""),(VLOOKUP($C40,'V-LOOKUP'!$C$61:$M$120,4,FALSE)),"0")</f>
        <v>0</v>
      </c>
      <c r="EN40" s="192" t="str">
        <f>IF(AND($C40&lt;&gt;"",$Q40&lt;&gt;""),(VLOOKUP($C40,'V-LOOKUP'!$C$61:$M$120,5,FALSE)),"0")</f>
        <v>0</v>
      </c>
      <c r="EO40" s="192" t="str">
        <f>IF(AND($C40&lt;&gt;"",$Q40&lt;&gt;""),(VLOOKUP($C40,'V-LOOKUP'!$C$61:$M$120,6,FALSE)),"0")</f>
        <v>0</v>
      </c>
      <c r="EP40" s="192" t="str">
        <f>IF(AND($C40&lt;&gt;"",$Q40&lt;&gt;""),(VLOOKUP($C40,'V-LOOKUP'!$C$61:$M$120,7,FALSE)),"0")</f>
        <v>0</v>
      </c>
      <c r="EQ40" s="192" t="str">
        <f>IF(AND($C40&lt;&gt;"",$Q40&lt;&gt;""),(VLOOKUP($C40,'V-LOOKUP'!$C$61:$M$120,8,FALSE)),"0")</f>
        <v>0</v>
      </c>
      <c r="ER40" s="192" t="str">
        <f>IF(AND($C40&lt;&gt;"",$Q40&lt;&gt;""),(VLOOKUP($C40,'V-LOOKUP'!$C$61:$M$120,9,FALSE)),"0")</f>
        <v>0</v>
      </c>
      <c r="ES40" s="192" t="str">
        <f>IF(AND($C40&lt;&gt;"",$Q40&lt;&gt;""),(VLOOKUP($C40,'V-LOOKUP'!$C$61:$M$120,10,FALSE)),"0")</f>
        <v>0</v>
      </c>
      <c r="ET40" s="192" t="str">
        <f>IF(AND($C40&lt;&gt;"",$Q40&lt;&gt;""),(VLOOKUP($C40,'V-LOOKUP'!$C$61:$M$120,11,FALSE)),"0")</f>
        <v>0</v>
      </c>
      <c r="EU40" s="192" t="str">
        <f>IF(AND($C40&lt;&gt;"",$Q40&lt;&gt;""),(VLOOKUP($C40,'V-LOOKUP'!$C$61:$N$120,12,FALSE)),"0")</f>
        <v>0</v>
      </c>
      <c r="EV40" s="192" t="str">
        <f>IF(AND($C40&lt;&gt;"",$R40&lt;&gt;""),(VLOOKUP($C40,'V-LOOKUP'!$C$61:$M$120,4,FALSE)),"0")</f>
        <v>0</v>
      </c>
      <c r="EW40" s="192" t="str">
        <f>IF(AND($C40&lt;&gt;"",$R40&lt;&gt;""),(VLOOKUP($C40,'V-LOOKUP'!$C$61:$M$120,5,FALSE)),"0")</f>
        <v>0</v>
      </c>
      <c r="EX40" s="192" t="str">
        <f>IF(AND($C40&lt;&gt;"",$R40&lt;&gt;""),(VLOOKUP($C40,'V-LOOKUP'!$C$61:$M$120,6,FALSE)),"0")</f>
        <v>0</v>
      </c>
      <c r="EY40" s="192" t="str">
        <f>IF(AND($C40&lt;&gt;"",$R40&lt;&gt;""),(VLOOKUP($C40,'V-LOOKUP'!$C$61:$M$120,7,FALSE)),"0")</f>
        <v>0</v>
      </c>
      <c r="EZ40" s="192" t="str">
        <f>IF(AND($C40&lt;&gt;"",$R40&lt;&gt;""),(VLOOKUP($C40,'V-LOOKUP'!$C$61:$M$120,8,FALSE)),"0")</f>
        <v>0</v>
      </c>
      <c r="FA40" s="192" t="str">
        <f>IF(AND($C40&lt;&gt;"",$R40&lt;&gt;""),(VLOOKUP($C40,'V-LOOKUP'!$C$61:$M$120,9,FALSE)),"0")</f>
        <v>0</v>
      </c>
      <c r="FB40" s="192" t="str">
        <f>IF(AND($C40&lt;&gt;"",$R40&lt;&gt;""),(VLOOKUP($C40,'V-LOOKUP'!$C$61:$M$120,10,FALSE)),"0")</f>
        <v>0</v>
      </c>
      <c r="FC40" s="192" t="str">
        <f>IF(AND($C40&lt;&gt;"",$R40&lt;&gt;""),(VLOOKUP($C40,'V-LOOKUP'!$C$61:$M$120,11,FALSE)),"0")</f>
        <v>0</v>
      </c>
      <c r="FD40" s="192" t="str">
        <f>IF(AND($C40&lt;&gt;"",$R40&lt;&gt;""),(VLOOKUP($C40,'V-LOOKUP'!$C$61:$N$120,12,FALSE)),"0")</f>
        <v>0</v>
      </c>
      <c r="FE40" s="192" t="str">
        <f>IF(AND($C40&lt;&gt;"",$S40&lt;&gt;""),(VLOOKUP($C40,'V-LOOKUP'!$C$61:$M$120,4,FALSE)),"0")</f>
        <v>0</v>
      </c>
      <c r="FF40" s="192" t="str">
        <f>IF(AND($C40&lt;&gt;"",$S40&lt;&gt;""),(VLOOKUP($C40,'V-LOOKUP'!$C$61:$M$120,5,FALSE)),"0")</f>
        <v>0</v>
      </c>
      <c r="FG40" s="192" t="str">
        <f>IF(AND($C40&lt;&gt;"",$S40&lt;&gt;""),(VLOOKUP($C40,'V-LOOKUP'!$C$61:$M$120,6,FALSE)),"0")</f>
        <v>0</v>
      </c>
      <c r="FH40" s="192" t="str">
        <f>IF(AND($C40&lt;&gt;"",$S40&lt;&gt;""),(VLOOKUP($C40,'V-LOOKUP'!$C$61:$M$120,7,FALSE)),"0")</f>
        <v>0</v>
      </c>
      <c r="FI40" s="192" t="str">
        <f>IF(AND($C40&lt;&gt;"",$S40&lt;&gt;""),(VLOOKUP($C40,'V-LOOKUP'!$C$61:$M$120,8,FALSE)),"0")</f>
        <v>0</v>
      </c>
      <c r="FJ40" s="192" t="str">
        <f>IF(AND($C40&lt;&gt;"",$S40&lt;&gt;""),(VLOOKUP($C40,'V-LOOKUP'!$C$61:$M$120,9,FALSE)),"0")</f>
        <v>0</v>
      </c>
      <c r="FK40" s="192" t="str">
        <f>IF(AND($C40&lt;&gt;"",$S40&lt;&gt;""),(VLOOKUP($C40,'V-LOOKUP'!$C$61:$M$120,10,FALSE)),"0")</f>
        <v>0</v>
      </c>
      <c r="FL40" s="192" t="str">
        <f>IF(AND($C40&lt;&gt;"",$S40&lt;&gt;""),(VLOOKUP($C40,'V-LOOKUP'!$C$61:$M$120,11,FALSE)),"0")</f>
        <v>0</v>
      </c>
      <c r="FM40" s="192" t="str">
        <f>IF(AND($C40&lt;&gt;"",$S40&lt;&gt;""),(VLOOKUP($C40,'V-LOOKUP'!$C$61:$N$120,12,FALSE)),"0")</f>
        <v>0</v>
      </c>
      <c r="FN40" s="192" t="str">
        <f>IF(AND($C40&lt;&gt;"",$T40&lt;&gt;""),(VLOOKUP($C40,'V-LOOKUP'!$C$61:$M$120,4,FALSE)),"0")</f>
        <v>0</v>
      </c>
      <c r="FO40" s="192" t="str">
        <f>IF(AND($C40&lt;&gt;"",$T40&lt;&gt;""),(VLOOKUP($C40,'V-LOOKUP'!$C$61:$M$120,5,FALSE)),"0")</f>
        <v>0</v>
      </c>
      <c r="FP40" s="192" t="str">
        <f>IF(AND($C40&lt;&gt;"",$T40&lt;&gt;""),(VLOOKUP($C40,'V-LOOKUP'!$C$61:$M$120,6,FALSE)),"0")</f>
        <v>0</v>
      </c>
      <c r="FQ40" s="192" t="str">
        <f>IF(AND($C40&lt;&gt;"",$T40&lt;&gt;""),(VLOOKUP($C40,'V-LOOKUP'!$C$61:$M$120,7,FALSE)),"0")</f>
        <v>0</v>
      </c>
      <c r="FR40" s="192" t="str">
        <f>IF(AND($C40&lt;&gt;"",$T40&lt;&gt;""),(VLOOKUP($C40,'V-LOOKUP'!$C$61:$M$120,8,FALSE)),"0")</f>
        <v>0</v>
      </c>
      <c r="FS40" s="192" t="str">
        <f>IF(AND($C40&lt;&gt;"",$T40&lt;&gt;""),(VLOOKUP($C40,'V-LOOKUP'!$C$61:$M$120,9,FALSE)),"0")</f>
        <v>0</v>
      </c>
      <c r="FT40" s="192" t="str">
        <f>IF(AND($C40&lt;&gt;"",$T40&lt;&gt;""),(VLOOKUP($C40,'V-LOOKUP'!$C$61:$M$120,10,FALSE)),"0")</f>
        <v>0</v>
      </c>
      <c r="FU40" s="192" t="str">
        <f>IF(AND($C40&lt;&gt;"",$T40&lt;&gt;""),(VLOOKUP($C40,'V-LOOKUP'!$C$61:$M$120,11,FALSE)),"0")</f>
        <v>0</v>
      </c>
      <c r="FV40" s="192" t="str">
        <f>IF(AND($C40&lt;&gt;"",$T40&lt;&gt;""),(VLOOKUP($C40,'V-LOOKUP'!$C$61:$N$120,12,FALSE)),"0")</f>
        <v>0</v>
      </c>
      <c r="FW40" s="192" t="str">
        <f>IF(AND($C40&lt;&gt;"",$U40&lt;&gt;""),(VLOOKUP($C40,'V-LOOKUP'!$C$61:$M$120,4,FALSE)),"0")</f>
        <v>0</v>
      </c>
      <c r="FX40" s="192" t="str">
        <f>IF(AND($C40&lt;&gt;"",$U40&lt;&gt;""),(VLOOKUP($C40,'V-LOOKUP'!$C$61:$M$120,5,FALSE)),"0")</f>
        <v>0</v>
      </c>
      <c r="FY40" s="192" t="str">
        <f>IF(AND($C40&lt;&gt;"",$U40&lt;&gt;""),(VLOOKUP($C40,'V-LOOKUP'!$C$61:$M$120,6,FALSE)),"0")</f>
        <v>0</v>
      </c>
      <c r="FZ40" s="192" t="str">
        <f>IF(AND($C40&lt;&gt;"",$U40&lt;&gt;""),(VLOOKUP($C40,'V-LOOKUP'!$C$61:$M$120,7,FALSE)),"0")</f>
        <v>0</v>
      </c>
      <c r="GA40" s="192" t="str">
        <f>IF(AND($C40&lt;&gt;"",$U40&lt;&gt;""),(VLOOKUP($C40,'V-LOOKUP'!$C$61:$M$120,8,FALSE)),"0")</f>
        <v>0</v>
      </c>
      <c r="GB40" s="192" t="str">
        <f>IF(AND($C40&lt;&gt;"",$U40&lt;&gt;""),(VLOOKUP($C40,'V-LOOKUP'!$C$61:$M$120,9,FALSE)),"0")</f>
        <v>0</v>
      </c>
      <c r="GC40" s="192" t="str">
        <f>IF(AND($C40&lt;&gt;"",$U40&lt;&gt;""),(VLOOKUP($C40,'V-LOOKUP'!$C$61:$M$120,10,FALSE)),"0")</f>
        <v>0</v>
      </c>
      <c r="GD40" s="192" t="str">
        <f>IF(AND($C40&lt;&gt;"",$U40&lt;&gt;""),(VLOOKUP($C40,'V-LOOKUP'!$C$61:$M$120,11,FALSE)),"0")</f>
        <v>0</v>
      </c>
      <c r="GE40" s="192" t="str">
        <f>IF(AND($C40&lt;&gt;"",$U40&lt;&gt;""),(VLOOKUP($C40,'V-LOOKUP'!$C$61:$N$120,12,FALSE)),"0")</f>
        <v>0</v>
      </c>
      <c r="GF40" s="192" t="str">
        <f>IF(AND($C40&lt;&gt;"",$V40&lt;&gt;""),(VLOOKUP($C40,'V-LOOKUP'!$C$61:$M$120,4,FALSE)),"0")</f>
        <v>0</v>
      </c>
      <c r="GG40" s="192" t="str">
        <f>IF(AND($C40&lt;&gt;"",V40&lt;&gt;""),(VLOOKUP($C40,'V-LOOKUP'!$C$61:$M$120,5,FALSE)),"0")</f>
        <v>0</v>
      </c>
      <c r="GH40" s="192" t="str">
        <f>IF(AND($C40&lt;&gt;"",$V40&lt;&gt;""),(VLOOKUP($C40,'V-LOOKUP'!$C$61:$M$120,6,FALSE)),"0")</f>
        <v>0</v>
      </c>
      <c r="GI40" s="192" t="str">
        <f>IF(AND($C40&lt;&gt;"",$V40&lt;&gt;""),(VLOOKUP($C40,'V-LOOKUP'!$C$61:$M$120,7,FALSE)),"0")</f>
        <v>0</v>
      </c>
      <c r="GJ40" s="192" t="str">
        <f>IF(AND($C40&lt;&gt;"",$V40&lt;&gt;""),(VLOOKUP($C40,'V-LOOKUP'!$C$61:$M$120,8,FALSE)),"0")</f>
        <v>0</v>
      </c>
      <c r="GK40" s="192" t="str">
        <f>IF(AND($C40&lt;&gt;"",$V40&lt;&gt;""),(VLOOKUP($C40,'V-LOOKUP'!$C$61:$M$120,9,FALSE)),"0")</f>
        <v>0</v>
      </c>
      <c r="GL40" s="192" t="str">
        <f>IF(AND($C40&lt;&gt;"",$V40&lt;&gt;""),(VLOOKUP($C40,'V-LOOKUP'!$C$61:$M$120,10,FALSE)),"0")</f>
        <v>0</v>
      </c>
      <c r="GM40" s="192" t="str">
        <f>IF(AND($C40&lt;&gt;"",$V40&lt;&gt;""),(VLOOKUP($C40,'V-LOOKUP'!$C$61:$M$120,11,FALSE)),"0")</f>
        <v>0</v>
      </c>
      <c r="GN40" s="192" t="str">
        <f>IF(AND($C40&lt;&gt;"",$V40&lt;&gt;""),(VLOOKUP($C40,'V-LOOKUP'!$C$61:$N$120,12,FALSE)),"0")</f>
        <v>0</v>
      </c>
      <c r="GO40" s="192" t="str">
        <f>IF(AND($C40&lt;&gt;"",$W40&lt;&gt;""),(VLOOKUP($C40,'V-LOOKUP'!$C$61:$M$120,4,FALSE)),"0")</f>
        <v>0</v>
      </c>
      <c r="GP40" s="192" t="str">
        <f>IF(AND($C40&lt;&gt;"",$W40&lt;&gt;""),(VLOOKUP($C40,'V-LOOKUP'!$C$61:$M$120,5,FALSE)),"0")</f>
        <v>0</v>
      </c>
      <c r="GQ40" s="192" t="str">
        <f>IF(AND($C40&lt;&gt;"",$W40&lt;&gt;""),(VLOOKUP($C40,'V-LOOKUP'!$C$61:$M$120,6,FALSE)),"0")</f>
        <v>0</v>
      </c>
      <c r="GR40" s="192" t="str">
        <f>IF(AND($C40&lt;&gt;"",$W40&lt;&gt;""),(VLOOKUP($C40,'V-LOOKUP'!$C$61:$M$120,7,FALSE)),"0")</f>
        <v>0</v>
      </c>
      <c r="GS40" s="192" t="str">
        <f>IF(AND($C40&lt;&gt;"",$W40&lt;&gt;""),(VLOOKUP($C40,'V-LOOKUP'!$C$61:$M$120,8,FALSE)),"0")</f>
        <v>0</v>
      </c>
      <c r="GT40" s="192" t="str">
        <f>IF(AND($C40&lt;&gt;"",$W40&lt;&gt;""),(VLOOKUP($C40,'V-LOOKUP'!$C$61:$M$120,9,FALSE)),"0")</f>
        <v>0</v>
      </c>
      <c r="GU40" s="192" t="str">
        <f>IF(AND($C40&lt;&gt;"",$W40&lt;&gt;""),(VLOOKUP($C40,'V-LOOKUP'!$C$61:$M$120,10,FALSE)),"0")</f>
        <v>0</v>
      </c>
      <c r="GV40" s="192" t="str">
        <f>IF(AND($C40&lt;&gt;"",$W40&lt;&gt;""),(VLOOKUP($C40,'V-LOOKUP'!$C$61:$M$120,11,FALSE)),"0")</f>
        <v>0</v>
      </c>
      <c r="GW40" s="192" t="str">
        <f>IF(AND($C40&lt;&gt;"",$W40&lt;&gt;""),(VLOOKUP($C40,'V-LOOKUP'!$C$61:$N$120,12,FALSE)),"0")</f>
        <v>0</v>
      </c>
    </row>
    <row r="41" spans="1:205" ht="14.65" customHeight="1">
      <c r="A41" s="193"/>
      <c r="B41" s="245"/>
      <c r="C41" s="203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Y41" s="190"/>
      <c r="Z41" s="192" t="str">
        <f>IF(AND($C41&lt;&gt;"",$D41&lt;&gt;""),(VLOOKUP($C41,'V-LOOKUP'!$C$61:$M$120,4,FALSE)),"0")</f>
        <v>0</v>
      </c>
      <c r="AA41" s="192" t="str">
        <f>IF(AND($C41&lt;&gt;"",$D41&lt;&gt;""),(VLOOKUP($C41,'V-LOOKUP'!$C$61:$M$120,5,FALSE)),"0")</f>
        <v>0</v>
      </c>
      <c r="AB41" s="192" t="str">
        <f>IF(AND($C41&lt;&gt;"",$D41&lt;&gt;""),(VLOOKUP($C41,'V-LOOKUP'!$C$61:$M$120,6,FALSE)),"0")</f>
        <v>0</v>
      </c>
      <c r="AC41" s="192" t="str">
        <f>IF(AND($C41&lt;&gt;"",$D41&lt;&gt;""),(VLOOKUP($C41,'V-LOOKUP'!$C$61:$M$120,7,FALSE)),"0")</f>
        <v>0</v>
      </c>
      <c r="AD41" s="192" t="str">
        <f>IF(AND($C41&lt;&gt;"",$D41&lt;&gt;""),(VLOOKUP($C41,'V-LOOKUP'!$C$61:$M$120,8,FALSE)),"0")</f>
        <v>0</v>
      </c>
      <c r="AE41" s="192" t="str">
        <f>IF(AND($C41&lt;&gt;"",$D41&lt;&gt;""),(VLOOKUP($C41,'V-LOOKUP'!$C$61:$M$120,9,FALSE)),"0")</f>
        <v>0</v>
      </c>
      <c r="AF41" s="192" t="str">
        <f>IF(AND($C41&lt;&gt;"",$D41&lt;&gt;""),(VLOOKUP($C41,'V-LOOKUP'!$C$61:$M$120,10,FALSE)),"0")</f>
        <v>0</v>
      </c>
      <c r="AG41" s="192" t="str">
        <f>IF(AND($C41&lt;&gt;"",$D41&lt;&gt;""),(VLOOKUP($C41,'V-LOOKUP'!$C$61:$M$120,11,FALSE)),"0")</f>
        <v>0</v>
      </c>
      <c r="AH41" s="192" t="str">
        <f>IF(AND($C41&lt;&gt;"",$D41&lt;&gt;""),(VLOOKUP($C41,'V-LOOKUP'!$C$61:$N$120,12,FALSE)),"0")</f>
        <v>0</v>
      </c>
      <c r="AI41" s="192" t="str">
        <f>IF(AND($C41&lt;&gt;"",$E41&lt;&gt;""),(VLOOKUP($C41,'V-LOOKUP'!$C$61:$M$120,4,FALSE)),"0")</f>
        <v>0</v>
      </c>
      <c r="AJ41" s="192" t="str">
        <f>IF(AND($C41&lt;&gt;"",$E41&lt;&gt;""),(VLOOKUP($C41,'V-LOOKUP'!$C$61:$M$120,5,FALSE)),"0")</f>
        <v>0</v>
      </c>
      <c r="AK41" s="192" t="str">
        <f>IF(AND($C41&lt;&gt;"",$E41&lt;&gt;""),(VLOOKUP($C41,'V-LOOKUP'!$C$61:$M$120,6,FALSE)),"0")</f>
        <v>0</v>
      </c>
      <c r="AL41" s="192" t="str">
        <f>IF(AND($C41&lt;&gt;"",$E41&lt;&gt;""),(VLOOKUP($C41,'V-LOOKUP'!$C$61:$M$120,7,FALSE)),"0")</f>
        <v>0</v>
      </c>
      <c r="AM41" s="192" t="str">
        <f>IF(AND($C41&lt;&gt;"",$E41&lt;&gt;""),(VLOOKUP($C41,'V-LOOKUP'!$C$61:$M$120,8,FALSE)),"0")</f>
        <v>0</v>
      </c>
      <c r="AN41" s="192" t="str">
        <f>IF(AND($C41&lt;&gt;"",$E41&lt;&gt;""),(VLOOKUP($C41,'V-LOOKUP'!$C$61:$M$120,9,FALSE)),"0")</f>
        <v>0</v>
      </c>
      <c r="AO41" s="192" t="str">
        <f>IF(AND($C41&lt;&gt;"",$E41&lt;&gt;""),(VLOOKUP($C41,'V-LOOKUP'!$C$61:$M$120,10,FALSE)),"0")</f>
        <v>0</v>
      </c>
      <c r="AP41" s="192" t="str">
        <f>IF(AND($C41&lt;&gt;"",$E41&lt;&gt;""),(VLOOKUP($C41,'V-LOOKUP'!$C$61:$M$120,11,FALSE)),"0")</f>
        <v>0</v>
      </c>
      <c r="AQ41" s="192" t="str">
        <f>IF(AND($C41&lt;&gt;"",$E41&lt;&gt;""),(VLOOKUP($C41,'V-LOOKUP'!$C$61:$N$120,12,FALSE)),"0")</f>
        <v>0</v>
      </c>
      <c r="AR41" s="192" t="str">
        <f>IF(AND($C41&lt;&gt;"",$F41&lt;&gt;""),(VLOOKUP($C41,'V-LOOKUP'!$C$61:$M$120,4,FALSE)),"0")</f>
        <v>0</v>
      </c>
      <c r="AS41" s="192" t="str">
        <f>IF(AND($C41&lt;&gt;"",$F41&lt;&gt;""),(VLOOKUP($C41,'V-LOOKUP'!$C$61:$M$120,5,FALSE)),"0")</f>
        <v>0</v>
      </c>
      <c r="AT41" s="192" t="str">
        <f>IF(AND($C41&lt;&gt;"",$F41&lt;&gt;""),(VLOOKUP($C41,'V-LOOKUP'!$C$61:$M$120,6,FALSE)),"0")</f>
        <v>0</v>
      </c>
      <c r="AU41" s="192" t="str">
        <f>IF(AND($C41&lt;&gt;"",$F41&lt;&gt;""),(VLOOKUP($C41,'V-LOOKUP'!$C$61:$M$120,7,FALSE)),"0")</f>
        <v>0</v>
      </c>
      <c r="AV41" s="192" t="str">
        <f>IF(AND($C41&lt;&gt;"",$F41&lt;&gt;""),(VLOOKUP($C41,'V-LOOKUP'!$C$61:$M$120,8,FALSE)),"0")</f>
        <v>0</v>
      </c>
      <c r="AW41" s="192" t="str">
        <f>IF(AND($C41&lt;&gt;"",$F41&lt;&gt;""),(VLOOKUP($C41,'V-LOOKUP'!$C$61:$M$120,9,FALSE)),"0")</f>
        <v>0</v>
      </c>
      <c r="AX41" s="192" t="str">
        <f>IF(AND($C41&lt;&gt;"",$F41&lt;&gt;""),(VLOOKUP($C41,'V-LOOKUP'!$C$61:$M$120,10,FALSE)),"0")</f>
        <v>0</v>
      </c>
      <c r="AY41" s="192" t="str">
        <f>IF(AND($C41&lt;&gt;"",$F41&lt;&gt;""),(VLOOKUP($C41,'V-LOOKUP'!$C$61:$M$120,11,FALSE)),"0")</f>
        <v>0</v>
      </c>
      <c r="AZ41" s="192" t="str">
        <f>IF(AND($C41&lt;&gt;"",$F41&lt;&gt;""),(VLOOKUP($C41,'V-LOOKUP'!$C$61:$N$120,12,FALSE)),"0")</f>
        <v>0</v>
      </c>
      <c r="BA41" s="192" t="str">
        <f>IF(AND($C41&lt;&gt;"",$G41&lt;&gt;""),(VLOOKUP($C41,'V-LOOKUP'!$C$61:$M$120,4,FALSE)),"0")</f>
        <v>0</v>
      </c>
      <c r="BB41" s="192" t="str">
        <f>IF(AND($C41&lt;&gt;"",$G41&lt;&gt;""),(VLOOKUP($C41,'V-LOOKUP'!$C$61:$M$120,5,FALSE)),"0")</f>
        <v>0</v>
      </c>
      <c r="BC41" s="192" t="str">
        <f>IF(AND($C41&lt;&gt;"",$G41&lt;&gt;""),(VLOOKUP($C41,'V-LOOKUP'!$C$61:$M$120,6,FALSE)),"0")</f>
        <v>0</v>
      </c>
      <c r="BD41" s="192" t="str">
        <f>IF(AND($C41&lt;&gt;"",$G41&lt;&gt;""),(VLOOKUP($C41,'V-LOOKUP'!$C$61:$M$120,7,FALSE)),"0")</f>
        <v>0</v>
      </c>
      <c r="BE41" s="192" t="str">
        <f>IF(AND($C41&lt;&gt;"",$G41&lt;&gt;""),(VLOOKUP($C41,'V-LOOKUP'!$C$61:$M$120,8,FALSE)),"0")</f>
        <v>0</v>
      </c>
      <c r="BF41" s="192" t="str">
        <f>IF(AND($C41&lt;&gt;"",$G41&lt;&gt;""),(VLOOKUP($C41,'V-LOOKUP'!$C$61:$M$120,9,FALSE)),"0")</f>
        <v>0</v>
      </c>
      <c r="BG41" s="192" t="str">
        <f>IF(AND($C41&lt;&gt;"",$G41&lt;&gt;""),(VLOOKUP($C41,'V-LOOKUP'!$C$61:$M$120,10,FALSE)),"0")</f>
        <v>0</v>
      </c>
      <c r="BH41" s="192" t="str">
        <f>IF(AND($C41&lt;&gt;"",$G41&lt;&gt;""),(VLOOKUP($C41,'V-LOOKUP'!$C$61:$M$120,11,FALSE)),"0")</f>
        <v>0</v>
      </c>
      <c r="BI41" s="192" t="str">
        <f>IF(AND($C41&lt;&gt;"",$G41&lt;&gt;""),(VLOOKUP($C41,'V-LOOKUP'!$C$61:$N$120,12,FALSE)),"0")</f>
        <v>0</v>
      </c>
      <c r="BJ41" s="192" t="str">
        <f>IF(AND($C41&lt;&gt;"",$H41&lt;&gt;""),(VLOOKUP($C41,'V-LOOKUP'!$C$61:$M$120,4,FALSE)),"0")</f>
        <v>0</v>
      </c>
      <c r="BK41" s="192" t="str">
        <f>IF(AND($C41&lt;&gt;"",$H41&lt;&gt;""),(VLOOKUP($C41,'V-LOOKUP'!$C$61:$M$120,5,FALSE)),"0")</f>
        <v>0</v>
      </c>
      <c r="BL41" s="192" t="str">
        <f>IF(AND($C41&lt;&gt;"",$H41&lt;&gt;""),(VLOOKUP($C41,'V-LOOKUP'!$C$61:$M$120,6,FALSE)),"0")</f>
        <v>0</v>
      </c>
      <c r="BM41" s="192" t="str">
        <f>IF(AND($C41&lt;&gt;"",$H41&lt;&gt;""),(VLOOKUP($C41,'V-LOOKUP'!$C$61:$M$120,7,FALSE)),"0")</f>
        <v>0</v>
      </c>
      <c r="BN41" s="192" t="str">
        <f>IF(AND($C41&lt;&gt;"",$H41&lt;&gt;""),(VLOOKUP($C41,'V-LOOKUP'!$C$61:$M$120,8,FALSE)),"0")</f>
        <v>0</v>
      </c>
      <c r="BO41" s="192" t="str">
        <f>IF(AND($C41&lt;&gt;"",$H41&lt;&gt;""),(VLOOKUP($C41,'V-LOOKUP'!$C$61:$M$120,9,FALSE)),"0")</f>
        <v>0</v>
      </c>
      <c r="BP41" s="192" t="str">
        <f>IF(AND($C41&lt;&gt;"",$H41&lt;&gt;""),(VLOOKUP($C41,'V-LOOKUP'!$C$61:$M$120,10,FALSE)),"0")</f>
        <v>0</v>
      </c>
      <c r="BQ41" s="192" t="str">
        <f>IF(AND($C41&lt;&gt;"",$H41&lt;&gt;""),(VLOOKUP($C41,'V-LOOKUP'!$C$61:$M$120,11,FALSE)),"0")</f>
        <v>0</v>
      </c>
      <c r="BR41" s="192" t="str">
        <f>IF(AND($C41&lt;&gt;"",$H41&lt;&gt;""),(VLOOKUP($C41,'V-LOOKUP'!$C$61:$N$120,12,FALSE)),"0")</f>
        <v>0</v>
      </c>
      <c r="BS41" s="192" t="str">
        <f>IF(AND($C41&lt;&gt;"",$I41&lt;&gt;""),(VLOOKUP($C41,'V-LOOKUP'!$C$61:$M$120,4,FALSE)),"0")</f>
        <v>0</v>
      </c>
      <c r="BT41" s="192" t="str">
        <f>IF(AND($C41&lt;&gt;"",$I41&lt;&gt;""),(VLOOKUP($C41,'V-LOOKUP'!$C$61:$M$120,5,FALSE)),"0")</f>
        <v>0</v>
      </c>
      <c r="BU41" s="192" t="str">
        <f>IF(AND($C41&lt;&gt;"",$I41&lt;&gt;""),(VLOOKUP($C41,'V-LOOKUP'!$C$61:$M$120,6,FALSE)),"0")</f>
        <v>0</v>
      </c>
      <c r="BV41" s="192" t="str">
        <f>IF(AND($C41&lt;&gt;"",$I41&lt;&gt;""),(VLOOKUP($C41,'V-LOOKUP'!$C$61:$M$120,7,FALSE)),"0")</f>
        <v>0</v>
      </c>
      <c r="BW41" s="192" t="str">
        <f>IF(AND($C41&lt;&gt;"",$I41&lt;&gt;""),(VLOOKUP($C41,'V-LOOKUP'!$C$61:$M$120,8,FALSE)),"0")</f>
        <v>0</v>
      </c>
      <c r="BX41" s="192" t="str">
        <f>IF(AND($C41&lt;&gt;"",$I41&lt;&gt;""),(VLOOKUP($C41,'V-LOOKUP'!$C$61:$M$120,9,FALSE)),"0")</f>
        <v>0</v>
      </c>
      <c r="BY41" s="192" t="str">
        <f>IF(AND($C41&lt;&gt;"",$I41&lt;&gt;""),(VLOOKUP($C41,'V-LOOKUP'!$C$61:$M$120,10,FALSE)),"0")</f>
        <v>0</v>
      </c>
      <c r="BZ41" s="192" t="str">
        <f>IF(AND($C41&lt;&gt;"",$I41&lt;&gt;""),(VLOOKUP($C41,'V-LOOKUP'!$C$61:$M$120,11,FALSE)),"0")</f>
        <v>0</v>
      </c>
      <c r="CA41" s="192" t="str">
        <f>IF(AND($C41&lt;&gt;"",$I41&lt;&gt;""),(VLOOKUP($C41,'V-LOOKUP'!$C$61:$N$120,12,FALSE)),"0")</f>
        <v>0</v>
      </c>
      <c r="CB41" s="192" t="str">
        <f>IF(AND($C41&lt;&gt;"",$J41&lt;&gt;""),(VLOOKUP($C41,'V-LOOKUP'!$C$61:$M$120,4,FALSE)),"0")</f>
        <v>0</v>
      </c>
      <c r="CC41" s="192" t="str">
        <f>IF(AND($C41&lt;&gt;"",$J41&lt;&gt;""),(VLOOKUP($C41,'V-LOOKUP'!$C$61:$M$120,5,FALSE)),"0")</f>
        <v>0</v>
      </c>
      <c r="CD41" s="192" t="str">
        <f>IF(AND($C41&lt;&gt;"",$J41&lt;&gt;""),(VLOOKUP($C41,'V-LOOKUP'!$C$61:$M$120,6,FALSE)),"0")</f>
        <v>0</v>
      </c>
      <c r="CE41" s="192" t="str">
        <f>IF(AND($C41&lt;&gt;"",$J41&lt;&gt;""),(VLOOKUP($C41,'V-LOOKUP'!$C$61:$M$120,7,FALSE)),"0")</f>
        <v>0</v>
      </c>
      <c r="CF41" s="192" t="str">
        <f>IF(AND($C41&lt;&gt;"",$J41&lt;&gt;""),(VLOOKUP($C41,'V-LOOKUP'!$C$61:$M$120,8,FALSE)),"0")</f>
        <v>0</v>
      </c>
      <c r="CG41" s="192" t="str">
        <f>IF(AND($C41&lt;&gt;"",$J41&lt;&gt;""),(VLOOKUP($C41,'V-LOOKUP'!$C$61:$M$120,9,FALSE)),"0")</f>
        <v>0</v>
      </c>
      <c r="CH41" s="192" t="str">
        <f>IF(AND($C41&lt;&gt;"",$J41&lt;&gt;""),(VLOOKUP($C41,'V-LOOKUP'!$C$61:$M$120,10,FALSE)),"0")</f>
        <v>0</v>
      </c>
      <c r="CI41" s="192" t="str">
        <f>IF(AND($C41&lt;&gt;"",$J41&lt;&gt;""),(VLOOKUP($C41,'V-LOOKUP'!$C$61:$M$120,11,FALSE)),"0")</f>
        <v>0</v>
      </c>
      <c r="CJ41" s="192" t="str">
        <f>IF(AND($C41&lt;&gt;"",$J41&lt;&gt;""),(VLOOKUP($C41,'V-LOOKUP'!$C$61:$N$120,12,FALSE)),"0")</f>
        <v>0</v>
      </c>
      <c r="CK41" s="192" t="str">
        <f>IF(AND($C41&lt;&gt;"",$K41&lt;&gt;""),(VLOOKUP($C41,'V-LOOKUP'!$C$61:$M$120,4,FALSE)),"0")</f>
        <v>0</v>
      </c>
      <c r="CL41" s="192" t="str">
        <f>IF(AND($C41&lt;&gt;"",$K41&lt;&gt;""),(VLOOKUP($C41,'V-LOOKUP'!$C$61:$M$120,5,FALSE)),"0")</f>
        <v>0</v>
      </c>
      <c r="CM41" s="192" t="str">
        <f>IF(AND($C41&lt;&gt;"",$K41&lt;&gt;""),(VLOOKUP($C41,'V-LOOKUP'!$C$61:$M$120,6,FALSE)),"0")</f>
        <v>0</v>
      </c>
      <c r="CN41" s="192" t="str">
        <f>IF(AND($C41&lt;&gt;"",$K41&lt;&gt;""),(VLOOKUP($C41,'V-LOOKUP'!$C$61:$M$120,7,FALSE)),"0")</f>
        <v>0</v>
      </c>
      <c r="CO41" s="192" t="str">
        <f>IF(AND($C41&lt;&gt;"",$K41&lt;&gt;""),(VLOOKUP($C41,'V-LOOKUP'!$C$61:$M$120,8,FALSE)),"0")</f>
        <v>0</v>
      </c>
      <c r="CP41" s="192" t="str">
        <f>IF(AND($C41&lt;&gt;"",$K41&lt;&gt;""),(VLOOKUP($C41,'V-LOOKUP'!$C$61:$M$120,9,FALSE)),"0")</f>
        <v>0</v>
      </c>
      <c r="CQ41" s="192" t="str">
        <f>IF(AND($C41&lt;&gt;"",$K41&lt;&gt;""),(VLOOKUP($C41,'V-LOOKUP'!$C$61:$M$120,10,FALSE)),"0")</f>
        <v>0</v>
      </c>
      <c r="CR41" s="192" t="str">
        <f>IF(AND($C41&lt;&gt;"",$K41&lt;&gt;""),(VLOOKUP($C41,'V-LOOKUP'!$C$61:$M$120,11,FALSE)),"0")</f>
        <v>0</v>
      </c>
      <c r="CS41" s="192" t="str">
        <f>IF(AND($C41&lt;&gt;"",$K41&lt;&gt;""),(VLOOKUP($C41,'V-LOOKUP'!$C$61:$N$120,12,FALSE)),"0")</f>
        <v>0</v>
      </c>
      <c r="CT41" s="192" t="str">
        <f>IF(AND($C41&lt;&gt;"",$L41&lt;&gt;""),(VLOOKUP($C41,'V-LOOKUP'!$C$61:$M$120,4,FALSE)),"0")</f>
        <v>0</v>
      </c>
      <c r="CU41" s="192" t="str">
        <f>IF(AND($C41&lt;&gt;"",$L41&lt;&gt;""),(VLOOKUP($C41,'V-LOOKUP'!$C$61:$M$120,5,FALSE)),"0")</f>
        <v>0</v>
      </c>
      <c r="CV41" s="192" t="str">
        <f>IF(AND($C41&lt;&gt;"",$L41&lt;&gt;""),(VLOOKUP($C41,'V-LOOKUP'!$C$61:$M$120,6,FALSE)),"0")</f>
        <v>0</v>
      </c>
      <c r="CW41" s="192" t="str">
        <f>IF(AND($C41&lt;&gt;"",$L41&lt;&gt;""),(VLOOKUP($C41,'V-LOOKUP'!$C$61:$M$120,7,FALSE)),"0")</f>
        <v>0</v>
      </c>
      <c r="CX41" s="192" t="str">
        <f>IF(AND($C41&lt;&gt;"",$L41&lt;&gt;""),(VLOOKUP($C41,'V-LOOKUP'!$C$61:$M$120,8,FALSE)),"0")</f>
        <v>0</v>
      </c>
      <c r="CY41" s="192" t="str">
        <f>IF(AND($C41&lt;&gt;"",$L41&lt;&gt;""),(VLOOKUP($C41,'V-LOOKUP'!$C$61:$M$120,9,FALSE)),"0")</f>
        <v>0</v>
      </c>
      <c r="CZ41" s="192" t="str">
        <f>IF(AND($C41&lt;&gt;"",$L41&lt;&gt;""),(VLOOKUP($C41,'V-LOOKUP'!$C$61:$M$120,10,FALSE)),"0")</f>
        <v>0</v>
      </c>
      <c r="DA41" s="192" t="str">
        <f>IF(AND($C41&lt;&gt;"",$L41&lt;&gt;""),(VLOOKUP($C41,'V-LOOKUP'!$C$61:$M$120,11,FALSE)),"0")</f>
        <v>0</v>
      </c>
      <c r="DB41" s="192" t="str">
        <f>IF(AND($C41&lt;&gt;"",$L41&lt;&gt;""),(VLOOKUP($C41,'V-LOOKUP'!$C$61:$N$120,12,FALSE)),"0")</f>
        <v>0</v>
      </c>
      <c r="DC41" s="192" t="str">
        <f>IF(AND($C41&lt;&gt;"",$M41&lt;&gt;""),(VLOOKUP($C41,'V-LOOKUP'!$C$61:$M$120,4,FALSE)),"0")</f>
        <v>0</v>
      </c>
      <c r="DD41" s="192" t="str">
        <f>IF(AND($C41&lt;&gt;"",$M41&lt;&gt;""),(VLOOKUP($C41,'V-LOOKUP'!$C$61:$M$120,5,FALSE)),"0")</f>
        <v>0</v>
      </c>
      <c r="DE41" s="192" t="str">
        <f>IF(AND($C41&lt;&gt;"",$M41&lt;&gt;""),(VLOOKUP($C41,'V-LOOKUP'!$C$61:$M$120,6,FALSE)),"0")</f>
        <v>0</v>
      </c>
      <c r="DF41" s="192" t="str">
        <f>IF(AND($C41&lt;&gt;"",$M41&lt;&gt;""),(VLOOKUP($C41,'V-LOOKUP'!$C$61:$M$120,7,FALSE)),"0")</f>
        <v>0</v>
      </c>
      <c r="DG41" s="192" t="str">
        <f>IF(AND($C41&lt;&gt;"",$M41&lt;&gt;""),(VLOOKUP($C41,'V-LOOKUP'!$C$61:$M$120,8,FALSE)),"0")</f>
        <v>0</v>
      </c>
      <c r="DH41" s="192" t="str">
        <f>IF(AND($C41&lt;&gt;"",$M41&lt;&gt;""),(VLOOKUP($C41,'V-LOOKUP'!$C$61:$M$120,9,FALSE)),"0")</f>
        <v>0</v>
      </c>
      <c r="DI41" s="192" t="str">
        <f>IF(AND($C41&lt;&gt;"",$M41&lt;&gt;""),(VLOOKUP($C41,'V-LOOKUP'!$C$61:$M$120,10,FALSE)),"0")</f>
        <v>0</v>
      </c>
      <c r="DJ41" s="192" t="str">
        <f>IF(AND($C41&lt;&gt;"",$M41&lt;&gt;""),(VLOOKUP($C41,'V-LOOKUP'!$C$61:$M$120,11,FALSE)),"0")</f>
        <v>0</v>
      </c>
      <c r="DK41" s="192" t="str">
        <f>IF(AND($C41&lt;&gt;"",$M41&lt;&gt;""),(VLOOKUP($C41,'V-LOOKUP'!$C$61:$N$120,12,FALSE)),"0")</f>
        <v>0</v>
      </c>
      <c r="DL41" s="192" t="str">
        <f>IF(AND($C41&lt;&gt;"",$N41&lt;&gt;""),(VLOOKUP($C41,'V-LOOKUP'!$C$61:$M$120,4,FALSE)),"0")</f>
        <v>0</v>
      </c>
      <c r="DM41" s="192" t="str">
        <f>IF(AND($C41&lt;&gt;"",$N41&lt;&gt;""),(VLOOKUP($C41,'V-LOOKUP'!$C$61:$M$120,5,FALSE)),"0")</f>
        <v>0</v>
      </c>
      <c r="DN41" s="192" t="str">
        <f>IF(AND($C41&lt;&gt;"",$N41&lt;&gt;""),(VLOOKUP($C41,'V-LOOKUP'!$C$61:$M$120,6,FALSE)),"0")</f>
        <v>0</v>
      </c>
      <c r="DO41" s="192" t="str">
        <f>IF(AND($C41&lt;&gt;"",$N41&lt;&gt;""),(VLOOKUP($C41,'V-LOOKUP'!$C$61:$M$120,7,FALSE)),"0")</f>
        <v>0</v>
      </c>
      <c r="DP41" s="192" t="str">
        <f>IF(AND($C41&lt;&gt;"",$N41&lt;&gt;""),(VLOOKUP($C41,'V-LOOKUP'!$C$61:$M$120,8,FALSE)),"0")</f>
        <v>0</v>
      </c>
      <c r="DQ41" s="192" t="str">
        <f>IF(AND($C41&lt;&gt;"",$N41&lt;&gt;""),(VLOOKUP($C41,'V-LOOKUP'!$C$61:$M$120,9,FALSE)),"0")</f>
        <v>0</v>
      </c>
      <c r="DR41" s="192" t="str">
        <f>IF(AND($C41&lt;&gt;"",$N41&lt;&gt;""),(VLOOKUP($C41,'V-LOOKUP'!$C$61:$M$120,10,FALSE)),"0")</f>
        <v>0</v>
      </c>
      <c r="DS41" s="192" t="str">
        <f>IF(AND($C41&lt;&gt;"",$N41&lt;&gt;""),(VLOOKUP($C41,'V-LOOKUP'!$C$61:$M$120,11,FALSE)),"0")</f>
        <v>0</v>
      </c>
      <c r="DT41" s="192" t="str">
        <f>IF(AND($C41&lt;&gt;"",$N41&lt;&gt;""),(VLOOKUP($C41,'V-LOOKUP'!$C$61:$N$120,12,FALSE)),"0")</f>
        <v>0</v>
      </c>
      <c r="DU41" s="192" t="str">
        <f>IF(AND($C41&lt;&gt;"",$O41&lt;&gt;""),(VLOOKUP($C41,'V-LOOKUP'!$C$61:$M$120,4,FALSE)),"0")</f>
        <v>0</v>
      </c>
      <c r="DV41" s="192" t="str">
        <f>IF(AND($C41&lt;&gt;"",$O41&lt;&gt;""),(VLOOKUP($C41,'V-LOOKUP'!$C$61:$M$120,5,FALSE)),"0")</f>
        <v>0</v>
      </c>
      <c r="DW41" s="192" t="str">
        <f>IF(AND($C41&lt;&gt;"",$O41&lt;&gt;""),(VLOOKUP($C41,'V-LOOKUP'!$C$61:$M$120,6,FALSE)),"0")</f>
        <v>0</v>
      </c>
      <c r="DX41" s="192" t="str">
        <f>IF(AND($C41&lt;&gt;"",$O41&lt;&gt;""),(VLOOKUP($C41,'V-LOOKUP'!$C$61:$M$120,7,FALSE)),"0")</f>
        <v>0</v>
      </c>
      <c r="DY41" s="192" t="str">
        <f>IF(AND($C41&lt;&gt;"",$O41&lt;&gt;""),(VLOOKUP($C41,'V-LOOKUP'!$C$61:$M$120,8,FALSE)),"0")</f>
        <v>0</v>
      </c>
      <c r="DZ41" s="192" t="str">
        <f>IF(AND($C41&lt;&gt;"",$O41&lt;&gt;""),(VLOOKUP($C41,'V-LOOKUP'!$C$61:$M$120,9,FALSE)),"0")</f>
        <v>0</v>
      </c>
      <c r="EA41" s="192" t="str">
        <f>IF(AND($C41&lt;&gt;"",$O41&lt;&gt;""),(VLOOKUP($C41,'V-LOOKUP'!$C$61:$M$120,10,FALSE)),"0")</f>
        <v>0</v>
      </c>
      <c r="EB41" s="192" t="str">
        <f>IF(AND($C41&lt;&gt;"",$O41&lt;&gt;""),(VLOOKUP($C41,'V-LOOKUP'!$C$61:$M$120,11,FALSE)),"0")</f>
        <v>0</v>
      </c>
      <c r="EC41" s="192" t="str">
        <f>IF(AND($C41&lt;&gt;"",$O41&lt;&gt;""),(VLOOKUP($C41,'V-LOOKUP'!$C$61:$N$120,12,FALSE)),"0")</f>
        <v>0</v>
      </c>
      <c r="ED41" s="192" t="str">
        <f>IF(AND($C41&lt;&gt;"",$P41&lt;&gt;""),(VLOOKUP($C41,'V-LOOKUP'!$C$61:$M$120,4,FALSE)),"0")</f>
        <v>0</v>
      </c>
      <c r="EE41" s="192" t="str">
        <f>IF(AND($C41&lt;&gt;"",$P41&lt;&gt;""),(VLOOKUP($C41,'V-LOOKUP'!$C$61:$M$120,5,FALSE)),"0")</f>
        <v>0</v>
      </c>
      <c r="EF41" s="192" t="str">
        <f>IF(AND($C41&lt;&gt;"",$P41&lt;&gt;""),(VLOOKUP($C41,'V-LOOKUP'!$C$61:$M$120,6,FALSE)),"0")</f>
        <v>0</v>
      </c>
      <c r="EG41" s="192" t="str">
        <f>IF(AND($C41&lt;&gt;"",$P41&lt;&gt;""),(VLOOKUP($C41,'V-LOOKUP'!$C$61:$M$120,7,FALSE)),"0")</f>
        <v>0</v>
      </c>
      <c r="EH41" s="192" t="str">
        <f>IF(AND($C41&lt;&gt;"",$P41&lt;&gt;""),(VLOOKUP($C41,'V-LOOKUP'!$C$61:$M$120,8,FALSE)),"0")</f>
        <v>0</v>
      </c>
      <c r="EI41" s="192" t="str">
        <f>IF(AND($C41&lt;&gt;"",$P41&lt;&gt;""),(VLOOKUP($C41,'V-LOOKUP'!$C$61:$M$120,9,FALSE)),"0")</f>
        <v>0</v>
      </c>
      <c r="EJ41" s="192" t="str">
        <f>IF(AND($C41&lt;&gt;"",$P41&lt;&gt;""),(VLOOKUP($C41,'V-LOOKUP'!$C$61:$M$120,10,FALSE)),"0")</f>
        <v>0</v>
      </c>
      <c r="EK41" s="192" t="str">
        <f>IF(AND($C41&lt;&gt;"",$P41&lt;&gt;""),(VLOOKUP($C41,'V-LOOKUP'!$C$61:$M$120,11,FALSE)),"0")</f>
        <v>0</v>
      </c>
      <c r="EL41" s="192" t="str">
        <f>IF(AND($C41&lt;&gt;"",$P41&lt;&gt;""),(VLOOKUP($C41,'V-LOOKUP'!$C$61:$N$120,12,FALSE)),"0")</f>
        <v>0</v>
      </c>
      <c r="EM41" s="192" t="str">
        <f>IF(AND($C41&lt;&gt;"",$Q41&lt;&gt;""),(VLOOKUP($C41,'V-LOOKUP'!$C$61:$M$120,4,FALSE)),"0")</f>
        <v>0</v>
      </c>
      <c r="EN41" s="192" t="str">
        <f>IF(AND($C41&lt;&gt;"",$Q41&lt;&gt;""),(VLOOKUP($C41,'V-LOOKUP'!$C$61:$M$120,5,FALSE)),"0")</f>
        <v>0</v>
      </c>
      <c r="EO41" s="192" t="str">
        <f>IF(AND($C41&lt;&gt;"",$Q41&lt;&gt;""),(VLOOKUP($C41,'V-LOOKUP'!$C$61:$M$120,6,FALSE)),"0")</f>
        <v>0</v>
      </c>
      <c r="EP41" s="192" t="str">
        <f>IF(AND($C41&lt;&gt;"",$Q41&lt;&gt;""),(VLOOKUP($C41,'V-LOOKUP'!$C$61:$M$120,7,FALSE)),"0")</f>
        <v>0</v>
      </c>
      <c r="EQ41" s="192" t="str">
        <f>IF(AND($C41&lt;&gt;"",$Q41&lt;&gt;""),(VLOOKUP($C41,'V-LOOKUP'!$C$61:$M$120,8,FALSE)),"0")</f>
        <v>0</v>
      </c>
      <c r="ER41" s="192" t="str">
        <f>IF(AND($C41&lt;&gt;"",$Q41&lt;&gt;""),(VLOOKUP($C41,'V-LOOKUP'!$C$61:$M$120,9,FALSE)),"0")</f>
        <v>0</v>
      </c>
      <c r="ES41" s="192" t="str">
        <f>IF(AND($C41&lt;&gt;"",$Q41&lt;&gt;""),(VLOOKUP($C41,'V-LOOKUP'!$C$61:$M$120,10,FALSE)),"0")</f>
        <v>0</v>
      </c>
      <c r="ET41" s="192" t="str">
        <f>IF(AND($C41&lt;&gt;"",$Q41&lt;&gt;""),(VLOOKUP($C41,'V-LOOKUP'!$C$61:$M$120,11,FALSE)),"0")</f>
        <v>0</v>
      </c>
      <c r="EU41" s="192" t="str">
        <f>IF(AND($C41&lt;&gt;"",$Q41&lt;&gt;""),(VLOOKUP($C41,'V-LOOKUP'!$C$61:$N$120,12,FALSE)),"0")</f>
        <v>0</v>
      </c>
      <c r="EV41" s="192" t="str">
        <f>IF(AND($C41&lt;&gt;"",$R41&lt;&gt;""),(VLOOKUP($C41,'V-LOOKUP'!$C$61:$M$120,4,FALSE)),"0")</f>
        <v>0</v>
      </c>
      <c r="EW41" s="192" t="str">
        <f>IF(AND($C41&lt;&gt;"",$R41&lt;&gt;""),(VLOOKUP($C41,'V-LOOKUP'!$C$61:$M$120,5,FALSE)),"0")</f>
        <v>0</v>
      </c>
      <c r="EX41" s="192" t="str">
        <f>IF(AND($C41&lt;&gt;"",$R41&lt;&gt;""),(VLOOKUP($C41,'V-LOOKUP'!$C$61:$M$120,6,FALSE)),"0")</f>
        <v>0</v>
      </c>
      <c r="EY41" s="192" t="str">
        <f>IF(AND($C41&lt;&gt;"",$R41&lt;&gt;""),(VLOOKUP($C41,'V-LOOKUP'!$C$61:$M$120,7,FALSE)),"0")</f>
        <v>0</v>
      </c>
      <c r="EZ41" s="192" t="str">
        <f>IF(AND($C41&lt;&gt;"",$R41&lt;&gt;""),(VLOOKUP($C41,'V-LOOKUP'!$C$61:$M$120,8,FALSE)),"0")</f>
        <v>0</v>
      </c>
      <c r="FA41" s="192" t="str">
        <f>IF(AND($C41&lt;&gt;"",$R41&lt;&gt;""),(VLOOKUP($C41,'V-LOOKUP'!$C$61:$M$120,9,FALSE)),"0")</f>
        <v>0</v>
      </c>
      <c r="FB41" s="192" t="str">
        <f>IF(AND($C41&lt;&gt;"",$R41&lt;&gt;""),(VLOOKUP($C41,'V-LOOKUP'!$C$61:$M$120,10,FALSE)),"0")</f>
        <v>0</v>
      </c>
      <c r="FC41" s="192" t="str">
        <f>IF(AND($C41&lt;&gt;"",$R41&lt;&gt;""),(VLOOKUP($C41,'V-LOOKUP'!$C$61:$M$120,11,FALSE)),"0")</f>
        <v>0</v>
      </c>
      <c r="FD41" s="192" t="str">
        <f>IF(AND($C41&lt;&gt;"",$R41&lt;&gt;""),(VLOOKUP($C41,'V-LOOKUP'!$C$61:$N$120,12,FALSE)),"0")</f>
        <v>0</v>
      </c>
      <c r="FE41" s="192" t="str">
        <f>IF(AND($C41&lt;&gt;"",$S41&lt;&gt;""),(VLOOKUP($C41,'V-LOOKUP'!$C$61:$M$120,4,FALSE)),"0")</f>
        <v>0</v>
      </c>
      <c r="FF41" s="192" t="str">
        <f>IF(AND($C41&lt;&gt;"",$S41&lt;&gt;""),(VLOOKUP($C41,'V-LOOKUP'!$C$61:$M$120,5,FALSE)),"0")</f>
        <v>0</v>
      </c>
      <c r="FG41" s="192" t="str">
        <f>IF(AND($C41&lt;&gt;"",$S41&lt;&gt;""),(VLOOKUP($C41,'V-LOOKUP'!$C$61:$M$120,6,FALSE)),"0")</f>
        <v>0</v>
      </c>
      <c r="FH41" s="192" t="str">
        <f>IF(AND($C41&lt;&gt;"",$S41&lt;&gt;""),(VLOOKUP($C41,'V-LOOKUP'!$C$61:$M$120,7,FALSE)),"0")</f>
        <v>0</v>
      </c>
      <c r="FI41" s="192" t="str">
        <f>IF(AND($C41&lt;&gt;"",$S41&lt;&gt;""),(VLOOKUP($C41,'V-LOOKUP'!$C$61:$M$120,8,FALSE)),"0")</f>
        <v>0</v>
      </c>
      <c r="FJ41" s="192" t="str">
        <f>IF(AND($C41&lt;&gt;"",$S41&lt;&gt;""),(VLOOKUP($C41,'V-LOOKUP'!$C$61:$M$120,9,FALSE)),"0")</f>
        <v>0</v>
      </c>
      <c r="FK41" s="192" t="str">
        <f>IF(AND($C41&lt;&gt;"",$S41&lt;&gt;""),(VLOOKUP($C41,'V-LOOKUP'!$C$61:$M$120,10,FALSE)),"0")</f>
        <v>0</v>
      </c>
      <c r="FL41" s="192" t="str">
        <f>IF(AND($C41&lt;&gt;"",$S41&lt;&gt;""),(VLOOKUP($C41,'V-LOOKUP'!$C$61:$M$120,11,FALSE)),"0")</f>
        <v>0</v>
      </c>
      <c r="FM41" s="192" t="str">
        <f>IF(AND($C41&lt;&gt;"",$S41&lt;&gt;""),(VLOOKUP($C41,'V-LOOKUP'!$C$61:$N$120,12,FALSE)),"0")</f>
        <v>0</v>
      </c>
      <c r="FN41" s="192" t="str">
        <f>IF(AND($C41&lt;&gt;"",$T41&lt;&gt;""),(VLOOKUP($C41,'V-LOOKUP'!$C$61:$M$120,4,FALSE)),"0")</f>
        <v>0</v>
      </c>
      <c r="FO41" s="192" t="str">
        <f>IF(AND($C41&lt;&gt;"",$T41&lt;&gt;""),(VLOOKUP($C41,'V-LOOKUP'!$C$61:$M$120,5,FALSE)),"0")</f>
        <v>0</v>
      </c>
      <c r="FP41" s="192" t="str">
        <f>IF(AND($C41&lt;&gt;"",$T41&lt;&gt;""),(VLOOKUP($C41,'V-LOOKUP'!$C$61:$M$120,6,FALSE)),"0")</f>
        <v>0</v>
      </c>
      <c r="FQ41" s="192" t="str">
        <f>IF(AND($C41&lt;&gt;"",$T41&lt;&gt;""),(VLOOKUP($C41,'V-LOOKUP'!$C$61:$M$120,7,FALSE)),"0")</f>
        <v>0</v>
      </c>
      <c r="FR41" s="192" t="str">
        <f>IF(AND($C41&lt;&gt;"",$T41&lt;&gt;""),(VLOOKUP($C41,'V-LOOKUP'!$C$61:$M$120,8,FALSE)),"0")</f>
        <v>0</v>
      </c>
      <c r="FS41" s="192" t="str">
        <f>IF(AND($C41&lt;&gt;"",$T41&lt;&gt;""),(VLOOKUP($C41,'V-LOOKUP'!$C$61:$M$120,9,FALSE)),"0")</f>
        <v>0</v>
      </c>
      <c r="FT41" s="192" t="str">
        <f>IF(AND($C41&lt;&gt;"",$T41&lt;&gt;""),(VLOOKUP($C41,'V-LOOKUP'!$C$61:$M$120,10,FALSE)),"0")</f>
        <v>0</v>
      </c>
      <c r="FU41" s="192" t="str">
        <f>IF(AND($C41&lt;&gt;"",$T41&lt;&gt;""),(VLOOKUP($C41,'V-LOOKUP'!$C$61:$M$120,11,FALSE)),"0")</f>
        <v>0</v>
      </c>
      <c r="FV41" s="192" t="str">
        <f>IF(AND($C41&lt;&gt;"",$T41&lt;&gt;""),(VLOOKUP($C41,'V-LOOKUP'!$C$61:$N$120,12,FALSE)),"0")</f>
        <v>0</v>
      </c>
      <c r="FW41" s="192" t="str">
        <f>IF(AND($C41&lt;&gt;"",$U41&lt;&gt;""),(VLOOKUP($C41,'V-LOOKUP'!$C$61:$M$120,4,FALSE)),"0")</f>
        <v>0</v>
      </c>
      <c r="FX41" s="192" t="str">
        <f>IF(AND($C41&lt;&gt;"",$U41&lt;&gt;""),(VLOOKUP($C41,'V-LOOKUP'!$C$61:$M$120,5,FALSE)),"0")</f>
        <v>0</v>
      </c>
      <c r="FY41" s="192" t="str">
        <f>IF(AND($C41&lt;&gt;"",$U41&lt;&gt;""),(VLOOKUP($C41,'V-LOOKUP'!$C$61:$M$120,6,FALSE)),"0")</f>
        <v>0</v>
      </c>
      <c r="FZ41" s="192" t="str">
        <f>IF(AND($C41&lt;&gt;"",$U41&lt;&gt;""),(VLOOKUP($C41,'V-LOOKUP'!$C$61:$M$120,7,FALSE)),"0")</f>
        <v>0</v>
      </c>
      <c r="GA41" s="192" t="str">
        <f>IF(AND($C41&lt;&gt;"",$U41&lt;&gt;""),(VLOOKUP($C41,'V-LOOKUP'!$C$61:$M$120,8,FALSE)),"0")</f>
        <v>0</v>
      </c>
      <c r="GB41" s="192" t="str">
        <f>IF(AND($C41&lt;&gt;"",$U41&lt;&gt;""),(VLOOKUP($C41,'V-LOOKUP'!$C$61:$M$120,9,FALSE)),"0")</f>
        <v>0</v>
      </c>
      <c r="GC41" s="192" t="str">
        <f>IF(AND($C41&lt;&gt;"",$U41&lt;&gt;""),(VLOOKUP($C41,'V-LOOKUP'!$C$61:$M$120,10,FALSE)),"0")</f>
        <v>0</v>
      </c>
      <c r="GD41" s="192" t="str">
        <f>IF(AND($C41&lt;&gt;"",$U41&lt;&gt;""),(VLOOKUP($C41,'V-LOOKUP'!$C$61:$M$120,11,FALSE)),"0")</f>
        <v>0</v>
      </c>
      <c r="GE41" s="192" t="str">
        <f>IF(AND($C41&lt;&gt;"",$U41&lt;&gt;""),(VLOOKUP($C41,'V-LOOKUP'!$C$61:$N$120,12,FALSE)),"0")</f>
        <v>0</v>
      </c>
      <c r="GF41" s="192" t="str">
        <f>IF(AND($C41&lt;&gt;"",$V41&lt;&gt;""),(VLOOKUP($C41,'V-LOOKUP'!$C$61:$M$120,4,FALSE)),"0")</f>
        <v>0</v>
      </c>
      <c r="GG41" s="192" t="str">
        <f>IF(AND($C41&lt;&gt;"",V41&lt;&gt;""),(VLOOKUP($C41,'V-LOOKUP'!$C$61:$M$120,5,FALSE)),"0")</f>
        <v>0</v>
      </c>
      <c r="GH41" s="192" t="str">
        <f>IF(AND($C41&lt;&gt;"",$V41&lt;&gt;""),(VLOOKUP($C41,'V-LOOKUP'!$C$61:$M$120,6,FALSE)),"0")</f>
        <v>0</v>
      </c>
      <c r="GI41" s="192" t="str">
        <f>IF(AND($C41&lt;&gt;"",$V41&lt;&gt;""),(VLOOKUP($C41,'V-LOOKUP'!$C$61:$M$120,7,FALSE)),"0")</f>
        <v>0</v>
      </c>
      <c r="GJ41" s="192" t="str">
        <f>IF(AND($C41&lt;&gt;"",$V41&lt;&gt;""),(VLOOKUP($C41,'V-LOOKUP'!$C$61:$M$120,8,FALSE)),"0")</f>
        <v>0</v>
      </c>
      <c r="GK41" s="192" t="str">
        <f>IF(AND($C41&lt;&gt;"",$V41&lt;&gt;""),(VLOOKUP($C41,'V-LOOKUP'!$C$61:$M$120,9,FALSE)),"0")</f>
        <v>0</v>
      </c>
      <c r="GL41" s="192" t="str">
        <f>IF(AND($C41&lt;&gt;"",$V41&lt;&gt;""),(VLOOKUP($C41,'V-LOOKUP'!$C$61:$M$120,10,FALSE)),"0")</f>
        <v>0</v>
      </c>
      <c r="GM41" s="192" t="str">
        <f>IF(AND($C41&lt;&gt;"",$V41&lt;&gt;""),(VLOOKUP($C41,'V-LOOKUP'!$C$61:$M$120,11,FALSE)),"0")</f>
        <v>0</v>
      </c>
      <c r="GN41" s="192" t="str">
        <f>IF(AND($C41&lt;&gt;"",$V41&lt;&gt;""),(VLOOKUP($C41,'V-LOOKUP'!$C$61:$N$120,12,FALSE)),"0")</f>
        <v>0</v>
      </c>
      <c r="GO41" s="192" t="str">
        <f>IF(AND($C41&lt;&gt;"",$W41&lt;&gt;""),(VLOOKUP($C41,'V-LOOKUP'!$C$61:$M$120,4,FALSE)),"0")</f>
        <v>0</v>
      </c>
      <c r="GP41" s="192" t="str">
        <f>IF(AND($C41&lt;&gt;"",$W41&lt;&gt;""),(VLOOKUP($C41,'V-LOOKUP'!$C$61:$M$120,5,FALSE)),"0")</f>
        <v>0</v>
      </c>
      <c r="GQ41" s="192" t="str">
        <f>IF(AND($C41&lt;&gt;"",$W41&lt;&gt;""),(VLOOKUP($C41,'V-LOOKUP'!$C$61:$M$120,6,FALSE)),"0")</f>
        <v>0</v>
      </c>
      <c r="GR41" s="192" t="str">
        <f>IF(AND($C41&lt;&gt;"",$W41&lt;&gt;""),(VLOOKUP($C41,'V-LOOKUP'!$C$61:$M$120,7,FALSE)),"0")</f>
        <v>0</v>
      </c>
      <c r="GS41" s="192" t="str">
        <f>IF(AND($C41&lt;&gt;"",$W41&lt;&gt;""),(VLOOKUP($C41,'V-LOOKUP'!$C$61:$M$120,8,FALSE)),"0")</f>
        <v>0</v>
      </c>
      <c r="GT41" s="192" t="str">
        <f>IF(AND($C41&lt;&gt;"",$W41&lt;&gt;""),(VLOOKUP($C41,'V-LOOKUP'!$C$61:$M$120,9,FALSE)),"0")</f>
        <v>0</v>
      </c>
      <c r="GU41" s="192" t="str">
        <f>IF(AND($C41&lt;&gt;"",$W41&lt;&gt;""),(VLOOKUP($C41,'V-LOOKUP'!$C$61:$M$120,10,FALSE)),"0")</f>
        <v>0</v>
      </c>
      <c r="GV41" s="192" t="str">
        <f>IF(AND($C41&lt;&gt;"",$W41&lt;&gt;""),(VLOOKUP($C41,'V-LOOKUP'!$C$61:$M$120,11,FALSE)),"0")</f>
        <v>0</v>
      </c>
      <c r="GW41" s="192" t="str">
        <f>IF(AND($C41&lt;&gt;"",$W41&lt;&gt;""),(VLOOKUP($C41,'V-LOOKUP'!$C$61:$N$120,12,FALSE)),"0")</f>
        <v>0</v>
      </c>
    </row>
    <row r="42" spans="1:205" ht="14.65" customHeight="1">
      <c r="A42" s="193"/>
      <c r="B42" s="245"/>
      <c r="C42" s="203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Y42" s="190"/>
      <c r="Z42" s="192" t="str">
        <f>IF(AND($C42&lt;&gt;"",$D42&lt;&gt;""),(VLOOKUP($C42,'V-LOOKUP'!$C$61:$M$120,4,FALSE)),"0")</f>
        <v>0</v>
      </c>
      <c r="AA42" s="192" t="str">
        <f>IF(AND($C42&lt;&gt;"",$D42&lt;&gt;""),(VLOOKUP($C42,'V-LOOKUP'!$C$61:$M$120,5,FALSE)),"0")</f>
        <v>0</v>
      </c>
      <c r="AB42" s="192" t="str">
        <f>IF(AND($C42&lt;&gt;"",$D42&lt;&gt;""),(VLOOKUP($C42,'V-LOOKUP'!$C$61:$M$120,6,FALSE)),"0")</f>
        <v>0</v>
      </c>
      <c r="AC42" s="192" t="str">
        <f>IF(AND($C42&lt;&gt;"",$D42&lt;&gt;""),(VLOOKUP($C42,'V-LOOKUP'!$C$61:$M$120,7,FALSE)),"0")</f>
        <v>0</v>
      </c>
      <c r="AD42" s="192" t="str">
        <f>IF(AND($C42&lt;&gt;"",$D42&lt;&gt;""),(VLOOKUP($C42,'V-LOOKUP'!$C$61:$M$120,8,FALSE)),"0")</f>
        <v>0</v>
      </c>
      <c r="AE42" s="192" t="str">
        <f>IF(AND($C42&lt;&gt;"",$D42&lt;&gt;""),(VLOOKUP($C42,'V-LOOKUP'!$C$61:$M$120,9,FALSE)),"0")</f>
        <v>0</v>
      </c>
      <c r="AF42" s="192" t="str">
        <f>IF(AND($C42&lt;&gt;"",$D42&lt;&gt;""),(VLOOKUP($C42,'V-LOOKUP'!$C$61:$M$120,10,FALSE)),"0")</f>
        <v>0</v>
      </c>
      <c r="AG42" s="192" t="str">
        <f>IF(AND($C42&lt;&gt;"",$D42&lt;&gt;""),(VLOOKUP($C42,'V-LOOKUP'!$C$61:$M$120,11,FALSE)),"0")</f>
        <v>0</v>
      </c>
      <c r="AH42" s="192" t="str">
        <f>IF(AND($C42&lt;&gt;"",$D42&lt;&gt;""),(VLOOKUP($C42,'V-LOOKUP'!$C$61:$N$120,12,FALSE)),"0")</f>
        <v>0</v>
      </c>
      <c r="AI42" s="192" t="str">
        <f>IF(AND($C42&lt;&gt;"",$E42&lt;&gt;""),(VLOOKUP($C42,'V-LOOKUP'!$C$61:$M$120,4,FALSE)),"0")</f>
        <v>0</v>
      </c>
      <c r="AJ42" s="192" t="str">
        <f>IF(AND($C42&lt;&gt;"",$E42&lt;&gt;""),(VLOOKUP($C42,'V-LOOKUP'!$C$61:$M$120,5,FALSE)),"0")</f>
        <v>0</v>
      </c>
      <c r="AK42" s="192" t="str">
        <f>IF(AND($C42&lt;&gt;"",$E42&lt;&gt;""),(VLOOKUP($C42,'V-LOOKUP'!$C$61:$M$120,6,FALSE)),"0")</f>
        <v>0</v>
      </c>
      <c r="AL42" s="192" t="str">
        <f>IF(AND($C42&lt;&gt;"",$E42&lt;&gt;""),(VLOOKUP($C42,'V-LOOKUP'!$C$61:$M$120,7,FALSE)),"0")</f>
        <v>0</v>
      </c>
      <c r="AM42" s="192" t="str">
        <f>IF(AND($C42&lt;&gt;"",$E42&lt;&gt;""),(VLOOKUP($C42,'V-LOOKUP'!$C$61:$M$120,8,FALSE)),"0")</f>
        <v>0</v>
      </c>
      <c r="AN42" s="192" t="str">
        <f>IF(AND($C42&lt;&gt;"",$E42&lt;&gt;""),(VLOOKUP($C42,'V-LOOKUP'!$C$61:$M$120,9,FALSE)),"0")</f>
        <v>0</v>
      </c>
      <c r="AO42" s="192" t="str">
        <f>IF(AND($C42&lt;&gt;"",$E42&lt;&gt;""),(VLOOKUP($C42,'V-LOOKUP'!$C$61:$M$120,10,FALSE)),"0")</f>
        <v>0</v>
      </c>
      <c r="AP42" s="192" t="str">
        <f>IF(AND($C42&lt;&gt;"",$E42&lt;&gt;""),(VLOOKUP($C42,'V-LOOKUP'!$C$61:$M$120,11,FALSE)),"0")</f>
        <v>0</v>
      </c>
      <c r="AQ42" s="192" t="str">
        <f>IF(AND($C42&lt;&gt;"",$E42&lt;&gt;""),(VLOOKUP($C42,'V-LOOKUP'!$C$61:$N$120,12,FALSE)),"0")</f>
        <v>0</v>
      </c>
      <c r="AR42" s="192" t="str">
        <f>IF(AND($C42&lt;&gt;"",$F42&lt;&gt;""),(VLOOKUP($C42,'V-LOOKUP'!$C$61:$M$120,4,FALSE)),"0")</f>
        <v>0</v>
      </c>
      <c r="AS42" s="192" t="str">
        <f>IF(AND($C42&lt;&gt;"",$F42&lt;&gt;""),(VLOOKUP($C42,'V-LOOKUP'!$C$61:$M$120,5,FALSE)),"0")</f>
        <v>0</v>
      </c>
      <c r="AT42" s="192" t="str">
        <f>IF(AND($C42&lt;&gt;"",$F42&lt;&gt;""),(VLOOKUP($C42,'V-LOOKUP'!$C$61:$M$120,6,FALSE)),"0")</f>
        <v>0</v>
      </c>
      <c r="AU42" s="192" t="str">
        <f>IF(AND($C42&lt;&gt;"",$F42&lt;&gt;""),(VLOOKUP($C42,'V-LOOKUP'!$C$61:$M$120,7,FALSE)),"0")</f>
        <v>0</v>
      </c>
      <c r="AV42" s="192" t="str">
        <f>IF(AND($C42&lt;&gt;"",$F42&lt;&gt;""),(VLOOKUP($C42,'V-LOOKUP'!$C$61:$M$120,8,FALSE)),"0")</f>
        <v>0</v>
      </c>
      <c r="AW42" s="192" t="str">
        <f>IF(AND($C42&lt;&gt;"",$F42&lt;&gt;""),(VLOOKUP($C42,'V-LOOKUP'!$C$61:$M$120,9,FALSE)),"0")</f>
        <v>0</v>
      </c>
      <c r="AX42" s="192" t="str">
        <f>IF(AND($C42&lt;&gt;"",$F42&lt;&gt;""),(VLOOKUP($C42,'V-LOOKUP'!$C$61:$M$120,10,FALSE)),"0")</f>
        <v>0</v>
      </c>
      <c r="AY42" s="192" t="str">
        <f>IF(AND($C42&lt;&gt;"",$F42&lt;&gt;""),(VLOOKUP($C42,'V-LOOKUP'!$C$61:$M$120,11,FALSE)),"0")</f>
        <v>0</v>
      </c>
      <c r="AZ42" s="192" t="str">
        <f>IF(AND($C42&lt;&gt;"",$F42&lt;&gt;""),(VLOOKUP($C42,'V-LOOKUP'!$C$61:$N$120,12,FALSE)),"0")</f>
        <v>0</v>
      </c>
      <c r="BA42" s="192" t="str">
        <f>IF(AND($C42&lt;&gt;"",$G42&lt;&gt;""),(VLOOKUP($C42,'V-LOOKUP'!$C$61:$M$120,4,FALSE)),"0")</f>
        <v>0</v>
      </c>
      <c r="BB42" s="192" t="str">
        <f>IF(AND($C42&lt;&gt;"",$G42&lt;&gt;""),(VLOOKUP($C42,'V-LOOKUP'!$C$61:$M$120,5,FALSE)),"0")</f>
        <v>0</v>
      </c>
      <c r="BC42" s="192" t="str">
        <f>IF(AND($C42&lt;&gt;"",$G42&lt;&gt;""),(VLOOKUP($C42,'V-LOOKUP'!$C$61:$M$120,6,FALSE)),"0")</f>
        <v>0</v>
      </c>
      <c r="BD42" s="192" t="str">
        <f>IF(AND($C42&lt;&gt;"",$G42&lt;&gt;""),(VLOOKUP($C42,'V-LOOKUP'!$C$61:$M$120,7,FALSE)),"0")</f>
        <v>0</v>
      </c>
      <c r="BE42" s="192" t="str">
        <f>IF(AND($C42&lt;&gt;"",$G42&lt;&gt;""),(VLOOKUP($C42,'V-LOOKUP'!$C$61:$M$120,8,FALSE)),"0")</f>
        <v>0</v>
      </c>
      <c r="BF42" s="192" t="str">
        <f>IF(AND($C42&lt;&gt;"",$G42&lt;&gt;""),(VLOOKUP($C42,'V-LOOKUP'!$C$61:$M$120,9,FALSE)),"0")</f>
        <v>0</v>
      </c>
      <c r="BG42" s="192" t="str">
        <f>IF(AND($C42&lt;&gt;"",$G42&lt;&gt;""),(VLOOKUP($C42,'V-LOOKUP'!$C$61:$M$120,10,FALSE)),"0")</f>
        <v>0</v>
      </c>
      <c r="BH42" s="192" t="str">
        <f>IF(AND($C42&lt;&gt;"",$G42&lt;&gt;""),(VLOOKUP($C42,'V-LOOKUP'!$C$61:$M$120,11,FALSE)),"0")</f>
        <v>0</v>
      </c>
      <c r="BI42" s="192" t="str">
        <f>IF(AND($C42&lt;&gt;"",$G42&lt;&gt;""),(VLOOKUP($C42,'V-LOOKUP'!$C$61:$N$120,12,FALSE)),"0")</f>
        <v>0</v>
      </c>
      <c r="BJ42" s="192" t="str">
        <f>IF(AND($C42&lt;&gt;"",$H42&lt;&gt;""),(VLOOKUP($C42,'V-LOOKUP'!$C$61:$M$120,4,FALSE)),"0")</f>
        <v>0</v>
      </c>
      <c r="BK42" s="192" t="str">
        <f>IF(AND($C42&lt;&gt;"",$H42&lt;&gt;""),(VLOOKUP($C42,'V-LOOKUP'!$C$61:$M$120,5,FALSE)),"0")</f>
        <v>0</v>
      </c>
      <c r="BL42" s="192" t="str">
        <f>IF(AND($C42&lt;&gt;"",$H42&lt;&gt;""),(VLOOKUP($C42,'V-LOOKUP'!$C$61:$M$120,6,FALSE)),"0")</f>
        <v>0</v>
      </c>
      <c r="BM42" s="192" t="str">
        <f>IF(AND($C42&lt;&gt;"",$H42&lt;&gt;""),(VLOOKUP($C42,'V-LOOKUP'!$C$61:$M$120,7,FALSE)),"0")</f>
        <v>0</v>
      </c>
      <c r="BN42" s="192" t="str">
        <f>IF(AND($C42&lt;&gt;"",$H42&lt;&gt;""),(VLOOKUP($C42,'V-LOOKUP'!$C$61:$M$120,8,FALSE)),"0")</f>
        <v>0</v>
      </c>
      <c r="BO42" s="192" t="str">
        <f>IF(AND($C42&lt;&gt;"",$H42&lt;&gt;""),(VLOOKUP($C42,'V-LOOKUP'!$C$61:$M$120,9,FALSE)),"0")</f>
        <v>0</v>
      </c>
      <c r="BP42" s="192" t="str">
        <f>IF(AND($C42&lt;&gt;"",$H42&lt;&gt;""),(VLOOKUP($C42,'V-LOOKUP'!$C$61:$M$120,10,FALSE)),"0")</f>
        <v>0</v>
      </c>
      <c r="BQ42" s="192" t="str">
        <f>IF(AND($C42&lt;&gt;"",$H42&lt;&gt;""),(VLOOKUP($C42,'V-LOOKUP'!$C$61:$M$120,11,FALSE)),"0")</f>
        <v>0</v>
      </c>
      <c r="BR42" s="192" t="str">
        <f>IF(AND($C42&lt;&gt;"",$H42&lt;&gt;""),(VLOOKUP($C42,'V-LOOKUP'!$C$61:$N$120,12,FALSE)),"0")</f>
        <v>0</v>
      </c>
      <c r="BS42" s="192" t="str">
        <f>IF(AND($C42&lt;&gt;"",$I42&lt;&gt;""),(VLOOKUP($C42,'V-LOOKUP'!$C$61:$M$120,4,FALSE)),"0")</f>
        <v>0</v>
      </c>
      <c r="BT42" s="192" t="str">
        <f>IF(AND($C42&lt;&gt;"",$I42&lt;&gt;""),(VLOOKUP($C42,'V-LOOKUP'!$C$61:$M$120,5,FALSE)),"0")</f>
        <v>0</v>
      </c>
      <c r="BU42" s="192" t="str">
        <f>IF(AND($C42&lt;&gt;"",$I42&lt;&gt;""),(VLOOKUP($C42,'V-LOOKUP'!$C$61:$M$120,6,FALSE)),"0")</f>
        <v>0</v>
      </c>
      <c r="BV42" s="192" t="str">
        <f>IF(AND($C42&lt;&gt;"",$I42&lt;&gt;""),(VLOOKUP($C42,'V-LOOKUP'!$C$61:$M$120,7,FALSE)),"0")</f>
        <v>0</v>
      </c>
      <c r="BW42" s="192" t="str">
        <f>IF(AND($C42&lt;&gt;"",$I42&lt;&gt;""),(VLOOKUP($C42,'V-LOOKUP'!$C$61:$M$120,8,FALSE)),"0")</f>
        <v>0</v>
      </c>
      <c r="BX42" s="192" t="str">
        <f>IF(AND($C42&lt;&gt;"",$I42&lt;&gt;""),(VLOOKUP($C42,'V-LOOKUP'!$C$61:$M$120,9,FALSE)),"0")</f>
        <v>0</v>
      </c>
      <c r="BY42" s="192" t="str">
        <f>IF(AND($C42&lt;&gt;"",$I42&lt;&gt;""),(VLOOKUP($C42,'V-LOOKUP'!$C$61:$M$120,10,FALSE)),"0")</f>
        <v>0</v>
      </c>
      <c r="BZ42" s="192" t="str">
        <f>IF(AND($C42&lt;&gt;"",$I42&lt;&gt;""),(VLOOKUP($C42,'V-LOOKUP'!$C$61:$M$120,11,FALSE)),"0")</f>
        <v>0</v>
      </c>
      <c r="CA42" s="192" t="str">
        <f>IF(AND($C42&lt;&gt;"",$I42&lt;&gt;""),(VLOOKUP($C42,'V-LOOKUP'!$C$61:$N$120,12,FALSE)),"0")</f>
        <v>0</v>
      </c>
      <c r="CB42" s="192" t="str">
        <f>IF(AND($C42&lt;&gt;"",$J42&lt;&gt;""),(VLOOKUP($C42,'V-LOOKUP'!$C$61:$M$120,4,FALSE)),"0")</f>
        <v>0</v>
      </c>
      <c r="CC42" s="192" t="str">
        <f>IF(AND($C42&lt;&gt;"",$J42&lt;&gt;""),(VLOOKUP($C42,'V-LOOKUP'!$C$61:$M$120,5,FALSE)),"0")</f>
        <v>0</v>
      </c>
      <c r="CD42" s="192" t="str">
        <f>IF(AND($C42&lt;&gt;"",$J42&lt;&gt;""),(VLOOKUP($C42,'V-LOOKUP'!$C$61:$M$120,6,FALSE)),"0")</f>
        <v>0</v>
      </c>
      <c r="CE42" s="192" t="str">
        <f>IF(AND($C42&lt;&gt;"",$J42&lt;&gt;""),(VLOOKUP($C42,'V-LOOKUP'!$C$61:$M$120,7,FALSE)),"0")</f>
        <v>0</v>
      </c>
      <c r="CF42" s="192" t="str">
        <f>IF(AND($C42&lt;&gt;"",$J42&lt;&gt;""),(VLOOKUP($C42,'V-LOOKUP'!$C$61:$M$120,8,FALSE)),"0")</f>
        <v>0</v>
      </c>
      <c r="CG42" s="192" t="str">
        <f>IF(AND($C42&lt;&gt;"",$J42&lt;&gt;""),(VLOOKUP($C42,'V-LOOKUP'!$C$61:$M$120,9,FALSE)),"0")</f>
        <v>0</v>
      </c>
      <c r="CH42" s="192" t="str">
        <f>IF(AND($C42&lt;&gt;"",$J42&lt;&gt;""),(VLOOKUP($C42,'V-LOOKUP'!$C$61:$M$120,10,FALSE)),"0")</f>
        <v>0</v>
      </c>
      <c r="CI42" s="192" t="str">
        <f>IF(AND($C42&lt;&gt;"",$J42&lt;&gt;""),(VLOOKUP($C42,'V-LOOKUP'!$C$61:$M$120,11,FALSE)),"0")</f>
        <v>0</v>
      </c>
      <c r="CJ42" s="192" t="str">
        <f>IF(AND($C42&lt;&gt;"",$J42&lt;&gt;""),(VLOOKUP($C42,'V-LOOKUP'!$C$61:$N$120,12,FALSE)),"0")</f>
        <v>0</v>
      </c>
      <c r="CK42" s="192" t="str">
        <f>IF(AND($C42&lt;&gt;"",$K42&lt;&gt;""),(VLOOKUP($C42,'V-LOOKUP'!$C$61:$M$120,4,FALSE)),"0")</f>
        <v>0</v>
      </c>
      <c r="CL42" s="192" t="str">
        <f>IF(AND($C42&lt;&gt;"",$K42&lt;&gt;""),(VLOOKUP($C42,'V-LOOKUP'!$C$61:$M$120,5,FALSE)),"0")</f>
        <v>0</v>
      </c>
      <c r="CM42" s="192" t="str">
        <f>IF(AND($C42&lt;&gt;"",$K42&lt;&gt;""),(VLOOKUP($C42,'V-LOOKUP'!$C$61:$M$120,6,FALSE)),"0")</f>
        <v>0</v>
      </c>
      <c r="CN42" s="192" t="str">
        <f>IF(AND($C42&lt;&gt;"",$K42&lt;&gt;""),(VLOOKUP($C42,'V-LOOKUP'!$C$61:$M$120,7,FALSE)),"0")</f>
        <v>0</v>
      </c>
      <c r="CO42" s="192" t="str">
        <f>IF(AND($C42&lt;&gt;"",$K42&lt;&gt;""),(VLOOKUP($C42,'V-LOOKUP'!$C$61:$M$120,8,FALSE)),"0")</f>
        <v>0</v>
      </c>
      <c r="CP42" s="192" t="str">
        <f>IF(AND($C42&lt;&gt;"",$K42&lt;&gt;""),(VLOOKUP($C42,'V-LOOKUP'!$C$61:$M$120,9,FALSE)),"0")</f>
        <v>0</v>
      </c>
      <c r="CQ42" s="192" t="str">
        <f>IF(AND($C42&lt;&gt;"",$K42&lt;&gt;""),(VLOOKUP($C42,'V-LOOKUP'!$C$61:$M$120,10,FALSE)),"0")</f>
        <v>0</v>
      </c>
      <c r="CR42" s="192" t="str">
        <f>IF(AND($C42&lt;&gt;"",$K42&lt;&gt;""),(VLOOKUP($C42,'V-LOOKUP'!$C$61:$M$120,11,FALSE)),"0")</f>
        <v>0</v>
      </c>
      <c r="CS42" s="192" t="str">
        <f>IF(AND($C42&lt;&gt;"",$K42&lt;&gt;""),(VLOOKUP($C42,'V-LOOKUP'!$C$61:$N$120,12,FALSE)),"0")</f>
        <v>0</v>
      </c>
      <c r="CT42" s="192" t="str">
        <f>IF(AND($C42&lt;&gt;"",$L42&lt;&gt;""),(VLOOKUP($C42,'V-LOOKUP'!$C$61:$M$120,4,FALSE)),"0")</f>
        <v>0</v>
      </c>
      <c r="CU42" s="192" t="str">
        <f>IF(AND($C42&lt;&gt;"",$L42&lt;&gt;""),(VLOOKUP($C42,'V-LOOKUP'!$C$61:$M$120,5,FALSE)),"0")</f>
        <v>0</v>
      </c>
      <c r="CV42" s="192" t="str">
        <f>IF(AND($C42&lt;&gt;"",$L42&lt;&gt;""),(VLOOKUP($C42,'V-LOOKUP'!$C$61:$M$120,6,FALSE)),"0")</f>
        <v>0</v>
      </c>
      <c r="CW42" s="192" t="str">
        <f>IF(AND($C42&lt;&gt;"",$L42&lt;&gt;""),(VLOOKUP($C42,'V-LOOKUP'!$C$61:$M$120,7,FALSE)),"0")</f>
        <v>0</v>
      </c>
      <c r="CX42" s="192" t="str">
        <f>IF(AND($C42&lt;&gt;"",$L42&lt;&gt;""),(VLOOKUP($C42,'V-LOOKUP'!$C$61:$M$120,8,FALSE)),"0")</f>
        <v>0</v>
      </c>
      <c r="CY42" s="192" t="str">
        <f>IF(AND($C42&lt;&gt;"",$L42&lt;&gt;""),(VLOOKUP($C42,'V-LOOKUP'!$C$61:$M$120,9,FALSE)),"0")</f>
        <v>0</v>
      </c>
      <c r="CZ42" s="192" t="str">
        <f>IF(AND($C42&lt;&gt;"",$L42&lt;&gt;""),(VLOOKUP($C42,'V-LOOKUP'!$C$61:$M$120,10,FALSE)),"0")</f>
        <v>0</v>
      </c>
      <c r="DA42" s="192" t="str">
        <f>IF(AND($C42&lt;&gt;"",$L42&lt;&gt;""),(VLOOKUP($C42,'V-LOOKUP'!$C$61:$M$120,11,FALSE)),"0")</f>
        <v>0</v>
      </c>
      <c r="DB42" s="192" t="str">
        <f>IF(AND($C42&lt;&gt;"",$L42&lt;&gt;""),(VLOOKUP($C42,'V-LOOKUP'!$C$61:$N$120,12,FALSE)),"0")</f>
        <v>0</v>
      </c>
      <c r="DC42" s="192" t="str">
        <f>IF(AND($C42&lt;&gt;"",$M42&lt;&gt;""),(VLOOKUP($C42,'V-LOOKUP'!$C$61:$M$120,4,FALSE)),"0")</f>
        <v>0</v>
      </c>
      <c r="DD42" s="192" t="str">
        <f>IF(AND($C42&lt;&gt;"",$M42&lt;&gt;""),(VLOOKUP($C42,'V-LOOKUP'!$C$61:$M$120,5,FALSE)),"0")</f>
        <v>0</v>
      </c>
      <c r="DE42" s="192" t="str">
        <f>IF(AND($C42&lt;&gt;"",$M42&lt;&gt;""),(VLOOKUP($C42,'V-LOOKUP'!$C$61:$M$120,6,FALSE)),"0")</f>
        <v>0</v>
      </c>
      <c r="DF42" s="192" t="str">
        <f>IF(AND($C42&lt;&gt;"",$M42&lt;&gt;""),(VLOOKUP($C42,'V-LOOKUP'!$C$61:$M$120,7,FALSE)),"0")</f>
        <v>0</v>
      </c>
      <c r="DG42" s="192" t="str">
        <f>IF(AND($C42&lt;&gt;"",$M42&lt;&gt;""),(VLOOKUP($C42,'V-LOOKUP'!$C$61:$M$120,8,FALSE)),"0")</f>
        <v>0</v>
      </c>
      <c r="DH42" s="192" t="str">
        <f>IF(AND($C42&lt;&gt;"",$M42&lt;&gt;""),(VLOOKUP($C42,'V-LOOKUP'!$C$61:$M$120,9,FALSE)),"0")</f>
        <v>0</v>
      </c>
      <c r="DI42" s="192" t="str">
        <f>IF(AND($C42&lt;&gt;"",$M42&lt;&gt;""),(VLOOKUP($C42,'V-LOOKUP'!$C$61:$M$120,10,FALSE)),"0")</f>
        <v>0</v>
      </c>
      <c r="DJ42" s="192" t="str">
        <f>IF(AND($C42&lt;&gt;"",$M42&lt;&gt;""),(VLOOKUP($C42,'V-LOOKUP'!$C$61:$M$120,11,FALSE)),"0")</f>
        <v>0</v>
      </c>
      <c r="DK42" s="192" t="str">
        <f>IF(AND($C42&lt;&gt;"",$M42&lt;&gt;""),(VLOOKUP($C42,'V-LOOKUP'!$C$61:$N$120,12,FALSE)),"0")</f>
        <v>0</v>
      </c>
      <c r="DL42" s="192" t="str">
        <f>IF(AND($C42&lt;&gt;"",$N42&lt;&gt;""),(VLOOKUP($C42,'V-LOOKUP'!$C$61:$M$120,4,FALSE)),"0")</f>
        <v>0</v>
      </c>
      <c r="DM42" s="192" t="str">
        <f>IF(AND($C42&lt;&gt;"",$N42&lt;&gt;""),(VLOOKUP($C42,'V-LOOKUP'!$C$61:$M$120,5,FALSE)),"0")</f>
        <v>0</v>
      </c>
      <c r="DN42" s="192" t="str">
        <f>IF(AND($C42&lt;&gt;"",$N42&lt;&gt;""),(VLOOKUP($C42,'V-LOOKUP'!$C$61:$M$120,6,FALSE)),"0")</f>
        <v>0</v>
      </c>
      <c r="DO42" s="192" t="str">
        <f>IF(AND($C42&lt;&gt;"",$N42&lt;&gt;""),(VLOOKUP($C42,'V-LOOKUP'!$C$61:$M$120,7,FALSE)),"0")</f>
        <v>0</v>
      </c>
      <c r="DP42" s="192" t="str">
        <f>IF(AND($C42&lt;&gt;"",$N42&lt;&gt;""),(VLOOKUP($C42,'V-LOOKUP'!$C$61:$M$120,8,FALSE)),"0")</f>
        <v>0</v>
      </c>
      <c r="DQ42" s="192" t="str">
        <f>IF(AND($C42&lt;&gt;"",$N42&lt;&gt;""),(VLOOKUP($C42,'V-LOOKUP'!$C$61:$M$120,9,FALSE)),"0")</f>
        <v>0</v>
      </c>
      <c r="DR42" s="192" t="str">
        <f>IF(AND($C42&lt;&gt;"",$N42&lt;&gt;""),(VLOOKUP($C42,'V-LOOKUP'!$C$61:$M$120,10,FALSE)),"0")</f>
        <v>0</v>
      </c>
      <c r="DS42" s="192" t="str">
        <f>IF(AND($C42&lt;&gt;"",$N42&lt;&gt;""),(VLOOKUP($C42,'V-LOOKUP'!$C$61:$M$120,11,FALSE)),"0")</f>
        <v>0</v>
      </c>
      <c r="DT42" s="192" t="str">
        <f>IF(AND($C42&lt;&gt;"",$N42&lt;&gt;""),(VLOOKUP($C42,'V-LOOKUP'!$C$61:$N$120,12,FALSE)),"0")</f>
        <v>0</v>
      </c>
      <c r="DU42" s="192" t="str">
        <f>IF(AND($C42&lt;&gt;"",$O42&lt;&gt;""),(VLOOKUP($C42,'V-LOOKUP'!$C$61:$M$120,4,FALSE)),"0")</f>
        <v>0</v>
      </c>
      <c r="DV42" s="192" t="str">
        <f>IF(AND($C42&lt;&gt;"",$O42&lt;&gt;""),(VLOOKUP($C42,'V-LOOKUP'!$C$61:$M$120,5,FALSE)),"0")</f>
        <v>0</v>
      </c>
      <c r="DW42" s="192" t="str">
        <f>IF(AND($C42&lt;&gt;"",$O42&lt;&gt;""),(VLOOKUP($C42,'V-LOOKUP'!$C$61:$M$120,6,FALSE)),"0")</f>
        <v>0</v>
      </c>
      <c r="DX42" s="192" t="str">
        <f>IF(AND($C42&lt;&gt;"",$O42&lt;&gt;""),(VLOOKUP($C42,'V-LOOKUP'!$C$61:$M$120,7,FALSE)),"0")</f>
        <v>0</v>
      </c>
      <c r="DY42" s="192" t="str">
        <f>IF(AND($C42&lt;&gt;"",$O42&lt;&gt;""),(VLOOKUP($C42,'V-LOOKUP'!$C$61:$M$120,8,FALSE)),"0")</f>
        <v>0</v>
      </c>
      <c r="DZ42" s="192" t="str">
        <f>IF(AND($C42&lt;&gt;"",$O42&lt;&gt;""),(VLOOKUP($C42,'V-LOOKUP'!$C$61:$M$120,9,FALSE)),"0")</f>
        <v>0</v>
      </c>
      <c r="EA42" s="192" t="str">
        <f>IF(AND($C42&lt;&gt;"",$O42&lt;&gt;""),(VLOOKUP($C42,'V-LOOKUP'!$C$61:$M$120,10,FALSE)),"0")</f>
        <v>0</v>
      </c>
      <c r="EB42" s="192" t="str">
        <f>IF(AND($C42&lt;&gt;"",$O42&lt;&gt;""),(VLOOKUP($C42,'V-LOOKUP'!$C$61:$M$120,11,FALSE)),"0")</f>
        <v>0</v>
      </c>
      <c r="EC42" s="192" t="str">
        <f>IF(AND($C42&lt;&gt;"",$O42&lt;&gt;""),(VLOOKUP($C42,'V-LOOKUP'!$C$61:$N$120,12,FALSE)),"0")</f>
        <v>0</v>
      </c>
      <c r="ED42" s="192" t="str">
        <f>IF(AND($C42&lt;&gt;"",$P42&lt;&gt;""),(VLOOKUP($C42,'V-LOOKUP'!$C$61:$M$120,4,FALSE)),"0")</f>
        <v>0</v>
      </c>
      <c r="EE42" s="192" t="str">
        <f>IF(AND($C42&lt;&gt;"",$P42&lt;&gt;""),(VLOOKUP($C42,'V-LOOKUP'!$C$61:$M$120,5,FALSE)),"0")</f>
        <v>0</v>
      </c>
      <c r="EF42" s="192" t="str">
        <f>IF(AND($C42&lt;&gt;"",$P42&lt;&gt;""),(VLOOKUP($C42,'V-LOOKUP'!$C$61:$M$120,6,FALSE)),"0")</f>
        <v>0</v>
      </c>
      <c r="EG42" s="192" t="str">
        <f>IF(AND($C42&lt;&gt;"",$P42&lt;&gt;""),(VLOOKUP($C42,'V-LOOKUP'!$C$61:$M$120,7,FALSE)),"0")</f>
        <v>0</v>
      </c>
      <c r="EH42" s="192" t="str">
        <f>IF(AND($C42&lt;&gt;"",$P42&lt;&gt;""),(VLOOKUP($C42,'V-LOOKUP'!$C$61:$M$120,8,FALSE)),"0")</f>
        <v>0</v>
      </c>
      <c r="EI42" s="192" t="str">
        <f>IF(AND($C42&lt;&gt;"",$P42&lt;&gt;""),(VLOOKUP($C42,'V-LOOKUP'!$C$61:$M$120,9,FALSE)),"0")</f>
        <v>0</v>
      </c>
      <c r="EJ42" s="192" t="str">
        <f>IF(AND($C42&lt;&gt;"",$P42&lt;&gt;""),(VLOOKUP($C42,'V-LOOKUP'!$C$61:$M$120,10,FALSE)),"0")</f>
        <v>0</v>
      </c>
      <c r="EK42" s="192" t="str">
        <f>IF(AND($C42&lt;&gt;"",$P42&lt;&gt;""),(VLOOKUP($C42,'V-LOOKUP'!$C$61:$M$120,11,FALSE)),"0")</f>
        <v>0</v>
      </c>
      <c r="EL42" s="192" t="str">
        <f>IF(AND($C42&lt;&gt;"",$P42&lt;&gt;""),(VLOOKUP($C42,'V-LOOKUP'!$C$61:$N$120,12,FALSE)),"0")</f>
        <v>0</v>
      </c>
      <c r="EM42" s="192" t="str">
        <f>IF(AND($C42&lt;&gt;"",$Q42&lt;&gt;""),(VLOOKUP($C42,'V-LOOKUP'!$C$61:$M$120,4,FALSE)),"0")</f>
        <v>0</v>
      </c>
      <c r="EN42" s="192" t="str">
        <f>IF(AND($C42&lt;&gt;"",$Q42&lt;&gt;""),(VLOOKUP($C42,'V-LOOKUP'!$C$61:$M$120,5,FALSE)),"0")</f>
        <v>0</v>
      </c>
      <c r="EO42" s="192" t="str">
        <f>IF(AND($C42&lt;&gt;"",$Q42&lt;&gt;""),(VLOOKUP($C42,'V-LOOKUP'!$C$61:$M$120,6,FALSE)),"0")</f>
        <v>0</v>
      </c>
      <c r="EP42" s="192" t="str">
        <f>IF(AND($C42&lt;&gt;"",$Q42&lt;&gt;""),(VLOOKUP($C42,'V-LOOKUP'!$C$61:$M$120,7,FALSE)),"0")</f>
        <v>0</v>
      </c>
      <c r="EQ42" s="192" t="str">
        <f>IF(AND($C42&lt;&gt;"",$Q42&lt;&gt;""),(VLOOKUP($C42,'V-LOOKUP'!$C$61:$M$120,8,FALSE)),"0")</f>
        <v>0</v>
      </c>
      <c r="ER42" s="192" t="str">
        <f>IF(AND($C42&lt;&gt;"",$Q42&lt;&gt;""),(VLOOKUP($C42,'V-LOOKUP'!$C$61:$M$120,9,FALSE)),"0")</f>
        <v>0</v>
      </c>
      <c r="ES42" s="192" t="str">
        <f>IF(AND($C42&lt;&gt;"",$Q42&lt;&gt;""),(VLOOKUP($C42,'V-LOOKUP'!$C$61:$M$120,10,FALSE)),"0")</f>
        <v>0</v>
      </c>
      <c r="ET42" s="192" t="str">
        <f>IF(AND($C42&lt;&gt;"",$Q42&lt;&gt;""),(VLOOKUP($C42,'V-LOOKUP'!$C$61:$M$120,11,FALSE)),"0")</f>
        <v>0</v>
      </c>
      <c r="EU42" s="192" t="str">
        <f>IF(AND($C42&lt;&gt;"",$Q42&lt;&gt;""),(VLOOKUP($C42,'V-LOOKUP'!$C$61:$N$120,12,FALSE)),"0")</f>
        <v>0</v>
      </c>
      <c r="EV42" s="192" t="str">
        <f>IF(AND($C42&lt;&gt;"",$R42&lt;&gt;""),(VLOOKUP($C42,'V-LOOKUP'!$C$61:$M$120,4,FALSE)),"0")</f>
        <v>0</v>
      </c>
      <c r="EW42" s="192" t="str">
        <f>IF(AND($C42&lt;&gt;"",$R42&lt;&gt;""),(VLOOKUP($C42,'V-LOOKUP'!$C$61:$M$120,5,FALSE)),"0")</f>
        <v>0</v>
      </c>
      <c r="EX42" s="192" t="str">
        <f>IF(AND($C42&lt;&gt;"",$R42&lt;&gt;""),(VLOOKUP($C42,'V-LOOKUP'!$C$61:$M$120,6,FALSE)),"0")</f>
        <v>0</v>
      </c>
      <c r="EY42" s="192" t="str">
        <f>IF(AND($C42&lt;&gt;"",$R42&lt;&gt;""),(VLOOKUP($C42,'V-LOOKUP'!$C$61:$M$120,7,FALSE)),"0")</f>
        <v>0</v>
      </c>
      <c r="EZ42" s="192" t="str">
        <f>IF(AND($C42&lt;&gt;"",$R42&lt;&gt;""),(VLOOKUP($C42,'V-LOOKUP'!$C$61:$M$120,8,FALSE)),"0")</f>
        <v>0</v>
      </c>
      <c r="FA42" s="192" t="str">
        <f>IF(AND($C42&lt;&gt;"",$R42&lt;&gt;""),(VLOOKUP($C42,'V-LOOKUP'!$C$61:$M$120,9,FALSE)),"0")</f>
        <v>0</v>
      </c>
      <c r="FB42" s="192" t="str">
        <f>IF(AND($C42&lt;&gt;"",$R42&lt;&gt;""),(VLOOKUP($C42,'V-LOOKUP'!$C$61:$M$120,10,FALSE)),"0")</f>
        <v>0</v>
      </c>
      <c r="FC42" s="192" t="str">
        <f>IF(AND($C42&lt;&gt;"",$R42&lt;&gt;""),(VLOOKUP($C42,'V-LOOKUP'!$C$61:$M$120,11,FALSE)),"0")</f>
        <v>0</v>
      </c>
      <c r="FD42" s="192" t="str">
        <f>IF(AND($C42&lt;&gt;"",$R42&lt;&gt;""),(VLOOKUP($C42,'V-LOOKUP'!$C$61:$N$120,12,FALSE)),"0")</f>
        <v>0</v>
      </c>
      <c r="FE42" s="192" t="str">
        <f>IF(AND($C42&lt;&gt;"",$S42&lt;&gt;""),(VLOOKUP($C42,'V-LOOKUP'!$C$61:$M$120,4,FALSE)),"0")</f>
        <v>0</v>
      </c>
      <c r="FF42" s="192" t="str">
        <f>IF(AND($C42&lt;&gt;"",$S42&lt;&gt;""),(VLOOKUP($C42,'V-LOOKUP'!$C$61:$M$120,5,FALSE)),"0")</f>
        <v>0</v>
      </c>
      <c r="FG42" s="192" t="str">
        <f>IF(AND($C42&lt;&gt;"",$S42&lt;&gt;""),(VLOOKUP($C42,'V-LOOKUP'!$C$61:$M$120,6,FALSE)),"0")</f>
        <v>0</v>
      </c>
      <c r="FH42" s="192" t="str">
        <f>IF(AND($C42&lt;&gt;"",$S42&lt;&gt;""),(VLOOKUP($C42,'V-LOOKUP'!$C$61:$M$120,7,FALSE)),"0")</f>
        <v>0</v>
      </c>
      <c r="FI42" s="192" t="str">
        <f>IF(AND($C42&lt;&gt;"",$S42&lt;&gt;""),(VLOOKUP($C42,'V-LOOKUP'!$C$61:$M$120,8,FALSE)),"0")</f>
        <v>0</v>
      </c>
      <c r="FJ42" s="192" t="str">
        <f>IF(AND($C42&lt;&gt;"",$S42&lt;&gt;""),(VLOOKUP($C42,'V-LOOKUP'!$C$61:$M$120,9,FALSE)),"0")</f>
        <v>0</v>
      </c>
      <c r="FK42" s="192" t="str">
        <f>IF(AND($C42&lt;&gt;"",$S42&lt;&gt;""),(VLOOKUP($C42,'V-LOOKUP'!$C$61:$M$120,10,FALSE)),"0")</f>
        <v>0</v>
      </c>
      <c r="FL42" s="192" t="str">
        <f>IF(AND($C42&lt;&gt;"",$S42&lt;&gt;""),(VLOOKUP($C42,'V-LOOKUP'!$C$61:$M$120,11,FALSE)),"0")</f>
        <v>0</v>
      </c>
      <c r="FM42" s="192" t="str">
        <f>IF(AND($C42&lt;&gt;"",$S42&lt;&gt;""),(VLOOKUP($C42,'V-LOOKUP'!$C$61:$N$120,12,FALSE)),"0")</f>
        <v>0</v>
      </c>
      <c r="FN42" s="192" t="str">
        <f>IF(AND($C42&lt;&gt;"",$T42&lt;&gt;""),(VLOOKUP($C42,'V-LOOKUP'!$C$61:$M$120,4,FALSE)),"0")</f>
        <v>0</v>
      </c>
      <c r="FO42" s="192" t="str">
        <f>IF(AND($C42&lt;&gt;"",$T42&lt;&gt;""),(VLOOKUP($C42,'V-LOOKUP'!$C$61:$M$120,5,FALSE)),"0")</f>
        <v>0</v>
      </c>
      <c r="FP42" s="192" t="str">
        <f>IF(AND($C42&lt;&gt;"",$T42&lt;&gt;""),(VLOOKUP($C42,'V-LOOKUP'!$C$61:$M$120,6,FALSE)),"0")</f>
        <v>0</v>
      </c>
      <c r="FQ42" s="192" t="str">
        <f>IF(AND($C42&lt;&gt;"",$T42&lt;&gt;""),(VLOOKUP($C42,'V-LOOKUP'!$C$61:$M$120,7,FALSE)),"0")</f>
        <v>0</v>
      </c>
      <c r="FR42" s="192" t="str">
        <f>IF(AND($C42&lt;&gt;"",$T42&lt;&gt;""),(VLOOKUP($C42,'V-LOOKUP'!$C$61:$M$120,8,FALSE)),"0")</f>
        <v>0</v>
      </c>
      <c r="FS42" s="192" t="str">
        <f>IF(AND($C42&lt;&gt;"",$T42&lt;&gt;""),(VLOOKUP($C42,'V-LOOKUP'!$C$61:$M$120,9,FALSE)),"0")</f>
        <v>0</v>
      </c>
      <c r="FT42" s="192" t="str">
        <f>IF(AND($C42&lt;&gt;"",$T42&lt;&gt;""),(VLOOKUP($C42,'V-LOOKUP'!$C$61:$M$120,10,FALSE)),"0")</f>
        <v>0</v>
      </c>
      <c r="FU42" s="192" t="str">
        <f>IF(AND($C42&lt;&gt;"",$T42&lt;&gt;""),(VLOOKUP($C42,'V-LOOKUP'!$C$61:$M$120,11,FALSE)),"0")</f>
        <v>0</v>
      </c>
      <c r="FV42" s="192" t="str">
        <f>IF(AND($C42&lt;&gt;"",$T42&lt;&gt;""),(VLOOKUP($C42,'V-LOOKUP'!$C$61:$N$120,12,FALSE)),"0")</f>
        <v>0</v>
      </c>
      <c r="FW42" s="192" t="str">
        <f>IF(AND($C42&lt;&gt;"",$U42&lt;&gt;""),(VLOOKUP($C42,'V-LOOKUP'!$C$61:$M$120,4,FALSE)),"0")</f>
        <v>0</v>
      </c>
      <c r="FX42" s="192" t="str">
        <f>IF(AND($C42&lt;&gt;"",$U42&lt;&gt;""),(VLOOKUP($C42,'V-LOOKUP'!$C$61:$M$120,5,FALSE)),"0")</f>
        <v>0</v>
      </c>
      <c r="FY42" s="192" t="str">
        <f>IF(AND($C42&lt;&gt;"",$U42&lt;&gt;""),(VLOOKUP($C42,'V-LOOKUP'!$C$61:$M$120,6,FALSE)),"0")</f>
        <v>0</v>
      </c>
      <c r="FZ42" s="192" t="str">
        <f>IF(AND($C42&lt;&gt;"",$U42&lt;&gt;""),(VLOOKUP($C42,'V-LOOKUP'!$C$61:$M$120,7,FALSE)),"0")</f>
        <v>0</v>
      </c>
      <c r="GA42" s="192" t="str">
        <f>IF(AND($C42&lt;&gt;"",$U42&lt;&gt;""),(VLOOKUP($C42,'V-LOOKUP'!$C$61:$M$120,8,FALSE)),"0")</f>
        <v>0</v>
      </c>
      <c r="GB42" s="192" t="str">
        <f>IF(AND($C42&lt;&gt;"",$U42&lt;&gt;""),(VLOOKUP($C42,'V-LOOKUP'!$C$61:$M$120,9,FALSE)),"0")</f>
        <v>0</v>
      </c>
      <c r="GC42" s="192" t="str">
        <f>IF(AND($C42&lt;&gt;"",$U42&lt;&gt;""),(VLOOKUP($C42,'V-LOOKUP'!$C$61:$M$120,10,FALSE)),"0")</f>
        <v>0</v>
      </c>
      <c r="GD42" s="192" t="str">
        <f>IF(AND($C42&lt;&gt;"",$U42&lt;&gt;""),(VLOOKUP($C42,'V-LOOKUP'!$C$61:$M$120,11,FALSE)),"0")</f>
        <v>0</v>
      </c>
      <c r="GE42" s="192" t="str">
        <f>IF(AND($C42&lt;&gt;"",$U42&lt;&gt;""),(VLOOKUP($C42,'V-LOOKUP'!$C$61:$N$120,12,FALSE)),"0")</f>
        <v>0</v>
      </c>
      <c r="GF42" s="192" t="str">
        <f>IF(AND($C42&lt;&gt;"",$V42&lt;&gt;""),(VLOOKUP($C42,'V-LOOKUP'!$C$61:$M$120,4,FALSE)),"0")</f>
        <v>0</v>
      </c>
      <c r="GG42" s="192" t="str">
        <f>IF(AND($C42&lt;&gt;"",V42&lt;&gt;""),(VLOOKUP($C42,'V-LOOKUP'!$C$61:$M$120,5,FALSE)),"0")</f>
        <v>0</v>
      </c>
      <c r="GH42" s="192" t="str">
        <f>IF(AND($C42&lt;&gt;"",$V42&lt;&gt;""),(VLOOKUP($C42,'V-LOOKUP'!$C$61:$M$120,6,FALSE)),"0")</f>
        <v>0</v>
      </c>
      <c r="GI42" s="192" t="str">
        <f>IF(AND($C42&lt;&gt;"",$V42&lt;&gt;""),(VLOOKUP($C42,'V-LOOKUP'!$C$61:$M$120,7,FALSE)),"0")</f>
        <v>0</v>
      </c>
      <c r="GJ42" s="192" t="str">
        <f>IF(AND($C42&lt;&gt;"",$V42&lt;&gt;""),(VLOOKUP($C42,'V-LOOKUP'!$C$61:$M$120,8,FALSE)),"0")</f>
        <v>0</v>
      </c>
      <c r="GK42" s="192" t="str">
        <f>IF(AND($C42&lt;&gt;"",$V42&lt;&gt;""),(VLOOKUP($C42,'V-LOOKUP'!$C$61:$M$120,9,FALSE)),"0")</f>
        <v>0</v>
      </c>
      <c r="GL42" s="192" t="str">
        <f>IF(AND($C42&lt;&gt;"",$V42&lt;&gt;""),(VLOOKUP($C42,'V-LOOKUP'!$C$61:$M$120,10,FALSE)),"0")</f>
        <v>0</v>
      </c>
      <c r="GM42" s="192" t="str">
        <f>IF(AND($C42&lt;&gt;"",$V42&lt;&gt;""),(VLOOKUP($C42,'V-LOOKUP'!$C$61:$M$120,11,FALSE)),"0")</f>
        <v>0</v>
      </c>
      <c r="GN42" s="192" t="str">
        <f>IF(AND($C42&lt;&gt;"",$V42&lt;&gt;""),(VLOOKUP($C42,'V-LOOKUP'!$C$61:$N$120,12,FALSE)),"0")</f>
        <v>0</v>
      </c>
      <c r="GO42" s="192" t="str">
        <f>IF(AND($C42&lt;&gt;"",$W42&lt;&gt;""),(VLOOKUP($C42,'V-LOOKUP'!$C$61:$M$120,4,FALSE)),"0")</f>
        <v>0</v>
      </c>
      <c r="GP42" s="192" t="str">
        <f>IF(AND($C42&lt;&gt;"",$W42&lt;&gt;""),(VLOOKUP($C42,'V-LOOKUP'!$C$61:$M$120,5,FALSE)),"0")</f>
        <v>0</v>
      </c>
      <c r="GQ42" s="192" t="str">
        <f>IF(AND($C42&lt;&gt;"",$W42&lt;&gt;""),(VLOOKUP($C42,'V-LOOKUP'!$C$61:$M$120,6,FALSE)),"0")</f>
        <v>0</v>
      </c>
      <c r="GR42" s="192" t="str">
        <f>IF(AND($C42&lt;&gt;"",$W42&lt;&gt;""),(VLOOKUP($C42,'V-LOOKUP'!$C$61:$M$120,7,FALSE)),"0")</f>
        <v>0</v>
      </c>
      <c r="GS42" s="192" t="str">
        <f>IF(AND($C42&lt;&gt;"",$W42&lt;&gt;""),(VLOOKUP($C42,'V-LOOKUP'!$C$61:$M$120,8,FALSE)),"0")</f>
        <v>0</v>
      </c>
      <c r="GT42" s="192" t="str">
        <f>IF(AND($C42&lt;&gt;"",$W42&lt;&gt;""),(VLOOKUP($C42,'V-LOOKUP'!$C$61:$M$120,9,FALSE)),"0")</f>
        <v>0</v>
      </c>
      <c r="GU42" s="192" t="str">
        <f>IF(AND($C42&lt;&gt;"",$W42&lt;&gt;""),(VLOOKUP($C42,'V-LOOKUP'!$C$61:$M$120,10,FALSE)),"0")</f>
        <v>0</v>
      </c>
      <c r="GV42" s="192" t="str">
        <f>IF(AND($C42&lt;&gt;"",$W42&lt;&gt;""),(VLOOKUP($C42,'V-LOOKUP'!$C$61:$M$120,11,FALSE)),"0")</f>
        <v>0</v>
      </c>
      <c r="GW42" s="192" t="str">
        <f>IF(AND($C42&lt;&gt;"",$W42&lt;&gt;""),(VLOOKUP($C42,'V-LOOKUP'!$C$61:$N$120,12,FALSE)),"0")</f>
        <v>0</v>
      </c>
    </row>
    <row r="43" spans="1:205" ht="14.65" customHeight="1">
      <c r="A43" s="193"/>
      <c r="B43" s="245"/>
      <c r="C43" s="203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Y43" s="190"/>
      <c r="Z43" s="192" t="str">
        <f>IF(AND($C43&lt;&gt;"",$D43&lt;&gt;""),(VLOOKUP($C43,'V-LOOKUP'!$C$61:$M$120,4,FALSE)),"0")</f>
        <v>0</v>
      </c>
      <c r="AA43" s="192" t="str">
        <f>IF(AND($C43&lt;&gt;"",$D43&lt;&gt;""),(VLOOKUP($C43,'V-LOOKUP'!$C$61:$M$120,5,FALSE)),"0")</f>
        <v>0</v>
      </c>
      <c r="AB43" s="192" t="str">
        <f>IF(AND($C43&lt;&gt;"",$D43&lt;&gt;""),(VLOOKUP($C43,'V-LOOKUP'!$C$61:$M$120,6,FALSE)),"0")</f>
        <v>0</v>
      </c>
      <c r="AC43" s="192" t="str">
        <f>IF(AND($C43&lt;&gt;"",$D43&lt;&gt;""),(VLOOKUP($C43,'V-LOOKUP'!$C$61:$M$120,7,FALSE)),"0")</f>
        <v>0</v>
      </c>
      <c r="AD43" s="192" t="str">
        <f>IF(AND($C43&lt;&gt;"",$D43&lt;&gt;""),(VLOOKUP($C43,'V-LOOKUP'!$C$61:$M$120,8,FALSE)),"0")</f>
        <v>0</v>
      </c>
      <c r="AE43" s="192" t="str">
        <f>IF(AND($C43&lt;&gt;"",$D43&lt;&gt;""),(VLOOKUP($C43,'V-LOOKUP'!$C$61:$M$120,9,FALSE)),"0")</f>
        <v>0</v>
      </c>
      <c r="AF43" s="192" t="str">
        <f>IF(AND($C43&lt;&gt;"",$D43&lt;&gt;""),(VLOOKUP($C43,'V-LOOKUP'!$C$61:$M$120,10,FALSE)),"0")</f>
        <v>0</v>
      </c>
      <c r="AG43" s="192" t="str">
        <f>IF(AND($C43&lt;&gt;"",$D43&lt;&gt;""),(VLOOKUP($C43,'V-LOOKUP'!$C$61:$M$120,11,FALSE)),"0")</f>
        <v>0</v>
      </c>
      <c r="AH43" s="192" t="str">
        <f>IF(AND($C43&lt;&gt;"",$D43&lt;&gt;""),(VLOOKUP($C43,'V-LOOKUP'!$C$61:$N$120,12,FALSE)),"0")</f>
        <v>0</v>
      </c>
      <c r="AI43" s="192" t="str">
        <f>IF(AND($C43&lt;&gt;"",$E43&lt;&gt;""),(VLOOKUP($C43,'V-LOOKUP'!$C$61:$M$120,4,FALSE)),"0")</f>
        <v>0</v>
      </c>
      <c r="AJ43" s="192" t="str">
        <f>IF(AND($C43&lt;&gt;"",$E43&lt;&gt;""),(VLOOKUP($C43,'V-LOOKUP'!$C$61:$M$120,5,FALSE)),"0")</f>
        <v>0</v>
      </c>
      <c r="AK43" s="192" t="str">
        <f>IF(AND($C43&lt;&gt;"",$E43&lt;&gt;""),(VLOOKUP($C43,'V-LOOKUP'!$C$61:$M$120,6,FALSE)),"0")</f>
        <v>0</v>
      </c>
      <c r="AL43" s="192" t="str">
        <f>IF(AND($C43&lt;&gt;"",$E43&lt;&gt;""),(VLOOKUP($C43,'V-LOOKUP'!$C$61:$M$120,7,FALSE)),"0")</f>
        <v>0</v>
      </c>
      <c r="AM43" s="192" t="str">
        <f>IF(AND($C43&lt;&gt;"",$E43&lt;&gt;""),(VLOOKUP($C43,'V-LOOKUP'!$C$61:$M$120,8,FALSE)),"0")</f>
        <v>0</v>
      </c>
      <c r="AN43" s="192" t="str">
        <f>IF(AND($C43&lt;&gt;"",$E43&lt;&gt;""),(VLOOKUP($C43,'V-LOOKUP'!$C$61:$M$120,9,FALSE)),"0")</f>
        <v>0</v>
      </c>
      <c r="AO43" s="192" t="str">
        <f>IF(AND($C43&lt;&gt;"",$E43&lt;&gt;""),(VLOOKUP($C43,'V-LOOKUP'!$C$61:$M$120,10,FALSE)),"0")</f>
        <v>0</v>
      </c>
      <c r="AP43" s="192" t="str">
        <f>IF(AND($C43&lt;&gt;"",$E43&lt;&gt;""),(VLOOKUP($C43,'V-LOOKUP'!$C$61:$M$120,11,FALSE)),"0")</f>
        <v>0</v>
      </c>
      <c r="AQ43" s="192" t="str">
        <f>IF(AND($C43&lt;&gt;"",$E43&lt;&gt;""),(VLOOKUP($C43,'V-LOOKUP'!$C$61:$N$120,12,FALSE)),"0")</f>
        <v>0</v>
      </c>
      <c r="AR43" s="192" t="str">
        <f>IF(AND($C43&lt;&gt;"",$F43&lt;&gt;""),(VLOOKUP($C43,'V-LOOKUP'!$C$61:$M$120,4,FALSE)),"0")</f>
        <v>0</v>
      </c>
      <c r="AS43" s="192" t="str">
        <f>IF(AND($C43&lt;&gt;"",$F43&lt;&gt;""),(VLOOKUP($C43,'V-LOOKUP'!$C$61:$M$120,5,FALSE)),"0")</f>
        <v>0</v>
      </c>
      <c r="AT43" s="192" t="str">
        <f>IF(AND($C43&lt;&gt;"",$F43&lt;&gt;""),(VLOOKUP($C43,'V-LOOKUP'!$C$61:$M$120,6,FALSE)),"0")</f>
        <v>0</v>
      </c>
      <c r="AU43" s="192" t="str">
        <f>IF(AND($C43&lt;&gt;"",$F43&lt;&gt;""),(VLOOKUP($C43,'V-LOOKUP'!$C$61:$M$120,7,FALSE)),"0")</f>
        <v>0</v>
      </c>
      <c r="AV43" s="192" t="str">
        <f>IF(AND($C43&lt;&gt;"",$F43&lt;&gt;""),(VLOOKUP($C43,'V-LOOKUP'!$C$61:$M$120,8,FALSE)),"0")</f>
        <v>0</v>
      </c>
      <c r="AW43" s="192" t="str">
        <f>IF(AND($C43&lt;&gt;"",$F43&lt;&gt;""),(VLOOKUP($C43,'V-LOOKUP'!$C$61:$M$120,9,FALSE)),"0")</f>
        <v>0</v>
      </c>
      <c r="AX43" s="192" t="str">
        <f>IF(AND($C43&lt;&gt;"",$F43&lt;&gt;""),(VLOOKUP($C43,'V-LOOKUP'!$C$61:$M$120,10,FALSE)),"0")</f>
        <v>0</v>
      </c>
      <c r="AY43" s="192" t="str">
        <f>IF(AND($C43&lt;&gt;"",$F43&lt;&gt;""),(VLOOKUP($C43,'V-LOOKUP'!$C$61:$M$120,11,FALSE)),"0")</f>
        <v>0</v>
      </c>
      <c r="AZ43" s="192" t="str">
        <f>IF(AND($C43&lt;&gt;"",$F43&lt;&gt;""),(VLOOKUP($C43,'V-LOOKUP'!$C$61:$N$120,12,FALSE)),"0")</f>
        <v>0</v>
      </c>
      <c r="BA43" s="192" t="str">
        <f>IF(AND($C43&lt;&gt;"",$G43&lt;&gt;""),(VLOOKUP($C43,'V-LOOKUP'!$C$61:$M$120,4,FALSE)),"0")</f>
        <v>0</v>
      </c>
      <c r="BB43" s="192" t="str">
        <f>IF(AND($C43&lt;&gt;"",$G43&lt;&gt;""),(VLOOKUP($C43,'V-LOOKUP'!$C$61:$M$120,5,FALSE)),"0")</f>
        <v>0</v>
      </c>
      <c r="BC43" s="192" t="str">
        <f>IF(AND($C43&lt;&gt;"",$G43&lt;&gt;""),(VLOOKUP($C43,'V-LOOKUP'!$C$61:$M$120,6,FALSE)),"0")</f>
        <v>0</v>
      </c>
      <c r="BD43" s="192" t="str">
        <f>IF(AND($C43&lt;&gt;"",$G43&lt;&gt;""),(VLOOKUP($C43,'V-LOOKUP'!$C$61:$M$120,7,FALSE)),"0")</f>
        <v>0</v>
      </c>
      <c r="BE43" s="192" t="str">
        <f>IF(AND($C43&lt;&gt;"",$G43&lt;&gt;""),(VLOOKUP($C43,'V-LOOKUP'!$C$61:$M$120,8,FALSE)),"0")</f>
        <v>0</v>
      </c>
      <c r="BF43" s="192" t="str">
        <f>IF(AND($C43&lt;&gt;"",$G43&lt;&gt;""),(VLOOKUP($C43,'V-LOOKUP'!$C$61:$M$120,9,FALSE)),"0")</f>
        <v>0</v>
      </c>
      <c r="BG43" s="192" t="str">
        <f>IF(AND($C43&lt;&gt;"",$G43&lt;&gt;""),(VLOOKUP($C43,'V-LOOKUP'!$C$61:$M$120,10,FALSE)),"0")</f>
        <v>0</v>
      </c>
      <c r="BH43" s="192" t="str">
        <f>IF(AND($C43&lt;&gt;"",$G43&lt;&gt;""),(VLOOKUP($C43,'V-LOOKUP'!$C$61:$M$120,11,FALSE)),"0")</f>
        <v>0</v>
      </c>
      <c r="BI43" s="192" t="str">
        <f>IF(AND($C43&lt;&gt;"",$G43&lt;&gt;""),(VLOOKUP($C43,'V-LOOKUP'!$C$61:$N$120,12,FALSE)),"0")</f>
        <v>0</v>
      </c>
      <c r="BJ43" s="192" t="str">
        <f>IF(AND($C43&lt;&gt;"",$H43&lt;&gt;""),(VLOOKUP($C43,'V-LOOKUP'!$C$61:$M$120,4,FALSE)),"0")</f>
        <v>0</v>
      </c>
      <c r="BK43" s="192" t="str">
        <f>IF(AND($C43&lt;&gt;"",$H43&lt;&gt;""),(VLOOKUP($C43,'V-LOOKUP'!$C$61:$M$120,5,FALSE)),"0")</f>
        <v>0</v>
      </c>
      <c r="BL43" s="192" t="str">
        <f>IF(AND($C43&lt;&gt;"",$H43&lt;&gt;""),(VLOOKUP($C43,'V-LOOKUP'!$C$61:$M$120,6,FALSE)),"0")</f>
        <v>0</v>
      </c>
      <c r="BM43" s="192" t="str">
        <f>IF(AND($C43&lt;&gt;"",$H43&lt;&gt;""),(VLOOKUP($C43,'V-LOOKUP'!$C$61:$M$120,7,FALSE)),"0")</f>
        <v>0</v>
      </c>
      <c r="BN43" s="192" t="str">
        <f>IF(AND($C43&lt;&gt;"",$H43&lt;&gt;""),(VLOOKUP($C43,'V-LOOKUP'!$C$61:$M$120,8,FALSE)),"0")</f>
        <v>0</v>
      </c>
      <c r="BO43" s="192" t="str">
        <f>IF(AND($C43&lt;&gt;"",$H43&lt;&gt;""),(VLOOKUP($C43,'V-LOOKUP'!$C$61:$M$120,9,FALSE)),"0")</f>
        <v>0</v>
      </c>
      <c r="BP43" s="192" t="str">
        <f>IF(AND($C43&lt;&gt;"",$H43&lt;&gt;""),(VLOOKUP($C43,'V-LOOKUP'!$C$61:$M$120,10,FALSE)),"0")</f>
        <v>0</v>
      </c>
      <c r="BQ43" s="192" t="str">
        <f>IF(AND($C43&lt;&gt;"",$H43&lt;&gt;""),(VLOOKUP($C43,'V-LOOKUP'!$C$61:$M$120,11,FALSE)),"0")</f>
        <v>0</v>
      </c>
      <c r="BR43" s="192" t="str">
        <f>IF(AND($C43&lt;&gt;"",$H43&lt;&gt;""),(VLOOKUP($C43,'V-LOOKUP'!$C$61:$N$120,12,FALSE)),"0")</f>
        <v>0</v>
      </c>
      <c r="BS43" s="192" t="str">
        <f>IF(AND($C43&lt;&gt;"",$I43&lt;&gt;""),(VLOOKUP($C43,'V-LOOKUP'!$C$61:$M$120,4,FALSE)),"0")</f>
        <v>0</v>
      </c>
      <c r="BT43" s="192" t="str">
        <f>IF(AND($C43&lt;&gt;"",$I43&lt;&gt;""),(VLOOKUP($C43,'V-LOOKUP'!$C$61:$M$120,5,FALSE)),"0")</f>
        <v>0</v>
      </c>
      <c r="BU43" s="192" t="str">
        <f>IF(AND($C43&lt;&gt;"",$I43&lt;&gt;""),(VLOOKUP($C43,'V-LOOKUP'!$C$61:$M$120,6,FALSE)),"0")</f>
        <v>0</v>
      </c>
      <c r="BV43" s="192" t="str">
        <f>IF(AND($C43&lt;&gt;"",$I43&lt;&gt;""),(VLOOKUP($C43,'V-LOOKUP'!$C$61:$M$120,7,FALSE)),"0")</f>
        <v>0</v>
      </c>
      <c r="BW43" s="192" t="str">
        <f>IF(AND($C43&lt;&gt;"",$I43&lt;&gt;""),(VLOOKUP($C43,'V-LOOKUP'!$C$61:$M$120,8,FALSE)),"0")</f>
        <v>0</v>
      </c>
      <c r="BX43" s="192" t="str">
        <f>IF(AND($C43&lt;&gt;"",$I43&lt;&gt;""),(VLOOKUP($C43,'V-LOOKUP'!$C$61:$M$120,9,FALSE)),"0")</f>
        <v>0</v>
      </c>
      <c r="BY43" s="192" t="str">
        <f>IF(AND($C43&lt;&gt;"",$I43&lt;&gt;""),(VLOOKUP($C43,'V-LOOKUP'!$C$61:$M$120,10,FALSE)),"0")</f>
        <v>0</v>
      </c>
      <c r="BZ43" s="192" t="str">
        <f>IF(AND($C43&lt;&gt;"",$I43&lt;&gt;""),(VLOOKUP($C43,'V-LOOKUP'!$C$61:$M$120,11,FALSE)),"0")</f>
        <v>0</v>
      </c>
      <c r="CA43" s="192" t="str">
        <f>IF(AND($C43&lt;&gt;"",$I43&lt;&gt;""),(VLOOKUP($C43,'V-LOOKUP'!$C$61:$N$120,12,FALSE)),"0")</f>
        <v>0</v>
      </c>
      <c r="CB43" s="192" t="str">
        <f>IF(AND($C43&lt;&gt;"",$J43&lt;&gt;""),(VLOOKUP($C43,'V-LOOKUP'!$C$61:$M$120,4,FALSE)),"0")</f>
        <v>0</v>
      </c>
      <c r="CC43" s="192" t="str">
        <f>IF(AND($C43&lt;&gt;"",$J43&lt;&gt;""),(VLOOKUP($C43,'V-LOOKUP'!$C$61:$M$120,5,FALSE)),"0")</f>
        <v>0</v>
      </c>
      <c r="CD43" s="192" t="str">
        <f>IF(AND($C43&lt;&gt;"",$J43&lt;&gt;""),(VLOOKUP($C43,'V-LOOKUP'!$C$61:$M$120,6,FALSE)),"0")</f>
        <v>0</v>
      </c>
      <c r="CE43" s="192" t="str">
        <f>IF(AND($C43&lt;&gt;"",$J43&lt;&gt;""),(VLOOKUP($C43,'V-LOOKUP'!$C$61:$M$120,7,FALSE)),"0")</f>
        <v>0</v>
      </c>
      <c r="CF43" s="192" t="str">
        <f>IF(AND($C43&lt;&gt;"",$J43&lt;&gt;""),(VLOOKUP($C43,'V-LOOKUP'!$C$61:$M$120,8,FALSE)),"0")</f>
        <v>0</v>
      </c>
      <c r="CG43" s="192" t="str">
        <f>IF(AND($C43&lt;&gt;"",$J43&lt;&gt;""),(VLOOKUP($C43,'V-LOOKUP'!$C$61:$M$120,9,FALSE)),"0")</f>
        <v>0</v>
      </c>
      <c r="CH43" s="192" t="str">
        <f>IF(AND($C43&lt;&gt;"",$J43&lt;&gt;""),(VLOOKUP($C43,'V-LOOKUP'!$C$61:$M$120,10,FALSE)),"0")</f>
        <v>0</v>
      </c>
      <c r="CI43" s="192" t="str">
        <f>IF(AND($C43&lt;&gt;"",$J43&lt;&gt;""),(VLOOKUP($C43,'V-LOOKUP'!$C$61:$M$120,11,FALSE)),"0")</f>
        <v>0</v>
      </c>
      <c r="CJ43" s="192" t="str">
        <f>IF(AND($C43&lt;&gt;"",$J43&lt;&gt;""),(VLOOKUP($C43,'V-LOOKUP'!$C$61:$N$120,12,FALSE)),"0")</f>
        <v>0</v>
      </c>
      <c r="CK43" s="192" t="str">
        <f>IF(AND($C43&lt;&gt;"",$K43&lt;&gt;""),(VLOOKUP($C43,'V-LOOKUP'!$C$61:$M$120,4,FALSE)),"0")</f>
        <v>0</v>
      </c>
      <c r="CL43" s="192" t="str">
        <f>IF(AND($C43&lt;&gt;"",$K43&lt;&gt;""),(VLOOKUP($C43,'V-LOOKUP'!$C$61:$M$120,5,FALSE)),"0")</f>
        <v>0</v>
      </c>
      <c r="CM43" s="192" t="str">
        <f>IF(AND($C43&lt;&gt;"",$K43&lt;&gt;""),(VLOOKUP($C43,'V-LOOKUP'!$C$61:$M$120,6,FALSE)),"0")</f>
        <v>0</v>
      </c>
      <c r="CN43" s="192" t="str">
        <f>IF(AND($C43&lt;&gt;"",$K43&lt;&gt;""),(VLOOKUP($C43,'V-LOOKUP'!$C$61:$M$120,7,FALSE)),"0")</f>
        <v>0</v>
      </c>
      <c r="CO43" s="192" t="str">
        <f>IF(AND($C43&lt;&gt;"",$K43&lt;&gt;""),(VLOOKUP($C43,'V-LOOKUP'!$C$61:$M$120,8,FALSE)),"0")</f>
        <v>0</v>
      </c>
      <c r="CP43" s="192" t="str">
        <f>IF(AND($C43&lt;&gt;"",$K43&lt;&gt;""),(VLOOKUP($C43,'V-LOOKUP'!$C$61:$M$120,9,FALSE)),"0")</f>
        <v>0</v>
      </c>
      <c r="CQ43" s="192" t="str">
        <f>IF(AND($C43&lt;&gt;"",$K43&lt;&gt;""),(VLOOKUP($C43,'V-LOOKUP'!$C$61:$M$120,10,FALSE)),"0")</f>
        <v>0</v>
      </c>
      <c r="CR43" s="192" t="str">
        <f>IF(AND($C43&lt;&gt;"",$K43&lt;&gt;""),(VLOOKUP($C43,'V-LOOKUP'!$C$61:$M$120,11,FALSE)),"0")</f>
        <v>0</v>
      </c>
      <c r="CS43" s="192" t="str">
        <f>IF(AND($C43&lt;&gt;"",$K43&lt;&gt;""),(VLOOKUP($C43,'V-LOOKUP'!$C$61:$N$120,12,FALSE)),"0")</f>
        <v>0</v>
      </c>
      <c r="CT43" s="192" t="str">
        <f>IF(AND($C43&lt;&gt;"",$L43&lt;&gt;""),(VLOOKUP($C43,'V-LOOKUP'!$C$61:$M$120,4,FALSE)),"0")</f>
        <v>0</v>
      </c>
      <c r="CU43" s="192" t="str">
        <f>IF(AND($C43&lt;&gt;"",$L43&lt;&gt;""),(VLOOKUP($C43,'V-LOOKUP'!$C$61:$M$120,5,FALSE)),"0")</f>
        <v>0</v>
      </c>
      <c r="CV43" s="192" t="str">
        <f>IF(AND($C43&lt;&gt;"",$L43&lt;&gt;""),(VLOOKUP($C43,'V-LOOKUP'!$C$61:$M$120,6,FALSE)),"0")</f>
        <v>0</v>
      </c>
      <c r="CW43" s="192" t="str">
        <f>IF(AND($C43&lt;&gt;"",$L43&lt;&gt;""),(VLOOKUP($C43,'V-LOOKUP'!$C$61:$M$120,7,FALSE)),"0")</f>
        <v>0</v>
      </c>
      <c r="CX43" s="192" t="str">
        <f>IF(AND($C43&lt;&gt;"",$L43&lt;&gt;""),(VLOOKUP($C43,'V-LOOKUP'!$C$61:$M$120,8,FALSE)),"0")</f>
        <v>0</v>
      </c>
      <c r="CY43" s="192" t="str">
        <f>IF(AND($C43&lt;&gt;"",$L43&lt;&gt;""),(VLOOKUP($C43,'V-LOOKUP'!$C$61:$M$120,9,FALSE)),"0")</f>
        <v>0</v>
      </c>
      <c r="CZ43" s="192" t="str">
        <f>IF(AND($C43&lt;&gt;"",$L43&lt;&gt;""),(VLOOKUP($C43,'V-LOOKUP'!$C$61:$M$120,10,FALSE)),"0")</f>
        <v>0</v>
      </c>
      <c r="DA43" s="192" t="str">
        <f>IF(AND($C43&lt;&gt;"",$L43&lt;&gt;""),(VLOOKUP($C43,'V-LOOKUP'!$C$61:$M$120,11,FALSE)),"0")</f>
        <v>0</v>
      </c>
      <c r="DB43" s="192" t="str">
        <f>IF(AND($C43&lt;&gt;"",$L43&lt;&gt;""),(VLOOKUP($C43,'V-LOOKUP'!$C$61:$N$120,12,FALSE)),"0")</f>
        <v>0</v>
      </c>
      <c r="DC43" s="192" t="str">
        <f>IF(AND($C43&lt;&gt;"",$M43&lt;&gt;""),(VLOOKUP($C43,'V-LOOKUP'!$C$61:$M$120,4,FALSE)),"0")</f>
        <v>0</v>
      </c>
      <c r="DD43" s="192" t="str">
        <f>IF(AND($C43&lt;&gt;"",$M43&lt;&gt;""),(VLOOKUP($C43,'V-LOOKUP'!$C$61:$M$120,5,FALSE)),"0")</f>
        <v>0</v>
      </c>
      <c r="DE43" s="192" t="str">
        <f>IF(AND($C43&lt;&gt;"",$M43&lt;&gt;""),(VLOOKUP($C43,'V-LOOKUP'!$C$61:$M$120,6,FALSE)),"0")</f>
        <v>0</v>
      </c>
      <c r="DF43" s="192" t="str">
        <f>IF(AND($C43&lt;&gt;"",$M43&lt;&gt;""),(VLOOKUP($C43,'V-LOOKUP'!$C$61:$M$120,7,FALSE)),"0")</f>
        <v>0</v>
      </c>
      <c r="DG43" s="192" t="str">
        <f>IF(AND($C43&lt;&gt;"",$M43&lt;&gt;""),(VLOOKUP($C43,'V-LOOKUP'!$C$61:$M$120,8,FALSE)),"0")</f>
        <v>0</v>
      </c>
      <c r="DH43" s="192" t="str">
        <f>IF(AND($C43&lt;&gt;"",$M43&lt;&gt;""),(VLOOKUP($C43,'V-LOOKUP'!$C$61:$M$120,9,FALSE)),"0")</f>
        <v>0</v>
      </c>
      <c r="DI43" s="192" t="str">
        <f>IF(AND($C43&lt;&gt;"",$M43&lt;&gt;""),(VLOOKUP($C43,'V-LOOKUP'!$C$61:$M$120,10,FALSE)),"0")</f>
        <v>0</v>
      </c>
      <c r="DJ43" s="192" t="str">
        <f>IF(AND($C43&lt;&gt;"",$M43&lt;&gt;""),(VLOOKUP($C43,'V-LOOKUP'!$C$61:$M$120,11,FALSE)),"0")</f>
        <v>0</v>
      </c>
      <c r="DK43" s="192" t="str">
        <f>IF(AND($C43&lt;&gt;"",$M43&lt;&gt;""),(VLOOKUP($C43,'V-LOOKUP'!$C$61:$N$120,12,FALSE)),"0")</f>
        <v>0</v>
      </c>
      <c r="DL43" s="192" t="str">
        <f>IF(AND($C43&lt;&gt;"",$N43&lt;&gt;""),(VLOOKUP($C43,'V-LOOKUP'!$C$61:$M$120,4,FALSE)),"0")</f>
        <v>0</v>
      </c>
      <c r="DM43" s="192" t="str">
        <f>IF(AND($C43&lt;&gt;"",$N43&lt;&gt;""),(VLOOKUP($C43,'V-LOOKUP'!$C$61:$M$120,5,FALSE)),"0")</f>
        <v>0</v>
      </c>
      <c r="DN43" s="192" t="str">
        <f>IF(AND($C43&lt;&gt;"",$N43&lt;&gt;""),(VLOOKUP($C43,'V-LOOKUP'!$C$61:$M$120,6,FALSE)),"0")</f>
        <v>0</v>
      </c>
      <c r="DO43" s="192" t="str">
        <f>IF(AND($C43&lt;&gt;"",$N43&lt;&gt;""),(VLOOKUP($C43,'V-LOOKUP'!$C$61:$M$120,7,FALSE)),"0")</f>
        <v>0</v>
      </c>
      <c r="DP43" s="192" t="str">
        <f>IF(AND($C43&lt;&gt;"",$N43&lt;&gt;""),(VLOOKUP($C43,'V-LOOKUP'!$C$61:$M$120,8,FALSE)),"0")</f>
        <v>0</v>
      </c>
      <c r="DQ43" s="192" t="str">
        <f>IF(AND($C43&lt;&gt;"",$N43&lt;&gt;""),(VLOOKUP($C43,'V-LOOKUP'!$C$61:$M$120,9,FALSE)),"0")</f>
        <v>0</v>
      </c>
      <c r="DR43" s="192" t="str">
        <f>IF(AND($C43&lt;&gt;"",$N43&lt;&gt;""),(VLOOKUP($C43,'V-LOOKUP'!$C$61:$M$120,10,FALSE)),"0")</f>
        <v>0</v>
      </c>
      <c r="DS43" s="192" t="str">
        <f>IF(AND($C43&lt;&gt;"",$N43&lt;&gt;""),(VLOOKUP($C43,'V-LOOKUP'!$C$61:$M$120,11,FALSE)),"0")</f>
        <v>0</v>
      </c>
      <c r="DT43" s="192" t="str">
        <f>IF(AND($C43&lt;&gt;"",$N43&lt;&gt;""),(VLOOKUP($C43,'V-LOOKUP'!$C$61:$N$120,12,FALSE)),"0")</f>
        <v>0</v>
      </c>
      <c r="DU43" s="192" t="str">
        <f>IF(AND($C43&lt;&gt;"",$O43&lt;&gt;""),(VLOOKUP($C43,'V-LOOKUP'!$C$61:$M$120,4,FALSE)),"0")</f>
        <v>0</v>
      </c>
      <c r="DV43" s="192" t="str">
        <f>IF(AND($C43&lt;&gt;"",$O43&lt;&gt;""),(VLOOKUP($C43,'V-LOOKUP'!$C$61:$M$120,5,FALSE)),"0")</f>
        <v>0</v>
      </c>
      <c r="DW43" s="192" t="str">
        <f>IF(AND($C43&lt;&gt;"",$O43&lt;&gt;""),(VLOOKUP($C43,'V-LOOKUP'!$C$61:$M$120,6,FALSE)),"0")</f>
        <v>0</v>
      </c>
      <c r="DX43" s="192" t="str">
        <f>IF(AND($C43&lt;&gt;"",$O43&lt;&gt;""),(VLOOKUP($C43,'V-LOOKUP'!$C$61:$M$120,7,FALSE)),"0")</f>
        <v>0</v>
      </c>
      <c r="DY43" s="192" t="str">
        <f>IF(AND($C43&lt;&gt;"",$O43&lt;&gt;""),(VLOOKUP($C43,'V-LOOKUP'!$C$61:$M$120,8,FALSE)),"0")</f>
        <v>0</v>
      </c>
      <c r="DZ43" s="192" t="str">
        <f>IF(AND($C43&lt;&gt;"",$O43&lt;&gt;""),(VLOOKUP($C43,'V-LOOKUP'!$C$61:$M$120,9,FALSE)),"0")</f>
        <v>0</v>
      </c>
      <c r="EA43" s="192" t="str">
        <f>IF(AND($C43&lt;&gt;"",$O43&lt;&gt;""),(VLOOKUP($C43,'V-LOOKUP'!$C$61:$M$120,10,FALSE)),"0")</f>
        <v>0</v>
      </c>
      <c r="EB43" s="192" t="str">
        <f>IF(AND($C43&lt;&gt;"",$O43&lt;&gt;""),(VLOOKUP($C43,'V-LOOKUP'!$C$61:$M$120,11,FALSE)),"0")</f>
        <v>0</v>
      </c>
      <c r="EC43" s="192" t="str">
        <f>IF(AND($C43&lt;&gt;"",$O43&lt;&gt;""),(VLOOKUP($C43,'V-LOOKUP'!$C$61:$N$120,12,FALSE)),"0")</f>
        <v>0</v>
      </c>
      <c r="ED43" s="192" t="str">
        <f>IF(AND($C43&lt;&gt;"",$P43&lt;&gt;""),(VLOOKUP($C43,'V-LOOKUP'!$C$61:$M$120,4,FALSE)),"0")</f>
        <v>0</v>
      </c>
      <c r="EE43" s="192" t="str">
        <f>IF(AND($C43&lt;&gt;"",$P43&lt;&gt;""),(VLOOKUP($C43,'V-LOOKUP'!$C$61:$M$120,5,FALSE)),"0")</f>
        <v>0</v>
      </c>
      <c r="EF43" s="192" t="str">
        <f>IF(AND($C43&lt;&gt;"",$P43&lt;&gt;""),(VLOOKUP($C43,'V-LOOKUP'!$C$61:$M$120,6,FALSE)),"0")</f>
        <v>0</v>
      </c>
      <c r="EG43" s="192" t="str">
        <f>IF(AND($C43&lt;&gt;"",$P43&lt;&gt;""),(VLOOKUP($C43,'V-LOOKUP'!$C$61:$M$120,7,FALSE)),"0")</f>
        <v>0</v>
      </c>
      <c r="EH43" s="192" t="str">
        <f>IF(AND($C43&lt;&gt;"",$P43&lt;&gt;""),(VLOOKUP($C43,'V-LOOKUP'!$C$61:$M$120,8,FALSE)),"0")</f>
        <v>0</v>
      </c>
      <c r="EI43" s="192" t="str">
        <f>IF(AND($C43&lt;&gt;"",$P43&lt;&gt;""),(VLOOKUP($C43,'V-LOOKUP'!$C$61:$M$120,9,FALSE)),"0")</f>
        <v>0</v>
      </c>
      <c r="EJ43" s="192" t="str">
        <f>IF(AND($C43&lt;&gt;"",$P43&lt;&gt;""),(VLOOKUP($C43,'V-LOOKUP'!$C$61:$M$120,10,FALSE)),"0")</f>
        <v>0</v>
      </c>
      <c r="EK43" s="192" t="str">
        <f>IF(AND($C43&lt;&gt;"",$P43&lt;&gt;""),(VLOOKUP($C43,'V-LOOKUP'!$C$61:$M$120,11,FALSE)),"0")</f>
        <v>0</v>
      </c>
      <c r="EL43" s="192" t="str">
        <f>IF(AND($C43&lt;&gt;"",$P43&lt;&gt;""),(VLOOKUP($C43,'V-LOOKUP'!$C$61:$N$120,12,FALSE)),"0")</f>
        <v>0</v>
      </c>
      <c r="EM43" s="192" t="str">
        <f>IF(AND($C43&lt;&gt;"",$Q43&lt;&gt;""),(VLOOKUP($C43,'V-LOOKUP'!$C$61:$M$120,4,FALSE)),"0")</f>
        <v>0</v>
      </c>
      <c r="EN43" s="192" t="str">
        <f>IF(AND($C43&lt;&gt;"",$Q43&lt;&gt;""),(VLOOKUP($C43,'V-LOOKUP'!$C$61:$M$120,5,FALSE)),"0")</f>
        <v>0</v>
      </c>
      <c r="EO43" s="192" t="str">
        <f>IF(AND($C43&lt;&gt;"",$Q43&lt;&gt;""),(VLOOKUP($C43,'V-LOOKUP'!$C$61:$M$120,6,FALSE)),"0")</f>
        <v>0</v>
      </c>
      <c r="EP43" s="192" t="str">
        <f>IF(AND($C43&lt;&gt;"",$Q43&lt;&gt;""),(VLOOKUP($C43,'V-LOOKUP'!$C$61:$M$120,7,FALSE)),"0")</f>
        <v>0</v>
      </c>
      <c r="EQ43" s="192" t="str">
        <f>IF(AND($C43&lt;&gt;"",$Q43&lt;&gt;""),(VLOOKUP($C43,'V-LOOKUP'!$C$61:$M$120,8,FALSE)),"0")</f>
        <v>0</v>
      </c>
      <c r="ER43" s="192" t="str">
        <f>IF(AND($C43&lt;&gt;"",$Q43&lt;&gt;""),(VLOOKUP($C43,'V-LOOKUP'!$C$61:$M$120,9,FALSE)),"0")</f>
        <v>0</v>
      </c>
      <c r="ES43" s="192" t="str">
        <f>IF(AND($C43&lt;&gt;"",$Q43&lt;&gt;""),(VLOOKUP($C43,'V-LOOKUP'!$C$61:$M$120,10,FALSE)),"0")</f>
        <v>0</v>
      </c>
      <c r="ET43" s="192" t="str">
        <f>IF(AND($C43&lt;&gt;"",$Q43&lt;&gt;""),(VLOOKUP($C43,'V-LOOKUP'!$C$61:$M$120,11,FALSE)),"0")</f>
        <v>0</v>
      </c>
      <c r="EU43" s="192" t="str">
        <f>IF(AND($C43&lt;&gt;"",$Q43&lt;&gt;""),(VLOOKUP($C43,'V-LOOKUP'!$C$61:$N$120,12,FALSE)),"0")</f>
        <v>0</v>
      </c>
      <c r="EV43" s="192" t="str">
        <f>IF(AND($C43&lt;&gt;"",$R43&lt;&gt;""),(VLOOKUP($C43,'V-LOOKUP'!$C$61:$M$120,4,FALSE)),"0")</f>
        <v>0</v>
      </c>
      <c r="EW43" s="192" t="str">
        <f>IF(AND($C43&lt;&gt;"",$R43&lt;&gt;""),(VLOOKUP($C43,'V-LOOKUP'!$C$61:$M$120,5,FALSE)),"0")</f>
        <v>0</v>
      </c>
      <c r="EX43" s="192" t="str">
        <f>IF(AND($C43&lt;&gt;"",$R43&lt;&gt;""),(VLOOKUP($C43,'V-LOOKUP'!$C$61:$M$120,6,FALSE)),"0")</f>
        <v>0</v>
      </c>
      <c r="EY43" s="192" t="str">
        <f>IF(AND($C43&lt;&gt;"",$R43&lt;&gt;""),(VLOOKUP($C43,'V-LOOKUP'!$C$61:$M$120,7,FALSE)),"0")</f>
        <v>0</v>
      </c>
      <c r="EZ43" s="192" t="str">
        <f>IF(AND($C43&lt;&gt;"",$R43&lt;&gt;""),(VLOOKUP($C43,'V-LOOKUP'!$C$61:$M$120,8,FALSE)),"0")</f>
        <v>0</v>
      </c>
      <c r="FA43" s="192" t="str">
        <f>IF(AND($C43&lt;&gt;"",$R43&lt;&gt;""),(VLOOKUP($C43,'V-LOOKUP'!$C$61:$M$120,9,FALSE)),"0")</f>
        <v>0</v>
      </c>
      <c r="FB43" s="192" t="str">
        <f>IF(AND($C43&lt;&gt;"",$R43&lt;&gt;""),(VLOOKUP($C43,'V-LOOKUP'!$C$61:$M$120,10,FALSE)),"0")</f>
        <v>0</v>
      </c>
      <c r="FC43" s="192" t="str">
        <f>IF(AND($C43&lt;&gt;"",$R43&lt;&gt;""),(VLOOKUP($C43,'V-LOOKUP'!$C$61:$M$120,11,FALSE)),"0")</f>
        <v>0</v>
      </c>
      <c r="FD43" s="192" t="str">
        <f>IF(AND($C43&lt;&gt;"",$R43&lt;&gt;""),(VLOOKUP($C43,'V-LOOKUP'!$C$61:$N$120,12,FALSE)),"0")</f>
        <v>0</v>
      </c>
      <c r="FE43" s="192" t="str">
        <f>IF(AND($C43&lt;&gt;"",$S43&lt;&gt;""),(VLOOKUP($C43,'V-LOOKUP'!$C$61:$M$120,4,FALSE)),"0")</f>
        <v>0</v>
      </c>
      <c r="FF43" s="192" t="str">
        <f>IF(AND($C43&lt;&gt;"",$S43&lt;&gt;""),(VLOOKUP($C43,'V-LOOKUP'!$C$61:$M$120,5,FALSE)),"0")</f>
        <v>0</v>
      </c>
      <c r="FG43" s="192" t="str">
        <f>IF(AND($C43&lt;&gt;"",$S43&lt;&gt;""),(VLOOKUP($C43,'V-LOOKUP'!$C$61:$M$120,6,FALSE)),"0")</f>
        <v>0</v>
      </c>
      <c r="FH43" s="192" t="str">
        <f>IF(AND($C43&lt;&gt;"",$S43&lt;&gt;""),(VLOOKUP($C43,'V-LOOKUP'!$C$61:$M$120,7,FALSE)),"0")</f>
        <v>0</v>
      </c>
      <c r="FI43" s="192" t="str">
        <f>IF(AND($C43&lt;&gt;"",$S43&lt;&gt;""),(VLOOKUP($C43,'V-LOOKUP'!$C$61:$M$120,8,FALSE)),"0")</f>
        <v>0</v>
      </c>
      <c r="FJ43" s="192" t="str">
        <f>IF(AND($C43&lt;&gt;"",$S43&lt;&gt;""),(VLOOKUP($C43,'V-LOOKUP'!$C$61:$M$120,9,FALSE)),"0")</f>
        <v>0</v>
      </c>
      <c r="FK43" s="192" t="str">
        <f>IF(AND($C43&lt;&gt;"",$S43&lt;&gt;""),(VLOOKUP($C43,'V-LOOKUP'!$C$61:$M$120,10,FALSE)),"0")</f>
        <v>0</v>
      </c>
      <c r="FL43" s="192" t="str">
        <f>IF(AND($C43&lt;&gt;"",$S43&lt;&gt;""),(VLOOKUP($C43,'V-LOOKUP'!$C$61:$M$120,11,FALSE)),"0")</f>
        <v>0</v>
      </c>
      <c r="FM43" s="192" t="str">
        <f>IF(AND($C43&lt;&gt;"",$S43&lt;&gt;""),(VLOOKUP($C43,'V-LOOKUP'!$C$61:$N$120,12,FALSE)),"0")</f>
        <v>0</v>
      </c>
      <c r="FN43" s="192" t="str">
        <f>IF(AND($C43&lt;&gt;"",$T43&lt;&gt;""),(VLOOKUP($C43,'V-LOOKUP'!$C$61:$M$120,4,FALSE)),"0")</f>
        <v>0</v>
      </c>
      <c r="FO43" s="192" t="str">
        <f>IF(AND($C43&lt;&gt;"",$T43&lt;&gt;""),(VLOOKUP($C43,'V-LOOKUP'!$C$61:$M$120,5,FALSE)),"0")</f>
        <v>0</v>
      </c>
      <c r="FP43" s="192" t="str">
        <f>IF(AND($C43&lt;&gt;"",$T43&lt;&gt;""),(VLOOKUP($C43,'V-LOOKUP'!$C$61:$M$120,6,FALSE)),"0")</f>
        <v>0</v>
      </c>
      <c r="FQ43" s="192" t="str">
        <f>IF(AND($C43&lt;&gt;"",$T43&lt;&gt;""),(VLOOKUP($C43,'V-LOOKUP'!$C$61:$M$120,7,FALSE)),"0")</f>
        <v>0</v>
      </c>
      <c r="FR43" s="192" t="str">
        <f>IF(AND($C43&lt;&gt;"",$T43&lt;&gt;""),(VLOOKUP($C43,'V-LOOKUP'!$C$61:$M$120,8,FALSE)),"0")</f>
        <v>0</v>
      </c>
      <c r="FS43" s="192" t="str">
        <f>IF(AND($C43&lt;&gt;"",$T43&lt;&gt;""),(VLOOKUP($C43,'V-LOOKUP'!$C$61:$M$120,9,FALSE)),"0")</f>
        <v>0</v>
      </c>
      <c r="FT43" s="192" t="str">
        <f>IF(AND($C43&lt;&gt;"",$T43&lt;&gt;""),(VLOOKUP($C43,'V-LOOKUP'!$C$61:$M$120,10,FALSE)),"0")</f>
        <v>0</v>
      </c>
      <c r="FU43" s="192" t="str">
        <f>IF(AND($C43&lt;&gt;"",$T43&lt;&gt;""),(VLOOKUP($C43,'V-LOOKUP'!$C$61:$M$120,11,FALSE)),"0")</f>
        <v>0</v>
      </c>
      <c r="FV43" s="192" t="str">
        <f>IF(AND($C43&lt;&gt;"",$T43&lt;&gt;""),(VLOOKUP($C43,'V-LOOKUP'!$C$61:$N$120,12,FALSE)),"0")</f>
        <v>0</v>
      </c>
      <c r="FW43" s="192" t="str">
        <f>IF(AND($C43&lt;&gt;"",$U43&lt;&gt;""),(VLOOKUP($C43,'V-LOOKUP'!$C$61:$M$120,4,FALSE)),"0")</f>
        <v>0</v>
      </c>
      <c r="FX43" s="192" t="str">
        <f>IF(AND($C43&lt;&gt;"",$U43&lt;&gt;""),(VLOOKUP($C43,'V-LOOKUP'!$C$61:$M$120,5,FALSE)),"0")</f>
        <v>0</v>
      </c>
      <c r="FY43" s="192" t="str">
        <f>IF(AND($C43&lt;&gt;"",$U43&lt;&gt;""),(VLOOKUP($C43,'V-LOOKUP'!$C$61:$M$120,6,FALSE)),"0")</f>
        <v>0</v>
      </c>
      <c r="FZ43" s="192" t="str">
        <f>IF(AND($C43&lt;&gt;"",$U43&lt;&gt;""),(VLOOKUP($C43,'V-LOOKUP'!$C$61:$M$120,7,FALSE)),"0")</f>
        <v>0</v>
      </c>
      <c r="GA43" s="192" t="str">
        <f>IF(AND($C43&lt;&gt;"",$U43&lt;&gt;""),(VLOOKUP($C43,'V-LOOKUP'!$C$61:$M$120,8,FALSE)),"0")</f>
        <v>0</v>
      </c>
      <c r="GB43" s="192" t="str">
        <f>IF(AND($C43&lt;&gt;"",$U43&lt;&gt;""),(VLOOKUP($C43,'V-LOOKUP'!$C$61:$M$120,9,FALSE)),"0")</f>
        <v>0</v>
      </c>
      <c r="GC43" s="192" t="str">
        <f>IF(AND($C43&lt;&gt;"",$U43&lt;&gt;""),(VLOOKUP($C43,'V-LOOKUP'!$C$61:$M$120,10,FALSE)),"0")</f>
        <v>0</v>
      </c>
      <c r="GD43" s="192" t="str">
        <f>IF(AND($C43&lt;&gt;"",$U43&lt;&gt;""),(VLOOKUP($C43,'V-LOOKUP'!$C$61:$M$120,11,FALSE)),"0")</f>
        <v>0</v>
      </c>
      <c r="GE43" s="192" t="str">
        <f>IF(AND($C43&lt;&gt;"",$U43&lt;&gt;""),(VLOOKUP($C43,'V-LOOKUP'!$C$61:$N$120,12,FALSE)),"0")</f>
        <v>0</v>
      </c>
      <c r="GF43" s="192" t="str">
        <f>IF(AND($C43&lt;&gt;"",$V43&lt;&gt;""),(VLOOKUP($C43,'V-LOOKUP'!$C$61:$M$120,4,FALSE)),"0")</f>
        <v>0</v>
      </c>
      <c r="GG43" s="192" t="str">
        <f>IF(AND($C43&lt;&gt;"",V43&lt;&gt;""),(VLOOKUP($C43,'V-LOOKUP'!$C$61:$M$120,5,FALSE)),"0")</f>
        <v>0</v>
      </c>
      <c r="GH43" s="192" t="str">
        <f>IF(AND($C43&lt;&gt;"",$V43&lt;&gt;""),(VLOOKUP($C43,'V-LOOKUP'!$C$61:$M$120,6,FALSE)),"0")</f>
        <v>0</v>
      </c>
      <c r="GI43" s="192" t="str">
        <f>IF(AND($C43&lt;&gt;"",$V43&lt;&gt;""),(VLOOKUP($C43,'V-LOOKUP'!$C$61:$M$120,7,FALSE)),"0")</f>
        <v>0</v>
      </c>
      <c r="GJ43" s="192" t="str">
        <f>IF(AND($C43&lt;&gt;"",$V43&lt;&gt;""),(VLOOKUP($C43,'V-LOOKUP'!$C$61:$M$120,8,FALSE)),"0")</f>
        <v>0</v>
      </c>
      <c r="GK43" s="192" t="str">
        <f>IF(AND($C43&lt;&gt;"",$V43&lt;&gt;""),(VLOOKUP($C43,'V-LOOKUP'!$C$61:$M$120,9,FALSE)),"0")</f>
        <v>0</v>
      </c>
      <c r="GL43" s="192" t="str">
        <f>IF(AND($C43&lt;&gt;"",$V43&lt;&gt;""),(VLOOKUP($C43,'V-LOOKUP'!$C$61:$M$120,10,FALSE)),"0")</f>
        <v>0</v>
      </c>
      <c r="GM43" s="192" t="str">
        <f>IF(AND($C43&lt;&gt;"",$V43&lt;&gt;""),(VLOOKUP($C43,'V-LOOKUP'!$C$61:$M$120,11,FALSE)),"0")</f>
        <v>0</v>
      </c>
      <c r="GN43" s="192" t="str">
        <f>IF(AND($C43&lt;&gt;"",$V43&lt;&gt;""),(VLOOKUP($C43,'V-LOOKUP'!$C$61:$N$120,12,FALSE)),"0")</f>
        <v>0</v>
      </c>
      <c r="GO43" s="192" t="str">
        <f>IF(AND($C43&lt;&gt;"",$W43&lt;&gt;""),(VLOOKUP($C43,'V-LOOKUP'!$C$61:$M$120,4,FALSE)),"0")</f>
        <v>0</v>
      </c>
      <c r="GP43" s="192" t="str">
        <f>IF(AND($C43&lt;&gt;"",$W43&lt;&gt;""),(VLOOKUP($C43,'V-LOOKUP'!$C$61:$M$120,5,FALSE)),"0")</f>
        <v>0</v>
      </c>
      <c r="GQ43" s="192" t="str">
        <f>IF(AND($C43&lt;&gt;"",$W43&lt;&gt;""),(VLOOKUP($C43,'V-LOOKUP'!$C$61:$M$120,6,FALSE)),"0")</f>
        <v>0</v>
      </c>
      <c r="GR43" s="192" t="str">
        <f>IF(AND($C43&lt;&gt;"",$W43&lt;&gt;""),(VLOOKUP($C43,'V-LOOKUP'!$C$61:$M$120,7,FALSE)),"0")</f>
        <v>0</v>
      </c>
      <c r="GS43" s="192" t="str">
        <f>IF(AND($C43&lt;&gt;"",$W43&lt;&gt;""),(VLOOKUP($C43,'V-LOOKUP'!$C$61:$M$120,8,FALSE)),"0")</f>
        <v>0</v>
      </c>
      <c r="GT43" s="192" t="str">
        <f>IF(AND($C43&lt;&gt;"",$W43&lt;&gt;""),(VLOOKUP($C43,'V-LOOKUP'!$C$61:$M$120,9,FALSE)),"0")</f>
        <v>0</v>
      </c>
      <c r="GU43" s="192" t="str">
        <f>IF(AND($C43&lt;&gt;"",$W43&lt;&gt;""),(VLOOKUP($C43,'V-LOOKUP'!$C$61:$M$120,10,FALSE)),"0")</f>
        <v>0</v>
      </c>
      <c r="GV43" s="192" t="str">
        <f>IF(AND($C43&lt;&gt;"",$W43&lt;&gt;""),(VLOOKUP($C43,'V-LOOKUP'!$C$61:$M$120,11,FALSE)),"0")</f>
        <v>0</v>
      </c>
      <c r="GW43" s="192" t="str">
        <f>IF(AND($C43&lt;&gt;"",$W43&lt;&gt;""),(VLOOKUP($C43,'V-LOOKUP'!$C$61:$N$120,12,FALSE)),"0")</f>
        <v>0</v>
      </c>
    </row>
    <row r="44" spans="1:205" ht="14.65" customHeight="1">
      <c r="A44" s="193"/>
      <c r="B44" s="245"/>
      <c r="C44" s="203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Y44" s="190"/>
      <c r="Z44" s="192" t="str">
        <f>IF(AND($C44&lt;&gt;"",$D44&lt;&gt;""),(VLOOKUP($C44,'V-LOOKUP'!$C$61:$M$120,4,FALSE)),"0")</f>
        <v>0</v>
      </c>
      <c r="AA44" s="192" t="str">
        <f>IF(AND($C44&lt;&gt;"",$D44&lt;&gt;""),(VLOOKUP($C44,'V-LOOKUP'!$C$61:$M$120,5,FALSE)),"0")</f>
        <v>0</v>
      </c>
      <c r="AB44" s="192" t="str">
        <f>IF(AND($C44&lt;&gt;"",$D44&lt;&gt;""),(VLOOKUP($C44,'V-LOOKUP'!$C$61:$M$120,6,FALSE)),"0")</f>
        <v>0</v>
      </c>
      <c r="AC44" s="192" t="str">
        <f>IF(AND($C44&lt;&gt;"",$D44&lt;&gt;""),(VLOOKUP($C44,'V-LOOKUP'!$C$61:$M$120,7,FALSE)),"0")</f>
        <v>0</v>
      </c>
      <c r="AD44" s="192" t="str">
        <f>IF(AND($C44&lt;&gt;"",$D44&lt;&gt;""),(VLOOKUP($C44,'V-LOOKUP'!$C$61:$M$120,8,FALSE)),"0")</f>
        <v>0</v>
      </c>
      <c r="AE44" s="192" t="str">
        <f>IF(AND($C44&lt;&gt;"",$D44&lt;&gt;""),(VLOOKUP($C44,'V-LOOKUP'!$C$61:$M$120,9,FALSE)),"0")</f>
        <v>0</v>
      </c>
      <c r="AF44" s="192" t="str">
        <f>IF(AND($C44&lt;&gt;"",$D44&lt;&gt;""),(VLOOKUP($C44,'V-LOOKUP'!$C$61:$M$120,10,FALSE)),"0")</f>
        <v>0</v>
      </c>
      <c r="AG44" s="192" t="str">
        <f>IF(AND($C44&lt;&gt;"",$D44&lt;&gt;""),(VLOOKUP($C44,'V-LOOKUP'!$C$61:$M$120,11,FALSE)),"0")</f>
        <v>0</v>
      </c>
      <c r="AH44" s="192" t="str">
        <f>IF(AND($C44&lt;&gt;"",$D44&lt;&gt;""),(VLOOKUP($C44,'V-LOOKUP'!$C$61:$N$120,12,FALSE)),"0")</f>
        <v>0</v>
      </c>
      <c r="AI44" s="192" t="str">
        <f>IF(AND($C44&lt;&gt;"",$E44&lt;&gt;""),(VLOOKUP($C44,'V-LOOKUP'!$C$61:$M$120,4,FALSE)),"0")</f>
        <v>0</v>
      </c>
      <c r="AJ44" s="192" t="str">
        <f>IF(AND($C44&lt;&gt;"",$E44&lt;&gt;""),(VLOOKUP($C44,'V-LOOKUP'!$C$61:$M$120,5,FALSE)),"0")</f>
        <v>0</v>
      </c>
      <c r="AK44" s="192" t="str">
        <f>IF(AND($C44&lt;&gt;"",$E44&lt;&gt;""),(VLOOKUP($C44,'V-LOOKUP'!$C$61:$M$120,6,FALSE)),"0")</f>
        <v>0</v>
      </c>
      <c r="AL44" s="192" t="str">
        <f>IF(AND($C44&lt;&gt;"",$E44&lt;&gt;""),(VLOOKUP($C44,'V-LOOKUP'!$C$61:$M$120,7,FALSE)),"0")</f>
        <v>0</v>
      </c>
      <c r="AM44" s="192" t="str">
        <f>IF(AND($C44&lt;&gt;"",$E44&lt;&gt;""),(VLOOKUP($C44,'V-LOOKUP'!$C$61:$M$120,8,FALSE)),"0")</f>
        <v>0</v>
      </c>
      <c r="AN44" s="192" t="str">
        <f>IF(AND($C44&lt;&gt;"",$E44&lt;&gt;""),(VLOOKUP($C44,'V-LOOKUP'!$C$61:$M$120,9,FALSE)),"0")</f>
        <v>0</v>
      </c>
      <c r="AO44" s="192" t="str">
        <f>IF(AND($C44&lt;&gt;"",$E44&lt;&gt;""),(VLOOKUP($C44,'V-LOOKUP'!$C$61:$M$120,10,FALSE)),"0")</f>
        <v>0</v>
      </c>
      <c r="AP44" s="192" t="str">
        <f>IF(AND($C44&lt;&gt;"",$E44&lt;&gt;""),(VLOOKUP($C44,'V-LOOKUP'!$C$61:$M$120,11,FALSE)),"0")</f>
        <v>0</v>
      </c>
      <c r="AQ44" s="192" t="str">
        <f>IF(AND($C44&lt;&gt;"",$E44&lt;&gt;""),(VLOOKUP($C44,'V-LOOKUP'!$C$61:$N$120,12,FALSE)),"0")</f>
        <v>0</v>
      </c>
      <c r="AR44" s="192" t="str">
        <f>IF(AND($C44&lt;&gt;"",$F44&lt;&gt;""),(VLOOKUP($C44,'V-LOOKUP'!$C$61:$M$120,4,FALSE)),"0")</f>
        <v>0</v>
      </c>
      <c r="AS44" s="192" t="str">
        <f>IF(AND($C44&lt;&gt;"",$F44&lt;&gt;""),(VLOOKUP($C44,'V-LOOKUP'!$C$61:$M$120,5,FALSE)),"0")</f>
        <v>0</v>
      </c>
      <c r="AT44" s="192" t="str">
        <f>IF(AND($C44&lt;&gt;"",$F44&lt;&gt;""),(VLOOKUP($C44,'V-LOOKUP'!$C$61:$M$120,6,FALSE)),"0")</f>
        <v>0</v>
      </c>
      <c r="AU44" s="192" t="str">
        <f>IF(AND($C44&lt;&gt;"",$F44&lt;&gt;""),(VLOOKUP($C44,'V-LOOKUP'!$C$61:$M$120,7,FALSE)),"0")</f>
        <v>0</v>
      </c>
      <c r="AV44" s="192" t="str">
        <f>IF(AND($C44&lt;&gt;"",$F44&lt;&gt;""),(VLOOKUP($C44,'V-LOOKUP'!$C$61:$M$120,8,FALSE)),"0")</f>
        <v>0</v>
      </c>
      <c r="AW44" s="192" t="str">
        <f>IF(AND($C44&lt;&gt;"",$F44&lt;&gt;""),(VLOOKUP($C44,'V-LOOKUP'!$C$61:$M$120,9,FALSE)),"0")</f>
        <v>0</v>
      </c>
      <c r="AX44" s="192" t="str">
        <f>IF(AND($C44&lt;&gt;"",$F44&lt;&gt;""),(VLOOKUP($C44,'V-LOOKUP'!$C$61:$M$120,10,FALSE)),"0")</f>
        <v>0</v>
      </c>
      <c r="AY44" s="192" t="str">
        <f>IF(AND($C44&lt;&gt;"",$F44&lt;&gt;""),(VLOOKUP($C44,'V-LOOKUP'!$C$61:$M$120,11,FALSE)),"0")</f>
        <v>0</v>
      </c>
      <c r="AZ44" s="192" t="str">
        <f>IF(AND($C44&lt;&gt;"",$F44&lt;&gt;""),(VLOOKUP($C44,'V-LOOKUP'!$C$61:$N$120,12,FALSE)),"0")</f>
        <v>0</v>
      </c>
      <c r="BA44" s="192" t="str">
        <f>IF(AND($C44&lt;&gt;"",$G44&lt;&gt;""),(VLOOKUP($C44,'V-LOOKUP'!$C$61:$M$120,4,FALSE)),"0")</f>
        <v>0</v>
      </c>
      <c r="BB44" s="192" t="str">
        <f>IF(AND($C44&lt;&gt;"",$G44&lt;&gt;""),(VLOOKUP($C44,'V-LOOKUP'!$C$61:$M$120,5,FALSE)),"0")</f>
        <v>0</v>
      </c>
      <c r="BC44" s="192" t="str">
        <f>IF(AND($C44&lt;&gt;"",$G44&lt;&gt;""),(VLOOKUP($C44,'V-LOOKUP'!$C$61:$M$120,6,FALSE)),"0")</f>
        <v>0</v>
      </c>
      <c r="BD44" s="192" t="str">
        <f>IF(AND($C44&lt;&gt;"",$G44&lt;&gt;""),(VLOOKUP($C44,'V-LOOKUP'!$C$61:$M$120,7,FALSE)),"0")</f>
        <v>0</v>
      </c>
      <c r="BE44" s="192" t="str">
        <f>IF(AND($C44&lt;&gt;"",$G44&lt;&gt;""),(VLOOKUP($C44,'V-LOOKUP'!$C$61:$M$120,8,FALSE)),"0")</f>
        <v>0</v>
      </c>
      <c r="BF44" s="192" t="str">
        <f>IF(AND($C44&lt;&gt;"",$G44&lt;&gt;""),(VLOOKUP($C44,'V-LOOKUP'!$C$61:$M$120,9,FALSE)),"0")</f>
        <v>0</v>
      </c>
      <c r="BG44" s="192" t="str">
        <f>IF(AND($C44&lt;&gt;"",$G44&lt;&gt;""),(VLOOKUP($C44,'V-LOOKUP'!$C$61:$M$120,10,FALSE)),"0")</f>
        <v>0</v>
      </c>
      <c r="BH44" s="192" t="str">
        <f>IF(AND($C44&lt;&gt;"",$G44&lt;&gt;""),(VLOOKUP($C44,'V-LOOKUP'!$C$61:$M$120,11,FALSE)),"0")</f>
        <v>0</v>
      </c>
      <c r="BI44" s="192" t="str">
        <f>IF(AND($C44&lt;&gt;"",$G44&lt;&gt;""),(VLOOKUP($C44,'V-LOOKUP'!$C$61:$N$120,12,FALSE)),"0")</f>
        <v>0</v>
      </c>
      <c r="BJ44" s="192" t="str">
        <f>IF(AND($C44&lt;&gt;"",$H44&lt;&gt;""),(VLOOKUP($C44,'V-LOOKUP'!$C$61:$M$120,4,FALSE)),"0")</f>
        <v>0</v>
      </c>
      <c r="BK44" s="192" t="str">
        <f>IF(AND($C44&lt;&gt;"",$H44&lt;&gt;""),(VLOOKUP($C44,'V-LOOKUP'!$C$61:$M$120,5,FALSE)),"0")</f>
        <v>0</v>
      </c>
      <c r="BL44" s="192" t="str">
        <f>IF(AND($C44&lt;&gt;"",$H44&lt;&gt;""),(VLOOKUP($C44,'V-LOOKUP'!$C$61:$M$120,6,FALSE)),"0")</f>
        <v>0</v>
      </c>
      <c r="BM44" s="192" t="str">
        <f>IF(AND($C44&lt;&gt;"",$H44&lt;&gt;""),(VLOOKUP($C44,'V-LOOKUP'!$C$61:$M$120,7,FALSE)),"0")</f>
        <v>0</v>
      </c>
      <c r="BN44" s="192" t="str">
        <f>IF(AND($C44&lt;&gt;"",$H44&lt;&gt;""),(VLOOKUP($C44,'V-LOOKUP'!$C$61:$M$120,8,FALSE)),"0")</f>
        <v>0</v>
      </c>
      <c r="BO44" s="192" t="str">
        <f>IF(AND($C44&lt;&gt;"",$H44&lt;&gt;""),(VLOOKUP($C44,'V-LOOKUP'!$C$61:$M$120,9,FALSE)),"0")</f>
        <v>0</v>
      </c>
      <c r="BP44" s="192" t="str">
        <f>IF(AND($C44&lt;&gt;"",$H44&lt;&gt;""),(VLOOKUP($C44,'V-LOOKUP'!$C$61:$M$120,10,FALSE)),"0")</f>
        <v>0</v>
      </c>
      <c r="BQ44" s="192" t="str">
        <f>IF(AND($C44&lt;&gt;"",$H44&lt;&gt;""),(VLOOKUP($C44,'V-LOOKUP'!$C$61:$M$120,11,FALSE)),"0")</f>
        <v>0</v>
      </c>
      <c r="BR44" s="192" t="str">
        <f>IF(AND($C44&lt;&gt;"",$H44&lt;&gt;""),(VLOOKUP($C44,'V-LOOKUP'!$C$61:$N$120,12,FALSE)),"0")</f>
        <v>0</v>
      </c>
      <c r="BS44" s="192" t="str">
        <f>IF(AND($C44&lt;&gt;"",$I44&lt;&gt;""),(VLOOKUP($C44,'V-LOOKUP'!$C$61:$M$120,4,FALSE)),"0")</f>
        <v>0</v>
      </c>
      <c r="BT44" s="192" t="str">
        <f>IF(AND($C44&lt;&gt;"",$I44&lt;&gt;""),(VLOOKUP($C44,'V-LOOKUP'!$C$61:$M$120,5,FALSE)),"0")</f>
        <v>0</v>
      </c>
      <c r="BU44" s="192" t="str">
        <f>IF(AND($C44&lt;&gt;"",$I44&lt;&gt;""),(VLOOKUP($C44,'V-LOOKUP'!$C$61:$M$120,6,FALSE)),"0")</f>
        <v>0</v>
      </c>
      <c r="BV44" s="192" t="str">
        <f>IF(AND($C44&lt;&gt;"",$I44&lt;&gt;""),(VLOOKUP($C44,'V-LOOKUP'!$C$61:$M$120,7,FALSE)),"0")</f>
        <v>0</v>
      </c>
      <c r="BW44" s="192" t="str">
        <f>IF(AND($C44&lt;&gt;"",$I44&lt;&gt;""),(VLOOKUP($C44,'V-LOOKUP'!$C$61:$M$120,8,FALSE)),"0")</f>
        <v>0</v>
      </c>
      <c r="BX44" s="192" t="str">
        <f>IF(AND($C44&lt;&gt;"",$I44&lt;&gt;""),(VLOOKUP($C44,'V-LOOKUP'!$C$61:$M$120,9,FALSE)),"0")</f>
        <v>0</v>
      </c>
      <c r="BY44" s="192" t="str">
        <f>IF(AND($C44&lt;&gt;"",$I44&lt;&gt;""),(VLOOKUP($C44,'V-LOOKUP'!$C$61:$M$120,10,FALSE)),"0")</f>
        <v>0</v>
      </c>
      <c r="BZ44" s="192" t="str">
        <f>IF(AND($C44&lt;&gt;"",$I44&lt;&gt;""),(VLOOKUP($C44,'V-LOOKUP'!$C$61:$M$120,11,FALSE)),"0")</f>
        <v>0</v>
      </c>
      <c r="CA44" s="192" t="str">
        <f>IF(AND($C44&lt;&gt;"",$I44&lt;&gt;""),(VLOOKUP($C44,'V-LOOKUP'!$C$61:$N$120,12,FALSE)),"0")</f>
        <v>0</v>
      </c>
      <c r="CB44" s="192" t="str">
        <f>IF(AND($C44&lt;&gt;"",$J44&lt;&gt;""),(VLOOKUP($C44,'V-LOOKUP'!$C$61:$M$120,4,FALSE)),"0")</f>
        <v>0</v>
      </c>
      <c r="CC44" s="192" t="str">
        <f>IF(AND($C44&lt;&gt;"",$J44&lt;&gt;""),(VLOOKUP($C44,'V-LOOKUP'!$C$61:$M$120,5,FALSE)),"0")</f>
        <v>0</v>
      </c>
      <c r="CD44" s="192" t="str">
        <f>IF(AND($C44&lt;&gt;"",$J44&lt;&gt;""),(VLOOKUP($C44,'V-LOOKUP'!$C$61:$M$120,6,FALSE)),"0")</f>
        <v>0</v>
      </c>
      <c r="CE44" s="192" t="str">
        <f>IF(AND($C44&lt;&gt;"",$J44&lt;&gt;""),(VLOOKUP($C44,'V-LOOKUP'!$C$61:$M$120,7,FALSE)),"0")</f>
        <v>0</v>
      </c>
      <c r="CF44" s="192" t="str">
        <f>IF(AND($C44&lt;&gt;"",$J44&lt;&gt;""),(VLOOKUP($C44,'V-LOOKUP'!$C$61:$M$120,8,FALSE)),"0")</f>
        <v>0</v>
      </c>
      <c r="CG44" s="192" t="str">
        <f>IF(AND($C44&lt;&gt;"",$J44&lt;&gt;""),(VLOOKUP($C44,'V-LOOKUP'!$C$61:$M$120,9,FALSE)),"0")</f>
        <v>0</v>
      </c>
      <c r="CH44" s="192" t="str">
        <f>IF(AND($C44&lt;&gt;"",$J44&lt;&gt;""),(VLOOKUP($C44,'V-LOOKUP'!$C$61:$M$120,10,FALSE)),"0")</f>
        <v>0</v>
      </c>
      <c r="CI44" s="192" t="str">
        <f>IF(AND($C44&lt;&gt;"",$J44&lt;&gt;""),(VLOOKUP($C44,'V-LOOKUP'!$C$61:$M$120,11,FALSE)),"0")</f>
        <v>0</v>
      </c>
      <c r="CJ44" s="192" t="str">
        <f>IF(AND($C44&lt;&gt;"",$J44&lt;&gt;""),(VLOOKUP($C44,'V-LOOKUP'!$C$61:$N$120,12,FALSE)),"0")</f>
        <v>0</v>
      </c>
      <c r="CK44" s="192" t="str">
        <f>IF(AND($C44&lt;&gt;"",$K44&lt;&gt;""),(VLOOKUP($C44,'V-LOOKUP'!$C$61:$M$120,4,FALSE)),"0")</f>
        <v>0</v>
      </c>
      <c r="CL44" s="192" t="str">
        <f>IF(AND($C44&lt;&gt;"",$K44&lt;&gt;""),(VLOOKUP($C44,'V-LOOKUP'!$C$61:$M$120,5,FALSE)),"0")</f>
        <v>0</v>
      </c>
      <c r="CM44" s="192" t="str">
        <f>IF(AND($C44&lt;&gt;"",$K44&lt;&gt;""),(VLOOKUP($C44,'V-LOOKUP'!$C$61:$M$120,6,FALSE)),"0")</f>
        <v>0</v>
      </c>
      <c r="CN44" s="192" t="str">
        <f>IF(AND($C44&lt;&gt;"",$K44&lt;&gt;""),(VLOOKUP($C44,'V-LOOKUP'!$C$61:$M$120,7,FALSE)),"0")</f>
        <v>0</v>
      </c>
      <c r="CO44" s="192" t="str">
        <f>IF(AND($C44&lt;&gt;"",$K44&lt;&gt;""),(VLOOKUP($C44,'V-LOOKUP'!$C$61:$M$120,8,FALSE)),"0")</f>
        <v>0</v>
      </c>
      <c r="CP44" s="192" t="str">
        <f>IF(AND($C44&lt;&gt;"",$K44&lt;&gt;""),(VLOOKUP($C44,'V-LOOKUP'!$C$61:$M$120,9,FALSE)),"0")</f>
        <v>0</v>
      </c>
      <c r="CQ44" s="192" t="str">
        <f>IF(AND($C44&lt;&gt;"",$K44&lt;&gt;""),(VLOOKUP($C44,'V-LOOKUP'!$C$61:$M$120,10,FALSE)),"0")</f>
        <v>0</v>
      </c>
      <c r="CR44" s="192" t="str">
        <f>IF(AND($C44&lt;&gt;"",$K44&lt;&gt;""),(VLOOKUP($C44,'V-LOOKUP'!$C$61:$M$120,11,FALSE)),"0")</f>
        <v>0</v>
      </c>
      <c r="CS44" s="192" t="str">
        <f>IF(AND($C44&lt;&gt;"",$K44&lt;&gt;""),(VLOOKUP($C44,'V-LOOKUP'!$C$61:$N$120,12,FALSE)),"0")</f>
        <v>0</v>
      </c>
      <c r="CT44" s="192" t="str">
        <f>IF(AND($C44&lt;&gt;"",$L44&lt;&gt;""),(VLOOKUP($C44,'V-LOOKUP'!$C$61:$M$120,4,FALSE)),"0")</f>
        <v>0</v>
      </c>
      <c r="CU44" s="192" t="str">
        <f>IF(AND($C44&lt;&gt;"",$L44&lt;&gt;""),(VLOOKUP($C44,'V-LOOKUP'!$C$61:$M$120,5,FALSE)),"0")</f>
        <v>0</v>
      </c>
      <c r="CV44" s="192" t="str">
        <f>IF(AND($C44&lt;&gt;"",$L44&lt;&gt;""),(VLOOKUP($C44,'V-LOOKUP'!$C$61:$M$120,6,FALSE)),"0")</f>
        <v>0</v>
      </c>
      <c r="CW44" s="192" t="str">
        <f>IF(AND($C44&lt;&gt;"",$L44&lt;&gt;""),(VLOOKUP($C44,'V-LOOKUP'!$C$61:$M$120,7,FALSE)),"0")</f>
        <v>0</v>
      </c>
      <c r="CX44" s="192" t="str">
        <f>IF(AND($C44&lt;&gt;"",$L44&lt;&gt;""),(VLOOKUP($C44,'V-LOOKUP'!$C$61:$M$120,8,FALSE)),"0")</f>
        <v>0</v>
      </c>
      <c r="CY44" s="192" t="str">
        <f>IF(AND($C44&lt;&gt;"",$L44&lt;&gt;""),(VLOOKUP($C44,'V-LOOKUP'!$C$61:$M$120,9,FALSE)),"0")</f>
        <v>0</v>
      </c>
      <c r="CZ44" s="192" t="str">
        <f>IF(AND($C44&lt;&gt;"",$L44&lt;&gt;""),(VLOOKUP($C44,'V-LOOKUP'!$C$61:$M$120,10,FALSE)),"0")</f>
        <v>0</v>
      </c>
      <c r="DA44" s="192" t="str">
        <f>IF(AND($C44&lt;&gt;"",$L44&lt;&gt;""),(VLOOKUP($C44,'V-LOOKUP'!$C$61:$M$120,11,FALSE)),"0")</f>
        <v>0</v>
      </c>
      <c r="DB44" s="192" t="str">
        <f>IF(AND($C44&lt;&gt;"",$L44&lt;&gt;""),(VLOOKUP($C44,'V-LOOKUP'!$C$61:$N$120,12,FALSE)),"0")</f>
        <v>0</v>
      </c>
      <c r="DC44" s="192" t="str">
        <f>IF(AND($C44&lt;&gt;"",$M44&lt;&gt;""),(VLOOKUP($C44,'V-LOOKUP'!$C$61:$M$120,4,FALSE)),"0")</f>
        <v>0</v>
      </c>
      <c r="DD44" s="192" t="str">
        <f>IF(AND($C44&lt;&gt;"",$M44&lt;&gt;""),(VLOOKUP($C44,'V-LOOKUP'!$C$61:$M$120,5,FALSE)),"0")</f>
        <v>0</v>
      </c>
      <c r="DE44" s="192" t="str">
        <f>IF(AND($C44&lt;&gt;"",$M44&lt;&gt;""),(VLOOKUP($C44,'V-LOOKUP'!$C$61:$M$120,6,FALSE)),"0")</f>
        <v>0</v>
      </c>
      <c r="DF44" s="192" t="str">
        <f>IF(AND($C44&lt;&gt;"",$M44&lt;&gt;""),(VLOOKUP($C44,'V-LOOKUP'!$C$61:$M$120,7,FALSE)),"0")</f>
        <v>0</v>
      </c>
      <c r="DG44" s="192" t="str">
        <f>IF(AND($C44&lt;&gt;"",$M44&lt;&gt;""),(VLOOKUP($C44,'V-LOOKUP'!$C$61:$M$120,8,FALSE)),"0")</f>
        <v>0</v>
      </c>
      <c r="DH44" s="192" t="str">
        <f>IF(AND($C44&lt;&gt;"",$M44&lt;&gt;""),(VLOOKUP($C44,'V-LOOKUP'!$C$61:$M$120,9,FALSE)),"0")</f>
        <v>0</v>
      </c>
      <c r="DI44" s="192" t="str">
        <f>IF(AND($C44&lt;&gt;"",$M44&lt;&gt;""),(VLOOKUP($C44,'V-LOOKUP'!$C$61:$M$120,10,FALSE)),"0")</f>
        <v>0</v>
      </c>
      <c r="DJ44" s="192" t="str">
        <f>IF(AND($C44&lt;&gt;"",$M44&lt;&gt;""),(VLOOKUP($C44,'V-LOOKUP'!$C$61:$M$120,11,FALSE)),"0")</f>
        <v>0</v>
      </c>
      <c r="DK44" s="192" t="str">
        <f>IF(AND($C44&lt;&gt;"",$M44&lt;&gt;""),(VLOOKUP($C44,'V-LOOKUP'!$C$61:$N$120,12,FALSE)),"0")</f>
        <v>0</v>
      </c>
      <c r="DL44" s="192" t="str">
        <f>IF(AND($C44&lt;&gt;"",$N44&lt;&gt;""),(VLOOKUP($C44,'V-LOOKUP'!$C$61:$M$120,4,FALSE)),"0")</f>
        <v>0</v>
      </c>
      <c r="DM44" s="192" t="str">
        <f>IF(AND($C44&lt;&gt;"",$N44&lt;&gt;""),(VLOOKUP($C44,'V-LOOKUP'!$C$61:$M$120,5,FALSE)),"0")</f>
        <v>0</v>
      </c>
      <c r="DN44" s="192" t="str">
        <f>IF(AND($C44&lt;&gt;"",$N44&lt;&gt;""),(VLOOKUP($C44,'V-LOOKUP'!$C$61:$M$120,6,FALSE)),"0")</f>
        <v>0</v>
      </c>
      <c r="DO44" s="192" t="str">
        <f>IF(AND($C44&lt;&gt;"",$N44&lt;&gt;""),(VLOOKUP($C44,'V-LOOKUP'!$C$61:$M$120,7,FALSE)),"0")</f>
        <v>0</v>
      </c>
      <c r="DP44" s="192" t="str">
        <f>IF(AND($C44&lt;&gt;"",$N44&lt;&gt;""),(VLOOKUP($C44,'V-LOOKUP'!$C$61:$M$120,8,FALSE)),"0")</f>
        <v>0</v>
      </c>
      <c r="DQ44" s="192" t="str">
        <f>IF(AND($C44&lt;&gt;"",$N44&lt;&gt;""),(VLOOKUP($C44,'V-LOOKUP'!$C$61:$M$120,9,FALSE)),"0")</f>
        <v>0</v>
      </c>
      <c r="DR44" s="192" t="str">
        <f>IF(AND($C44&lt;&gt;"",$N44&lt;&gt;""),(VLOOKUP($C44,'V-LOOKUP'!$C$61:$M$120,10,FALSE)),"0")</f>
        <v>0</v>
      </c>
      <c r="DS44" s="192" t="str">
        <f>IF(AND($C44&lt;&gt;"",$N44&lt;&gt;""),(VLOOKUP($C44,'V-LOOKUP'!$C$61:$M$120,11,FALSE)),"0")</f>
        <v>0</v>
      </c>
      <c r="DT44" s="192" t="str">
        <f>IF(AND($C44&lt;&gt;"",$N44&lt;&gt;""),(VLOOKUP($C44,'V-LOOKUP'!$C$61:$N$120,12,FALSE)),"0")</f>
        <v>0</v>
      </c>
      <c r="DU44" s="192" t="str">
        <f>IF(AND($C44&lt;&gt;"",$O44&lt;&gt;""),(VLOOKUP($C44,'V-LOOKUP'!$C$61:$M$120,4,FALSE)),"0")</f>
        <v>0</v>
      </c>
      <c r="DV44" s="192" t="str">
        <f>IF(AND($C44&lt;&gt;"",$O44&lt;&gt;""),(VLOOKUP($C44,'V-LOOKUP'!$C$61:$M$120,5,FALSE)),"0")</f>
        <v>0</v>
      </c>
      <c r="DW44" s="192" t="str">
        <f>IF(AND($C44&lt;&gt;"",$O44&lt;&gt;""),(VLOOKUP($C44,'V-LOOKUP'!$C$61:$M$120,6,FALSE)),"0")</f>
        <v>0</v>
      </c>
      <c r="DX44" s="192" t="str">
        <f>IF(AND($C44&lt;&gt;"",$O44&lt;&gt;""),(VLOOKUP($C44,'V-LOOKUP'!$C$61:$M$120,7,FALSE)),"0")</f>
        <v>0</v>
      </c>
      <c r="DY44" s="192" t="str">
        <f>IF(AND($C44&lt;&gt;"",$O44&lt;&gt;""),(VLOOKUP($C44,'V-LOOKUP'!$C$61:$M$120,8,FALSE)),"0")</f>
        <v>0</v>
      </c>
      <c r="DZ44" s="192" t="str">
        <f>IF(AND($C44&lt;&gt;"",$O44&lt;&gt;""),(VLOOKUP($C44,'V-LOOKUP'!$C$61:$M$120,9,FALSE)),"0")</f>
        <v>0</v>
      </c>
      <c r="EA44" s="192" t="str">
        <f>IF(AND($C44&lt;&gt;"",$O44&lt;&gt;""),(VLOOKUP($C44,'V-LOOKUP'!$C$61:$M$120,10,FALSE)),"0")</f>
        <v>0</v>
      </c>
      <c r="EB44" s="192" t="str">
        <f>IF(AND($C44&lt;&gt;"",$O44&lt;&gt;""),(VLOOKUP($C44,'V-LOOKUP'!$C$61:$M$120,11,FALSE)),"0")</f>
        <v>0</v>
      </c>
      <c r="EC44" s="192" t="str">
        <f>IF(AND($C44&lt;&gt;"",$O44&lt;&gt;""),(VLOOKUP($C44,'V-LOOKUP'!$C$61:$N$120,12,FALSE)),"0")</f>
        <v>0</v>
      </c>
      <c r="ED44" s="192" t="str">
        <f>IF(AND($C44&lt;&gt;"",$P44&lt;&gt;""),(VLOOKUP($C44,'V-LOOKUP'!$C$61:$M$120,4,FALSE)),"0")</f>
        <v>0</v>
      </c>
      <c r="EE44" s="192" t="str">
        <f>IF(AND($C44&lt;&gt;"",$P44&lt;&gt;""),(VLOOKUP($C44,'V-LOOKUP'!$C$61:$M$120,5,FALSE)),"0")</f>
        <v>0</v>
      </c>
      <c r="EF44" s="192" t="str">
        <f>IF(AND($C44&lt;&gt;"",$P44&lt;&gt;""),(VLOOKUP($C44,'V-LOOKUP'!$C$61:$M$120,6,FALSE)),"0")</f>
        <v>0</v>
      </c>
      <c r="EG44" s="192" t="str">
        <f>IF(AND($C44&lt;&gt;"",$P44&lt;&gt;""),(VLOOKUP($C44,'V-LOOKUP'!$C$61:$M$120,7,FALSE)),"0")</f>
        <v>0</v>
      </c>
      <c r="EH44" s="192" t="str">
        <f>IF(AND($C44&lt;&gt;"",$P44&lt;&gt;""),(VLOOKUP($C44,'V-LOOKUP'!$C$61:$M$120,8,FALSE)),"0")</f>
        <v>0</v>
      </c>
      <c r="EI44" s="192" t="str">
        <f>IF(AND($C44&lt;&gt;"",$P44&lt;&gt;""),(VLOOKUP($C44,'V-LOOKUP'!$C$61:$M$120,9,FALSE)),"0")</f>
        <v>0</v>
      </c>
      <c r="EJ44" s="192" t="str">
        <f>IF(AND($C44&lt;&gt;"",$P44&lt;&gt;""),(VLOOKUP($C44,'V-LOOKUP'!$C$61:$M$120,10,FALSE)),"0")</f>
        <v>0</v>
      </c>
      <c r="EK44" s="192" t="str">
        <f>IF(AND($C44&lt;&gt;"",$P44&lt;&gt;""),(VLOOKUP($C44,'V-LOOKUP'!$C$61:$M$120,11,FALSE)),"0")</f>
        <v>0</v>
      </c>
      <c r="EL44" s="192" t="str">
        <f>IF(AND($C44&lt;&gt;"",$P44&lt;&gt;""),(VLOOKUP($C44,'V-LOOKUP'!$C$61:$N$120,12,FALSE)),"0")</f>
        <v>0</v>
      </c>
      <c r="EM44" s="192" t="str">
        <f>IF(AND($C44&lt;&gt;"",$Q44&lt;&gt;""),(VLOOKUP($C44,'V-LOOKUP'!$C$61:$M$120,4,FALSE)),"0")</f>
        <v>0</v>
      </c>
      <c r="EN44" s="192" t="str">
        <f>IF(AND($C44&lt;&gt;"",$Q44&lt;&gt;""),(VLOOKUP($C44,'V-LOOKUP'!$C$61:$M$120,5,FALSE)),"0")</f>
        <v>0</v>
      </c>
      <c r="EO44" s="192" t="str">
        <f>IF(AND($C44&lt;&gt;"",$Q44&lt;&gt;""),(VLOOKUP($C44,'V-LOOKUP'!$C$61:$M$120,6,FALSE)),"0")</f>
        <v>0</v>
      </c>
      <c r="EP44" s="192" t="str">
        <f>IF(AND($C44&lt;&gt;"",$Q44&lt;&gt;""),(VLOOKUP($C44,'V-LOOKUP'!$C$61:$M$120,7,FALSE)),"0")</f>
        <v>0</v>
      </c>
      <c r="EQ44" s="192" t="str">
        <f>IF(AND($C44&lt;&gt;"",$Q44&lt;&gt;""),(VLOOKUP($C44,'V-LOOKUP'!$C$61:$M$120,8,FALSE)),"0")</f>
        <v>0</v>
      </c>
      <c r="ER44" s="192" t="str">
        <f>IF(AND($C44&lt;&gt;"",$Q44&lt;&gt;""),(VLOOKUP($C44,'V-LOOKUP'!$C$61:$M$120,9,FALSE)),"0")</f>
        <v>0</v>
      </c>
      <c r="ES44" s="192" t="str">
        <f>IF(AND($C44&lt;&gt;"",$Q44&lt;&gt;""),(VLOOKUP($C44,'V-LOOKUP'!$C$61:$M$120,10,FALSE)),"0")</f>
        <v>0</v>
      </c>
      <c r="ET44" s="192" t="str">
        <f>IF(AND($C44&lt;&gt;"",$Q44&lt;&gt;""),(VLOOKUP($C44,'V-LOOKUP'!$C$61:$M$120,11,FALSE)),"0")</f>
        <v>0</v>
      </c>
      <c r="EU44" s="192" t="str">
        <f>IF(AND($C44&lt;&gt;"",$Q44&lt;&gt;""),(VLOOKUP($C44,'V-LOOKUP'!$C$61:$N$120,12,FALSE)),"0")</f>
        <v>0</v>
      </c>
      <c r="EV44" s="192" t="str">
        <f>IF(AND($C44&lt;&gt;"",$R44&lt;&gt;""),(VLOOKUP($C44,'V-LOOKUP'!$C$61:$M$120,4,FALSE)),"0")</f>
        <v>0</v>
      </c>
      <c r="EW44" s="192" t="str">
        <f>IF(AND($C44&lt;&gt;"",$R44&lt;&gt;""),(VLOOKUP($C44,'V-LOOKUP'!$C$61:$M$120,5,FALSE)),"0")</f>
        <v>0</v>
      </c>
      <c r="EX44" s="192" t="str">
        <f>IF(AND($C44&lt;&gt;"",$R44&lt;&gt;""),(VLOOKUP($C44,'V-LOOKUP'!$C$61:$M$120,6,FALSE)),"0")</f>
        <v>0</v>
      </c>
      <c r="EY44" s="192" t="str">
        <f>IF(AND($C44&lt;&gt;"",$R44&lt;&gt;""),(VLOOKUP($C44,'V-LOOKUP'!$C$61:$M$120,7,FALSE)),"0")</f>
        <v>0</v>
      </c>
      <c r="EZ44" s="192" t="str">
        <f>IF(AND($C44&lt;&gt;"",$R44&lt;&gt;""),(VLOOKUP($C44,'V-LOOKUP'!$C$61:$M$120,8,FALSE)),"0")</f>
        <v>0</v>
      </c>
      <c r="FA44" s="192" t="str">
        <f>IF(AND($C44&lt;&gt;"",$R44&lt;&gt;""),(VLOOKUP($C44,'V-LOOKUP'!$C$61:$M$120,9,FALSE)),"0")</f>
        <v>0</v>
      </c>
      <c r="FB44" s="192" t="str">
        <f>IF(AND($C44&lt;&gt;"",$R44&lt;&gt;""),(VLOOKUP($C44,'V-LOOKUP'!$C$61:$M$120,10,FALSE)),"0")</f>
        <v>0</v>
      </c>
      <c r="FC44" s="192" t="str">
        <f>IF(AND($C44&lt;&gt;"",$R44&lt;&gt;""),(VLOOKUP($C44,'V-LOOKUP'!$C$61:$M$120,11,FALSE)),"0")</f>
        <v>0</v>
      </c>
      <c r="FD44" s="192" t="str">
        <f>IF(AND($C44&lt;&gt;"",$R44&lt;&gt;""),(VLOOKUP($C44,'V-LOOKUP'!$C$61:$N$120,12,FALSE)),"0")</f>
        <v>0</v>
      </c>
      <c r="FE44" s="192" t="str">
        <f>IF(AND($C44&lt;&gt;"",$S44&lt;&gt;""),(VLOOKUP($C44,'V-LOOKUP'!$C$61:$M$120,4,FALSE)),"0")</f>
        <v>0</v>
      </c>
      <c r="FF44" s="192" t="str">
        <f>IF(AND($C44&lt;&gt;"",$S44&lt;&gt;""),(VLOOKUP($C44,'V-LOOKUP'!$C$61:$M$120,5,FALSE)),"0")</f>
        <v>0</v>
      </c>
      <c r="FG44" s="192" t="str">
        <f>IF(AND($C44&lt;&gt;"",$S44&lt;&gt;""),(VLOOKUP($C44,'V-LOOKUP'!$C$61:$M$120,6,FALSE)),"0")</f>
        <v>0</v>
      </c>
      <c r="FH44" s="192" t="str">
        <f>IF(AND($C44&lt;&gt;"",$S44&lt;&gt;""),(VLOOKUP($C44,'V-LOOKUP'!$C$61:$M$120,7,FALSE)),"0")</f>
        <v>0</v>
      </c>
      <c r="FI44" s="192" t="str">
        <f>IF(AND($C44&lt;&gt;"",$S44&lt;&gt;""),(VLOOKUP($C44,'V-LOOKUP'!$C$61:$M$120,8,FALSE)),"0")</f>
        <v>0</v>
      </c>
      <c r="FJ44" s="192" t="str">
        <f>IF(AND($C44&lt;&gt;"",$S44&lt;&gt;""),(VLOOKUP($C44,'V-LOOKUP'!$C$61:$M$120,9,FALSE)),"0")</f>
        <v>0</v>
      </c>
      <c r="FK44" s="192" t="str">
        <f>IF(AND($C44&lt;&gt;"",$S44&lt;&gt;""),(VLOOKUP($C44,'V-LOOKUP'!$C$61:$M$120,10,FALSE)),"0")</f>
        <v>0</v>
      </c>
      <c r="FL44" s="192" t="str">
        <f>IF(AND($C44&lt;&gt;"",$S44&lt;&gt;""),(VLOOKUP($C44,'V-LOOKUP'!$C$61:$M$120,11,FALSE)),"0")</f>
        <v>0</v>
      </c>
      <c r="FM44" s="192" t="str">
        <f>IF(AND($C44&lt;&gt;"",$S44&lt;&gt;""),(VLOOKUP($C44,'V-LOOKUP'!$C$61:$N$120,12,FALSE)),"0")</f>
        <v>0</v>
      </c>
      <c r="FN44" s="192" t="str">
        <f>IF(AND($C44&lt;&gt;"",$T44&lt;&gt;""),(VLOOKUP($C44,'V-LOOKUP'!$C$61:$M$120,4,FALSE)),"0")</f>
        <v>0</v>
      </c>
      <c r="FO44" s="192" t="str">
        <f>IF(AND($C44&lt;&gt;"",$T44&lt;&gt;""),(VLOOKUP($C44,'V-LOOKUP'!$C$61:$M$120,5,FALSE)),"0")</f>
        <v>0</v>
      </c>
      <c r="FP44" s="192" t="str">
        <f>IF(AND($C44&lt;&gt;"",$T44&lt;&gt;""),(VLOOKUP($C44,'V-LOOKUP'!$C$61:$M$120,6,FALSE)),"0")</f>
        <v>0</v>
      </c>
      <c r="FQ44" s="192" t="str">
        <f>IF(AND($C44&lt;&gt;"",$T44&lt;&gt;""),(VLOOKUP($C44,'V-LOOKUP'!$C$61:$M$120,7,FALSE)),"0")</f>
        <v>0</v>
      </c>
      <c r="FR44" s="192" t="str">
        <f>IF(AND($C44&lt;&gt;"",$T44&lt;&gt;""),(VLOOKUP($C44,'V-LOOKUP'!$C$61:$M$120,8,FALSE)),"0")</f>
        <v>0</v>
      </c>
      <c r="FS44" s="192" t="str">
        <f>IF(AND($C44&lt;&gt;"",$T44&lt;&gt;""),(VLOOKUP($C44,'V-LOOKUP'!$C$61:$M$120,9,FALSE)),"0")</f>
        <v>0</v>
      </c>
      <c r="FT44" s="192" t="str">
        <f>IF(AND($C44&lt;&gt;"",$T44&lt;&gt;""),(VLOOKUP($C44,'V-LOOKUP'!$C$61:$M$120,10,FALSE)),"0")</f>
        <v>0</v>
      </c>
      <c r="FU44" s="192" t="str">
        <f>IF(AND($C44&lt;&gt;"",$T44&lt;&gt;""),(VLOOKUP($C44,'V-LOOKUP'!$C$61:$M$120,11,FALSE)),"0")</f>
        <v>0</v>
      </c>
      <c r="FV44" s="192" t="str">
        <f>IF(AND($C44&lt;&gt;"",$T44&lt;&gt;""),(VLOOKUP($C44,'V-LOOKUP'!$C$61:$N$120,12,FALSE)),"0")</f>
        <v>0</v>
      </c>
      <c r="FW44" s="192" t="str">
        <f>IF(AND($C44&lt;&gt;"",$U44&lt;&gt;""),(VLOOKUP($C44,'V-LOOKUP'!$C$61:$M$120,4,FALSE)),"0")</f>
        <v>0</v>
      </c>
      <c r="FX44" s="192" t="str">
        <f>IF(AND($C44&lt;&gt;"",$U44&lt;&gt;""),(VLOOKUP($C44,'V-LOOKUP'!$C$61:$M$120,5,FALSE)),"0")</f>
        <v>0</v>
      </c>
      <c r="FY44" s="192" t="str">
        <f>IF(AND($C44&lt;&gt;"",$U44&lt;&gt;""),(VLOOKUP($C44,'V-LOOKUP'!$C$61:$M$120,6,FALSE)),"0")</f>
        <v>0</v>
      </c>
      <c r="FZ44" s="192" t="str">
        <f>IF(AND($C44&lt;&gt;"",$U44&lt;&gt;""),(VLOOKUP($C44,'V-LOOKUP'!$C$61:$M$120,7,FALSE)),"0")</f>
        <v>0</v>
      </c>
      <c r="GA44" s="192" t="str">
        <f>IF(AND($C44&lt;&gt;"",$U44&lt;&gt;""),(VLOOKUP($C44,'V-LOOKUP'!$C$61:$M$120,8,FALSE)),"0")</f>
        <v>0</v>
      </c>
      <c r="GB44" s="192" t="str">
        <f>IF(AND($C44&lt;&gt;"",$U44&lt;&gt;""),(VLOOKUP($C44,'V-LOOKUP'!$C$61:$M$120,9,FALSE)),"0")</f>
        <v>0</v>
      </c>
      <c r="GC44" s="192" t="str">
        <f>IF(AND($C44&lt;&gt;"",$U44&lt;&gt;""),(VLOOKUP($C44,'V-LOOKUP'!$C$61:$M$120,10,FALSE)),"0")</f>
        <v>0</v>
      </c>
      <c r="GD44" s="192" t="str">
        <f>IF(AND($C44&lt;&gt;"",$U44&lt;&gt;""),(VLOOKUP($C44,'V-LOOKUP'!$C$61:$M$120,11,FALSE)),"0")</f>
        <v>0</v>
      </c>
      <c r="GE44" s="192" t="str">
        <f>IF(AND($C44&lt;&gt;"",$U44&lt;&gt;""),(VLOOKUP($C44,'V-LOOKUP'!$C$61:$N$120,12,FALSE)),"0")</f>
        <v>0</v>
      </c>
      <c r="GF44" s="192" t="str">
        <f>IF(AND($C44&lt;&gt;"",$V44&lt;&gt;""),(VLOOKUP($C44,'V-LOOKUP'!$C$61:$M$120,4,FALSE)),"0")</f>
        <v>0</v>
      </c>
      <c r="GG44" s="192" t="str">
        <f>IF(AND($C44&lt;&gt;"",V44&lt;&gt;""),(VLOOKUP($C44,'V-LOOKUP'!$C$61:$M$120,5,FALSE)),"0")</f>
        <v>0</v>
      </c>
      <c r="GH44" s="192" t="str">
        <f>IF(AND($C44&lt;&gt;"",$V44&lt;&gt;""),(VLOOKUP($C44,'V-LOOKUP'!$C$61:$M$120,6,FALSE)),"0")</f>
        <v>0</v>
      </c>
      <c r="GI44" s="192" t="str">
        <f>IF(AND($C44&lt;&gt;"",$V44&lt;&gt;""),(VLOOKUP($C44,'V-LOOKUP'!$C$61:$M$120,7,FALSE)),"0")</f>
        <v>0</v>
      </c>
      <c r="GJ44" s="192" t="str">
        <f>IF(AND($C44&lt;&gt;"",$V44&lt;&gt;""),(VLOOKUP($C44,'V-LOOKUP'!$C$61:$M$120,8,FALSE)),"0")</f>
        <v>0</v>
      </c>
      <c r="GK44" s="192" t="str">
        <f>IF(AND($C44&lt;&gt;"",$V44&lt;&gt;""),(VLOOKUP($C44,'V-LOOKUP'!$C$61:$M$120,9,FALSE)),"0")</f>
        <v>0</v>
      </c>
      <c r="GL44" s="192" t="str">
        <f>IF(AND($C44&lt;&gt;"",$V44&lt;&gt;""),(VLOOKUP($C44,'V-LOOKUP'!$C$61:$M$120,10,FALSE)),"0")</f>
        <v>0</v>
      </c>
      <c r="GM44" s="192" t="str">
        <f>IF(AND($C44&lt;&gt;"",$V44&lt;&gt;""),(VLOOKUP($C44,'V-LOOKUP'!$C$61:$M$120,11,FALSE)),"0")</f>
        <v>0</v>
      </c>
      <c r="GN44" s="192" t="str">
        <f>IF(AND($C44&lt;&gt;"",$V44&lt;&gt;""),(VLOOKUP($C44,'V-LOOKUP'!$C$61:$N$120,12,FALSE)),"0")</f>
        <v>0</v>
      </c>
      <c r="GO44" s="192" t="str">
        <f>IF(AND($C44&lt;&gt;"",$W44&lt;&gt;""),(VLOOKUP($C44,'V-LOOKUP'!$C$61:$M$120,4,FALSE)),"0")</f>
        <v>0</v>
      </c>
      <c r="GP44" s="192" t="str">
        <f>IF(AND($C44&lt;&gt;"",$W44&lt;&gt;""),(VLOOKUP($C44,'V-LOOKUP'!$C$61:$M$120,5,FALSE)),"0")</f>
        <v>0</v>
      </c>
      <c r="GQ44" s="192" t="str">
        <f>IF(AND($C44&lt;&gt;"",$W44&lt;&gt;""),(VLOOKUP($C44,'V-LOOKUP'!$C$61:$M$120,6,FALSE)),"0")</f>
        <v>0</v>
      </c>
      <c r="GR44" s="192" t="str">
        <f>IF(AND($C44&lt;&gt;"",$W44&lt;&gt;""),(VLOOKUP($C44,'V-LOOKUP'!$C$61:$M$120,7,FALSE)),"0")</f>
        <v>0</v>
      </c>
      <c r="GS44" s="192" t="str">
        <f>IF(AND($C44&lt;&gt;"",$W44&lt;&gt;""),(VLOOKUP($C44,'V-LOOKUP'!$C$61:$M$120,8,FALSE)),"0")</f>
        <v>0</v>
      </c>
      <c r="GT44" s="192" t="str">
        <f>IF(AND($C44&lt;&gt;"",$W44&lt;&gt;""),(VLOOKUP($C44,'V-LOOKUP'!$C$61:$M$120,9,FALSE)),"0")</f>
        <v>0</v>
      </c>
      <c r="GU44" s="192" t="str">
        <f>IF(AND($C44&lt;&gt;"",$W44&lt;&gt;""),(VLOOKUP($C44,'V-LOOKUP'!$C$61:$M$120,10,FALSE)),"0")</f>
        <v>0</v>
      </c>
      <c r="GV44" s="192" t="str">
        <f>IF(AND($C44&lt;&gt;"",$W44&lt;&gt;""),(VLOOKUP($C44,'V-LOOKUP'!$C$61:$M$120,11,FALSE)),"0")</f>
        <v>0</v>
      </c>
      <c r="GW44" s="192" t="str">
        <f>IF(AND($C44&lt;&gt;"",$W44&lt;&gt;""),(VLOOKUP($C44,'V-LOOKUP'!$C$61:$N$120,12,FALSE)),"0")</f>
        <v>0</v>
      </c>
    </row>
    <row r="45" spans="1:205" ht="14.65" customHeight="1">
      <c r="A45" s="193"/>
      <c r="B45" s="245"/>
      <c r="C45" s="203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Y45" s="190"/>
      <c r="Z45" s="192" t="str">
        <f>IF(AND($C45&lt;&gt;"",$D45&lt;&gt;""),(VLOOKUP($C45,'V-LOOKUP'!$C$61:$M$120,4,FALSE)),"0")</f>
        <v>0</v>
      </c>
      <c r="AA45" s="192" t="str">
        <f>IF(AND($C45&lt;&gt;"",$D45&lt;&gt;""),(VLOOKUP($C45,'V-LOOKUP'!$C$61:$M$120,5,FALSE)),"0")</f>
        <v>0</v>
      </c>
      <c r="AB45" s="192" t="str">
        <f>IF(AND($C45&lt;&gt;"",$D45&lt;&gt;""),(VLOOKUP($C45,'V-LOOKUP'!$C$61:$M$120,6,FALSE)),"0")</f>
        <v>0</v>
      </c>
      <c r="AC45" s="192" t="str">
        <f>IF(AND($C45&lt;&gt;"",$D45&lt;&gt;""),(VLOOKUP($C45,'V-LOOKUP'!$C$61:$M$120,7,FALSE)),"0")</f>
        <v>0</v>
      </c>
      <c r="AD45" s="192" t="str">
        <f>IF(AND($C45&lt;&gt;"",$D45&lt;&gt;""),(VLOOKUP($C45,'V-LOOKUP'!$C$61:$M$120,8,FALSE)),"0")</f>
        <v>0</v>
      </c>
      <c r="AE45" s="192" t="str">
        <f>IF(AND($C45&lt;&gt;"",$D45&lt;&gt;""),(VLOOKUP($C45,'V-LOOKUP'!$C$61:$M$120,9,FALSE)),"0")</f>
        <v>0</v>
      </c>
      <c r="AF45" s="192" t="str">
        <f>IF(AND($C45&lt;&gt;"",$D45&lt;&gt;""),(VLOOKUP($C45,'V-LOOKUP'!$C$61:$M$120,10,FALSE)),"0")</f>
        <v>0</v>
      </c>
      <c r="AG45" s="192" t="str">
        <f>IF(AND($C45&lt;&gt;"",$D45&lt;&gt;""),(VLOOKUP($C45,'V-LOOKUP'!$C$61:$M$120,11,FALSE)),"0")</f>
        <v>0</v>
      </c>
      <c r="AH45" s="192" t="str">
        <f>IF(AND($C45&lt;&gt;"",$D45&lt;&gt;""),(VLOOKUP($C45,'V-LOOKUP'!$C$61:$N$120,12,FALSE)),"0")</f>
        <v>0</v>
      </c>
      <c r="AI45" s="192" t="str">
        <f>IF(AND($C45&lt;&gt;"",$E45&lt;&gt;""),(VLOOKUP($C45,'V-LOOKUP'!$C$61:$M$120,4,FALSE)),"0")</f>
        <v>0</v>
      </c>
      <c r="AJ45" s="192" t="str">
        <f>IF(AND($C45&lt;&gt;"",$E45&lt;&gt;""),(VLOOKUP($C45,'V-LOOKUP'!$C$61:$M$120,5,FALSE)),"0")</f>
        <v>0</v>
      </c>
      <c r="AK45" s="192" t="str">
        <f>IF(AND($C45&lt;&gt;"",$E45&lt;&gt;""),(VLOOKUP($C45,'V-LOOKUP'!$C$61:$M$120,6,FALSE)),"0")</f>
        <v>0</v>
      </c>
      <c r="AL45" s="192" t="str">
        <f>IF(AND($C45&lt;&gt;"",$E45&lt;&gt;""),(VLOOKUP($C45,'V-LOOKUP'!$C$61:$M$120,7,FALSE)),"0")</f>
        <v>0</v>
      </c>
      <c r="AM45" s="192" t="str">
        <f>IF(AND($C45&lt;&gt;"",$E45&lt;&gt;""),(VLOOKUP($C45,'V-LOOKUP'!$C$61:$M$120,8,FALSE)),"0")</f>
        <v>0</v>
      </c>
      <c r="AN45" s="192" t="str">
        <f>IF(AND($C45&lt;&gt;"",$E45&lt;&gt;""),(VLOOKUP($C45,'V-LOOKUP'!$C$61:$M$120,9,FALSE)),"0")</f>
        <v>0</v>
      </c>
      <c r="AO45" s="192" t="str">
        <f>IF(AND($C45&lt;&gt;"",$E45&lt;&gt;""),(VLOOKUP($C45,'V-LOOKUP'!$C$61:$M$120,10,FALSE)),"0")</f>
        <v>0</v>
      </c>
      <c r="AP45" s="192" t="str">
        <f>IF(AND($C45&lt;&gt;"",$E45&lt;&gt;""),(VLOOKUP($C45,'V-LOOKUP'!$C$61:$M$120,11,FALSE)),"0")</f>
        <v>0</v>
      </c>
      <c r="AQ45" s="192" t="str">
        <f>IF(AND($C45&lt;&gt;"",$E45&lt;&gt;""),(VLOOKUP($C45,'V-LOOKUP'!$C$61:$N$120,12,FALSE)),"0")</f>
        <v>0</v>
      </c>
      <c r="AR45" s="192" t="str">
        <f>IF(AND($C45&lt;&gt;"",$F45&lt;&gt;""),(VLOOKUP($C45,'V-LOOKUP'!$C$61:$M$120,4,FALSE)),"0")</f>
        <v>0</v>
      </c>
      <c r="AS45" s="192" t="str">
        <f>IF(AND($C45&lt;&gt;"",$F45&lt;&gt;""),(VLOOKUP($C45,'V-LOOKUP'!$C$61:$M$120,5,FALSE)),"0")</f>
        <v>0</v>
      </c>
      <c r="AT45" s="192" t="str">
        <f>IF(AND($C45&lt;&gt;"",$F45&lt;&gt;""),(VLOOKUP($C45,'V-LOOKUP'!$C$61:$M$120,6,FALSE)),"0")</f>
        <v>0</v>
      </c>
      <c r="AU45" s="192" t="str">
        <f>IF(AND($C45&lt;&gt;"",$F45&lt;&gt;""),(VLOOKUP($C45,'V-LOOKUP'!$C$61:$M$120,7,FALSE)),"0")</f>
        <v>0</v>
      </c>
      <c r="AV45" s="192" t="str">
        <f>IF(AND($C45&lt;&gt;"",$F45&lt;&gt;""),(VLOOKUP($C45,'V-LOOKUP'!$C$61:$M$120,8,FALSE)),"0")</f>
        <v>0</v>
      </c>
      <c r="AW45" s="192" t="str">
        <f>IF(AND($C45&lt;&gt;"",$F45&lt;&gt;""),(VLOOKUP($C45,'V-LOOKUP'!$C$61:$M$120,9,FALSE)),"0")</f>
        <v>0</v>
      </c>
      <c r="AX45" s="192" t="str">
        <f>IF(AND($C45&lt;&gt;"",$F45&lt;&gt;""),(VLOOKUP($C45,'V-LOOKUP'!$C$61:$M$120,10,FALSE)),"0")</f>
        <v>0</v>
      </c>
      <c r="AY45" s="192" t="str">
        <f>IF(AND($C45&lt;&gt;"",$F45&lt;&gt;""),(VLOOKUP($C45,'V-LOOKUP'!$C$61:$M$120,11,FALSE)),"0")</f>
        <v>0</v>
      </c>
      <c r="AZ45" s="192" t="str">
        <f>IF(AND($C45&lt;&gt;"",$F45&lt;&gt;""),(VLOOKUP($C45,'V-LOOKUP'!$C$61:$N$120,12,FALSE)),"0")</f>
        <v>0</v>
      </c>
      <c r="BA45" s="192" t="str">
        <f>IF(AND($C45&lt;&gt;"",$G45&lt;&gt;""),(VLOOKUP($C45,'V-LOOKUP'!$C$61:$M$120,4,FALSE)),"0")</f>
        <v>0</v>
      </c>
      <c r="BB45" s="192" t="str">
        <f>IF(AND($C45&lt;&gt;"",$G45&lt;&gt;""),(VLOOKUP($C45,'V-LOOKUP'!$C$61:$M$120,5,FALSE)),"0")</f>
        <v>0</v>
      </c>
      <c r="BC45" s="192" t="str">
        <f>IF(AND($C45&lt;&gt;"",$G45&lt;&gt;""),(VLOOKUP($C45,'V-LOOKUP'!$C$61:$M$120,6,FALSE)),"0")</f>
        <v>0</v>
      </c>
      <c r="BD45" s="192" t="str">
        <f>IF(AND($C45&lt;&gt;"",$G45&lt;&gt;""),(VLOOKUP($C45,'V-LOOKUP'!$C$61:$M$120,7,FALSE)),"0")</f>
        <v>0</v>
      </c>
      <c r="BE45" s="192" t="str">
        <f>IF(AND($C45&lt;&gt;"",$G45&lt;&gt;""),(VLOOKUP($C45,'V-LOOKUP'!$C$61:$M$120,8,FALSE)),"0")</f>
        <v>0</v>
      </c>
      <c r="BF45" s="192" t="str">
        <f>IF(AND($C45&lt;&gt;"",$G45&lt;&gt;""),(VLOOKUP($C45,'V-LOOKUP'!$C$61:$M$120,9,FALSE)),"0")</f>
        <v>0</v>
      </c>
      <c r="BG45" s="192" t="str">
        <f>IF(AND($C45&lt;&gt;"",$G45&lt;&gt;""),(VLOOKUP($C45,'V-LOOKUP'!$C$61:$M$120,10,FALSE)),"0")</f>
        <v>0</v>
      </c>
      <c r="BH45" s="192" t="str">
        <f>IF(AND($C45&lt;&gt;"",$G45&lt;&gt;""),(VLOOKUP($C45,'V-LOOKUP'!$C$61:$M$120,11,FALSE)),"0")</f>
        <v>0</v>
      </c>
      <c r="BI45" s="192" t="str">
        <f>IF(AND($C45&lt;&gt;"",$G45&lt;&gt;""),(VLOOKUP($C45,'V-LOOKUP'!$C$61:$N$120,12,FALSE)),"0")</f>
        <v>0</v>
      </c>
      <c r="BJ45" s="192" t="str">
        <f>IF(AND($C45&lt;&gt;"",$H45&lt;&gt;""),(VLOOKUP($C45,'V-LOOKUP'!$C$61:$M$120,4,FALSE)),"0")</f>
        <v>0</v>
      </c>
      <c r="BK45" s="192" t="str">
        <f>IF(AND($C45&lt;&gt;"",$H45&lt;&gt;""),(VLOOKUP($C45,'V-LOOKUP'!$C$61:$M$120,5,FALSE)),"0")</f>
        <v>0</v>
      </c>
      <c r="BL45" s="192" t="str">
        <f>IF(AND($C45&lt;&gt;"",$H45&lt;&gt;""),(VLOOKUP($C45,'V-LOOKUP'!$C$61:$M$120,6,FALSE)),"0")</f>
        <v>0</v>
      </c>
      <c r="BM45" s="192" t="str">
        <f>IF(AND($C45&lt;&gt;"",$H45&lt;&gt;""),(VLOOKUP($C45,'V-LOOKUP'!$C$61:$M$120,7,FALSE)),"0")</f>
        <v>0</v>
      </c>
      <c r="BN45" s="192" t="str">
        <f>IF(AND($C45&lt;&gt;"",$H45&lt;&gt;""),(VLOOKUP($C45,'V-LOOKUP'!$C$61:$M$120,8,FALSE)),"0")</f>
        <v>0</v>
      </c>
      <c r="BO45" s="192" t="str">
        <f>IF(AND($C45&lt;&gt;"",$H45&lt;&gt;""),(VLOOKUP($C45,'V-LOOKUP'!$C$61:$M$120,9,FALSE)),"0")</f>
        <v>0</v>
      </c>
      <c r="BP45" s="192" t="str">
        <f>IF(AND($C45&lt;&gt;"",$H45&lt;&gt;""),(VLOOKUP($C45,'V-LOOKUP'!$C$61:$M$120,10,FALSE)),"0")</f>
        <v>0</v>
      </c>
      <c r="BQ45" s="192" t="str">
        <f>IF(AND($C45&lt;&gt;"",$H45&lt;&gt;""),(VLOOKUP($C45,'V-LOOKUP'!$C$61:$M$120,11,FALSE)),"0")</f>
        <v>0</v>
      </c>
      <c r="BR45" s="192" t="str">
        <f>IF(AND($C45&lt;&gt;"",$H45&lt;&gt;""),(VLOOKUP($C45,'V-LOOKUP'!$C$61:$N$120,12,FALSE)),"0")</f>
        <v>0</v>
      </c>
      <c r="BS45" s="192" t="str">
        <f>IF(AND($C45&lt;&gt;"",$I45&lt;&gt;""),(VLOOKUP($C45,'V-LOOKUP'!$C$61:$M$120,4,FALSE)),"0")</f>
        <v>0</v>
      </c>
      <c r="BT45" s="192" t="str">
        <f>IF(AND($C45&lt;&gt;"",$I45&lt;&gt;""),(VLOOKUP($C45,'V-LOOKUP'!$C$61:$M$120,5,FALSE)),"0")</f>
        <v>0</v>
      </c>
      <c r="BU45" s="192" t="str">
        <f>IF(AND($C45&lt;&gt;"",$I45&lt;&gt;""),(VLOOKUP($C45,'V-LOOKUP'!$C$61:$M$120,6,FALSE)),"0")</f>
        <v>0</v>
      </c>
      <c r="BV45" s="192" t="str">
        <f>IF(AND($C45&lt;&gt;"",$I45&lt;&gt;""),(VLOOKUP($C45,'V-LOOKUP'!$C$61:$M$120,7,FALSE)),"0")</f>
        <v>0</v>
      </c>
      <c r="BW45" s="192" t="str">
        <f>IF(AND($C45&lt;&gt;"",$I45&lt;&gt;""),(VLOOKUP($C45,'V-LOOKUP'!$C$61:$M$120,8,FALSE)),"0")</f>
        <v>0</v>
      </c>
      <c r="BX45" s="192" t="str">
        <f>IF(AND($C45&lt;&gt;"",$I45&lt;&gt;""),(VLOOKUP($C45,'V-LOOKUP'!$C$61:$M$120,9,FALSE)),"0")</f>
        <v>0</v>
      </c>
      <c r="BY45" s="192" t="str">
        <f>IF(AND($C45&lt;&gt;"",$I45&lt;&gt;""),(VLOOKUP($C45,'V-LOOKUP'!$C$61:$M$120,10,FALSE)),"0")</f>
        <v>0</v>
      </c>
      <c r="BZ45" s="192" t="str">
        <f>IF(AND($C45&lt;&gt;"",$I45&lt;&gt;""),(VLOOKUP($C45,'V-LOOKUP'!$C$61:$M$120,11,FALSE)),"0")</f>
        <v>0</v>
      </c>
      <c r="CA45" s="192" t="str">
        <f>IF(AND($C45&lt;&gt;"",$I45&lt;&gt;""),(VLOOKUP($C45,'V-LOOKUP'!$C$61:$N$120,12,FALSE)),"0")</f>
        <v>0</v>
      </c>
      <c r="CB45" s="192" t="str">
        <f>IF(AND($C45&lt;&gt;"",$J45&lt;&gt;""),(VLOOKUP($C45,'V-LOOKUP'!$C$61:$M$120,4,FALSE)),"0")</f>
        <v>0</v>
      </c>
      <c r="CC45" s="192" t="str">
        <f>IF(AND($C45&lt;&gt;"",$J45&lt;&gt;""),(VLOOKUP($C45,'V-LOOKUP'!$C$61:$M$120,5,FALSE)),"0")</f>
        <v>0</v>
      </c>
      <c r="CD45" s="192" t="str">
        <f>IF(AND($C45&lt;&gt;"",$J45&lt;&gt;""),(VLOOKUP($C45,'V-LOOKUP'!$C$61:$M$120,6,FALSE)),"0")</f>
        <v>0</v>
      </c>
      <c r="CE45" s="192" t="str">
        <f>IF(AND($C45&lt;&gt;"",$J45&lt;&gt;""),(VLOOKUP($C45,'V-LOOKUP'!$C$61:$M$120,7,FALSE)),"0")</f>
        <v>0</v>
      </c>
      <c r="CF45" s="192" t="str">
        <f>IF(AND($C45&lt;&gt;"",$J45&lt;&gt;""),(VLOOKUP($C45,'V-LOOKUP'!$C$61:$M$120,8,FALSE)),"0")</f>
        <v>0</v>
      </c>
      <c r="CG45" s="192" t="str">
        <f>IF(AND($C45&lt;&gt;"",$J45&lt;&gt;""),(VLOOKUP($C45,'V-LOOKUP'!$C$61:$M$120,9,FALSE)),"0")</f>
        <v>0</v>
      </c>
      <c r="CH45" s="192" t="str">
        <f>IF(AND($C45&lt;&gt;"",$J45&lt;&gt;""),(VLOOKUP($C45,'V-LOOKUP'!$C$61:$M$120,10,FALSE)),"0")</f>
        <v>0</v>
      </c>
      <c r="CI45" s="192" t="str">
        <f>IF(AND($C45&lt;&gt;"",$J45&lt;&gt;""),(VLOOKUP($C45,'V-LOOKUP'!$C$61:$M$120,11,FALSE)),"0")</f>
        <v>0</v>
      </c>
      <c r="CJ45" s="192" t="str">
        <f>IF(AND($C45&lt;&gt;"",$J45&lt;&gt;""),(VLOOKUP($C45,'V-LOOKUP'!$C$61:$N$120,12,FALSE)),"0")</f>
        <v>0</v>
      </c>
      <c r="CK45" s="192" t="str">
        <f>IF(AND($C45&lt;&gt;"",$K45&lt;&gt;""),(VLOOKUP($C45,'V-LOOKUP'!$C$61:$M$120,4,FALSE)),"0")</f>
        <v>0</v>
      </c>
      <c r="CL45" s="192" t="str">
        <f>IF(AND($C45&lt;&gt;"",$K45&lt;&gt;""),(VLOOKUP($C45,'V-LOOKUP'!$C$61:$M$120,5,FALSE)),"0")</f>
        <v>0</v>
      </c>
      <c r="CM45" s="192" t="str">
        <f>IF(AND($C45&lt;&gt;"",$K45&lt;&gt;""),(VLOOKUP($C45,'V-LOOKUP'!$C$61:$M$120,6,FALSE)),"0")</f>
        <v>0</v>
      </c>
      <c r="CN45" s="192" t="str">
        <f>IF(AND($C45&lt;&gt;"",$K45&lt;&gt;""),(VLOOKUP($C45,'V-LOOKUP'!$C$61:$M$120,7,FALSE)),"0")</f>
        <v>0</v>
      </c>
      <c r="CO45" s="192" t="str">
        <f>IF(AND($C45&lt;&gt;"",$K45&lt;&gt;""),(VLOOKUP($C45,'V-LOOKUP'!$C$61:$M$120,8,FALSE)),"0")</f>
        <v>0</v>
      </c>
      <c r="CP45" s="192" t="str">
        <f>IF(AND($C45&lt;&gt;"",$K45&lt;&gt;""),(VLOOKUP($C45,'V-LOOKUP'!$C$61:$M$120,9,FALSE)),"0")</f>
        <v>0</v>
      </c>
      <c r="CQ45" s="192" t="str">
        <f>IF(AND($C45&lt;&gt;"",$K45&lt;&gt;""),(VLOOKUP($C45,'V-LOOKUP'!$C$61:$M$120,10,FALSE)),"0")</f>
        <v>0</v>
      </c>
      <c r="CR45" s="192" t="str">
        <f>IF(AND($C45&lt;&gt;"",$K45&lt;&gt;""),(VLOOKUP($C45,'V-LOOKUP'!$C$61:$M$120,11,FALSE)),"0")</f>
        <v>0</v>
      </c>
      <c r="CS45" s="192" t="str">
        <f>IF(AND($C45&lt;&gt;"",$K45&lt;&gt;""),(VLOOKUP($C45,'V-LOOKUP'!$C$61:$N$120,12,FALSE)),"0")</f>
        <v>0</v>
      </c>
      <c r="CT45" s="192" t="str">
        <f>IF(AND($C45&lt;&gt;"",$L45&lt;&gt;""),(VLOOKUP($C45,'V-LOOKUP'!$C$61:$M$120,4,FALSE)),"0")</f>
        <v>0</v>
      </c>
      <c r="CU45" s="192" t="str">
        <f>IF(AND($C45&lt;&gt;"",$L45&lt;&gt;""),(VLOOKUP($C45,'V-LOOKUP'!$C$61:$M$120,5,FALSE)),"0")</f>
        <v>0</v>
      </c>
      <c r="CV45" s="192" t="str">
        <f>IF(AND($C45&lt;&gt;"",$L45&lt;&gt;""),(VLOOKUP($C45,'V-LOOKUP'!$C$61:$M$120,6,FALSE)),"0")</f>
        <v>0</v>
      </c>
      <c r="CW45" s="192" t="str">
        <f>IF(AND($C45&lt;&gt;"",$L45&lt;&gt;""),(VLOOKUP($C45,'V-LOOKUP'!$C$61:$M$120,7,FALSE)),"0")</f>
        <v>0</v>
      </c>
      <c r="CX45" s="192" t="str">
        <f>IF(AND($C45&lt;&gt;"",$L45&lt;&gt;""),(VLOOKUP($C45,'V-LOOKUP'!$C$61:$M$120,8,FALSE)),"0")</f>
        <v>0</v>
      </c>
      <c r="CY45" s="192" t="str">
        <f>IF(AND($C45&lt;&gt;"",$L45&lt;&gt;""),(VLOOKUP($C45,'V-LOOKUP'!$C$61:$M$120,9,FALSE)),"0")</f>
        <v>0</v>
      </c>
      <c r="CZ45" s="192" t="str">
        <f>IF(AND($C45&lt;&gt;"",$L45&lt;&gt;""),(VLOOKUP($C45,'V-LOOKUP'!$C$61:$M$120,10,FALSE)),"0")</f>
        <v>0</v>
      </c>
      <c r="DA45" s="192" t="str">
        <f>IF(AND($C45&lt;&gt;"",$L45&lt;&gt;""),(VLOOKUP($C45,'V-LOOKUP'!$C$61:$M$120,11,FALSE)),"0")</f>
        <v>0</v>
      </c>
      <c r="DB45" s="192" t="str">
        <f>IF(AND($C45&lt;&gt;"",$L45&lt;&gt;""),(VLOOKUP($C45,'V-LOOKUP'!$C$61:$N$120,12,FALSE)),"0")</f>
        <v>0</v>
      </c>
      <c r="DC45" s="192" t="str">
        <f>IF(AND($C45&lt;&gt;"",$M45&lt;&gt;""),(VLOOKUP($C45,'V-LOOKUP'!$C$61:$M$120,4,FALSE)),"0")</f>
        <v>0</v>
      </c>
      <c r="DD45" s="192" t="str">
        <f>IF(AND($C45&lt;&gt;"",$M45&lt;&gt;""),(VLOOKUP($C45,'V-LOOKUP'!$C$61:$M$120,5,FALSE)),"0")</f>
        <v>0</v>
      </c>
      <c r="DE45" s="192" t="str">
        <f>IF(AND($C45&lt;&gt;"",$M45&lt;&gt;""),(VLOOKUP($C45,'V-LOOKUP'!$C$61:$M$120,6,FALSE)),"0")</f>
        <v>0</v>
      </c>
      <c r="DF45" s="192" t="str">
        <f>IF(AND($C45&lt;&gt;"",$M45&lt;&gt;""),(VLOOKUP($C45,'V-LOOKUP'!$C$61:$M$120,7,FALSE)),"0")</f>
        <v>0</v>
      </c>
      <c r="DG45" s="192" t="str">
        <f>IF(AND($C45&lt;&gt;"",$M45&lt;&gt;""),(VLOOKUP($C45,'V-LOOKUP'!$C$61:$M$120,8,FALSE)),"0")</f>
        <v>0</v>
      </c>
      <c r="DH45" s="192" t="str">
        <f>IF(AND($C45&lt;&gt;"",$M45&lt;&gt;""),(VLOOKUP($C45,'V-LOOKUP'!$C$61:$M$120,9,FALSE)),"0")</f>
        <v>0</v>
      </c>
      <c r="DI45" s="192" t="str">
        <f>IF(AND($C45&lt;&gt;"",$M45&lt;&gt;""),(VLOOKUP($C45,'V-LOOKUP'!$C$61:$M$120,10,FALSE)),"0")</f>
        <v>0</v>
      </c>
      <c r="DJ45" s="192" t="str">
        <f>IF(AND($C45&lt;&gt;"",$M45&lt;&gt;""),(VLOOKUP($C45,'V-LOOKUP'!$C$61:$M$120,11,FALSE)),"0")</f>
        <v>0</v>
      </c>
      <c r="DK45" s="192" t="str">
        <f>IF(AND($C45&lt;&gt;"",$M45&lt;&gt;""),(VLOOKUP($C45,'V-LOOKUP'!$C$61:$N$120,12,FALSE)),"0")</f>
        <v>0</v>
      </c>
      <c r="DL45" s="192" t="str">
        <f>IF(AND($C45&lt;&gt;"",$N45&lt;&gt;""),(VLOOKUP($C45,'V-LOOKUP'!$C$61:$M$120,4,FALSE)),"0")</f>
        <v>0</v>
      </c>
      <c r="DM45" s="192" t="str">
        <f>IF(AND($C45&lt;&gt;"",$N45&lt;&gt;""),(VLOOKUP($C45,'V-LOOKUP'!$C$61:$M$120,5,FALSE)),"0")</f>
        <v>0</v>
      </c>
      <c r="DN45" s="192" t="str">
        <f>IF(AND($C45&lt;&gt;"",$N45&lt;&gt;""),(VLOOKUP($C45,'V-LOOKUP'!$C$61:$M$120,6,FALSE)),"0")</f>
        <v>0</v>
      </c>
      <c r="DO45" s="192" t="str">
        <f>IF(AND($C45&lt;&gt;"",$N45&lt;&gt;""),(VLOOKUP($C45,'V-LOOKUP'!$C$61:$M$120,7,FALSE)),"0")</f>
        <v>0</v>
      </c>
      <c r="DP45" s="192" t="str">
        <f>IF(AND($C45&lt;&gt;"",$N45&lt;&gt;""),(VLOOKUP($C45,'V-LOOKUP'!$C$61:$M$120,8,FALSE)),"0")</f>
        <v>0</v>
      </c>
      <c r="DQ45" s="192" t="str">
        <f>IF(AND($C45&lt;&gt;"",$N45&lt;&gt;""),(VLOOKUP($C45,'V-LOOKUP'!$C$61:$M$120,9,FALSE)),"0")</f>
        <v>0</v>
      </c>
      <c r="DR45" s="192" t="str">
        <f>IF(AND($C45&lt;&gt;"",$N45&lt;&gt;""),(VLOOKUP($C45,'V-LOOKUP'!$C$61:$M$120,10,FALSE)),"0")</f>
        <v>0</v>
      </c>
      <c r="DS45" s="192" t="str">
        <f>IF(AND($C45&lt;&gt;"",$N45&lt;&gt;""),(VLOOKUP($C45,'V-LOOKUP'!$C$61:$M$120,11,FALSE)),"0")</f>
        <v>0</v>
      </c>
      <c r="DT45" s="192" t="str">
        <f>IF(AND($C45&lt;&gt;"",$N45&lt;&gt;""),(VLOOKUP($C45,'V-LOOKUP'!$C$61:$N$120,12,FALSE)),"0")</f>
        <v>0</v>
      </c>
      <c r="DU45" s="192" t="str">
        <f>IF(AND($C45&lt;&gt;"",$O45&lt;&gt;""),(VLOOKUP($C45,'V-LOOKUP'!$C$61:$M$120,4,FALSE)),"0")</f>
        <v>0</v>
      </c>
      <c r="DV45" s="192" t="str">
        <f>IF(AND($C45&lt;&gt;"",$O45&lt;&gt;""),(VLOOKUP($C45,'V-LOOKUP'!$C$61:$M$120,5,FALSE)),"0")</f>
        <v>0</v>
      </c>
      <c r="DW45" s="192" t="str">
        <f>IF(AND($C45&lt;&gt;"",$O45&lt;&gt;""),(VLOOKUP($C45,'V-LOOKUP'!$C$61:$M$120,6,FALSE)),"0")</f>
        <v>0</v>
      </c>
      <c r="DX45" s="192" t="str">
        <f>IF(AND($C45&lt;&gt;"",$O45&lt;&gt;""),(VLOOKUP($C45,'V-LOOKUP'!$C$61:$M$120,7,FALSE)),"0")</f>
        <v>0</v>
      </c>
      <c r="DY45" s="192" t="str">
        <f>IF(AND($C45&lt;&gt;"",$O45&lt;&gt;""),(VLOOKUP($C45,'V-LOOKUP'!$C$61:$M$120,8,FALSE)),"0")</f>
        <v>0</v>
      </c>
      <c r="DZ45" s="192" t="str">
        <f>IF(AND($C45&lt;&gt;"",$O45&lt;&gt;""),(VLOOKUP($C45,'V-LOOKUP'!$C$61:$M$120,9,FALSE)),"0")</f>
        <v>0</v>
      </c>
      <c r="EA45" s="192" t="str">
        <f>IF(AND($C45&lt;&gt;"",$O45&lt;&gt;""),(VLOOKUP($C45,'V-LOOKUP'!$C$61:$M$120,10,FALSE)),"0")</f>
        <v>0</v>
      </c>
      <c r="EB45" s="192" t="str">
        <f>IF(AND($C45&lt;&gt;"",$O45&lt;&gt;""),(VLOOKUP($C45,'V-LOOKUP'!$C$61:$M$120,11,FALSE)),"0")</f>
        <v>0</v>
      </c>
      <c r="EC45" s="192" t="str">
        <f>IF(AND($C45&lt;&gt;"",$O45&lt;&gt;""),(VLOOKUP($C45,'V-LOOKUP'!$C$61:$N$120,12,FALSE)),"0")</f>
        <v>0</v>
      </c>
      <c r="ED45" s="192" t="str">
        <f>IF(AND($C45&lt;&gt;"",$P45&lt;&gt;""),(VLOOKUP($C45,'V-LOOKUP'!$C$61:$M$120,4,FALSE)),"0")</f>
        <v>0</v>
      </c>
      <c r="EE45" s="192" t="str">
        <f>IF(AND($C45&lt;&gt;"",$P45&lt;&gt;""),(VLOOKUP($C45,'V-LOOKUP'!$C$61:$M$120,5,FALSE)),"0")</f>
        <v>0</v>
      </c>
      <c r="EF45" s="192" t="str">
        <f>IF(AND($C45&lt;&gt;"",$P45&lt;&gt;""),(VLOOKUP($C45,'V-LOOKUP'!$C$61:$M$120,6,FALSE)),"0")</f>
        <v>0</v>
      </c>
      <c r="EG45" s="192" t="str">
        <f>IF(AND($C45&lt;&gt;"",$P45&lt;&gt;""),(VLOOKUP($C45,'V-LOOKUP'!$C$61:$M$120,7,FALSE)),"0")</f>
        <v>0</v>
      </c>
      <c r="EH45" s="192" t="str">
        <f>IF(AND($C45&lt;&gt;"",$P45&lt;&gt;""),(VLOOKUP($C45,'V-LOOKUP'!$C$61:$M$120,8,FALSE)),"0")</f>
        <v>0</v>
      </c>
      <c r="EI45" s="192" t="str">
        <f>IF(AND($C45&lt;&gt;"",$P45&lt;&gt;""),(VLOOKUP($C45,'V-LOOKUP'!$C$61:$M$120,9,FALSE)),"0")</f>
        <v>0</v>
      </c>
      <c r="EJ45" s="192" t="str">
        <f>IF(AND($C45&lt;&gt;"",$P45&lt;&gt;""),(VLOOKUP($C45,'V-LOOKUP'!$C$61:$M$120,10,FALSE)),"0")</f>
        <v>0</v>
      </c>
      <c r="EK45" s="192" t="str">
        <f>IF(AND($C45&lt;&gt;"",$P45&lt;&gt;""),(VLOOKUP($C45,'V-LOOKUP'!$C$61:$M$120,11,FALSE)),"0")</f>
        <v>0</v>
      </c>
      <c r="EL45" s="192" t="str">
        <f>IF(AND($C45&lt;&gt;"",$P45&lt;&gt;""),(VLOOKUP($C45,'V-LOOKUP'!$C$61:$N$120,12,FALSE)),"0")</f>
        <v>0</v>
      </c>
      <c r="EM45" s="192" t="str">
        <f>IF(AND($C45&lt;&gt;"",$Q45&lt;&gt;""),(VLOOKUP($C45,'V-LOOKUP'!$C$61:$M$120,4,FALSE)),"0")</f>
        <v>0</v>
      </c>
      <c r="EN45" s="192" t="str">
        <f>IF(AND($C45&lt;&gt;"",$Q45&lt;&gt;""),(VLOOKUP($C45,'V-LOOKUP'!$C$61:$M$120,5,FALSE)),"0")</f>
        <v>0</v>
      </c>
      <c r="EO45" s="192" t="str">
        <f>IF(AND($C45&lt;&gt;"",$Q45&lt;&gt;""),(VLOOKUP($C45,'V-LOOKUP'!$C$61:$M$120,6,FALSE)),"0")</f>
        <v>0</v>
      </c>
      <c r="EP45" s="192" t="str">
        <f>IF(AND($C45&lt;&gt;"",$Q45&lt;&gt;""),(VLOOKUP($C45,'V-LOOKUP'!$C$61:$M$120,7,FALSE)),"0")</f>
        <v>0</v>
      </c>
      <c r="EQ45" s="192" t="str">
        <f>IF(AND($C45&lt;&gt;"",$Q45&lt;&gt;""),(VLOOKUP($C45,'V-LOOKUP'!$C$61:$M$120,8,FALSE)),"0")</f>
        <v>0</v>
      </c>
      <c r="ER45" s="192" t="str">
        <f>IF(AND($C45&lt;&gt;"",$Q45&lt;&gt;""),(VLOOKUP($C45,'V-LOOKUP'!$C$61:$M$120,9,FALSE)),"0")</f>
        <v>0</v>
      </c>
      <c r="ES45" s="192" t="str">
        <f>IF(AND($C45&lt;&gt;"",$Q45&lt;&gt;""),(VLOOKUP($C45,'V-LOOKUP'!$C$61:$M$120,10,FALSE)),"0")</f>
        <v>0</v>
      </c>
      <c r="ET45" s="192" t="str">
        <f>IF(AND($C45&lt;&gt;"",$Q45&lt;&gt;""),(VLOOKUP($C45,'V-LOOKUP'!$C$61:$M$120,11,FALSE)),"0")</f>
        <v>0</v>
      </c>
      <c r="EU45" s="192" t="str">
        <f>IF(AND($C45&lt;&gt;"",$Q45&lt;&gt;""),(VLOOKUP($C45,'V-LOOKUP'!$C$61:$N$120,12,FALSE)),"0")</f>
        <v>0</v>
      </c>
      <c r="EV45" s="192" t="str">
        <f>IF(AND($C45&lt;&gt;"",$R45&lt;&gt;""),(VLOOKUP($C45,'V-LOOKUP'!$C$61:$M$120,4,FALSE)),"0")</f>
        <v>0</v>
      </c>
      <c r="EW45" s="192" t="str">
        <f>IF(AND($C45&lt;&gt;"",$R45&lt;&gt;""),(VLOOKUP($C45,'V-LOOKUP'!$C$61:$M$120,5,FALSE)),"0")</f>
        <v>0</v>
      </c>
      <c r="EX45" s="192" t="str">
        <f>IF(AND($C45&lt;&gt;"",$R45&lt;&gt;""),(VLOOKUP($C45,'V-LOOKUP'!$C$61:$M$120,6,FALSE)),"0")</f>
        <v>0</v>
      </c>
      <c r="EY45" s="192" t="str">
        <f>IF(AND($C45&lt;&gt;"",$R45&lt;&gt;""),(VLOOKUP($C45,'V-LOOKUP'!$C$61:$M$120,7,FALSE)),"0")</f>
        <v>0</v>
      </c>
      <c r="EZ45" s="192" t="str">
        <f>IF(AND($C45&lt;&gt;"",$R45&lt;&gt;""),(VLOOKUP($C45,'V-LOOKUP'!$C$61:$M$120,8,FALSE)),"0")</f>
        <v>0</v>
      </c>
      <c r="FA45" s="192" t="str">
        <f>IF(AND($C45&lt;&gt;"",$R45&lt;&gt;""),(VLOOKUP($C45,'V-LOOKUP'!$C$61:$M$120,9,FALSE)),"0")</f>
        <v>0</v>
      </c>
      <c r="FB45" s="192" t="str">
        <f>IF(AND($C45&lt;&gt;"",$R45&lt;&gt;""),(VLOOKUP($C45,'V-LOOKUP'!$C$61:$M$120,10,FALSE)),"0")</f>
        <v>0</v>
      </c>
      <c r="FC45" s="192" t="str">
        <f>IF(AND($C45&lt;&gt;"",$R45&lt;&gt;""),(VLOOKUP($C45,'V-LOOKUP'!$C$61:$M$120,11,FALSE)),"0")</f>
        <v>0</v>
      </c>
      <c r="FD45" s="192" t="str">
        <f>IF(AND($C45&lt;&gt;"",$R45&lt;&gt;""),(VLOOKUP($C45,'V-LOOKUP'!$C$61:$N$120,12,FALSE)),"0")</f>
        <v>0</v>
      </c>
      <c r="FE45" s="192" t="str">
        <f>IF(AND($C45&lt;&gt;"",$S45&lt;&gt;""),(VLOOKUP($C45,'V-LOOKUP'!$C$61:$M$120,4,FALSE)),"0")</f>
        <v>0</v>
      </c>
      <c r="FF45" s="192" t="str">
        <f>IF(AND($C45&lt;&gt;"",$S45&lt;&gt;""),(VLOOKUP($C45,'V-LOOKUP'!$C$61:$M$120,5,FALSE)),"0")</f>
        <v>0</v>
      </c>
      <c r="FG45" s="192" t="str">
        <f>IF(AND($C45&lt;&gt;"",$S45&lt;&gt;""),(VLOOKUP($C45,'V-LOOKUP'!$C$61:$M$120,6,FALSE)),"0")</f>
        <v>0</v>
      </c>
      <c r="FH45" s="192" t="str">
        <f>IF(AND($C45&lt;&gt;"",$S45&lt;&gt;""),(VLOOKUP($C45,'V-LOOKUP'!$C$61:$M$120,7,FALSE)),"0")</f>
        <v>0</v>
      </c>
      <c r="FI45" s="192" t="str">
        <f>IF(AND($C45&lt;&gt;"",$S45&lt;&gt;""),(VLOOKUP($C45,'V-LOOKUP'!$C$61:$M$120,8,FALSE)),"0")</f>
        <v>0</v>
      </c>
      <c r="FJ45" s="192" t="str">
        <f>IF(AND($C45&lt;&gt;"",$S45&lt;&gt;""),(VLOOKUP($C45,'V-LOOKUP'!$C$61:$M$120,9,FALSE)),"0")</f>
        <v>0</v>
      </c>
      <c r="FK45" s="192" t="str">
        <f>IF(AND($C45&lt;&gt;"",$S45&lt;&gt;""),(VLOOKUP($C45,'V-LOOKUP'!$C$61:$M$120,10,FALSE)),"0")</f>
        <v>0</v>
      </c>
      <c r="FL45" s="192" t="str">
        <f>IF(AND($C45&lt;&gt;"",$S45&lt;&gt;""),(VLOOKUP($C45,'V-LOOKUP'!$C$61:$M$120,11,FALSE)),"0")</f>
        <v>0</v>
      </c>
      <c r="FM45" s="192" t="str">
        <f>IF(AND($C45&lt;&gt;"",$S45&lt;&gt;""),(VLOOKUP($C45,'V-LOOKUP'!$C$61:$N$120,12,FALSE)),"0")</f>
        <v>0</v>
      </c>
      <c r="FN45" s="192" t="str">
        <f>IF(AND($C45&lt;&gt;"",$T45&lt;&gt;""),(VLOOKUP($C45,'V-LOOKUP'!$C$61:$M$120,4,FALSE)),"0")</f>
        <v>0</v>
      </c>
      <c r="FO45" s="192" t="str">
        <f>IF(AND($C45&lt;&gt;"",$T45&lt;&gt;""),(VLOOKUP($C45,'V-LOOKUP'!$C$61:$M$120,5,FALSE)),"0")</f>
        <v>0</v>
      </c>
      <c r="FP45" s="192" t="str">
        <f>IF(AND($C45&lt;&gt;"",$T45&lt;&gt;""),(VLOOKUP($C45,'V-LOOKUP'!$C$61:$M$120,6,FALSE)),"0")</f>
        <v>0</v>
      </c>
      <c r="FQ45" s="192" t="str">
        <f>IF(AND($C45&lt;&gt;"",$T45&lt;&gt;""),(VLOOKUP($C45,'V-LOOKUP'!$C$61:$M$120,7,FALSE)),"0")</f>
        <v>0</v>
      </c>
      <c r="FR45" s="192" t="str">
        <f>IF(AND($C45&lt;&gt;"",$T45&lt;&gt;""),(VLOOKUP($C45,'V-LOOKUP'!$C$61:$M$120,8,FALSE)),"0")</f>
        <v>0</v>
      </c>
      <c r="FS45" s="192" t="str">
        <f>IF(AND($C45&lt;&gt;"",$T45&lt;&gt;""),(VLOOKUP($C45,'V-LOOKUP'!$C$61:$M$120,9,FALSE)),"0")</f>
        <v>0</v>
      </c>
      <c r="FT45" s="192" t="str">
        <f>IF(AND($C45&lt;&gt;"",$T45&lt;&gt;""),(VLOOKUP($C45,'V-LOOKUP'!$C$61:$M$120,10,FALSE)),"0")</f>
        <v>0</v>
      </c>
      <c r="FU45" s="192" t="str">
        <f>IF(AND($C45&lt;&gt;"",$T45&lt;&gt;""),(VLOOKUP($C45,'V-LOOKUP'!$C$61:$M$120,11,FALSE)),"0")</f>
        <v>0</v>
      </c>
      <c r="FV45" s="192" t="str">
        <f>IF(AND($C45&lt;&gt;"",$T45&lt;&gt;""),(VLOOKUP($C45,'V-LOOKUP'!$C$61:$N$120,12,FALSE)),"0")</f>
        <v>0</v>
      </c>
      <c r="FW45" s="192" t="str">
        <f>IF(AND($C45&lt;&gt;"",$U45&lt;&gt;""),(VLOOKUP($C45,'V-LOOKUP'!$C$61:$M$120,4,FALSE)),"0")</f>
        <v>0</v>
      </c>
      <c r="FX45" s="192" t="str">
        <f>IF(AND($C45&lt;&gt;"",$U45&lt;&gt;""),(VLOOKUP($C45,'V-LOOKUP'!$C$61:$M$120,5,FALSE)),"0")</f>
        <v>0</v>
      </c>
      <c r="FY45" s="192" t="str">
        <f>IF(AND($C45&lt;&gt;"",$U45&lt;&gt;""),(VLOOKUP($C45,'V-LOOKUP'!$C$61:$M$120,6,FALSE)),"0")</f>
        <v>0</v>
      </c>
      <c r="FZ45" s="192" t="str">
        <f>IF(AND($C45&lt;&gt;"",$U45&lt;&gt;""),(VLOOKUP($C45,'V-LOOKUP'!$C$61:$M$120,7,FALSE)),"0")</f>
        <v>0</v>
      </c>
      <c r="GA45" s="192" t="str">
        <f>IF(AND($C45&lt;&gt;"",$U45&lt;&gt;""),(VLOOKUP($C45,'V-LOOKUP'!$C$61:$M$120,8,FALSE)),"0")</f>
        <v>0</v>
      </c>
      <c r="GB45" s="192" t="str">
        <f>IF(AND($C45&lt;&gt;"",$U45&lt;&gt;""),(VLOOKUP($C45,'V-LOOKUP'!$C$61:$M$120,9,FALSE)),"0")</f>
        <v>0</v>
      </c>
      <c r="GC45" s="192" t="str">
        <f>IF(AND($C45&lt;&gt;"",$U45&lt;&gt;""),(VLOOKUP($C45,'V-LOOKUP'!$C$61:$M$120,10,FALSE)),"0")</f>
        <v>0</v>
      </c>
      <c r="GD45" s="192" t="str">
        <f>IF(AND($C45&lt;&gt;"",$U45&lt;&gt;""),(VLOOKUP($C45,'V-LOOKUP'!$C$61:$M$120,11,FALSE)),"0")</f>
        <v>0</v>
      </c>
      <c r="GE45" s="192" t="str">
        <f>IF(AND($C45&lt;&gt;"",$U45&lt;&gt;""),(VLOOKUP($C45,'V-LOOKUP'!$C$61:$N$120,12,FALSE)),"0")</f>
        <v>0</v>
      </c>
      <c r="GF45" s="192" t="str">
        <f>IF(AND($C45&lt;&gt;"",$V45&lt;&gt;""),(VLOOKUP($C45,'V-LOOKUP'!$C$61:$M$120,4,FALSE)),"0")</f>
        <v>0</v>
      </c>
      <c r="GG45" s="192" t="str">
        <f>IF(AND($C45&lt;&gt;"",V45&lt;&gt;""),(VLOOKUP($C45,'V-LOOKUP'!$C$61:$M$120,5,FALSE)),"0")</f>
        <v>0</v>
      </c>
      <c r="GH45" s="192" t="str">
        <f>IF(AND($C45&lt;&gt;"",$V45&lt;&gt;""),(VLOOKUP($C45,'V-LOOKUP'!$C$61:$M$120,6,FALSE)),"0")</f>
        <v>0</v>
      </c>
      <c r="GI45" s="192" t="str">
        <f>IF(AND($C45&lt;&gt;"",$V45&lt;&gt;""),(VLOOKUP($C45,'V-LOOKUP'!$C$61:$M$120,7,FALSE)),"0")</f>
        <v>0</v>
      </c>
      <c r="GJ45" s="192" t="str">
        <f>IF(AND($C45&lt;&gt;"",$V45&lt;&gt;""),(VLOOKUP($C45,'V-LOOKUP'!$C$61:$M$120,8,FALSE)),"0")</f>
        <v>0</v>
      </c>
      <c r="GK45" s="192" t="str">
        <f>IF(AND($C45&lt;&gt;"",$V45&lt;&gt;""),(VLOOKUP($C45,'V-LOOKUP'!$C$61:$M$120,9,FALSE)),"0")</f>
        <v>0</v>
      </c>
      <c r="GL45" s="192" t="str">
        <f>IF(AND($C45&lt;&gt;"",$V45&lt;&gt;""),(VLOOKUP($C45,'V-LOOKUP'!$C$61:$M$120,10,FALSE)),"0")</f>
        <v>0</v>
      </c>
      <c r="GM45" s="192" t="str">
        <f>IF(AND($C45&lt;&gt;"",$V45&lt;&gt;""),(VLOOKUP($C45,'V-LOOKUP'!$C$61:$M$120,11,FALSE)),"0")</f>
        <v>0</v>
      </c>
      <c r="GN45" s="192" t="str">
        <f>IF(AND($C45&lt;&gt;"",$V45&lt;&gt;""),(VLOOKUP($C45,'V-LOOKUP'!$C$61:$N$120,12,FALSE)),"0")</f>
        <v>0</v>
      </c>
      <c r="GO45" s="192" t="str">
        <f>IF(AND($C45&lt;&gt;"",$W45&lt;&gt;""),(VLOOKUP($C45,'V-LOOKUP'!$C$61:$M$120,4,FALSE)),"0")</f>
        <v>0</v>
      </c>
      <c r="GP45" s="192" t="str">
        <f>IF(AND($C45&lt;&gt;"",$W45&lt;&gt;""),(VLOOKUP($C45,'V-LOOKUP'!$C$61:$M$120,5,FALSE)),"0")</f>
        <v>0</v>
      </c>
      <c r="GQ45" s="192" t="str">
        <f>IF(AND($C45&lt;&gt;"",$W45&lt;&gt;""),(VLOOKUP($C45,'V-LOOKUP'!$C$61:$M$120,6,FALSE)),"0")</f>
        <v>0</v>
      </c>
      <c r="GR45" s="192" t="str">
        <f>IF(AND($C45&lt;&gt;"",$W45&lt;&gt;""),(VLOOKUP($C45,'V-LOOKUP'!$C$61:$M$120,7,FALSE)),"0")</f>
        <v>0</v>
      </c>
      <c r="GS45" s="192" t="str">
        <f>IF(AND($C45&lt;&gt;"",$W45&lt;&gt;""),(VLOOKUP($C45,'V-LOOKUP'!$C$61:$M$120,8,FALSE)),"0")</f>
        <v>0</v>
      </c>
      <c r="GT45" s="192" t="str">
        <f>IF(AND($C45&lt;&gt;"",$W45&lt;&gt;""),(VLOOKUP($C45,'V-LOOKUP'!$C$61:$M$120,9,FALSE)),"0")</f>
        <v>0</v>
      </c>
      <c r="GU45" s="192" t="str">
        <f>IF(AND($C45&lt;&gt;"",$W45&lt;&gt;""),(VLOOKUP($C45,'V-LOOKUP'!$C$61:$M$120,10,FALSE)),"0")</f>
        <v>0</v>
      </c>
      <c r="GV45" s="192" t="str">
        <f>IF(AND($C45&lt;&gt;"",$W45&lt;&gt;""),(VLOOKUP($C45,'V-LOOKUP'!$C$61:$M$120,11,FALSE)),"0")</f>
        <v>0</v>
      </c>
      <c r="GW45" s="192" t="str">
        <f>IF(AND($C45&lt;&gt;"",$W45&lt;&gt;""),(VLOOKUP($C45,'V-LOOKUP'!$C$61:$N$120,12,FALSE)),"0")</f>
        <v>0</v>
      </c>
    </row>
    <row r="46" spans="1:205" ht="14.65" customHeight="1">
      <c r="A46" s="193"/>
      <c r="B46" s="245"/>
      <c r="C46" s="203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Y46" s="190"/>
      <c r="Z46" s="192" t="str">
        <f>IF(AND($C46&lt;&gt;"",$D46&lt;&gt;""),(VLOOKUP($C46,'V-LOOKUP'!$C$61:$M$120,4,FALSE)),"0")</f>
        <v>0</v>
      </c>
      <c r="AA46" s="192" t="str">
        <f>IF(AND($C46&lt;&gt;"",$D46&lt;&gt;""),(VLOOKUP($C46,'V-LOOKUP'!$C$61:$M$120,5,FALSE)),"0")</f>
        <v>0</v>
      </c>
      <c r="AB46" s="192" t="str">
        <f>IF(AND($C46&lt;&gt;"",$D46&lt;&gt;""),(VLOOKUP($C46,'V-LOOKUP'!$C$61:$M$120,6,FALSE)),"0")</f>
        <v>0</v>
      </c>
      <c r="AC46" s="192" t="str">
        <f>IF(AND($C46&lt;&gt;"",$D46&lt;&gt;""),(VLOOKUP($C46,'V-LOOKUP'!$C$61:$M$120,7,FALSE)),"0")</f>
        <v>0</v>
      </c>
      <c r="AD46" s="192" t="str">
        <f>IF(AND($C46&lt;&gt;"",$D46&lt;&gt;""),(VLOOKUP($C46,'V-LOOKUP'!$C$61:$M$120,8,FALSE)),"0")</f>
        <v>0</v>
      </c>
      <c r="AE46" s="192" t="str">
        <f>IF(AND($C46&lt;&gt;"",$D46&lt;&gt;""),(VLOOKUP($C46,'V-LOOKUP'!$C$61:$M$120,9,FALSE)),"0")</f>
        <v>0</v>
      </c>
      <c r="AF46" s="192" t="str">
        <f>IF(AND($C46&lt;&gt;"",$D46&lt;&gt;""),(VLOOKUP($C46,'V-LOOKUP'!$C$61:$M$120,10,FALSE)),"0")</f>
        <v>0</v>
      </c>
      <c r="AG46" s="192" t="str">
        <f>IF(AND($C46&lt;&gt;"",$D46&lt;&gt;""),(VLOOKUP($C46,'V-LOOKUP'!$C$61:$M$120,11,FALSE)),"0")</f>
        <v>0</v>
      </c>
      <c r="AH46" s="192" t="str">
        <f>IF(AND($C46&lt;&gt;"",$D46&lt;&gt;""),(VLOOKUP($C46,'V-LOOKUP'!$C$61:$N$120,12,FALSE)),"0")</f>
        <v>0</v>
      </c>
      <c r="AI46" s="192" t="str">
        <f>IF(AND($C46&lt;&gt;"",$E46&lt;&gt;""),(VLOOKUP($C46,'V-LOOKUP'!$C$61:$M$120,4,FALSE)),"0")</f>
        <v>0</v>
      </c>
      <c r="AJ46" s="192" t="str">
        <f>IF(AND($C46&lt;&gt;"",$E46&lt;&gt;""),(VLOOKUP($C46,'V-LOOKUP'!$C$61:$M$120,5,FALSE)),"0")</f>
        <v>0</v>
      </c>
      <c r="AK46" s="192" t="str">
        <f>IF(AND($C46&lt;&gt;"",$E46&lt;&gt;""),(VLOOKUP($C46,'V-LOOKUP'!$C$61:$M$120,6,FALSE)),"0")</f>
        <v>0</v>
      </c>
      <c r="AL46" s="192" t="str">
        <f>IF(AND($C46&lt;&gt;"",$E46&lt;&gt;""),(VLOOKUP($C46,'V-LOOKUP'!$C$61:$M$120,7,FALSE)),"0")</f>
        <v>0</v>
      </c>
      <c r="AM46" s="192" t="str">
        <f>IF(AND($C46&lt;&gt;"",$E46&lt;&gt;""),(VLOOKUP($C46,'V-LOOKUP'!$C$61:$M$120,8,FALSE)),"0")</f>
        <v>0</v>
      </c>
      <c r="AN46" s="192" t="str">
        <f>IF(AND($C46&lt;&gt;"",$E46&lt;&gt;""),(VLOOKUP($C46,'V-LOOKUP'!$C$61:$M$120,9,FALSE)),"0")</f>
        <v>0</v>
      </c>
      <c r="AO46" s="192" t="str">
        <f>IF(AND($C46&lt;&gt;"",$E46&lt;&gt;""),(VLOOKUP($C46,'V-LOOKUP'!$C$61:$M$120,10,FALSE)),"0")</f>
        <v>0</v>
      </c>
      <c r="AP46" s="192" t="str">
        <f>IF(AND($C46&lt;&gt;"",$E46&lt;&gt;""),(VLOOKUP($C46,'V-LOOKUP'!$C$61:$M$120,11,FALSE)),"0")</f>
        <v>0</v>
      </c>
      <c r="AQ46" s="192" t="str">
        <f>IF(AND($C46&lt;&gt;"",$E46&lt;&gt;""),(VLOOKUP($C46,'V-LOOKUP'!$C$61:$N$120,12,FALSE)),"0")</f>
        <v>0</v>
      </c>
      <c r="AR46" s="192" t="str">
        <f>IF(AND($C46&lt;&gt;"",$F46&lt;&gt;""),(VLOOKUP($C46,'V-LOOKUP'!$C$61:$M$120,4,FALSE)),"0")</f>
        <v>0</v>
      </c>
      <c r="AS46" s="192" t="str">
        <f>IF(AND($C46&lt;&gt;"",$F46&lt;&gt;""),(VLOOKUP($C46,'V-LOOKUP'!$C$61:$M$120,5,FALSE)),"0")</f>
        <v>0</v>
      </c>
      <c r="AT46" s="192" t="str">
        <f>IF(AND($C46&lt;&gt;"",$F46&lt;&gt;""),(VLOOKUP($C46,'V-LOOKUP'!$C$61:$M$120,6,FALSE)),"0")</f>
        <v>0</v>
      </c>
      <c r="AU46" s="192" t="str">
        <f>IF(AND($C46&lt;&gt;"",$F46&lt;&gt;""),(VLOOKUP($C46,'V-LOOKUP'!$C$61:$M$120,7,FALSE)),"0")</f>
        <v>0</v>
      </c>
      <c r="AV46" s="192" t="str">
        <f>IF(AND($C46&lt;&gt;"",$F46&lt;&gt;""),(VLOOKUP($C46,'V-LOOKUP'!$C$61:$M$120,8,FALSE)),"0")</f>
        <v>0</v>
      </c>
      <c r="AW46" s="192" t="str">
        <f>IF(AND($C46&lt;&gt;"",$F46&lt;&gt;""),(VLOOKUP($C46,'V-LOOKUP'!$C$61:$M$120,9,FALSE)),"0")</f>
        <v>0</v>
      </c>
      <c r="AX46" s="192" t="str">
        <f>IF(AND($C46&lt;&gt;"",$F46&lt;&gt;""),(VLOOKUP($C46,'V-LOOKUP'!$C$61:$M$120,10,FALSE)),"0")</f>
        <v>0</v>
      </c>
      <c r="AY46" s="192" t="str">
        <f>IF(AND($C46&lt;&gt;"",$F46&lt;&gt;""),(VLOOKUP($C46,'V-LOOKUP'!$C$61:$M$120,11,FALSE)),"0")</f>
        <v>0</v>
      </c>
      <c r="AZ46" s="192" t="str">
        <f>IF(AND($C46&lt;&gt;"",$F46&lt;&gt;""),(VLOOKUP($C46,'V-LOOKUP'!$C$61:$N$120,12,FALSE)),"0")</f>
        <v>0</v>
      </c>
      <c r="BA46" s="192" t="str">
        <f>IF(AND($C46&lt;&gt;"",$G46&lt;&gt;""),(VLOOKUP($C46,'V-LOOKUP'!$C$61:$M$120,4,FALSE)),"0")</f>
        <v>0</v>
      </c>
      <c r="BB46" s="192" t="str">
        <f>IF(AND($C46&lt;&gt;"",$G46&lt;&gt;""),(VLOOKUP($C46,'V-LOOKUP'!$C$61:$M$120,5,FALSE)),"0")</f>
        <v>0</v>
      </c>
      <c r="BC46" s="192" t="str">
        <f>IF(AND($C46&lt;&gt;"",$G46&lt;&gt;""),(VLOOKUP($C46,'V-LOOKUP'!$C$61:$M$120,6,FALSE)),"0")</f>
        <v>0</v>
      </c>
      <c r="BD46" s="192" t="str">
        <f>IF(AND($C46&lt;&gt;"",$G46&lt;&gt;""),(VLOOKUP($C46,'V-LOOKUP'!$C$61:$M$120,7,FALSE)),"0")</f>
        <v>0</v>
      </c>
      <c r="BE46" s="192" t="str">
        <f>IF(AND($C46&lt;&gt;"",$G46&lt;&gt;""),(VLOOKUP($C46,'V-LOOKUP'!$C$61:$M$120,8,FALSE)),"0")</f>
        <v>0</v>
      </c>
      <c r="BF46" s="192" t="str">
        <f>IF(AND($C46&lt;&gt;"",$G46&lt;&gt;""),(VLOOKUP($C46,'V-LOOKUP'!$C$61:$M$120,9,FALSE)),"0")</f>
        <v>0</v>
      </c>
      <c r="BG46" s="192" t="str">
        <f>IF(AND($C46&lt;&gt;"",$G46&lt;&gt;""),(VLOOKUP($C46,'V-LOOKUP'!$C$61:$M$120,10,FALSE)),"0")</f>
        <v>0</v>
      </c>
      <c r="BH46" s="192" t="str">
        <f>IF(AND($C46&lt;&gt;"",$G46&lt;&gt;""),(VLOOKUP($C46,'V-LOOKUP'!$C$61:$M$120,11,FALSE)),"0")</f>
        <v>0</v>
      </c>
      <c r="BI46" s="192" t="str">
        <f>IF(AND($C46&lt;&gt;"",$G46&lt;&gt;""),(VLOOKUP($C46,'V-LOOKUP'!$C$61:$N$120,12,FALSE)),"0")</f>
        <v>0</v>
      </c>
      <c r="BJ46" s="192" t="str">
        <f>IF(AND($C46&lt;&gt;"",$H46&lt;&gt;""),(VLOOKUP($C46,'V-LOOKUP'!$C$61:$M$120,4,FALSE)),"0")</f>
        <v>0</v>
      </c>
      <c r="BK46" s="192" t="str">
        <f>IF(AND($C46&lt;&gt;"",$H46&lt;&gt;""),(VLOOKUP($C46,'V-LOOKUP'!$C$61:$M$120,5,FALSE)),"0")</f>
        <v>0</v>
      </c>
      <c r="BL46" s="192" t="str">
        <f>IF(AND($C46&lt;&gt;"",$H46&lt;&gt;""),(VLOOKUP($C46,'V-LOOKUP'!$C$61:$M$120,6,FALSE)),"0")</f>
        <v>0</v>
      </c>
      <c r="BM46" s="192" t="str">
        <f>IF(AND($C46&lt;&gt;"",$H46&lt;&gt;""),(VLOOKUP($C46,'V-LOOKUP'!$C$61:$M$120,7,FALSE)),"0")</f>
        <v>0</v>
      </c>
      <c r="BN46" s="192" t="str">
        <f>IF(AND($C46&lt;&gt;"",$H46&lt;&gt;""),(VLOOKUP($C46,'V-LOOKUP'!$C$61:$M$120,8,FALSE)),"0")</f>
        <v>0</v>
      </c>
      <c r="BO46" s="192" t="str">
        <f>IF(AND($C46&lt;&gt;"",$H46&lt;&gt;""),(VLOOKUP($C46,'V-LOOKUP'!$C$61:$M$120,9,FALSE)),"0")</f>
        <v>0</v>
      </c>
      <c r="BP46" s="192" t="str">
        <f>IF(AND($C46&lt;&gt;"",$H46&lt;&gt;""),(VLOOKUP($C46,'V-LOOKUP'!$C$61:$M$120,10,FALSE)),"0")</f>
        <v>0</v>
      </c>
      <c r="BQ46" s="192" t="str">
        <f>IF(AND($C46&lt;&gt;"",$H46&lt;&gt;""),(VLOOKUP($C46,'V-LOOKUP'!$C$61:$M$120,11,FALSE)),"0")</f>
        <v>0</v>
      </c>
      <c r="BR46" s="192" t="str">
        <f>IF(AND($C46&lt;&gt;"",$H46&lt;&gt;""),(VLOOKUP($C46,'V-LOOKUP'!$C$61:$N$120,12,FALSE)),"0")</f>
        <v>0</v>
      </c>
      <c r="BS46" s="192" t="str">
        <f>IF(AND($C46&lt;&gt;"",$I46&lt;&gt;""),(VLOOKUP($C46,'V-LOOKUP'!$C$61:$M$120,4,FALSE)),"0")</f>
        <v>0</v>
      </c>
      <c r="BT46" s="192" t="str">
        <f>IF(AND($C46&lt;&gt;"",$I46&lt;&gt;""),(VLOOKUP($C46,'V-LOOKUP'!$C$61:$M$120,5,FALSE)),"0")</f>
        <v>0</v>
      </c>
      <c r="BU46" s="192" t="str">
        <f>IF(AND($C46&lt;&gt;"",$I46&lt;&gt;""),(VLOOKUP($C46,'V-LOOKUP'!$C$61:$M$120,6,FALSE)),"0")</f>
        <v>0</v>
      </c>
      <c r="BV46" s="192" t="str">
        <f>IF(AND($C46&lt;&gt;"",$I46&lt;&gt;""),(VLOOKUP($C46,'V-LOOKUP'!$C$61:$M$120,7,FALSE)),"0")</f>
        <v>0</v>
      </c>
      <c r="BW46" s="192" t="str">
        <f>IF(AND($C46&lt;&gt;"",$I46&lt;&gt;""),(VLOOKUP($C46,'V-LOOKUP'!$C$61:$M$120,8,FALSE)),"0")</f>
        <v>0</v>
      </c>
      <c r="BX46" s="192" t="str">
        <f>IF(AND($C46&lt;&gt;"",$I46&lt;&gt;""),(VLOOKUP($C46,'V-LOOKUP'!$C$61:$M$120,9,FALSE)),"0")</f>
        <v>0</v>
      </c>
      <c r="BY46" s="192" t="str">
        <f>IF(AND($C46&lt;&gt;"",$I46&lt;&gt;""),(VLOOKUP($C46,'V-LOOKUP'!$C$61:$M$120,10,FALSE)),"0")</f>
        <v>0</v>
      </c>
      <c r="BZ46" s="192" t="str">
        <f>IF(AND($C46&lt;&gt;"",$I46&lt;&gt;""),(VLOOKUP($C46,'V-LOOKUP'!$C$61:$M$120,11,FALSE)),"0")</f>
        <v>0</v>
      </c>
      <c r="CA46" s="192" t="str">
        <f>IF(AND($C46&lt;&gt;"",$I46&lt;&gt;""),(VLOOKUP($C46,'V-LOOKUP'!$C$61:$N$120,12,FALSE)),"0")</f>
        <v>0</v>
      </c>
      <c r="CB46" s="192" t="str">
        <f>IF(AND($C46&lt;&gt;"",$J46&lt;&gt;""),(VLOOKUP($C46,'V-LOOKUP'!$C$61:$M$120,4,FALSE)),"0")</f>
        <v>0</v>
      </c>
      <c r="CC46" s="192" t="str">
        <f>IF(AND($C46&lt;&gt;"",$J46&lt;&gt;""),(VLOOKUP($C46,'V-LOOKUP'!$C$61:$M$120,5,FALSE)),"0")</f>
        <v>0</v>
      </c>
      <c r="CD46" s="192" t="str">
        <f>IF(AND($C46&lt;&gt;"",$J46&lt;&gt;""),(VLOOKUP($C46,'V-LOOKUP'!$C$61:$M$120,6,FALSE)),"0")</f>
        <v>0</v>
      </c>
      <c r="CE46" s="192" t="str">
        <f>IF(AND($C46&lt;&gt;"",$J46&lt;&gt;""),(VLOOKUP($C46,'V-LOOKUP'!$C$61:$M$120,7,FALSE)),"0")</f>
        <v>0</v>
      </c>
      <c r="CF46" s="192" t="str">
        <f>IF(AND($C46&lt;&gt;"",$J46&lt;&gt;""),(VLOOKUP($C46,'V-LOOKUP'!$C$61:$M$120,8,FALSE)),"0")</f>
        <v>0</v>
      </c>
      <c r="CG46" s="192" t="str">
        <f>IF(AND($C46&lt;&gt;"",$J46&lt;&gt;""),(VLOOKUP($C46,'V-LOOKUP'!$C$61:$M$120,9,FALSE)),"0")</f>
        <v>0</v>
      </c>
      <c r="CH46" s="192" t="str">
        <f>IF(AND($C46&lt;&gt;"",$J46&lt;&gt;""),(VLOOKUP($C46,'V-LOOKUP'!$C$61:$M$120,10,FALSE)),"0")</f>
        <v>0</v>
      </c>
      <c r="CI46" s="192" t="str">
        <f>IF(AND($C46&lt;&gt;"",$J46&lt;&gt;""),(VLOOKUP($C46,'V-LOOKUP'!$C$61:$M$120,11,FALSE)),"0")</f>
        <v>0</v>
      </c>
      <c r="CJ46" s="192" t="str">
        <f>IF(AND($C46&lt;&gt;"",$J46&lt;&gt;""),(VLOOKUP($C46,'V-LOOKUP'!$C$61:$N$120,12,FALSE)),"0")</f>
        <v>0</v>
      </c>
      <c r="CK46" s="192" t="str">
        <f>IF(AND($C46&lt;&gt;"",$K46&lt;&gt;""),(VLOOKUP($C46,'V-LOOKUP'!$C$61:$M$120,4,FALSE)),"0")</f>
        <v>0</v>
      </c>
      <c r="CL46" s="192" t="str">
        <f>IF(AND($C46&lt;&gt;"",$K46&lt;&gt;""),(VLOOKUP($C46,'V-LOOKUP'!$C$61:$M$120,5,FALSE)),"0")</f>
        <v>0</v>
      </c>
      <c r="CM46" s="192" t="str">
        <f>IF(AND($C46&lt;&gt;"",$K46&lt;&gt;""),(VLOOKUP($C46,'V-LOOKUP'!$C$61:$M$120,6,FALSE)),"0")</f>
        <v>0</v>
      </c>
      <c r="CN46" s="192" t="str">
        <f>IF(AND($C46&lt;&gt;"",$K46&lt;&gt;""),(VLOOKUP($C46,'V-LOOKUP'!$C$61:$M$120,7,FALSE)),"0")</f>
        <v>0</v>
      </c>
      <c r="CO46" s="192" t="str">
        <f>IF(AND($C46&lt;&gt;"",$K46&lt;&gt;""),(VLOOKUP($C46,'V-LOOKUP'!$C$61:$M$120,8,FALSE)),"0")</f>
        <v>0</v>
      </c>
      <c r="CP46" s="192" t="str">
        <f>IF(AND($C46&lt;&gt;"",$K46&lt;&gt;""),(VLOOKUP($C46,'V-LOOKUP'!$C$61:$M$120,9,FALSE)),"0")</f>
        <v>0</v>
      </c>
      <c r="CQ46" s="192" t="str">
        <f>IF(AND($C46&lt;&gt;"",$K46&lt;&gt;""),(VLOOKUP($C46,'V-LOOKUP'!$C$61:$M$120,10,FALSE)),"0")</f>
        <v>0</v>
      </c>
      <c r="CR46" s="192" t="str">
        <f>IF(AND($C46&lt;&gt;"",$K46&lt;&gt;""),(VLOOKUP($C46,'V-LOOKUP'!$C$61:$M$120,11,FALSE)),"0")</f>
        <v>0</v>
      </c>
      <c r="CS46" s="192" t="str">
        <f>IF(AND($C46&lt;&gt;"",$K46&lt;&gt;""),(VLOOKUP($C46,'V-LOOKUP'!$C$61:$N$120,12,FALSE)),"0")</f>
        <v>0</v>
      </c>
      <c r="CT46" s="192" t="str">
        <f>IF(AND($C46&lt;&gt;"",$L46&lt;&gt;""),(VLOOKUP($C46,'V-LOOKUP'!$C$61:$M$120,4,FALSE)),"0")</f>
        <v>0</v>
      </c>
      <c r="CU46" s="192" t="str">
        <f>IF(AND($C46&lt;&gt;"",$L46&lt;&gt;""),(VLOOKUP($C46,'V-LOOKUP'!$C$61:$M$120,5,FALSE)),"0")</f>
        <v>0</v>
      </c>
      <c r="CV46" s="192" t="str">
        <f>IF(AND($C46&lt;&gt;"",$L46&lt;&gt;""),(VLOOKUP($C46,'V-LOOKUP'!$C$61:$M$120,6,FALSE)),"0")</f>
        <v>0</v>
      </c>
      <c r="CW46" s="192" t="str">
        <f>IF(AND($C46&lt;&gt;"",$L46&lt;&gt;""),(VLOOKUP($C46,'V-LOOKUP'!$C$61:$M$120,7,FALSE)),"0")</f>
        <v>0</v>
      </c>
      <c r="CX46" s="192" t="str">
        <f>IF(AND($C46&lt;&gt;"",$L46&lt;&gt;""),(VLOOKUP($C46,'V-LOOKUP'!$C$61:$M$120,8,FALSE)),"0")</f>
        <v>0</v>
      </c>
      <c r="CY46" s="192" t="str">
        <f>IF(AND($C46&lt;&gt;"",$L46&lt;&gt;""),(VLOOKUP($C46,'V-LOOKUP'!$C$61:$M$120,9,FALSE)),"0")</f>
        <v>0</v>
      </c>
      <c r="CZ46" s="192" t="str">
        <f>IF(AND($C46&lt;&gt;"",$L46&lt;&gt;""),(VLOOKUP($C46,'V-LOOKUP'!$C$61:$M$120,10,FALSE)),"0")</f>
        <v>0</v>
      </c>
      <c r="DA46" s="192" t="str">
        <f>IF(AND($C46&lt;&gt;"",$L46&lt;&gt;""),(VLOOKUP($C46,'V-LOOKUP'!$C$61:$M$120,11,FALSE)),"0")</f>
        <v>0</v>
      </c>
      <c r="DB46" s="192" t="str">
        <f>IF(AND($C46&lt;&gt;"",$L46&lt;&gt;""),(VLOOKUP($C46,'V-LOOKUP'!$C$61:$N$120,12,FALSE)),"0")</f>
        <v>0</v>
      </c>
      <c r="DC46" s="192" t="str">
        <f>IF(AND($C46&lt;&gt;"",$M46&lt;&gt;""),(VLOOKUP($C46,'V-LOOKUP'!$C$61:$M$120,4,FALSE)),"0")</f>
        <v>0</v>
      </c>
      <c r="DD46" s="192" t="str">
        <f>IF(AND($C46&lt;&gt;"",$M46&lt;&gt;""),(VLOOKUP($C46,'V-LOOKUP'!$C$61:$M$120,5,FALSE)),"0")</f>
        <v>0</v>
      </c>
      <c r="DE46" s="192" t="str">
        <f>IF(AND($C46&lt;&gt;"",$M46&lt;&gt;""),(VLOOKUP($C46,'V-LOOKUP'!$C$61:$M$120,6,FALSE)),"0")</f>
        <v>0</v>
      </c>
      <c r="DF46" s="192" t="str">
        <f>IF(AND($C46&lt;&gt;"",$M46&lt;&gt;""),(VLOOKUP($C46,'V-LOOKUP'!$C$61:$M$120,7,FALSE)),"0")</f>
        <v>0</v>
      </c>
      <c r="DG46" s="192" t="str">
        <f>IF(AND($C46&lt;&gt;"",$M46&lt;&gt;""),(VLOOKUP($C46,'V-LOOKUP'!$C$61:$M$120,8,FALSE)),"0")</f>
        <v>0</v>
      </c>
      <c r="DH46" s="192" t="str">
        <f>IF(AND($C46&lt;&gt;"",$M46&lt;&gt;""),(VLOOKUP($C46,'V-LOOKUP'!$C$61:$M$120,9,FALSE)),"0")</f>
        <v>0</v>
      </c>
      <c r="DI46" s="192" t="str">
        <f>IF(AND($C46&lt;&gt;"",$M46&lt;&gt;""),(VLOOKUP($C46,'V-LOOKUP'!$C$61:$M$120,10,FALSE)),"0")</f>
        <v>0</v>
      </c>
      <c r="DJ46" s="192" t="str">
        <f>IF(AND($C46&lt;&gt;"",$M46&lt;&gt;""),(VLOOKUP($C46,'V-LOOKUP'!$C$61:$M$120,11,FALSE)),"0")</f>
        <v>0</v>
      </c>
      <c r="DK46" s="192" t="str">
        <f>IF(AND($C46&lt;&gt;"",$M46&lt;&gt;""),(VLOOKUP($C46,'V-LOOKUP'!$C$61:$N$120,12,FALSE)),"0")</f>
        <v>0</v>
      </c>
      <c r="DL46" s="192" t="str">
        <f>IF(AND($C46&lt;&gt;"",$N46&lt;&gt;""),(VLOOKUP($C46,'V-LOOKUP'!$C$61:$M$120,4,FALSE)),"0")</f>
        <v>0</v>
      </c>
      <c r="DM46" s="192" t="str">
        <f>IF(AND($C46&lt;&gt;"",$N46&lt;&gt;""),(VLOOKUP($C46,'V-LOOKUP'!$C$61:$M$120,5,FALSE)),"0")</f>
        <v>0</v>
      </c>
      <c r="DN46" s="192" t="str">
        <f>IF(AND($C46&lt;&gt;"",$N46&lt;&gt;""),(VLOOKUP($C46,'V-LOOKUP'!$C$61:$M$120,6,FALSE)),"0")</f>
        <v>0</v>
      </c>
      <c r="DO46" s="192" t="str">
        <f>IF(AND($C46&lt;&gt;"",$N46&lt;&gt;""),(VLOOKUP($C46,'V-LOOKUP'!$C$61:$M$120,7,FALSE)),"0")</f>
        <v>0</v>
      </c>
      <c r="DP46" s="192" t="str">
        <f>IF(AND($C46&lt;&gt;"",$N46&lt;&gt;""),(VLOOKUP($C46,'V-LOOKUP'!$C$61:$M$120,8,FALSE)),"0")</f>
        <v>0</v>
      </c>
      <c r="DQ46" s="192" t="str">
        <f>IF(AND($C46&lt;&gt;"",$N46&lt;&gt;""),(VLOOKUP($C46,'V-LOOKUP'!$C$61:$M$120,9,FALSE)),"0")</f>
        <v>0</v>
      </c>
      <c r="DR46" s="192" t="str">
        <f>IF(AND($C46&lt;&gt;"",$N46&lt;&gt;""),(VLOOKUP($C46,'V-LOOKUP'!$C$61:$M$120,10,FALSE)),"0")</f>
        <v>0</v>
      </c>
      <c r="DS46" s="192" t="str">
        <f>IF(AND($C46&lt;&gt;"",$N46&lt;&gt;""),(VLOOKUP($C46,'V-LOOKUP'!$C$61:$M$120,11,FALSE)),"0")</f>
        <v>0</v>
      </c>
      <c r="DT46" s="192" t="str">
        <f>IF(AND($C46&lt;&gt;"",$N46&lt;&gt;""),(VLOOKUP($C46,'V-LOOKUP'!$C$61:$N$120,12,FALSE)),"0")</f>
        <v>0</v>
      </c>
      <c r="DU46" s="192" t="str">
        <f>IF(AND($C46&lt;&gt;"",$O46&lt;&gt;""),(VLOOKUP($C46,'V-LOOKUP'!$C$61:$M$120,4,FALSE)),"0")</f>
        <v>0</v>
      </c>
      <c r="DV46" s="192" t="str">
        <f>IF(AND($C46&lt;&gt;"",$O46&lt;&gt;""),(VLOOKUP($C46,'V-LOOKUP'!$C$61:$M$120,5,FALSE)),"0")</f>
        <v>0</v>
      </c>
      <c r="DW46" s="192" t="str">
        <f>IF(AND($C46&lt;&gt;"",$O46&lt;&gt;""),(VLOOKUP($C46,'V-LOOKUP'!$C$61:$M$120,6,FALSE)),"0")</f>
        <v>0</v>
      </c>
      <c r="DX46" s="192" t="str">
        <f>IF(AND($C46&lt;&gt;"",$O46&lt;&gt;""),(VLOOKUP($C46,'V-LOOKUP'!$C$61:$M$120,7,FALSE)),"0")</f>
        <v>0</v>
      </c>
      <c r="DY46" s="192" t="str">
        <f>IF(AND($C46&lt;&gt;"",$O46&lt;&gt;""),(VLOOKUP($C46,'V-LOOKUP'!$C$61:$M$120,8,FALSE)),"0")</f>
        <v>0</v>
      </c>
      <c r="DZ46" s="192" t="str">
        <f>IF(AND($C46&lt;&gt;"",$O46&lt;&gt;""),(VLOOKUP($C46,'V-LOOKUP'!$C$61:$M$120,9,FALSE)),"0")</f>
        <v>0</v>
      </c>
      <c r="EA46" s="192" t="str">
        <f>IF(AND($C46&lt;&gt;"",$O46&lt;&gt;""),(VLOOKUP($C46,'V-LOOKUP'!$C$61:$M$120,10,FALSE)),"0")</f>
        <v>0</v>
      </c>
      <c r="EB46" s="192" t="str">
        <f>IF(AND($C46&lt;&gt;"",$O46&lt;&gt;""),(VLOOKUP($C46,'V-LOOKUP'!$C$61:$M$120,11,FALSE)),"0")</f>
        <v>0</v>
      </c>
      <c r="EC46" s="192" t="str">
        <f>IF(AND($C46&lt;&gt;"",$O46&lt;&gt;""),(VLOOKUP($C46,'V-LOOKUP'!$C$61:$N$120,12,FALSE)),"0")</f>
        <v>0</v>
      </c>
      <c r="ED46" s="192" t="str">
        <f>IF(AND($C46&lt;&gt;"",$P46&lt;&gt;""),(VLOOKUP($C46,'V-LOOKUP'!$C$61:$M$120,4,FALSE)),"0")</f>
        <v>0</v>
      </c>
      <c r="EE46" s="192" t="str">
        <f>IF(AND($C46&lt;&gt;"",$P46&lt;&gt;""),(VLOOKUP($C46,'V-LOOKUP'!$C$61:$M$120,5,FALSE)),"0")</f>
        <v>0</v>
      </c>
      <c r="EF46" s="192" t="str">
        <f>IF(AND($C46&lt;&gt;"",$P46&lt;&gt;""),(VLOOKUP($C46,'V-LOOKUP'!$C$61:$M$120,6,FALSE)),"0")</f>
        <v>0</v>
      </c>
      <c r="EG46" s="192" t="str">
        <f>IF(AND($C46&lt;&gt;"",$P46&lt;&gt;""),(VLOOKUP($C46,'V-LOOKUP'!$C$61:$M$120,7,FALSE)),"0")</f>
        <v>0</v>
      </c>
      <c r="EH46" s="192" t="str">
        <f>IF(AND($C46&lt;&gt;"",$P46&lt;&gt;""),(VLOOKUP($C46,'V-LOOKUP'!$C$61:$M$120,8,FALSE)),"0")</f>
        <v>0</v>
      </c>
      <c r="EI46" s="192" t="str">
        <f>IF(AND($C46&lt;&gt;"",$P46&lt;&gt;""),(VLOOKUP($C46,'V-LOOKUP'!$C$61:$M$120,9,FALSE)),"0")</f>
        <v>0</v>
      </c>
      <c r="EJ46" s="192" t="str">
        <f>IF(AND($C46&lt;&gt;"",$P46&lt;&gt;""),(VLOOKUP($C46,'V-LOOKUP'!$C$61:$M$120,10,FALSE)),"0")</f>
        <v>0</v>
      </c>
      <c r="EK46" s="192" t="str">
        <f>IF(AND($C46&lt;&gt;"",$P46&lt;&gt;""),(VLOOKUP($C46,'V-LOOKUP'!$C$61:$M$120,11,FALSE)),"0")</f>
        <v>0</v>
      </c>
      <c r="EL46" s="192" t="str">
        <f>IF(AND($C46&lt;&gt;"",$P46&lt;&gt;""),(VLOOKUP($C46,'V-LOOKUP'!$C$61:$N$120,12,FALSE)),"0")</f>
        <v>0</v>
      </c>
      <c r="EM46" s="192" t="str">
        <f>IF(AND($C46&lt;&gt;"",$Q46&lt;&gt;""),(VLOOKUP($C46,'V-LOOKUP'!$C$61:$M$120,4,FALSE)),"0")</f>
        <v>0</v>
      </c>
      <c r="EN46" s="192" t="str">
        <f>IF(AND($C46&lt;&gt;"",$Q46&lt;&gt;""),(VLOOKUP($C46,'V-LOOKUP'!$C$61:$M$120,5,FALSE)),"0")</f>
        <v>0</v>
      </c>
      <c r="EO46" s="192" t="str">
        <f>IF(AND($C46&lt;&gt;"",$Q46&lt;&gt;""),(VLOOKUP($C46,'V-LOOKUP'!$C$61:$M$120,6,FALSE)),"0")</f>
        <v>0</v>
      </c>
      <c r="EP46" s="192" t="str">
        <f>IF(AND($C46&lt;&gt;"",$Q46&lt;&gt;""),(VLOOKUP($C46,'V-LOOKUP'!$C$61:$M$120,7,FALSE)),"0")</f>
        <v>0</v>
      </c>
      <c r="EQ46" s="192" t="str">
        <f>IF(AND($C46&lt;&gt;"",$Q46&lt;&gt;""),(VLOOKUP($C46,'V-LOOKUP'!$C$61:$M$120,8,FALSE)),"0")</f>
        <v>0</v>
      </c>
      <c r="ER46" s="192" t="str">
        <f>IF(AND($C46&lt;&gt;"",$Q46&lt;&gt;""),(VLOOKUP($C46,'V-LOOKUP'!$C$61:$M$120,9,FALSE)),"0")</f>
        <v>0</v>
      </c>
      <c r="ES46" s="192" t="str">
        <f>IF(AND($C46&lt;&gt;"",$Q46&lt;&gt;""),(VLOOKUP($C46,'V-LOOKUP'!$C$61:$M$120,10,FALSE)),"0")</f>
        <v>0</v>
      </c>
      <c r="ET46" s="192" t="str">
        <f>IF(AND($C46&lt;&gt;"",$Q46&lt;&gt;""),(VLOOKUP($C46,'V-LOOKUP'!$C$61:$M$120,11,FALSE)),"0")</f>
        <v>0</v>
      </c>
      <c r="EU46" s="192" t="str">
        <f>IF(AND($C46&lt;&gt;"",$Q46&lt;&gt;""),(VLOOKUP($C46,'V-LOOKUP'!$C$61:$N$120,12,FALSE)),"0")</f>
        <v>0</v>
      </c>
      <c r="EV46" s="192" t="str">
        <f>IF(AND($C46&lt;&gt;"",$R46&lt;&gt;""),(VLOOKUP($C46,'V-LOOKUP'!$C$61:$M$120,4,FALSE)),"0")</f>
        <v>0</v>
      </c>
      <c r="EW46" s="192" t="str">
        <f>IF(AND($C46&lt;&gt;"",$R46&lt;&gt;""),(VLOOKUP($C46,'V-LOOKUP'!$C$61:$M$120,5,FALSE)),"0")</f>
        <v>0</v>
      </c>
      <c r="EX46" s="192" t="str">
        <f>IF(AND($C46&lt;&gt;"",$R46&lt;&gt;""),(VLOOKUP($C46,'V-LOOKUP'!$C$61:$M$120,6,FALSE)),"0")</f>
        <v>0</v>
      </c>
      <c r="EY46" s="192" t="str">
        <f>IF(AND($C46&lt;&gt;"",$R46&lt;&gt;""),(VLOOKUP($C46,'V-LOOKUP'!$C$61:$M$120,7,FALSE)),"0")</f>
        <v>0</v>
      </c>
      <c r="EZ46" s="192" t="str">
        <f>IF(AND($C46&lt;&gt;"",$R46&lt;&gt;""),(VLOOKUP($C46,'V-LOOKUP'!$C$61:$M$120,8,FALSE)),"0")</f>
        <v>0</v>
      </c>
      <c r="FA46" s="192" t="str">
        <f>IF(AND($C46&lt;&gt;"",$R46&lt;&gt;""),(VLOOKUP($C46,'V-LOOKUP'!$C$61:$M$120,9,FALSE)),"0")</f>
        <v>0</v>
      </c>
      <c r="FB46" s="192" t="str">
        <f>IF(AND($C46&lt;&gt;"",$R46&lt;&gt;""),(VLOOKUP($C46,'V-LOOKUP'!$C$61:$M$120,10,FALSE)),"0")</f>
        <v>0</v>
      </c>
      <c r="FC46" s="192" t="str">
        <f>IF(AND($C46&lt;&gt;"",$R46&lt;&gt;""),(VLOOKUP($C46,'V-LOOKUP'!$C$61:$M$120,11,FALSE)),"0")</f>
        <v>0</v>
      </c>
      <c r="FD46" s="192" t="str">
        <f>IF(AND($C46&lt;&gt;"",$R46&lt;&gt;""),(VLOOKUP($C46,'V-LOOKUP'!$C$61:$N$120,12,FALSE)),"0")</f>
        <v>0</v>
      </c>
      <c r="FE46" s="192" t="str">
        <f>IF(AND($C46&lt;&gt;"",$S46&lt;&gt;""),(VLOOKUP($C46,'V-LOOKUP'!$C$61:$M$120,4,FALSE)),"0")</f>
        <v>0</v>
      </c>
      <c r="FF46" s="192" t="str">
        <f>IF(AND($C46&lt;&gt;"",$S46&lt;&gt;""),(VLOOKUP($C46,'V-LOOKUP'!$C$61:$M$120,5,FALSE)),"0")</f>
        <v>0</v>
      </c>
      <c r="FG46" s="192" t="str">
        <f>IF(AND($C46&lt;&gt;"",$S46&lt;&gt;""),(VLOOKUP($C46,'V-LOOKUP'!$C$61:$M$120,6,FALSE)),"0")</f>
        <v>0</v>
      </c>
      <c r="FH46" s="192" t="str">
        <f>IF(AND($C46&lt;&gt;"",$S46&lt;&gt;""),(VLOOKUP($C46,'V-LOOKUP'!$C$61:$M$120,7,FALSE)),"0")</f>
        <v>0</v>
      </c>
      <c r="FI46" s="192" t="str">
        <f>IF(AND($C46&lt;&gt;"",$S46&lt;&gt;""),(VLOOKUP($C46,'V-LOOKUP'!$C$61:$M$120,8,FALSE)),"0")</f>
        <v>0</v>
      </c>
      <c r="FJ46" s="192" t="str">
        <f>IF(AND($C46&lt;&gt;"",$S46&lt;&gt;""),(VLOOKUP($C46,'V-LOOKUP'!$C$61:$M$120,9,FALSE)),"0")</f>
        <v>0</v>
      </c>
      <c r="FK46" s="192" t="str">
        <f>IF(AND($C46&lt;&gt;"",$S46&lt;&gt;""),(VLOOKUP($C46,'V-LOOKUP'!$C$61:$M$120,10,FALSE)),"0")</f>
        <v>0</v>
      </c>
      <c r="FL46" s="192" t="str">
        <f>IF(AND($C46&lt;&gt;"",$S46&lt;&gt;""),(VLOOKUP($C46,'V-LOOKUP'!$C$61:$M$120,11,FALSE)),"0")</f>
        <v>0</v>
      </c>
      <c r="FM46" s="192" t="str">
        <f>IF(AND($C46&lt;&gt;"",$S46&lt;&gt;""),(VLOOKUP($C46,'V-LOOKUP'!$C$61:$N$120,12,FALSE)),"0")</f>
        <v>0</v>
      </c>
      <c r="FN46" s="192" t="str">
        <f>IF(AND($C46&lt;&gt;"",$T46&lt;&gt;""),(VLOOKUP($C46,'V-LOOKUP'!$C$61:$M$120,4,FALSE)),"0")</f>
        <v>0</v>
      </c>
      <c r="FO46" s="192" t="str">
        <f>IF(AND($C46&lt;&gt;"",$T46&lt;&gt;""),(VLOOKUP($C46,'V-LOOKUP'!$C$61:$M$120,5,FALSE)),"0")</f>
        <v>0</v>
      </c>
      <c r="FP46" s="192" t="str">
        <f>IF(AND($C46&lt;&gt;"",$T46&lt;&gt;""),(VLOOKUP($C46,'V-LOOKUP'!$C$61:$M$120,6,FALSE)),"0")</f>
        <v>0</v>
      </c>
      <c r="FQ46" s="192" t="str">
        <f>IF(AND($C46&lt;&gt;"",$T46&lt;&gt;""),(VLOOKUP($C46,'V-LOOKUP'!$C$61:$M$120,7,FALSE)),"0")</f>
        <v>0</v>
      </c>
      <c r="FR46" s="192" t="str">
        <f>IF(AND($C46&lt;&gt;"",$T46&lt;&gt;""),(VLOOKUP($C46,'V-LOOKUP'!$C$61:$M$120,8,FALSE)),"0")</f>
        <v>0</v>
      </c>
      <c r="FS46" s="192" t="str">
        <f>IF(AND($C46&lt;&gt;"",$T46&lt;&gt;""),(VLOOKUP($C46,'V-LOOKUP'!$C$61:$M$120,9,FALSE)),"0")</f>
        <v>0</v>
      </c>
      <c r="FT46" s="192" t="str">
        <f>IF(AND($C46&lt;&gt;"",$T46&lt;&gt;""),(VLOOKUP($C46,'V-LOOKUP'!$C$61:$M$120,10,FALSE)),"0")</f>
        <v>0</v>
      </c>
      <c r="FU46" s="192" t="str">
        <f>IF(AND($C46&lt;&gt;"",$T46&lt;&gt;""),(VLOOKUP($C46,'V-LOOKUP'!$C$61:$M$120,11,FALSE)),"0")</f>
        <v>0</v>
      </c>
      <c r="FV46" s="192" t="str">
        <f>IF(AND($C46&lt;&gt;"",$T46&lt;&gt;""),(VLOOKUP($C46,'V-LOOKUP'!$C$61:$N$120,12,FALSE)),"0")</f>
        <v>0</v>
      </c>
      <c r="FW46" s="192" t="str">
        <f>IF(AND($C46&lt;&gt;"",$U46&lt;&gt;""),(VLOOKUP($C46,'V-LOOKUP'!$C$61:$M$120,4,FALSE)),"0")</f>
        <v>0</v>
      </c>
      <c r="FX46" s="192" t="str">
        <f>IF(AND($C46&lt;&gt;"",$U46&lt;&gt;""),(VLOOKUP($C46,'V-LOOKUP'!$C$61:$M$120,5,FALSE)),"0")</f>
        <v>0</v>
      </c>
      <c r="FY46" s="192" t="str">
        <f>IF(AND($C46&lt;&gt;"",$U46&lt;&gt;""),(VLOOKUP($C46,'V-LOOKUP'!$C$61:$M$120,6,FALSE)),"0")</f>
        <v>0</v>
      </c>
      <c r="FZ46" s="192" t="str">
        <f>IF(AND($C46&lt;&gt;"",$U46&lt;&gt;""),(VLOOKUP($C46,'V-LOOKUP'!$C$61:$M$120,7,FALSE)),"0")</f>
        <v>0</v>
      </c>
      <c r="GA46" s="192" t="str">
        <f>IF(AND($C46&lt;&gt;"",$U46&lt;&gt;""),(VLOOKUP($C46,'V-LOOKUP'!$C$61:$M$120,8,FALSE)),"0")</f>
        <v>0</v>
      </c>
      <c r="GB46" s="192" t="str">
        <f>IF(AND($C46&lt;&gt;"",$U46&lt;&gt;""),(VLOOKUP($C46,'V-LOOKUP'!$C$61:$M$120,9,FALSE)),"0")</f>
        <v>0</v>
      </c>
      <c r="GC46" s="192" t="str">
        <f>IF(AND($C46&lt;&gt;"",$U46&lt;&gt;""),(VLOOKUP($C46,'V-LOOKUP'!$C$61:$M$120,10,FALSE)),"0")</f>
        <v>0</v>
      </c>
      <c r="GD46" s="192" t="str">
        <f>IF(AND($C46&lt;&gt;"",$U46&lt;&gt;""),(VLOOKUP($C46,'V-LOOKUP'!$C$61:$M$120,11,FALSE)),"0")</f>
        <v>0</v>
      </c>
      <c r="GE46" s="192" t="str">
        <f>IF(AND($C46&lt;&gt;"",$U46&lt;&gt;""),(VLOOKUP($C46,'V-LOOKUP'!$C$61:$N$120,12,FALSE)),"0")</f>
        <v>0</v>
      </c>
      <c r="GF46" s="192" t="str">
        <f>IF(AND($C46&lt;&gt;"",$V46&lt;&gt;""),(VLOOKUP($C46,'V-LOOKUP'!$C$61:$M$120,4,FALSE)),"0")</f>
        <v>0</v>
      </c>
      <c r="GG46" s="192" t="str">
        <f>IF(AND($C46&lt;&gt;"",V46&lt;&gt;""),(VLOOKUP($C46,'V-LOOKUP'!$C$61:$M$120,5,FALSE)),"0")</f>
        <v>0</v>
      </c>
      <c r="GH46" s="192" t="str">
        <f>IF(AND($C46&lt;&gt;"",$V46&lt;&gt;""),(VLOOKUP($C46,'V-LOOKUP'!$C$61:$M$120,6,FALSE)),"0")</f>
        <v>0</v>
      </c>
      <c r="GI46" s="192" t="str">
        <f>IF(AND($C46&lt;&gt;"",$V46&lt;&gt;""),(VLOOKUP($C46,'V-LOOKUP'!$C$61:$M$120,7,FALSE)),"0")</f>
        <v>0</v>
      </c>
      <c r="GJ46" s="192" t="str">
        <f>IF(AND($C46&lt;&gt;"",$V46&lt;&gt;""),(VLOOKUP($C46,'V-LOOKUP'!$C$61:$M$120,8,FALSE)),"0")</f>
        <v>0</v>
      </c>
      <c r="GK46" s="192" t="str">
        <f>IF(AND($C46&lt;&gt;"",$V46&lt;&gt;""),(VLOOKUP($C46,'V-LOOKUP'!$C$61:$M$120,9,FALSE)),"0")</f>
        <v>0</v>
      </c>
      <c r="GL46" s="192" t="str">
        <f>IF(AND($C46&lt;&gt;"",$V46&lt;&gt;""),(VLOOKUP($C46,'V-LOOKUP'!$C$61:$M$120,10,FALSE)),"0")</f>
        <v>0</v>
      </c>
      <c r="GM46" s="192" t="str">
        <f>IF(AND($C46&lt;&gt;"",$V46&lt;&gt;""),(VLOOKUP($C46,'V-LOOKUP'!$C$61:$M$120,11,FALSE)),"0")</f>
        <v>0</v>
      </c>
      <c r="GN46" s="192" t="str">
        <f>IF(AND($C46&lt;&gt;"",$V46&lt;&gt;""),(VLOOKUP($C46,'V-LOOKUP'!$C$61:$N$120,12,FALSE)),"0")</f>
        <v>0</v>
      </c>
      <c r="GO46" s="192" t="str">
        <f>IF(AND($C46&lt;&gt;"",$W46&lt;&gt;""),(VLOOKUP($C46,'V-LOOKUP'!$C$61:$M$120,4,FALSE)),"0")</f>
        <v>0</v>
      </c>
      <c r="GP46" s="192" t="str">
        <f>IF(AND($C46&lt;&gt;"",$W46&lt;&gt;""),(VLOOKUP($C46,'V-LOOKUP'!$C$61:$M$120,5,FALSE)),"0")</f>
        <v>0</v>
      </c>
      <c r="GQ46" s="192" t="str">
        <f>IF(AND($C46&lt;&gt;"",$W46&lt;&gt;""),(VLOOKUP($C46,'V-LOOKUP'!$C$61:$M$120,6,FALSE)),"0")</f>
        <v>0</v>
      </c>
      <c r="GR46" s="192" t="str">
        <f>IF(AND($C46&lt;&gt;"",$W46&lt;&gt;""),(VLOOKUP($C46,'V-LOOKUP'!$C$61:$M$120,7,FALSE)),"0")</f>
        <v>0</v>
      </c>
      <c r="GS46" s="192" t="str">
        <f>IF(AND($C46&lt;&gt;"",$W46&lt;&gt;""),(VLOOKUP($C46,'V-LOOKUP'!$C$61:$M$120,8,FALSE)),"0")</f>
        <v>0</v>
      </c>
      <c r="GT46" s="192" t="str">
        <f>IF(AND($C46&lt;&gt;"",$W46&lt;&gt;""),(VLOOKUP($C46,'V-LOOKUP'!$C$61:$M$120,9,FALSE)),"0")</f>
        <v>0</v>
      </c>
      <c r="GU46" s="192" t="str">
        <f>IF(AND($C46&lt;&gt;"",$W46&lt;&gt;""),(VLOOKUP($C46,'V-LOOKUP'!$C$61:$M$120,10,FALSE)),"0")</f>
        <v>0</v>
      </c>
      <c r="GV46" s="192" t="str">
        <f>IF(AND($C46&lt;&gt;"",$W46&lt;&gt;""),(VLOOKUP($C46,'V-LOOKUP'!$C$61:$M$120,11,FALSE)),"0")</f>
        <v>0</v>
      </c>
      <c r="GW46" s="192" t="str">
        <f>IF(AND($C46&lt;&gt;"",$W46&lt;&gt;""),(VLOOKUP($C46,'V-LOOKUP'!$C$61:$N$120,12,FALSE)),"0")</f>
        <v>0</v>
      </c>
    </row>
    <row r="47" spans="1:205" ht="14.65" customHeight="1">
      <c r="A47" s="193"/>
      <c r="B47" s="245"/>
      <c r="C47" s="203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Y47" s="190"/>
      <c r="Z47" s="192" t="str">
        <f>IF(AND($C47&lt;&gt;"",$D47&lt;&gt;""),(VLOOKUP($C47,'V-LOOKUP'!$C$61:$M$120,4,FALSE)),"0")</f>
        <v>0</v>
      </c>
      <c r="AA47" s="192" t="str">
        <f>IF(AND($C47&lt;&gt;"",$D47&lt;&gt;""),(VLOOKUP($C47,'V-LOOKUP'!$C$61:$M$120,5,FALSE)),"0")</f>
        <v>0</v>
      </c>
      <c r="AB47" s="192" t="str">
        <f>IF(AND($C47&lt;&gt;"",$D47&lt;&gt;""),(VLOOKUP($C47,'V-LOOKUP'!$C$61:$M$120,6,FALSE)),"0")</f>
        <v>0</v>
      </c>
      <c r="AC47" s="192" t="str">
        <f>IF(AND($C47&lt;&gt;"",$D47&lt;&gt;""),(VLOOKUP($C47,'V-LOOKUP'!$C$61:$M$120,7,FALSE)),"0")</f>
        <v>0</v>
      </c>
      <c r="AD47" s="192" t="str">
        <f>IF(AND($C47&lt;&gt;"",$D47&lt;&gt;""),(VLOOKUP($C47,'V-LOOKUP'!$C$61:$M$120,8,FALSE)),"0")</f>
        <v>0</v>
      </c>
      <c r="AE47" s="192" t="str">
        <f>IF(AND($C47&lt;&gt;"",$D47&lt;&gt;""),(VLOOKUP($C47,'V-LOOKUP'!$C$61:$M$120,9,FALSE)),"0")</f>
        <v>0</v>
      </c>
      <c r="AF47" s="192" t="str">
        <f>IF(AND($C47&lt;&gt;"",$D47&lt;&gt;""),(VLOOKUP($C47,'V-LOOKUP'!$C$61:$M$120,10,FALSE)),"0")</f>
        <v>0</v>
      </c>
      <c r="AG47" s="192" t="str">
        <f>IF(AND($C47&lt;&gt;"",$D47&lt;&gt;""),(VLOOKUP($C47,'V-LOOKUP'!$C$61:$M$120,11,FALSE)),"0")</f>
        <v>0</v>
      </c>
      <c r="AH47" s="192" t="str">
        <f>IF(AND($C47&lt;&gt;"",$D47&lt;&gt;""),(VLOOKUP($C47,'V-LOOKUP'!$C$61:$N$120,12,FALSE)),"0")</f>
        <v>0</v>
      </c>
      <c r="AI47" s="192" t="str">
        <f>IF(AND($C47&lt;&gt;"",$E47&lt;&gt;""),(VLOOKUP($C47,'V-LOOKUP'!$C$61:$M$120,4,FALSE)),"0")</f>
        <v>0</v>
      </c>
      <c r="AJ47" s="192" t="str">
        <f>IF(AND($C47&lt;&gt;"",$E47&lt;&gt;""),(VLOOKUP($C47,'V-LOOKUP'!$C$61:$M$120,5,FALSE)),"0")</f>
        <v>0</v>
      </c>
      <c r="AK47" s="192" t="str">
        <f>IF(AND($C47&lt;&gt;"",$E47&lt;&gt;""),(VLOOKUP($C47,'V-LOOKUP'!$C$61:$M$120,6,FALSE)),"0")</f>
        <v>0</v>
      </c>
      <c r="AL47" s="192" t="str">
        <f>IF(AND($C47&lt;&gt;"",$E47&lt;&gt;""),(VLOOKUP($C47,'V-LOOKUP'!$C$61:$M$120,7,FALSE)),"0")</f>
        <v>0</v>
      </c>
      <c r="AM47" s="192" t="str">
        <f>IF(AND($C47&lt;&gt;"",$E47&lt;&gt;""),(VLOOKUP($C47,'V-LOOKUP'!$C$61:$M$120,8,FALSE)),"0")</f>
        <v>0</v>
      </c>
      <c r="AN47" s="192" t="str">
        <f>IF(AND($C47&lt;&gt;"",$E47&lt;&gt;""),(VLOOKUP($C47,'V-LOOKUP'!$C$61:$M$120,9,FALSE)),"0")</f>
        <v>0</v>
      </c>
      <c r="AO47" s="192" t="str">
        <f>IF(AND($C47&lt;&gt;"",$E47&lt;&gt;""),(VLOOKUP($C47,'V-LOOKUP'!$C$61:$M$120,10,FALSE)),"0")</f>
        <v>0</v>
      </c>
      <c r="AP47" s="192" t="str">
        <f>IF(AND($C47&lt;&gt;"",$E47&lt;&gt;""),(VLOOKUP($C47,'V-LOOKUP'!$C$61:$M$120,11,FALSE)),"0")</f>
        <v>0</v>
      </c>
      <c r="AQ47" s="192" t="str">
        <f>IF(AND($C47&lt;&gt;"",$E47&lt;&gt;""),(VLOOKUP($C47,'V-LOOKUP'!$C$61:$N$120,12,FALSE)),"0")</f>
        <v>0</v>
      </c>
      <c r="AR47" s="192" t="str">
        <f>IF(AND($C47&lt;&gt;"",$F47&lt;&gt;""),(VLOOKUP($C47,'V-LOOKUP'!$C$61:$M$120,4,FALSE)),"0")</f>
        <v>0</v>
      </c>
      <c r="AS47" s="192" t="str">
        <f>IF(AND($C47&lt;&gt;"",$F47&lt;&gt;""),(VLOOKUP($C47,'V-LOOKUP'!$C$61:$M$120,5,FALSE)),"0")</f>
        <v>0</v>
      </c>
      <c r="AT47" s="192" t="str">
        <f>IF(AND($C47&lt;&gt;"",$F47&lt;&gt;""),(VLOOKUP($C47,'V-LOOKUP'!$C$61:$M$120,6,FALSE)),"0")</f>
        <v>0</v>
      </c>
      <c r="AU47" s="192" t="str">
        <f>IF(AND($C47&lt;&gt;"",$F47&lt;&gt;""),(VLOOKUP($C47,'V-LOOKUP'!$C$61:$M$120,7,FALSE)),"0")</f>
        <v>0</v>
      </c>
      <c r="AV47" s="192" t="str">
        <f>IF(AND($C47&lt;&gt;"",$F47&lt;&gt;""),(VLOOKUP($C47,'V-LOOKUP'!$C$61:$M$120,8,FALSE)),"0")</f>
        <v>0</v>
      </c>
      <c r="AW47" s="192" t="str">
        <f>IF(AND($C47&lt;&gt;"",$F47&lt;&gt;""),(VLOOKUP($C47,'V-LOOKUP'!$C$61:$M$120,9,FALSE)),"0")</f>
        <v>0</v>
      </c>
      <c r="AX47" s="192" t="str">
        <f>IF(AND($C47&lt;&gt;"",$F47&lt;&gt;""),(VLOOKUP($C47,'V-LOOKUP'!$C$61:$M$120,10,FALSE)),"0")</f>
        <v>0</v>
      </c>
      <c r="AY47" s="192" t="str">
        <f>IF(AND($C47&lt;&gt;"",$F47&lt;&gt;""),(VLOOKUP($C47,'V-LOOKUP'!$C$61:$M$120,11,FALSE)),"0")</f>
        <v>0</v>
      </c>
      <c r="AZ47" s="192" t="str">
        <f>IF(AND($C47&lt;&gt;"",$F47&lt;&gt;""),(VLOOKUP($C47,'V-LOOKUP'!$C$61:$N$120,12,FALSE)),"0")</f>
        <v>0</v>
      </c>
      <c r="BA47" s="192" t="str">
        <f>IF(AND($C47&lt;&gt;"",$G47&lt;&gt;""),(VLOOKUP($C47,'V-LOOKUP'!$C$61:$M$120,4,FALSE)),"0")</f>
        <v>0</v>
      </c>
      <c r="BB47" s="192" t="str">
        <f>IF(AND($C47&lt;&gt;"",$G47&lt;&gt;""),(VLOOKUP($C47,'V-LOOKUP'!$C$61:$M$120,5,FALSE)),"0")</f>
        <v>0</v>
      </c>
      <c r="BC47" s="192" t="str">
        <f>IF(AND($C47&lt;&gt;"",$G47&lt;&gt;""),(VLOOKUP($C47,'V-LOOKUP'!$C$61:$M$120,6,FALSE)),"0")</f>
        <v>0</v>
      </c>
      <c r="BD47" s="192" t="str">
        <f>IF(AND($C47&lt;&gt;"",$G47&lt;&gt;""),(VLOOKUP($C47,'V-LOOKUP'!$C$61:$M$120,7,FALSE)),"0")</f>
        <v>0</v>
      </c>
      <c r="BE47" s="192" t="str">
        <f>IF(AND($C47&lt;&gt;"",$G47&lt;&gt;""),(VLOOKUP($C47,'V-LOOKUP'!$C$61:$M$120,8,FALSE)),"0")</f>
        <v>0</v>
      </c>
      <c r="BF47" s="192" t="str">
        <f>IF(AND($C47&lt;&gt;"",$G47&lt;&gt;""),(VLOOKUP($C47,'V-LOOKUP'!$C$61:$M$120,9,FALSE)),"0")</f>
        <v>0</v>
      </c>
      <c r="BG47" s="192" t="str">
        <f>IF(AND($C47&lt;&gt;"",$G47&lt;&gt;""),(VLOOKUP($C47,'V-LOOKUP'!$C$61:$M$120,10,FALSE)),"0")</f>
        <v>0</v>
      </c>
      <c r="BH47" s="192" t="str">
        <f>IF(AND($C47&lt;&gt;"",$G47&lt;&gt;""),(VLOOKUP($C47,'V-LOOKUP'!$C$61:$M$120,11,FALSE)),"0")</f>
        <v>0</v>
      </c>
      <c r="BI47" s="192" t="str">
        <f>IF(AND($C47&lt;&gt;"",$G47&lt;&gt;""),(VLOOKUP($C47,'V-LOOKUP'!$C$61:$N$120,12,FALSE)),"0")</f>
        <v>0</v>
      </c>
      <c r="BJ47" s="192" t="str">
        <f>IF(AND($C47&lt;&gt;"",$H47&lt;&gt;""),(VLOOKUP($C47,'V-LOOKUP'!$C$61:$M$120,4,FALSE)),"0")</f>
        <v>0</v>
      </c>
      <c r="BK47" s="192" t="str">
        <f>IF(AND($C47&lt;&gt;"",$H47&lt;&gt;""),(VLOOKUP($C47,'V-LOOKUP'!$C$61:$M$120,5,FALSE)),"0")</f>
        <v>0</v>
      </c>
      <c r="BL47" s="192" t="str">
        <f>IF(AND($C47&lt;&gt;"",$H47&lt;&gt;""),(VLOOKUP($C47,'V-LOOKUP'!$C$61:$M$120,6,FALSE)),"0")</f>
        <v>0</v>
      </c>
      <c r="BM47" s="192" t="str">
        <f>IF(AND($C47&lt;&gt;"",$H47&lt;&gt;""),(VLOOKUP($C47,'V-LOOKUP'!$C$61:$M$120,7,FALSE)),"0")</f>
        <v>0</v>
      </c>
      <c r="BN47" s="192" t="str">
        <f>IF(AND($C47&lt;&gt;"",$H47&lt;&gt;""),(VLOOKUP($C47,'V-LOOKUP'!$C$61:$M$120,8,FALSE)),"0")</f>
        <v>0</v>
      </c>
      <c r="BO47" s="192" t="str">
        <f>IF(AND($C47&lt;&gt;"",$H47&lt;&gt;""),(VLOOKUP($C47,'V-LOOKUP'!$C$61:$M$120,9,FALSE)),"0")</f>
        <v>0</v>
      </c>
      <c r="BP47" s="192" t="str">
        <f>IF(AND($C47&lt;&gt;"",$H47&lt;&gt;""),(VLOOKUP($C47,'V-LOOKUP'!$C$61:$M$120,10,FALSE)),"0")</f>
        <v>0</v>
      </c>
      <c r="BQ47" s="192" t="str">
        <f>IF(AND($C47&lt;&gt;"",$H47&lt;&gt;""),(VLOOKUP($C47,'V-LOOKUP'!$C$61:$M$120,11,FALSE)),"0")</f>
        <v>0</v>
      </c>
      <c r="BR47" s="192" t="str">
        <f>IF(AND($C47&lt;&gt;"",$H47&lt;&gt;""),(VLOOKUP($C47,'V-LOOKUP'!$C$61:$N$120,12,FALSE)),"0")</f>
        <v>0</v>
      </c>
      <c r="BS47" s="192" t="str">
        <f>IF(AND($C47&lt;&gt;"",$I47&lt;&gt;""),(VLOOKUP($C47,'V-LOOKUP'!$C$61:$M$120,4,FALSE)),"0")</f>
        <v>0</v>
      </c>
      <c r="BT47" s="192" t="str">
        <f>IF(AND($C47&lt;&gt;"",$I47&lt;&gt;""),(VLOOKUP($C47,'V-LOOKUP'!$C$61:$M$120,5,FALSE)),"0")</f>
        <v>0</v>
      </c>
      <c r="BU47" s="192" t="str">
        <f>IF(AND($C47&lt;&gt;"",$I47&lt;&gt;""),(VLOOKUP($C47,'V-LOOKUP'!$C$61:$M$120,6,FALSE)),"0")</f>
        <v>0</v>
      </c>
      <c r="BV47" s="192" t="str">
        <f>IF(AND($C47&lt;&gt;"",$I47&lt;&gt;""),(VLOOKUP($C47,'V-LOOKUP'!$C$61:$M$120,7,FALSE)),"0")</f>
        <v>0</v>
      </c>
      <c r="BW47" s="192" t="str">
        <f>IF(AND($C47&lt;&gt;"",$I47&lt;&gt;""),(VLOOKUP($C47,'V-LOOKUP'!$C$61:$M$120,8,FALSE)),"0")</f>
        <v>0</v>
      </c>
      <c r="BX47" s="192" t="str">
        <f>IF(AND($C47&lt;&gt;"",$I47&lt;&gt;""),(VLOOKUP($C47,'V-LOOKUP'!$C$61:$M$120,9,FALSE)),"0")</f>
        <v>0</v>
      </c>
      <c r="BY47" s="192" t="str">
        <f>IF(AND($C47&lt;&gt;"",$I47&lt;&gt;""),(VLOOKUP($C47,'V-LOOKUP'!$C$61:$M$120,10,FALSE)),"0")</f>
        <v>0</v>
      </c>
      <c r="BZ47" s="192" t="str">
        <f>IF(AND($C47&lt;&gt;"",$I47&lt;&gt;""),(VLOOKUP($C47,'V-LOOKUP'!$C$61:$M$120,11,FALSE)),"0")</f>
        <v>0</v>
      </c>
      <c r="CA47" s="192" t="str">
        <f>IF(AND($C47&lt;&gt;"",$I47&lt;&gt;""),(VLOOKUP($C47,'V-LOOKUP'!$C$61:$N$120,12,FALSE)),"0")</f>
        <v>0</v>
      </c>
      <c r="CB47" s="192" t="str">
        <f>IF(AND($C47&lt;&gt;"",$J47&lt;&gt;""),(VLOOKUP($C47,'V-LOOKUP'!$C$61:$M$120,4,FALSE)),"0")</f>
        <v>0</v>
      </c>
      <c r="CC47" s="192" t="str">
        <f>IF(AND($C47&lt;&gt;"",$J47&lt;&gt;""),(VLOOKUP($C47,'V-LOOKUP'!$C$61:$M$120,5,FALSE)),"0")</f>
        <v>0</v>
      </c>
      <c r="CD47" s="192" t="str">
        <f>IF(AND($C47&lt;&gt;"",$J47&lt;&gt;""),(VLOOKUP($C47,'V-LOOKUP'!$C$61:$M$120,6,FALSE)),"0")</f>
        <v>0</v>
      </c>
      <c r="CE47" s="192" t="str">
        <f>IF(AND($C47&lt;&gt;"",$J47&lt;&gt;""),(VLOOKUP($C47,'V-LOOKUP'!$C$61:$M$120,7,FALSE)),"0")</f>
        <v>0</v>
      </c>
      <c r="CF47" s="192" t="str">
        <f>IF(AND($C47&lt;&gt;"",$J47&lt;&gt;""),(VLOOKUP($C47,'V-LOOKUP'!$C$61:$M$120,8,FALSE)),"0")</f>
        <v>0</v>
      </c>
      <c r="CG47" s="192" t="str">
        <f>IF(AND($C47&lt;&gt;"",$J47&lt;&gt;""),(VLOOKUP($C47,'V-LOOKUP'!$C$61:$M$120,9,FALSE)),"0")</f>
        <v>0</v>
      </c>
      <c r="CH47" s="192" t="str">
        <f>IF(AND($C47&lt;&gt;"",$J47&lt;&gt;""),(VLOOKUP($C47,'V-LOOKUP'!$C$61:$M$120,10,FALSE)),"0")</f>
        <v>0</v>
      </c>
      <c r="CI47" s="192" t="str">
        <f>IF(AND($C47&lt;&gt;"",$J47&lt;&gt;""),(VLOOKUP($C47,'V-LOOKUP'!$C$61:$M$120,11,FALSE)),"0")</f>
        <v>0</v>
      </c>
      <c r="CJ47" s="192" t="str">
        <f>IF(AND($C47&lt;&gt;"",$J47&lt;&gt;""),(VLOOKUP($C47,'V-LOOKUP'!$C$61:$N$120,12,FALSE)),"0")</f>
        <v>0</v>
      </c>
      <c r="CK47" s="192" t="str">
        <f>IF(AND($C47&lt;&gt;"",$K47&lt;&gt;""),(VLOOKUP($C47,'V-LOOKUP'!$C$61:$M$120,4,FALSE)),"0")</f>
        <v>0</v>
      </c>
      <c r="CL47" s="192" t="str">
        <f>IF(AND($C47&lt;&gt;"",$K47&lt;&gt;""),(VLOOKUP($C47,'V-LOOKUP'!$C$61:$M$120,5,FALSE)),"0")</f>
        <v>0</v>
      </c>
      <c r="CM47" s="192" t="str">
        <f>IF(AND($C47&lt;&gt;"",$K47&lt;&gt;""),(VLOOKUP($C47,'V-LOOKUP'!$C$61:$M$120,6,FALSE)),"0")</f>
        <v>0</v>
      </c>
      <c r="CN47" s="192" t="str">
        <f>IF(AND($C47&lt;&gt;"",$K47&lt;&gt;""),(VLOOKUP($C47,'V-LOOKUP'!$C$61:$M$120,7,FALSE)),"0")</f>
        <v>0</v>
      </c>
      <c r="CO47" s="192" t="str">
        <f>IF(AND($C47&lt;&gt;"",$K47&lt;&gt;""),(VLOOKUP($C47,'V-LOOKUP'!$C$61:$M$120,8,FALSE)),"0")</f>
        <v>0</v>
      </c>
      <c r="CP47" s="192" t="str">
        <f>IF(AND($C47&lt;&gt;"",$K47&lt;&gt;""),(VLOOKUP($C47,'V-LOOKUP'!$C$61:$M$120,9,FALSE)),"0")</f>
        <v>0</v>
      </c>
      <c r="CQ47" s="192" t="str">
        <f>IF(AND($C47&lt;&gt;"",$K47&lt;&gt;""),(VLOOKUP($C47,'V-LOOKUP'!$C$61:$M$120,10,FALSE)),"0")</f>
        <v>0</v>
      </c>
      <c r="CR47" s="192" t="str">
        <f>IF(AND($C47&lt;&gt;"",$K47&lt;&gt;""),(VLOOKUP($C47,'V-LOOKUP'!$C$61:$M$120,11,FALSE)),"0")</f>
        <v>0</v>
      </c>
      <c r="CS47" s="192" t="str">
        <f>IF(AND($C47&lt;&gt;"",$K47&lt;&gt;""),(VLOOKUP($C47,'V-LOOKUP'!$C$61:$N$120,12,FALSE)),"0")</f>
        <v>0</v>
      </c>
      <c r="CT47" s="192" t="str">
        <f>IF(AND($C47&lt;&gt;"",$L47&lt;&gt;""),(VLOOKUP($C47,'V-LOOKUP'!$C$61:$M$120,4,FALSE)),"0")</f>
        <v>0</v>
      </c>
      <c r="CU47" s="192" t="str">
        <f>IF(AND($C47&lt;&gt;"",$L47&lt;&gt;""),(VLOOKUP($C47,'V-LOOKUP'!$C$61:$M$120,5,FALSE)),"0")</f>
        <v>0</v>
      </c>
      <c r="CV47" s="192" t="str">
        <f>IF(AND($C47&lt;&gt;"",$L47&lt;&gt;""),(VLOOKUP($C47,'V-LOOKUP'!$C$61:$M$120,6,FALSE)),"0")</f>
        <v>0</v>
      </c>
      <c r="CW47" s="192" t="str">
        <f>IF(AND($C47&lt;&gt;"",$L47&lt;&gt;""),(VLOOKUP($C47,'V-LOOKUP'!$C$61:$M$120,7,FALSE)),"0")</f>
        <v>0</v>
      </c>
      <c r="CX47" s="192" t="str">
        <f>IF(AND($C47&lt;&gt;"",$L47&lt;&gt;""),(VLOOKUP($C47,'V-LOOKUP'!$C$61:$M$120,8,FALSE)),"0")</f>
        <v>0</v>
      </c>
      <c r="CY47" s="192" t="str">
        <f>IF(AND($C47&lt;&gt;"",$L47&lt;&gt;""),(VLOOKUP($C47,'V-LOOKUP'!$C$61:$M$120,9,FALSE)),"0")</f>
        <v>0</v>
      </c>
      <c r="CZ47" s="192" t="str">
        <f>IF(AND($C47&lt;&gt;"",$L47&lt;&gt;""),(VLOOKUP($C47,'V-LOOKUP'!$C$61:$M$120,10,FALSE)),"0")</f>
        <v>0</v>
      </c>
      <c r="DA47" s="192" t="str">
        <f>IF(AND($C47&lt;&gt;"",$L47&lt;&gt;""),(VLOOKUP($C47,'V-LOOKUP'!$C$61:$M$120,11,FALSE)),"0")</f>
        <v>0</v>
      </c>
      <c r="DB47" s="192" t="str">
        <f>IF(AND($C47&lt;&gt;"",$L47&lt;&gt;""),(VLOOKUP($C47,'V-LOOKUP'!$C$61:$N$120,12,FALSE)),"0")</f>
        <v>0</v>
      </c>
      <c r="DC47" s="192" t="str">
        <f>IF(AND($C47&lt;&gt;"",$M47&lt;&gt;""),(VLOOKUP($C47,'V-LOOKUP'!$C$61:$M$120,4,FALSE)),"0")</f>
        <v>0</v>
      </c>
      <c r="DD47" s="192" t="str">
        <f>IF(AND($C47&lt;&gt;"",$M47&lt;&gt;""),(VLOOKUP($C47,'V-LOOKUP'!$C$61:$M$120,5,FALSE)),"0")</f>
        <v>0</v>
      </c>
      <c r="DE47" s="192" t="str">
        <f>IF(AND($C47&lt;&gt;"",$M47&lt;&gt;""),(VLOOKUP($C47,'V-LOOKUP'!$C$61:$M$120,6,FALSE)),"0")</f>
        <v>0</v>
      </c>
      <c r="DF47" s="192" t="str">
        <f>IF(AND($C47&lt;&gt;"",$M47&lt;&gt;""),(VLOOKUP($C47,'V-LOOKUP'!$C$61:$M$120,7,FALSE)),"0")</f>
        <v>0</v>
      </c>
      <c r="DG47" s="192" t="str">
        <f>IF(AND($C47&lt;&gt;"",$M47&lt;&gt;""),(VLOOKUP($C47,'V-LOOKUP'!$C$61:$M$120,8,FALSE)),"0")</f>
        <v>0</v>
      </c>
      <c r="DH47" s="192" t="str">
        <f>IF(AND($C47&lt;&gt;"",$M47&lt;&gt;""),(VLOOKUP($C47,'V-LOOKUP'!$C$61:$M$120,9,FALSE)),"0")</f>
        <v>0</v>
      </c>
      <c r="DI47" s="192" t="str">
        <f>IF(AND($C47&lt;&gt;"",$M47&lt;&gt;""),(VLOOKUP($C47,'V-LOOKUP'!$C$61:$M$120,10,FALSE)),"0")</f>
        <v>0</v>
      </c>
      <c r="DJ47" s="192" t="str">
        <f>IF(AND($C47&lt;&gt;"",$M47&lt;&gt;""),(VLOOKUP($C47,'V-LOOKUP'!$C$61:$M$120,11,FALSE)),"0")</f>
        <v>0</v>
      </c>
      <c r="DK47" s="192" t="str">
        <f>IF(AND($C47&lt;&gt;"",$M47&lt;&gt;""),(VLOOKUP($C47,'V-LOOKUP'!$C$61:$N$120,12,FALSE)),"0")</f>
        <v>0</v>
      </c>
      <c r="DL47" s="192" t="str">
        <f>IF(AND($C47&lt;&gt;"",$N47&lt;&gt;""),(VLOOKUP($C47,'V-LOOKUP'!$C$61:$M$120,4,FALSE)),"0")</f>
        <v>0</v>
      </c>
      <c r="DM47" s="192" t="str">
        <f>IF(AND($C47&lt;&gt;"",$N47&lt;&gt;""),(VLOOKUP($C47,'V-LOOKUP'!$C$61:$M$120,5,FALSE)),"0")</f>
        <v>0</v>
      </c>
      <c r="DN47" s="192" t="str">
        <f>IF(AND($C47&lt;&gt;"",$N47&lt;&gt;""),(VLOOKUP($C47,'V-LOOKUP'!$C$61:$M$120,6,FALSE)),"0")</f>
        <v>0</v>
      </c>
      <c r="DO47" s="192" t="str">
        <f>IF(AND($C47&lt;&gt;"",$N47&lt;&gt;""),(VLOOKUP($C47,'V-LOOKUP'!$C$61:$M$120,7,FALSE)),"0")</f>
        <v>0</v>
      </c>
      <c r="DP47" s="192" t="str">
        <f>IF(AND($C47&lt;&gt;"",$N47&lt;&gt;""),(VLOOKUP($C47,'V-LOOKUP'!$C$61:$M$120,8,FALSE)),"0")</f>
        <v>0</v>
      </c>
      <c r="DQ47" s="192" t="str">
        <f>IF(AND($C47&lt;&gt;"",$N47&lt;&gt;""),(VLOOKUP($C47,'V-LOOKUP'!$C$61:$M$120,9,FALSE)),"0")</f>
        <v>0</v>
      </c>
      <c r="DR47" s="192" t="str">
        <f>IF(AND($C47&lt;&gt;"",$N47&lt;&gt;""),(VLOOKUP($C47,'V-LOOKUP'!$C$61:$M$120,10,FALSE)),"0")</f>
        <v>0</v>
      </c>
      <c r="DS47" s="192" t="str">
        <f>IF(AND($C47&lt;&gt;"",$N47&lt;&gt;""),(VLOOKUP($C47,'V-LOOKUP'!$C$61:$M$120,11,FALSE)),"0")</f>
        <v>0</v>
      </c>
      <c r="DT47" s="192" t="str">
        <f>IF(AND($C47&lt;&gt;"",$N47&lt;&gt;""),(VLOOKUP($C47,'V-LOOKUP'!$C$61:$N$120,12,FALSE)),"0")</f>
        <v>0</v>
      </c>
      <c r="DU47" s="192" t="str">
        <f>IF(AND($C47&lt;&gt;"",$O47&lt;&gt;""),(VLOOKUP($C47,'V-LOOKUP'!$C$61:$M$120,4,FALSE)),"0")</f>
        <v>0</v>
      </c>
      <c r="DV47" s="192" t="str">
        <f>IF(AND($C47&lt;&gt;"",$O47&lt;&gt;""),(VLOOKUP($C47,'V-LOOKUP'!$C$61:$M$120,5,FALSE)),"0")</f>
        <v>0</v>
      </c>
      <c r="DW47" s="192" t="str">
        <f>IF(AND($C47&lt;&gt;"",$O47&lt;&gt;""),(VLOOKUP($C47,'V-LOOKUP'!$C$61:$M$120,6,FALSE)),"0")</f>
        <v>0</v>
      </c>
      <c r="DX47" s="192" t="str">
        <f>IF(AND($C47&lt;&gt;"",$O47&lt;&gt;""),(VLOOKUP($C47,'V-LOOKUP'!$C$61:$M$120,7,FALSE)),"0")</f>
        <v>0</v>
      </c>
      <c r="DY47" s="192" t="str">
        <f>IF(AND($C47&lt;&gt;"",$O47&lt;&gt;""),(VLOOKUP($C47,'V-LOOKUP'!$C$61:$M$120,8,FALSE)),"0")</f>
        <v>0</v>
      </c>
      <c r="DZ47" s="192" t="str">
        <f>IF(AND($C47&lt;&gt;"",$O47&lt;&gt;""),(VLOOKUP($C47,'V-LOOKUP'!$C$61:$M$120,9,FALSE)),"0")</f>
        <v>0</v>
      </c>
      <c r="EA47" s="192" t="str">
        <f>IF(AND($C47&lt;&gt;"",$O47&lt;&gt;""),(VLOOKUP($C47,'V-LOOKUP'!$C$61:$M$120,10,FALSE)),"0")</f>
        <v>0</v>
      </c>
      <c r="EB47" s="192" t="str">
        <f>IF(AND($C47&lt;&gt;"",$O47&lt;&gt;""),(VLOOKUP($C47,'V-LOOKUP'!$C$61:$M$120,11,FALSE)),"0")</f>
        <v>0</v>
      </c>
      <c r="EC47" s="192" t="str">
        <f>IF(AND($C47&lt;&gt;"",$O47&lt;&gt;""),(VLOOKUP($C47,'V-LOOKUP'!$C$61:$N$120,12,FALSE)),"0")</f>
        <v>0</v>
      </c>
      <c r="ED47" s="192" t="str">
        <f>IF(AND($C47&lt;&gt;"",$P47&lt;&gt;""),(VLOOKUP($C47,'V-LOOKUP'!$C$61:$M$120,4,FALSE)),"0")</f>
        <v>0</v>
      </c>
      <c r="EE47" s="192" t="str">
        <f>IF(AND($C47&lt;&gt;"",$P47&lt;&gt;""),(VLOOKUP($C47,'V-LOOKUP'!$C$61:$M$120,5,FALSE)),"0")</f>
        <v>0</v>
      </c>
      <c r="EF47" s="192" t="str">
        <f>IF(AND($C47&lt;&gt;"",$P47&lt;&gt;""),(VLOOKUP($C47,'V-LOOKUP'!$C$61:$M$120,6,FALSE)),"0")</f>
        <v>0</v>
      </c>
      <c r="EG47" s="192" t="str">
        <f>IF(AND($C47&lt;&gt;"",$P47&lt;&gt;""),(VLOOKUP($C47,'V-LOOKUP'!$C$61:$M$120,7,FALSE)),"0")</f>
        <v>0</v>
      </c>
      <c r="EH47" s="192" t="str">
        <f>IF(AND($C47&lt;&gt;"",$P47&lt;&gt;""),(VLOOKUP($C47,'V-LOOKUP'!$C$61:$M$120,8,FALSE)),"0")</f>
        <v>0</v>
      </c>
      <c r="EI47" s="192" t="str">
        <f>IF(AND($C47&lt;&gt;"",$P47&lt;&gt;""),(VLOOKUP($C47,'V-LOOKUP'!$C$61:$M$120,9,FALSE)),"0")</f>
        <v>0</v>
      </c>
      <c r="EJ47" s="192" t="str">
        <f>IF(AND($C47&lt;&gt;"",$P47&lt;&gt;""),(VLOOKUP($C47,'V-LOOKUP'!$C$61:$M$120,10,FALSE)),"0")</f>
        <v>0</v>
      </c>
      <c r="EK47" s="192" t="str">
        <f>IF(AND($C47&lt;&gt;"",$P47&lt;&gt;""),(VLOOKUP($C47,'V-LOOKUP'!$C$61:$M$120,11,FALSE)),"0")</f>
        <v>0</v>
      </c>
      <c r="EL47" s="192" t="str">
        <f>IF(AND($C47&lt;&gt;"",$P47&lt;&gt;""),(VLOOKUP($C47,'V-LOOKUP'!$C$61:$N$120,12,FALSE)),"0")</f>
        <v>0</v>
      </c>
      <c r="EM47" s="192" t="str">
        <f>IF(AND($C47&lt;&gt;"",$Q47&lt;&gt;""),(VLOOKUP($C47,'V-LOOKUP'!$C$61:$M$120,4,FALSE)),"0")</f>
        <v>0</v>
      </c>
      <c r="EN47" s="192" t="str">
        <f>IF(AND($C47&lt;&gt;"",$Q47&lt;&gt;""),(VLOOKUP($C47,'V-LOOKUP'!$C$61:$M$120,5,FALSE)),"0")</f>
        <v>0</v>
      </c>
      <c r="EO47" s="192" t="str">
        <f>IF(AND($C47&lt;&gt;"",$Q47&lt;&gt;""),(VLOOKUP($C47,'V-LOOKUP'!$C$61:$M$120,6,FALSE)),"0")</f>
        <v>0</v>
      </c>
      <c r="EP47" s="192" t="str">
        <f>IF(AND($C47&lt;&gt;"",$Q47&lt;&gt;""),(VLOOKUP($C47,'V-LOOKUP'!$C$61:$M$120,7,FALSE)),"0")</f>
        <v>0</v>
      </c>
      <c r="EQ47" s="192" t="str">
        <f>IF(AND($C47&lt;&gt;"",$Q47&lt;&gt;""),(VLOOKUP($C47,'V-LOOKUP'!$C$61:$M$120,8,FALSE)),"0")</f>
        <v>0</v>
      </c>
      <c r="ER47" s="192" t="str">
        <f>IF(AND($C47&lt;&gt;"",$Q47&lt;&gt;""),(VLOOKUP($C47,'V-LOOKUP'!$C$61:$M$120,9,FALSE)),"0")</f>
        <v>0</v>
      </c>
      <c r="ES47" s="192" t="str">
        <f>IF(AND($C47&lt;&gt;"",$Q47&lt;&gt;""),(VLOOKUP($C47,'V-LOOKUP'!$C$61:$M$120,10,FALSE)),"0")</f>
        <v>0</v>
      </c>
      <c r="ET47" s="192" t="str">
        <f>IF(AND($C47&lt;&gt;"",$Q47&lt;&gt;""),(VLOOKUP($C47,'V-LOOKUP'!$C$61:$M$120,11,FALSE)),"0")</f>
        <v>0</v>
      </c>
      <c r="EU47" s="192" t="str">
        <f>IF(AND($C47&lt;&gt;"",$Q47&lt;&gt;""),(VLOOKUP($C47,'V-LOOKUP'!$C$61:$N$120,12,FALSE)),"0")</f>
        <v>0</v>
      </c>
      <c r="EV47" s="192" t="str">
        <f>IF(AND($C47&lt;&gt;"",$R47&lt;&gt;""),(VLOOKUP($C47,'V-LOOKUP'!$C$61:$M$120,4,FALSE)),"0")</f>
        <v>0</v>
      </c>
      <c r="EW47" s="192" t="str">
        <f>IF(AND($C47&lt;&gt;"",$R47&lt;&gt;""),(VLOOKUP($C47,'V-LOOKUP'!$C$61:$M$120,5,FALSE)),"0")</f>
        <v>0</v>
      </c>
      <c r="EX47" s="192" t="str">
        <f>IF(AND($C47&lt;&gt;"",$R47&lt;&gt;""),(VLOOKUP($C47,'V-LOOKUP'!$C$61:$M$120,6,FALSE)),"0")</f>
        <v>0</v>
      </c>
      <c r="EY47" s="192" t="str">
        <f>IF(AND($C47&lt;&gt;"",$R47&lt;&gt;""),(VLOOKUP($C47,'V-LOOKUP'!$C$61:$M$120,7,FALSE)),"0")</f>
        <v>0</v>
      </c>
      <c r="EZ47" s="192" t="str">
        <f>IF(AND($C47&lt;&gt;"",$R47&lt;&gt;""),(VLOOKUP($C47,'V-LOOKUP'!$C$61:$M$120,8,FALSE)),"0")</f>
        <v>0</v>
      </c>
      <c r="FA47" s="192" t="str">
        <f>IF(AND($C47&lt;&gt;"",$R47&lt;&gt;""),(VLOOKUP($C47,'V-LOOKUP'!$C$61:$M$120,9,FALSE)),"0")</f>
        <v>0</v>
      </c>
      <c r="FB47" s="192" t="str">
        <f>IF(AND($C47&lt;&gt;"",$R47&lt;&gt;""),(VLOOKUP($C47,'V-LOOKUP'!$C$61:$M$120,10,FALSE)),"0")</f>
        <v>0</v>
      </c>
      <c r="FC47" s="192" t="str">
        <f>IF(AND($C47&lt;&gt;"",$R47&lt;&gt;""),(VLOOKUP($C47,'V-LOOKUP'!$C$61:$M$120,11,FALSE)),"0")</f>
        <v>0</v>
      </c>
      <c r="FD47" s="192" t="str">
        <f>IF(AND($C47&lt;&gt;"",$R47&lt;&gt;""),(VLOOKUP($C47,'V-LOOKUP'!$C$61:$N$120,12,FALSE)),"0")</f>
        <v>0</v>
      </c>
      <c r="FE47" s="192" t="str">
        <f>IF(AND($C47&lt;&gt;"",$S47&lt;&gt;""),(VLOOKUP($C47,'V-LOOKUP'!$C$61:$M$120,4,FALSE)),"0")</f>
        <v>0</v>
      </c>
      <c r="FF47" s="192" t="str">
        <f>IF(AND($C47&lt;&gt;"",$S47&lt;&gt;""),(VLOOKUP($C47,'V-LOOKUP'!$C$61:$M$120,5,FALSE)),"0")</f>
        <v>0</v>
      </c>
      <c r="FG47" s="192" t="str">
        <f>IF(AND($C47&lt;&gt;"",$S47&lt;&gt;""),(VLOOKUP($C47,'V-LOOKUP'!$C$61:$M$120,6,FALSE)),"0")</f>
        <v>0</v>
      </c>
      <c r="FH47" s="192" t="str">
        <f>IF(AND($C47&lt;&gt;"",$S47&lt;&gt;""),(VLOOKUP($C47,'V-LOOKUP'!$C$61:$M$120,7,FALSE)),"0")</f>
        <v>0</v>
      </c>
      <c r="FI47" s="192" t="str">
        <f>IF(AND($C47&lt;&gt;"",$S47&lt;&gt;""),(VLOOKUP($C47,'V-LOOKUP'!$C$61:$M$120,8,FALSE)),"0")</f>
        <v>0</v>
      </c>
      <c r="FJ47" s="192" t="str">
        <f>IF(AND($C47&lt;&gt;"",$S47&lt;&gt;""),(VLOOKUP($C47,'V-LOOKUP'!$C$61:$M$120,9,FALSE)),"0")</f>
        <v>0</v>
      </c>
      <c r="FK47" s="192" t="str">
        <f>IF(AND($C47&lt;&gt;"",$S47&lt;&gt;""),(VLOOKUP($C47,'V-LOOKUP'!$C$61:$M$120,10,FALSE)),"0")</f>
        <v>0</v>
      </c>
      <c r="FL47" s="192" t="str">
        <f>IF(AND($C47&lt;&gt;"",$S47&lt;&gt;""),(VLOOKUP($C47,'V-LOOKUP'!$C$61:$M$120,11,FALSE)),"0")</f>
        <v>0</v>
      </c>
      <c r="FM47" s="192" t="str">
        <f>IF(AND($C47&lt;&gt;"",$S47&lt;&gt;""),(VLOOKUP($C47,'V-LOOKUP'!$C$61:$N$120,12,FALSE)),"0")</f>
        <v>0</v>
      </c>
      <c r="FN47" s="192" t="str">
        <f>IF(AND($C47&lt;&gt;"",$T47&lt;&gt;""),(VLOOKUP($C47,'V-LOOKUP'!$C$61:$M$120,4,FALSE)),"0")</f>
        <v>0</v>
      </c>
      <c r="FO47" s="192" t="str">
        <f>IF(AND($C47&lt;&gt;"",$T47&lt;&gt;""),(VLOOKUP($C47,'V-LOOKUP'!$C$61:$M$120,5,FALSE)),"0")</f>
        <v>0</v>
      </c>
      <c r="FP47" s="192" t="str">
        <f>IF(AND($C47&lt;&gt;"",$T47&lt;&gt;""),(VLOOKUP($C47,'V-LOOKUP'!$C$61:$M$120,6,FALSE)),"0")</f>
        <v>0</v>
      </c>
      <c r="FQ47" s="192" t="str">
        <f>IF(AND($C47&lt;&gt;"",$T47&lt;&gt;""),(VLOOKUP($C47,'V-LOOKUP'!$C$61:$M$120,7,FALSE)),"0")</f>
        <v>0</v>
      </c>
      <c r="FR47" s="192" t="str">
        <f>IF(AND($C47&lt;&gt;"",$T47&lt;&gt;""),(VLOOKUP($C47,'V-LOOKUP'!$C$61:$M$120,8,FALSE)),"0")</f>
        <v>0</v>
      </c>
      <c r="FS47" s="192" t="str">
        <f>IF(AND($C47&lt;&gt;"",$T47&lt;&gt;""),(VLOOKUP($C47,'V-LOOKUP'!$C$61:$M$120,9,FALSE)),"0")</f>
        <v>0</v>
      </c>
      <c r="FT47" s="192" t="str">
        <f>IF(AND($C47&lt;&gt;"",$T47&lt;&gt;""),(VLOOKUP($C47,'V-LOOKUP'!$C$61:$M$120,10,FALSE)),"0")</f>
        <v>0</v>
      </c>
      <c r="FU47" s="192" t="str">
        <f>IF(AND($C47&lt;&gt;"",$T47&lt;&gt;""),(VLOOKUP($C47,'V-LOOKUP'!$C$61:$M$120,11,FALSE)),"0")</f>
        <v>0</v>
      </c>
      <c r="FV47" s="192" t="str">
        <f>IF(AND($C47&lt;&gt;"",$T47&lt;&gt;""),(VLOOKUP($C47,'V-LOOKUP'!$C$61:$N$120,12,FALSE)),"0")</f>
        <v>0</v>
      </c>
      <c r="FW47" s="192" t="str">
        <f>IF(AND($C47&lt;&gt;"",$U47&lt;&gt;""),(VLOOKUP($C47,'V-LOOKUP'!$C$61:$M$120,4,FALSE)),"0")</f>
        <v>0</v>
      </c>
      <c r="FX47" s="192" t="str">
        <f>IF(AND($C47&lt;&gt;"",$U47&lt;&gt;""),(VLOOKUP($C47,'V-LOOKUP'!$C$61:$M$120,5,FALSE)),"0")</f>
        <v>0</v>
      </c>
      <c r="FY47" s="192" t="str">
        <f>IF(AND($C47&lt;&gt;"",$U47&lt;&gt;""),(VLOOKUP($C47,'V-LOOKUP'!$C$61:$M$120,6,FALSE)),"0")</f>
        <v>0</v>
      </c>
      <c r="FZ47" s="192" t="str">
        <f>IF(AND($C47&lt;&gt;"",$U47&lt;&gt;""),(VLOOKUP($C47,'V-LOOKUP'!$C$61:$M$120,7,FALSE)),"0")</f>
        <v>0</v>
      </c>
      <c r="GA47" s="192" t="str">
        <f>IF(AND($C47&lt;&gt;"",$U47&lt;&gt;""),(VLOOKUP($C47,'V-LOOKUP'!$C$61:$M$120,8,FALSE)),"0")</f>
        <v>0</v>
      </c>
      <c r="GB47" s="192" t="str">
        <f>IF(AND($C47&lt;&gt;"",$U47&lt;&gt;""),(VLOOKUP($C47,'V-LOOKUP'!$C$61:$M$120,9,FALSE)),"0")</f>
        <v>0</v>
      </c>
      <c r="GC47" s="192" t="str">
        <f>IF(AND($C47&lt;&gt;"",$U47&lt;&gt;""),(VLOOKUP($C47,'V-LOOKUP'!$C$61:$M$120,10,FALSE)),"0")</f>
        <v>0</v>
      </c>
      <c r="GD47" s="192" t="str">
        <f>IF(AND($C47&lt;&gt;"",$U47&lt;&gt;""),(VLOOKUP($C47,'V-LOOKUP'!$C$61:$M$120,11,FALSE)),"0")</f>
        <v>0</v>
      </c>
      <c r="GE47" s="192" t="str">
        <f>IF(AND($C47&lt;&gt;"",$U47&lt;&gt;""),(VLOOKUP($C47,'V-LOOKUP'!$C$61:$N$120,12,FALSE)),"0")</f>
        <v>0</v>
      </c>
      <c r="GF47" s="192" t="str">
        <f>IF(AND($C47&lt;&gt;"",$V47&lt;&gt;""),(VLOOKUP($C47,'V-LOOKUP'!$C$61:$M$120,4,FALSE)),"0")</f>
        <v>0</v>
      </c>
      <c r="GG47" s="192" t="str">
        <f>IF(AND($C47&lt;&gt;"",V47&lt;&gt;""),(VLOOKUP($C47,'V-LOOKUP'!$C$61:$M$120,5,FALSE)),"0")</f>
        <v>0</v>
      </c>
      <c r="GH47" s="192" t="str">
        <f>IF(AND($C47&lt;&gt;"",$V47&lt;&gt;""),(VLOOKUP($C47,'V-LOOKUP'!$C$61:$M$120,6,FALSE)),"0")</f>
        <v>0</v>
      </c>
      <c r="GI47" s="192" t="str">
        <f>IF(AND($C47&lt;&gt;"",$V47&lt;&gt;""),(VLOOKUP($C47,'V-LOOKUP'!$C$61:$M$120,7,FALSE)),"0")</f>
        <v>0</v>
      </c>
      <c r="GJ47" s="192" t="str">
        <f>IF(AND($C47&lt;&gt;"",$V47&lt;&gt;""),(VLOOKUP($C47,'V-LOOKUP'!$C$61:$M$120,8,FALSE)),"0")</f>
        <v>0</v>
      </c>
      <c r="GK47" s="192" t="str">
        <f>IF(AND($C47&lt;&gt;"",$V47&lt;&gt;""),(VLOOKUP($C47,'V-LOOKUP'!$C$61:$M$120,9,FALSE)),"0")</f>
        <v>0</v>
      </c>
      <c r="GL47" s="192" t="str">
        <f>IF(AND($C47&lt;&gt;"",$V47&lt;&gt;""),(VLOOKUP($C47,'V-LOOKUP'!$C$61:$M$120,10,FALSE)),"0")</f>
        <v>0</v>
      </c>
      <c r="GM47" s="192" t="str">
        <f>IF(AND($C47&lt;&gt;"",$V47&lt;&gt;""),(VLOOKUP($C47,'V-LOOKUP'!$C$61:$M$120,11,FALSE)),"0")</f>
        <v>0</v>
      </c>
      <c r="GN47" s="192" t="str">
        <f>IF(AND($C47&lt;&gt;"",$V47&lt;&gt;""),(VLOOKUP($C47,'V-LOOKUP'!$C$61:$N$120,12,FALSE)),"0")</f>
        <v>0</v>
      </c>
      <c r="GO47" s="192" t="str">
        <f>IF(AND($C47&lt;&gt;"",$W47&lt;&gt;""),(VLOOKUP($C47,'V-LOOKUP'!$C$61:$M$120,4,FALSE)),"0")</f>
        <v>0</v>
      </c>
      <c r="GP47" s="192" t="str">
        <f>IF(AND($C47&lt;&gt;"",$W47&lt;&gt;""),(VLOOKUP($C47,'V-LOOKUP'!$C$61:$M$120,5,FALSE)),"0")</f>
        <v>0</v>
      </c>
      <c r="GQ47" s="192" t="str">
        <f>IF(AND($C47&lt;&gt;"",$W47&lt;&gt;""),(VLOOKUP($C47,'V-LOOKUP'!$C$61:$M$120,6,FALSE)),"0")</f>
        <v>0</v>
      </c>
      <c r="GR47" s="192" t="str">
        <f>IF(AND($C47&lt;&gt;"",$W47&lt;&gt;""),(VLOOKUP($C47,'V-LOOKUP'!$C$61:$M$120,7,FALSE)),"0")</f>
        <v>0</v>
      </c>
      <c r="GS47" s="192" t="str">
        <f>IF(AND($C47&lt;&gt;"",$W47&lt;&gt;""),(VLOOKUP($C47,'V-LOOKUP'!$C$61:$M$120,8,FALSE)),"0")</f>
        <v>0</v>
      </c>
      <c r="GT47" s="192" t="str">
        <f>IF(AND($C47&lt;&gt;"",$W47&lt;&gt;""),(VLOOKUP($C47,'V-LOOKUP'!$C$61:$M$120,9,FALSE)),"0")</f>
        <v>0</v>
      </c>
      <c r="GU47" s="192" t="str">
        <f>IF(AND($C47&lt;&gt;"",$W47&lt;&gt;""),(VLOOKUP($C47,'V-LOOKUP'!$C$61:$M$120,10,FALSE)),"0")</f>
        <v>0</v>
      </c>
      <c r="GV47" s="192" t="str">
        <f>IF(AND($C47&lt;&gt;"",$W47&lt;&gt;""),(VLOOKUP($C47,'V-LOOKUP'!$C$61:$M$120,11,FALSE)),"0")</f>
        <v>0</v>
      </c>
      <c r="GW47" s="192" t="str">
        <f>IF(AND($C47&lt;&gt;"",$W47&lt;&gt;""),(VLOOKUP($C47,'V-LOOKUP'!$C$61:$N$120,12,FALSE)),"0")</f>
        <v>0</v>
      </c>
    </row>
    <row r="48" spans="1:205" ht="14.65" hidden="1" customHeight="1">
      <c r="A48" s="193"/>
      <c r="B48" s="245"/>
      <c r="C48" s="203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Y48" s="190"/>
      <c r="Z48" s="192" t="str">
        <f>IF(AND($C48&lt;&gt;"",$D48&lt;&gt;""),(VLOOKUP($C48,'V-LOOKUP'!$C$61:$M$120,4,FALSE)),"0")</f>
        <v>0</v>
      </c>
      <c r="AA48" s="192" t="str">
        <f>IF(AND($C48&lt;&gt;"",$D48&lt;&gt;""),(VLOOKUP($C48,'V-LOOKUP'!$C$61:$M$120,5,FALSE)),"0")</f>
        <v>0</v>
      </c>
      <c r="AB48" s="192" t="str">
        <f>IF(AND($C48&lt;&gt;"",$D48&lt;&gt;""),(VLOOKUP($C48,'V-LOOKUP'!$C$61:$M$120,6,FALSE)),"0")</f>
        <v>0</v>
      </c>
      <c r="AC48" s="192" t="str">
        <f>IF(AND($C48&lt;&gt;"",$D48&lt;&gt;""),(VLOOKUP($C48,'V-LOOKUP'!$C$61:$M$120,7,FALSE)),"0")</f>
        <v>0</v>
      </c>
      <c r="AD48" s="192" t="str">
        <f>IF(AND($C48&lt;&gt;"",$D48&lt;&gt;""),(VLOOKUP($C48,'V-LOOKUP'!$C$61:$M$120,8,FALSE)),"0")</f>
        <v>0</v>
      </c>
      <c r="AE48" s="192" t="str">
        <f>IF(AND($C48&lt;&gt;"",$D48&lt;&gt;""),(VLOOKUP($C48,'V-LOOKUP'!$C$61:$M$120,9,FALSE)),"0")</f>
        <v>0</v>
      </c>
      <c r="AF48" s="192" t="str">
        <f>IF(AND($C48&lt;&gt;"",$D48&lt;&gt;""),(VLOOKUP($C48,'V-LOOKUP'!$C$61:$M$120,10,FALSE)),"0")</f>
        <v>0</v>
      </c>
      <c r="AG48" s="192" t="str">
        <f>IF(AND($C48&lt;&gt;"",$D48&lt;&gt;""),(VLOOKUP($C48,'V-LOOKUP'!$C$61:$M$120,11,FALSE)),"0")</f>
        <v>0</v>
      </c>
      <c r="AH48" s="192" t="str">
        <f>IF(AND($C48&lt;&gt;"",$D48&lt;&gt;""),(VLOOKUP($C48,'V-LOOKUP'!$C$61:$N$120,12,FALSE)),"0")</f>
        <v>0</v>
      </c>
      <c r="AI48" s="192" t="str">
        <f>IF(AND($C48&lt;&gt;"",$E48&lt;&gt;""),(VLOOKUP($C48,'V-LOOKUP'!$C$61:$M$120,4,FALSE)),"0")</f>
        <v>0</v>
      </c>
      <c r="AJ48" s="192" t="str">
        <f>IF(AND($C48&lt;&gt;"",$E48&lt;&gt;""),(VLOOKUP($C48,'V-LOOKUP'!$C$61:$M$120,5,FALSE)),"0")</f>
        <v>0</v>
      </c>
      <c r="AK48" s="192" t="str">
        <f>IF(AND($C48&lt;&gt;"",$E48&lt;&gt;""),(VLOOKUP($C48,'V-LOOKUP'!$C$61:$M$120,6,FALSE)),"0")</f>
        <v>0</v>
      </c>
      <c r="AL48" s="192" t="str">
        <f>IF(AND($C48&lt;&gt;"",$E48&lt;&gt;""),(VLOOKUP($C48,'V-LOOKUP'!$C$61:$M$120,7,FALSE)),"0")</f>
        <v>0</v>
      </c>
      <c r="AM48" s="192" t="str">
        <f>IF(AND($C48&lt;&gt;"",$E48&lt;&gt;""),(VLOOKUP($C48,'V-LOOKUP'!$C$61:$M$120,8,FALSE)),"0")</f>
        <v>0</v>
      </c>
      <c r="AN48" s="192" t="str">
        <f>IF(AND($C48&lt;&gt;"",$E48&lt;&gt;""),(VLOOKUP($C48,'V-LOOKUP'!$C$61:$M$120,9,FALSE)),"0")</f>
        <v>0</v>
      </c>
      <c r="AO48" s="192" t="str">
        <f>IF(AND($C48&lt;&gt;"",$E48&lt;&gt;""),(VLOOKUP($C48,'V-LOOKUP'!$C$61:$M$120,10,FALSE)),"0")</f>
        <v>0</v>
      </c>
      <c r="AP48" s="192" t="str">
        <f>IF(AND($C48&lt;&gt;"",$E48&lt;&gt;""),(VLOOKUP($C48,'V-LOOKUP'!$C$61:$M$120,11,FALSE)),"0")</f>
        <v>0</v>
      </c>
      <c r="AQ48" s="192" t="str">
        <f>IF(AND($C48&lt;&gt;"",$E48&lt;&gt;""),(VLOOKUP($C48,'V-LOOKUP'!$C$61:$N$120,12,FALSE)),"0")</f>
        <v>0</v>
      </c>
      <c r="AR48" s="192" t="str">
        <f>IF(AND($C48&lt;&gt;"",$F48&lt;&gt;""),(VLOOKUP($C48,'V-LOOKUP'!$C$61:$M$120,4,FALSE)),"0")</f>
        <v>0</v>
      </c>
      <c r="AS48" s="192" t="str">
        <f>IF(AND($C48&lt;&gt;"",$F48&lt;&gt;""),(VLOOKUP($C48,'V-LOOKUP'!$C$61:$M$120,5,FALSE)),"0")</f>
        <v>0</v>
      </c>
      <c r="AT48" s="192" t="str">
        <f>IF(AND($C48&lt;&gt;"",$F48&lt;&gt;""),(VLOOKUP($C48,'V-LOOKUP'!$C$61:$M$120,6,FALSE)),"0")</f>
        <v>0</v>
      </c>
      <c r="AU48" s="192" t="str">
        <f>IF(AND($C48&lt;&gt;"",$F48&lt;&gt;""),(VLOOKUP($C48,'V-LOOKUP'!$C$61:$M$120,7,FALSE)),"0")</f>
        <v>0</v>
      </c>
      <c r="AV48" s="192" t="str">
        <f>IF(AND($C48&lt;&gt;"",$F48&lt;&gt;""),(VLOOKUP($C48,'V-LOOKUP'!$C$61:$M$120,8,FALSE)),"0")</f>
        <v>0</v>
      </c>
      <c r="AW48" s="192" t="str">
        <f>IF(AND($C48&lt;&gt;"",$F48&lt;&gt;""),(VLOOKUP($C48,'V-LOOKUP'!$C$61:$M$120,9,FALSE)),"0")</f>
        <v>0</v>
      </c>
      <c r="AX48" s="192" t="str">
        <f>IF(AND($C48&lt;&gt;"",$F48&lt;&gt;""),(VLOOKUP($C48,'V-LOOKUP'!$C$61:$M$120,10,FALSE)),"0")</f>
        <v>0</v>
      </c>
      <c r="AY48" s="192" t="str">
        <f>IF(AND($C48&lt;&gt;"",$F48&lt;&gt;""),(VLOOKUP($C48,'V-LOOKUP'!$C$61:$M$120,11,FALSE)),"0")</f>
        <v>0</v>
      </c>
      <c r="AZ48" s="192" t="str">
        <f>IF(AND($C48&lt;&gt;"",$F48&lt;&gt;""),(VLOOKUP($C48,'V-LOOKUP'!$C$61:$N$120,12,FALSE)),"0")</f>
        <v>0</v>
      </c>
      <c r="BA48" s="192" t="str">
        <f>IF(AND($C48&lt;&gt;"",$G48&lt;&gt;""),(VLOOKUP($C48,'V-LOOKUP'!$C$61:$M$120,4,FALSE)),"0")</f>
        <v>0</v>
      </c>
      <c r="BB48" s="192" t="str">
        <f>IF(AND($C48&lt;&gt;"",$G48&lt;&gt;""),(VLOOKUP($C48,'V-LOOKUP'!$C$61:$M$120,5,FALSE)),"0")</f>
        <v>0</v>
      </c>
      <c r="BC48" s="192" t="str">
        <f>IF(AND($C48&lt;&gt;"",$G48&lt;&gt;""),(VLOOKUP($C48,'V-LOOKUP'!$C$61:$M$120,6,FALSE)),"0")</f>
        <v>0</v>
      </c>
      <c r="BD48" s="192" t="str">
        <f>IF(AND($C48&lt;&gt;"",$G48&lt;&gt;""),(VLOOKUP($C48,'V-LOOKUP'!$C$61:$M$120,7,FALSE)),"0")</f>
        <v>0</v>
      </c>
      <c r="BE48" s="192" t="str">
        <f>IF(AND($C48&lt;&gt;"",$G48&lt;&gt;""),(VLOOKUP($C48,'V-LOOKUP'!$C$61:$M$120,8,FALSE)),"0")</f>
        <v>0</v>
      </c>
      <c r="BF48" s="192" t="str">
        <f>IF(AND($C48&lt;&gt;"",$G48&lt;&gt;""),(VLOOKUP($C48,'V-LOOKUP'!$C$61:$M$120,9,FALSE)),"0")</f>
        <v>0</v>
      </c>
      <c r="BG48" s="192" t="str">
        <f>IF(AND($C48&lt;&gt;"",$G48&lt;&gt;""),(VLOOKUP($C48,'V-LOOKUP'!$C$61:$M$120,10,FALSE)),"0")</f>
        <v>0</v>
      </c>
      <c r="BH48" s="192" t="str">
        <f>IF(AND($C48&lt;&gt;"",$G48&lt;&gt;""),(VLOOKUP($C48,'V-LOOKUP'!$C$61:$M$120,11,FALSE)),"0")</f>
        <v>0</v>
      </c>
      <c r="BI48" s="192" t="str">
        <f>IF(AND($C48&lt;&gt;"",$G48&lt;&gt;""),(VLOOKUP($C48,'V-LOOKUP'!$C$61:$N$120,12,FALSE)),"0")</f>
        <v>0</v>
      </c>
      <c r="BJ48" s="192" t="str">
        <f>IF(AND($C48&lt;&gt;"",$H48&lt;&gt;""),(VLOOKUP($C48,'V-LOOKUP'!$C$61:$M$120,4,FALSE)),"0")</f>
        <v>0</v>
      </c>
      <c r="BK48" s="192" t="str">
        <f>IF(AND($C48&lt;&gt;"",$H48&lt;&gt;""),(VLOOKUP($C48,'V-LOOKUP'!$C$61:$M$120,5,FALSE)),"0")</f>
        <v>0</v>
      </c>
      <c r="BL48" s="192" t="str">
        <f>IF(AND($C48&lt;&gt;"",$H48&lt;&gt;""),(VLOOKUP($C48,'V-LOOKUP'!$C$61:$M$120,6,FALSE)),"0")</f>
        <v>0</v>
      </c>
      <c r="BM48" s="192" t="str">
        <f>IF(AND($C48&lt;&gt;"",$H48&lt;&gt;""),(VLOOKUP($C48,'V-LOOKUP'!$C$61:$M$120,7,FALSE)),"0")</f>
        <v>0</v>
      </c>
      <c r="BN48" s="192" t="str">
        <f>IF(AND($C48&lt;&gt;"",$H48&lt;&gt;""),(VLOOKUP($C48,'V-LOOKUP'!$C$61:$M$120,8,FALSE)),"0")</f>
        <v>0</v>
      </c>
      <c r="BO48" s="192" t="str">
        <f>IF(AND($C48&lt;&gt;"",$H48&lt;&gt;""),(VLOOKUP($C48,'V-LOOKUP'!$C$61:$M$120,9,FALSE)),"0")</f>
        <v>0</v>
      </c>
      <c r="BP48" s="192" t="str">
        <f>IF(AND($C48&lt;&gt;"",$H48&lt;&gt;""),(VLOOKUP($C48,'V-LOOKUP'!$C$61:$M$120,10,FALSE)),"0")</f>
        <v>0</v>
      </c>
      <c r="BQ48" s="192" t="str">
        <f>IF(AND($C48&lt;&gt;"",$H48&lt;&gt;""),(VLOOKUP($C48,'V-LOOKUP'!$C$61:$M$120,11,FALSE)),"0")</f>
        <v>0</v>
      </c>
      <c r="BR48" s="192" t="str">
        <f>IF(AND($C48&lt;&gt;"",$H48&lt;&gt;""),(VLOOKUP($C48,'V-LOOKUP'!$C$61:$N$120,12,FALSE)),"0")</f>
        <v>0</v>
      </c>
      <c r="BS48" s="192" t="str">
        <f>IF(AND($C48&lt;&gt;"",$I48&lt;&gt;""),(VLOOKUP($C48,'V-LOOKUP'!$C$61:$M$120,4,FALSE)),"0")</f>
        <v>0</v>
      </c>
      <c r="BT48" s="192" t="str">
        <f>IF(AND($C48&lt;&gt;"",$I48&lt;&gt;""),(VLOOKUP($C48,'V-LOOKUP'!$C$61:$M$120,5,FALSE)),"0")</f>
        <v>0</v>
      </c>
      <c r="BU48" s="192" t="str">
        <f>IF(AND($C48&lt;&gt;"",$I48&lt;&gt;""),(VLOOKUP($C48,'V-LOOKUP'!$C$61:$M$120,6,FALSE)),"0")</f>
        <v>0</v>
      </c>
      <c r="BV48" s="192" t="str">
        <f>IF(AND($C48&lt;&gt;"",$I48&lt;&gt;""),(VLOOKUP($C48,'V-LOOKUP'!$C$61:$M$120,7,FALSE)),"0")</f>
        <v>0</v>
      </c>
      <c r="BW48" s="192" t="str">
        <f>IF(AND($C48&lt;&gt;"",$I48&lt;&gt;""),(VLOOKUP($C48,'V-LOOKUP'!$C$61:$M$120,8,FALSE)),"0")</f>
        <v>0</v>
      </c>
      <c r="BX48" s="192" t="str">
        <f>IF(AND($C48&lt;&gt;"",$I48&lt;&gt;""),(VLOOKUP($C48,'V-LOOKUP'!$C$61:$M$120,9,FALSE)),"0")</f>
        <v>0</v>
      </c>
      <c r="BY48" s="192" t="str">
        <f>IF(AND($C48&lt;&gt;"",$I48&lt;&gt;""),(VLOOKUP($C48,'V-LOOKUP'!$C$61:$M$120,10,FALSE)),"0")</f>
        <v>0</v>
      </c>
      <c r="BZ48" s="192" t="str">
        <f>IF(AND($C48&lt;&gt;"",$I48&lt;&gt;""),(VLOOKUP($C48,'V-LOOKUP'!$C$61:$M$120,11,FALSE)),"0")</f>
        <v>0</v>
      </c>
      <c r="CA48" s="192" t="str">
        <f>IF(AND($C48&lt;&gt;"",$I48&lt;&gt;""),(VLOOKUP($C48,'V-LOOKUP'!$C$61:$N$120,12,FALSE)),"0")</f>
        <v>0</v>
      </c>
      <c r="CB48" s="192" t="str">
        <f>IF(AND($C48&lt;&gt;"",$J48&lt;&gt;""),(VLOOKUP($C48,'V-LOOKUP'!$C$61:$M$120,4,FALSE)),"0")</f>
        <v>0</v>
      </c>
      <c r="CC48" s="192" t="str">
        <f>IF(AND($C48&lt;&gt;"",$J48&lt;&gt;""),(VLOOKUP($C48,'V-LOOKUP'!$C$61:$M$120,5,FALSE)),"0")</f>
        <v>0</v>
      </c>
      <c r="CD48" s="192" t="str">
        <f>IF(AND($C48&lt;&gt;"",$J48&lt;&gt;""),(VLOOKUP($C48,'V-LOOKUP'!$C$61:$M$120,6,FALSE)),"0")</f>
        <v>0</v>
      </c>
      <c r="CE48" s="192" t="str">
        <f>IF(AND($C48&lt;&gt;"",$J48&lt;&gt;""),(VLOOKUP($C48,'V-LOOKUP'!$C$61:$M$120,7,FALSE)),"0")</f>
        <v>0</v>
      </c>
      <c r="CF48" s="192" t="str">
        <f>IF(AND($C48&lt;&gt;"",$J48&lt;&gt;""),(VLOOKUP($C48,'V-LOOKUP'!$C$61:$M$120,8,FALSE)),"0")</f>
        <v>0</v>
      </c>
      <c r="CG48" s="192" t="str">
        <f>IF(AND($C48&lt;&gt;"",$J48&lt;&gt;""),(VLOOKUP($C48,'V-LOOKUP'!$C$61:$M$120,9,FALSE)),"0")</f>
        <v>0</v>
      </c>
      <c r="CH48" s="192" t="str">
        <f>IF(AND($C48&lt;&gt;"",$J48&lt;&gt;""),(VLOOKUP($C48,'V-LOOKUP'!$C$61:$M$120,10,FALSE)),"0")</f>
        <v>0</v>
      </c>
      <c r="CI48" s="192" t="str">
        <f>IF(AND($C48&lt;&gt;"",$J48&lt;&gt;""),(VLOOKUP($C48,'V-LOOKUP'!$C$61:$M$120,11,FALSE)),"0")</f>
        <v>0</v>
      </c>
      <c r="CJ48" s="192" t="str">
        <f>IF(AND($C48&lt;&gt;"",$J48&lt;&gt;""),(VLOOKUP($C48,'V-LOOKUP'!$C$61:$N$120,12,FALSE)),"0")</f>
        <v>0</v>
      </c>
      <c r="CK48" s="192" t="str">
        <f>IF(AND($C48&lt;&gt;"",$K48&lt;&gt;""),(VLOOKUP($C48,'V-LOOKUP'!$C$61:$M$120,4,FALSE)),"0")</f>
        <v>0</v>
      </c>
      <c r="CL48" s="192" t="str">
        <f>IF(AND($C48&lt;&gt;"",$K48&lt;&gt;""),(VLOOKUP($C48,'V-LOOKUP'!$C$61:$M$120,5,FALSE)),"0")</f>
        <v>0</v>
      </c>
      <c r="CM48" s="192" t="str">
        <f>IF(AND($C48&lt;&gt;"",$K48&lt;&gt;""),(VLOOKUP($C48,'V-LOOKUP'!$C$61:$M$120,6,FALSE)),"0")</f>
        <v>0</v>
      </c>
      <c r="CN48" s="192" t="str">
        <f>IF(AND($C48&lt;&gt;"",$K48&lt;&gt;""),(VLOOKUP($C48,'V-LOOKUP'!$C$61:$M$120,7,FALSE)),"0")</f>
        <v>0</v>
      </c>
      <c r="CO48" s="192" t="str">
        <f>IF(AND($C48&lt;&gt;"",$K48&lt;&gt;""),(VLOOKUP($C48,'V-LOOKUP'!$C$61:$M$120,8,FALSE)),"0")</f>
        <v>0</v>
      </c>
      <c r="CP48" s="192" t="str">
        <f>IF(AND($C48&lt;&gt;"",$K48&lt;&gt;""),(VLOOKUP($C48,'V-LOOKUP'!$C$61:$M$120,9,FALSE)),"0")</f>
        <v>0</v>
      </c>
      <c r="CQ48" s="192" t="str">
        <f>IF(AND($C48&lt;&gt;"",$K48&lt;&gt;""),(VLOOKUP($C48,'V-LOOKUP'!$C$61:$M$120,10,FALSE)),"0")</f>
        <v>0</v>
      </c>
      <c r="CR48" s="192" t="str">
        <f>IF(AND($C48&lt;&gt;"",$K48&lt;&gt;""),(VLOOKUP($C48,'V-LOOKUP'!$C$61:$M$120,11,FALSE)),"0")</f>
        <v>0</v>
      </c>
      <c r="CS48" s="192" t="str">
        <f>IF(AND($C48&lt;&gt;"",$K48&lt;&gt;""),(VLOOKUP($C48,'V-LOOKUP'!$C$61:$N$120,12,FALSE)),"0")</f>
        <v>0</v>
      </c>
      <c r="CT48" s="192" t="str">
        <f>IF(AND($C48&lt;&gt;"",$L48&lt;&gt;""),(VLOOKUP($C48,'V-LOOKUP'!$C$61:$M$120,4,FALSE)),"0")</f>
        <v>0</v>
      </c>
      <c r="CU48" s="192" t="str">
        <f>IF(AND($C48&lt;&gt;"",$L48&lt;&gt;""),(VLOOKUP($C48,'V-LOOKUP'!$C$61:$M$120,5,FALSE)),"0")</f>
        <v>0</v>
      </c>
      <c r="CV48" s="192" t="str">
        <f>IF(AND($C48&lt;&gt;"",$L48&lt;&gt;""),(VLOOKUP($C48,'V-LOOKUP'!$C$61:$M$120,6,FALSE)),"0")</f>
        <v>0</v>
      </c>
      <c r="CW48" s="192" t="str">
        <f>IF(AND($C48&lt;&gt;"",$L48&lt;&gt;""),(VLOOKUP($C48,'V-LOOKUP'!$C$61:$M$120,7,FALSE)),"0")</f>
        <v>0</v>
      </c>
      <c r="CX48" s="192" t="str">
        <f>IF(AND($C48&lt;&gt;"",$L48&lt;&gt;""),(VLOOKUP($C48,'V-LOOKUP'!$C$61:$M$120,8,FALSE)),"0")</f>
        <v>0</v>
      </c>
      <c r="CY48" s="192" t="str">
        <f>IF(AND($C48&lt;&gt;"",$L48&lt;&gt;""),(VLOOKUP($C48,'V-LOOKUP'!$C$61:$M$120,9,FALSE)),"0")</f>
        <v>0</v>
      </c>
      <c r="CZ48" s="192" t="str">
        <f>IF(AND($C48&lt;&gt;"",$L48&lt;&gt;""),(VLOOKUP($C48,'V-LOOKUP'!$C$61:$M$120,10,FALSE)),"0")</f>
        <v>0</v>
      </c>
      <c r="DA48" s="192" t="str">
        <f>IF(AND($C48&lt;&gt;"",$L48&lt;&gt;""),(VLOOKUP($C48,'V-LOOKUP'!$C$61:$M$120,11,FALSE)),"0")</f>
        <v>0</v>
      </c>
      <c r="DB48" s="192" t="str">
        <f>IF(AND($C48&lt;&gt;"",$L48&lt;&gt;""),(VLOOKUP($C48,'V-LOOKUP'!$C$61:$N$120,12,FALSE)),"0")</f>
        <v>0</v>
      </c>
      <c r="DC48" s="192" t="str">
        <f>IF(AND($C48&lt;&gt;"",$M48&lt;&gt;""),(VLOOKUP($C48,'V-LOOKUP'!$C$61:$M$120,4,FALSE)),"0")</f>
        <v>0</v>
      </c>
      <c r="DD48" s="192" t="str">
        <f>IF(AND($C48&lt;&gt;"",$M48&lt;&gt;""),(VLOOKUP($C48,'V-LOOKUP'!$C$61:$M$120,5,FALSE)),"0")</f>
        <v>0</v>
      </c>
      <c r="DE48" s="192" t="str">
        <f>IF(AND($C48&lt;&gt;"",$M48&lt;&gt;""),(VLOOKUP($C48,'V-LOOKUP'!$C$61:$M$120,6,FALSE)),"0")</f>
        <v>0</v>
      </c>
      <c r="DF48" s="192" t="str">
        <f>IF(AND($C48&lt;&gt;"",$M48&lt;&gt;""),(VLOOKUP($C48,'V-LOOKUP'!$C$61:$M$120,7,FALSE)),"0")</f>
        <v>0</v>
      </c>
      <c r="DG48" s="192" t="str">
        <f>IF(AND($C48&lt;&gt;"",$M48&lt;&gt;""),(VLOOKUP($C48,'V-LOOKUP'!$C$61:$M$120,8,FALSE)),"0")</f>
        <v>0</v>
      </c>
      <c r="DH48" s="192" t="str">
        <f>IF(AND($C48&lt;&gt;"",$M48&lt;&gt;""),(VLOOKUP($C48,'V-LOOKUP'!$C$61:$M$120,9,FALSE)),"0")</f>
        <v>0</v>
      </c>
      <c r="DI48" s="192" t="str">
        <f>IF(AND($C48&lt;&gt;"",$M48&lt;&gt;""),(VLOOKUP($C48,'V-LOOKUP'!$C$61:$M$120,10,FALSE)),"0")</f>
        <v>0</v>
      </c>
      <c r="DJ48" s="192" t="str">
        <f>IF(AND($C48&lt;&gt;"",$M48&lt;&gt;""),(VLOOKUP($C48,'V-LOOKUP'!$C$61:$M$120,11,FALSE)),"0")</f>
        <v>0</v>
      </c>
      <c r="DK48" s="192" t="str">
        <f>IF(AND($C48&lt;&gt;"",$M48&lt;&gt;""),(VLOOKUP($C48,'V-LOOKUP'!$C$61:$N$120,12,FALSE)),"0")</f>
        <v>0</v>
      </c>
      <c r="DL48" s="192" t="str">
        <f>IF(AND($C48&lt;&gt;"",$N48&lt;&gt;""),(VLOOKUP($C48,'V-LOOKUP'!$C$61:$M$120,4,FALSE)),"0")</f>
        <v>0</v>
      </c>
      <c r="DM48" s="192" t="str">
        <f>IF(AND($C48&lt;&gt;"",$N48&lt;&gt;""),(VLOOKUP($C48,'V-LOOKUP'!$C$61:$M$120,5,FALSE)),"0")</f>
        <v>0</v>
      </c>
      <c r="DN48" s="192" t="str">
        <f>IF(AND($C48&lt;&gt;"",$N48&lt;&gt;""),(VLOOKUP($C48,'V-LOOKUP'!$C$61:$M$120,6,FALSE)),"0")</f>
        <v>0</v>
      </c>
      <c r="DO48" s="192" t="str">
        <f>IF(AND($C48&lt;&gt;"",$N48&lt;&gt;""),(VLOOKUP($C48,'V-LOOKUP'!$C$61:$M$120,7,FALSE)),"0")</f>
        <v>0</v>
      </c>
      <c r="DP48" s="192" t="str">
        <f>IF(AND($C48&lt;&gt;"",$N48&lt;&gt;""),(VLOOKUP($C48,'V-LOOKUP'!$C$61:$M$120,8,FALSE)),"0")</f>
        <v>0</v>
      </c>
      <c r="DQ48" s="192" t="str">
        <f>IF(AND($C48&lt;&gt;"",$N48&lt;&gt;""),(VLOOKUP($C48,'V-LOOKUP'!$C$61:$M$120,9,FALSE)),"0")</f>
        <v>0</v>
      </c>
      <c r="DR48" s="192" t="str">
        <f>IF(AND($C48&lt;&gt;"",$N48&lt;&gt;""),(VLOOKUP($C48,'V-LOOKUP'!$C$61:$M$120,10,FALSE)),"0")</f>
        <v>0</v>
      </c>
      <c r="DS48" s="192" t="str">
        <f>IF(AND($C48&lt;&gt;"",$N48&lt;&gt;""),(VLOOKUP($C48,'V-LOOKUP'!$C$61:$M$120,11,FALSE)),"0")</f>
        <v>0</v>
      </c>
      <c r="DT48" s="192" t="str">
        <f>IF(AND($C48&lt;&gt;"",$N48&lt;&gt;""),(VLOOKUP($C48,'V-LOOKUP'!$C$61:$N$120,12,FALSE)),"0")</f>
        <v>0</v>
      </c>
      <c r="DU48" s="192" t="str">
        <f>IF(AND($C48&lt;&gt;"",$O48&lt;&gt;""),(VLOOKUP($C48,'V-LOOKUP'!$C$61:$M$120,4,FALSE)),"0")</f>
        <v>0</v>
      </c>
      <c r="DV48" s="192" t="str">
        <f>IF(AND($C48&lt;&gt;"",$O48&lt;&gt;""),(VLOOKUP($C48,'V-LOOKUP'!$C$61:$M$120,5,FALSE)),"0")</f>
        <v>0</v>
      </c>
      <c r="DW48" s="192" t="str">
        <f>IF(AND($C48&lt;&gt;"",$O48&lt;&gt;""),(VLOOKUP($C48,'V-LOOKUP'!$C$61:$M$120,6,FALSE)),"0")</f>
        <v>0</v>
      </c>
      <c r="DX48" s="192" t="str">
        <f>IF(AND($C48&lt;&gt;"",$O48&lt;&gt;""),(VLOOKUP($C48,'V-LOOKUP'!$C$61:$M$120,7,FALSE)),"0")</f>
        <v>0</v>
      </c>
      <c r="DY48" s="192" t="str">
        <f>IF(AND($C48&lt;&gt;"",$O48&lt;&gt;""),(VLOOKUP($C48,'V-LOOKUP'!$C$61:$M$120,8,FALSE)),"0")</f>
        <v>0</v>
      </c>
      <c r="DZ48" s="192" t="str">
        <f>IF(AND($C48&lt;&gt;"",$O48&lt;&gt;""),(VLOOKUP($C48,'V-LOOKUP'!$C$61:$M$120,9,FALSE)),"0")</f>
        <v>0</v>
      </c>
      <c r="EA48" s="192" t="str">
        <f>IF(AND($C48&lt;&gt;"",$O48&lt;&gt;""),(VLOOKUP($C48,'V-LOOKUP'!$C$61:$M$120,10,FALSE)),"0")</f>
        <v>0</v>
      </c>
      <c r="EB48" s="192" t="str">
        <f>IF(AND($C48&lt;&gt;"",$O48&lt;&gt;""),(VLOOKUP($C48,'V-LOOKUP'!$C$61:$M$120,11,FALSE)),"0")</f>
        <v>0</v>
      </c>
      <c r="EC48" s="192" t="str">
        <f>IF(AND($C48&lt;&gt;"",$O48&lt;&gt;""),(VLOOKUP($C48,'V-LOOKUP'!$C$61:$N$120,12,FALSE)),"0")</f>
        <v>0</v>
      </c>
      <c r="ED48" s="192" t="str">
        <f>IF(AND($C48&lt;&gt;"",$P48&lt;&gt;""),(VLOOKUP($C48,'V-LOOKUP'!$C$61:$M$120,4,FALSE)),"0")</f>
        <v>0</v>
      </c>
      <c r="EE48" s="192" t="str">
        <f>IF(AND($C48&lt;&gt;"",$P48&lt;&gt;""),(VLOOKUP($C48,'V-LOOKUP'!$C$61:$M$120,5,FALSE)),"0")</f>
        <v>0</v>
      </c>
      <c r="EF48" s="192" t="str">
        <f>IF(AND($C48&lt;&gt;"",$P48&lt;&gt;""),(VLOOKUP($C48,'V-LOOKUP'!$C$61:$M$120,6,FALSE)),"0")</f>
        <v>0</v>
      </c>
      <c r="EG48" s="192" t="str">
        <f>IF(AND($C48&lt;&gt;"",$P48&lt;&gt;""),(VLOOKUP($C48,'V-LOOKUP'!$C$61:$M$120,7,FALSE)),"0")</f>
        <v>0</v>
      </c>
      <c r="EH48" s="192" t="str">
        <f>IF(AND($C48&lt;&gt;"",$P48&lt;&gt;""),(VLOOKUP($C48,'V-LOOKUP'!$C$61:$M$120,8,FALSE)),"0")</f>
        <v>0</v>
      </c>
      <c r="EI48" s="192" t="str">
        <f>IF(AND($C48&lt;&gt;"",$P48&lt;&gt;""),(VLOOKUP($C48,'V-LOOKUP'!$C$61:$M$120,9,FALSE)),"0")</f>
        <v>0</v>
      </c>
      <c r="EJ48" s="192" t="str">
        <f>IF(AND($C48&lt;&gt;"",$P48&lt;&gt;""),(VLOOKUP($C48,'V-LOOKUP'!$C$61:$M$120,10,FALSE)),"0")</f>
        <v>0</v>
      </c>
      <c r="EK48" s="192" t="str">
        <f>IF(AND($C48&lt;&gt;"",$P48&lt;&gt;""),(VLOOKUP($C48,'V-LOOKUP'!$C$61:$M$120,11,FALSE)),"0")</f>
        <v>0</v>
      </c>
      <c r="EL48" s="192" t="str">
        <f>IF(AND($C48&lt;&gt;"",$P48&lt;&gt;""),(VLOOKUP($C48,'V-LOOKUP'!$C$61:$N$120,12,FALSE)),"0")</f>
        <v>0</v>
      </c>
      <c r="EM48" s="192" t="str">
        <f>IF(AND($C48&lt;&gt;"",$Q48&lt;&gt;""),(VLOOKUP($C48,'V-LOOKUP'!$C$61:$M$120,4,FALSE)),"0")</f>
        <v>0</v>
      </c>
      <c r="EN48" s="192" t="str">
        <f>IF(AND($C48&lt;&gt;"",$Q48&lt;&gt;""),(VLOOKUP($C48,'V-LOOKUP'!$C$61:$M$120,5,FALSE)),"0")</f>
        <v>0</v>
      </c>
      <c r="EO48" s="192" t="str">
        <f>IF(AND($C48&lt;&gt;"",$Q48&lt;&gt;""),(VLOOKUP($C48,'V-LOOKUP'!$C$61:$M$120,6,FALSE)),"0")</f>
        <v>0</v>
      </c>
      <c r="EP48" s="192" t="str">
        <f>IF(AND($C48&lt;&gt;"",$Q48&lt;&gt;""),(VLOOKUP($C48,'V-LOOKUP'!$C$61:$M$120,7,FALSE)),"0")</f>
        <v>0</v>
      </c>
      <c r="EQ48" s="192" t="str">
        <f>IF(AND($C48&lt;&gt;"",$Q48&lt;&gt;""),(VLOOKUP($C48,'V-LOOKUP'!$C$61:$M$120,8,FALSE)),"0")</f>
        <v>0</v>
      </c>
      <c r="ER48" s="192" t="str">
        <f>IF(AND($C48&lt;&gt;"",$Q48&lt;&gt;""),(VLOOKUP($C48,'V-LOOKUP'!$C$61:$M$120,9,FALSE)),"0")</f>
        <v>0</v>
      </c>
      <c r="ES48" s="192" t="str">
        <f>IF(AND($C48&lt;&gt;"",$Q48&lt;&gt;""),(VLOOKUP($C48,'V-LOOKUP'!$C$61:$M$120,10,FALSE)),"0")</f>
        <v>0</v>
      </c>
      <c r="ET48" s="192" t="str">
        <f>IF(AND($C48&lt;&gt;"",$Q48&lt;&gt;""),(VLOOKUP($C48,'V-LOOKUP'!$C$61:$M$120,11,FALSE)),"0")</f>
        <v>0</v>
      </c>
      <c r="EU48" s="192" t="str">
        <f>IF(AND($C48&lt;&gt;"",$Q48&lt;&gt;""),(VLOOKUP($C48,'V-LOOKUP'!$C$61:$N$120,12,FALSE)),"0")</f>
        <v>0</v>
      </c>
      <c r="EV48" s="192" t="str">
        <f>IF(AND($C48&lt;&gt;"",$R48&lt;&gt;""),(VLOOKUP($C48,'V-LOOKUP'!$C$61:$M$120,4,FALSE)),"0")</f>
        <v>0</v>
      </c>
      <c r="EW48" s="192" t="str">
        <f>IF(AND($C48&lt;&gt;"",$R48&lt;&gt;""),(VLOOKUP($C48,'V-LOOKUP'!$C$61:$M$120,5,FALSE)),"0")</f>
        <v>0</v>
      </c>
      <c r="EX48" s="192" t="str">
        <f>IF(AND($C48&lt;&gt;"",$R48&lt;&gt;""),(VLOOKUP($C48,'V-LOOKUP'!$C$61:$M$120,6,FALSE)),"0")</f>
        <v>0</v>
      </c>
      <c r="EY48" s="192" t="str">
        <f>IF(AND($C48&lt;&gt;"",$R48&lt;&gt;""),(VLOOKUP($C48,'V-LOOKUP'!$C$61:$M$120,7,FALSE)),"0")</f>
        <v>0</v>
      </c>
      <c r="EZ48" s="192" t="str">
        <f>IF(AND($C48&lt;&gt;"",$R48&lt;&gt;""),(VLOOKUP($C48,'V-LOOKUP'!$C$61:$M$120,8,FALSE)),"0")</f>
        <v>0</v>
      </c>
      <c r="FA48" s="192" t="str">
        <f>IF(AND($C48&lt;&gt;"",$R48&lt;&gt;""),(VLOOKUP($C48,'V-LOOKUP'!$C$61:$M$120,9,FALSE)),"0")</f>
        <v>0</v>
      </c>
      <c r="FB48" s="192" t="str">
        <f>IF(AND($C48&lt;&gt;"",$R48&lt;&gt;""),(VLOOKUP($C48,'V-LOOKUP'!$C$61:$M$120,10,FALSE)),"0")</f>
        <v>0</v>
      </c>
      <c r="FC48" s="192" t="str">
        <f>IF(AND($C48&lt;&gt;"",$R48&lt;&gt;""),(VLOOKUP($C48,'V-LOOKUP'!$C$61:$M$120,11,FALSE)),"0")</f>
        <v>0</v>
      </c>
      <c r="FD48" s="192" t="str">
        <f>IF(AND($C48&lt;&gt;"",$R48&lt;&gt;""),(VLOOKUP($C48,'V-LOOKUP'!$C$61:$N$120,12,FALSE)),"0")</f>
        <v>0</v>
      </c>
      <c r="FE48" s="192" t="str">
        <f>IF(AND($C48&lt;&gt;"",$S48&lt;&gt;""),(VLOOKUP($C48,'V-LOOKUP'!$C$61:$M$120,4,FALSE)),"0")</f>
        <v>0</v>
      </c>
      <c r="FF48" s="192" t="str">
        <f>IF(AND($C48&lt;&gt;"",$S48&lt;&gt;""),(VLOOKUP($C48,'V-LOOKUP'!$C$61:$M$120,5,FALSE)),"0")</f>
        <v>0</v>
      </c>
      <c r="FG48" s="192" t="str">
        <f>IF(AND($C48&lt;&gt;"",$S48&lt;&gt;""),(VLOOKUP($C48,'V-LOOKUP'!$C$61:$M$120,6,FALSE)),"0")</f>
        <v>0</v>
      </c>
      <c r="FH48" s="192" t="str">
        <f>IF(AND($C48&lt;&gt;"",$S48&lt;&gt;""),(VLOOKUP($C48,'V-LOOKUP'!$C$61:$M$120,7,FALSE)),"0")</f>
        <v>0</v>
      </c>
      <c r="FI48" s="192" t="str">
        <f>IF(AND($C48&lt;&gt;"",$S48&lt;&gt;""),(VLOOKUP($C48,'V-LOOKUP'!$C$61:$M$120,8,FALSE)),"0")</f>
        <v>0</v>
      </c>
      <c r="FJ48" s="192" t="str">
        <f>IF(AND($C48&lt;&gt;"",$S48&lt;&gt;""),(VLOOKUP($C48,'V-LOOKUP'!$C$61:$M$120,9,FALSE)),"0")</f>
        <v>0</v>
      </c>
      <c r="FK48" s="192" t="str">
        <f>IF(AND($C48&lt;&gt;"",$S48&lt;&gt;""),(VLOOKUP($C48,'V-LOOKUP'!$C$61:$M$120,10,FALSE)),"0")</f>
        <v>0</v>
      </c>
      <c r="FL48" s="192" t="str">
        <f>IF(AND($C48&lt;&gt;"",$S48&lt;&gt;""),(VLOOKUP($C48,'V-LOOKUP'!$C$61:$M$120,11,FALSE)),"0")</f>
        <v>0</v>
      </c>
      <c r="FM48" s="192" t="str">
        <f>IF(AND($C48&lt;&gt;"",$S48&lt;&gt;""),(VLOOKUP($C48,'V-LOOKUP'!$C$61:$N$120,12,FALSE)),"0")</f>
        <v>0</v>
      </c>
      <c r="FN48" s="192" t="str">
        <f>IF(AND($C48&lt;&gt;"",$T48&lt;&gt;""),(VLOOKUP($C48,'V-LOOKUP'!$C$61:$M$120,4,FALSE)),"0")</f>
        <v>0</v>
      </c>
      <c r="FO48" s="192" t="str">
        <f>IF(AND($C48&lt;&gt;"",$T48&lt;&gt;""),(VLOOKUP($C48,'V-LOOKUP'!$C$61:$M$120,5,FALSE)),"0")</f>
        <v>0</v>
      </c>
      <c r="FP48" s="192" t="str">
        <f>IF(AND($C48&lt;&gt;"",$T48&lt;&gt;""),(VLOOKUP($C48,'V-LOOKUP'!$C$61:$M$120,6,FALSE)),"0")</f>
        <v>0</v>
      </c>
      <c r="FQ48" s="192" t="str">
        <f>IF(AND($C48&lt;&gt;"",$T48&lt;&gt;""),(VLOOKUP($C48,'V-LOOKUP'!$C$61:$M$120,7,FALSE)),"0")</f>
        <v>0</v>
      </c>
      <c r="FR48" s="192" t="str">
        <f>IF(AND($C48&lt;&gt;"",$T48&lt;&gt;""),(VLOOKUP($C48,'V-LOOKUP'!$C$61:$M$120,8,FALSE)),"0")</f>
        <v>0</v>
      </c>
      <c r="FS48" s="192" t="str">
        <f>IF(AND($C48&lt;&gt;"",$T48&lt;&gt;""),(VLOOKUP($C48,'V-LOOKUP'!$C$61:$M$120,9,FALSE)),"0")</f>
        <v>0</v>
      </c>
      <c r="FT48" s="192" t="str">
        <f>IF(AND($C48&lt;&gt;"",$T48&lt;&gt;""),(VLOOKUP($C48,'V-LOOKUP'!$C$61:$M$120,10,FALSE)),"0")</f>
        <v>0</v>
      </c>
      <c r="FU48" s="192" t="str">
        <f>IF(AND($C48&lt;&gt;"",$T48&lt;&gt;""),(VLOOKUP($C48,'V-LOOKUP'!$C$61:$M$120,11,FALSE)),"0")</f>
        <v>0</v>
      </c>
      <c r="FV48" s="192" t="str">
        <f>IF(AND($C48&lt;&gt;"",$T48&lt;&gt;""),(VLOOKUP($C48,'V-LOOKUP'!$C$61:$N$120,12,FALSE)),"0")</f>
        <v>0</v>
      </c>
      <c r="FW48" s="192" t="str">
        <f>IF(AND($C48&lt;&gt;"",$U48&lt;&gt;""),(VLOOKUP($C48,'V-LOOKUP'!$C$61:$M$120,4,FALSE)),"0")</f>
        <v>0</v>
      </c>
      <c r="FX48" s="192" t="str">
        <f>IF(AND($C48&lt;&gt;"",$U48&lt;&gt;""),(VLOOKUP($C48,'V-LOOKUP'!$C$61:$M$120,5,FALSE)),"0")</f>
        <v>0</v>
      </c>
      <c r="FY48" s="192" t="str">
        <f>IF(AND($C48&lt;&gt;"",$U48&lt;&gt;""),(VLOOKUP($C48,'V-LOOKUP'!$C$61:$M$120,6,FALSE)),"0")</f>
        <v>0</v>
      </c>
      <c r="FZ48" s="192" t="str">
        <f>IF(AND($C48&lt;&gt;"",$U48&lt;&gt;""),(VLOOKUP($C48,'V-LOOKUP'!$C$61:$M$120,7,FALSE)),"0")</f>
        <v>0</v>
      </c>
      <c r="GA48" s="192" t="str">
        <f>IF(AND($C48&lt;&gt;"",$U48&lt;&gt;""),(VLOOKUP($C48,'V-LOOKUP'!$C$61:$M$120,8,FALSE)),"0")</f>
        <v>0</v>
      </c>
      <c r="GB48" s="192" t="str">
        <f>IF(AND($C48&lt;&gt;"",$U48&lt;&gt;""),(VLOOKUP($C48,'V-LOOKUP'!$C$61:$M$120,9,FALSE)),"0")</f>
        <v>0</v>
      </c>
      <c r="GC48" s="192" t="str">
        <f>IF(AND($C48&lt;&gt;"",$U48&lt;&gt;""),(VLOOKUP($C48,'V-LOOKUP'!$C$61:$M$120,10,FALSE)),"0")</f>
        <v>0</v>
      </c>
      <c r="GD48" s="192" t="str">
        <f>IF(AND($C48&lt;&gt;"",$U48&lt;&gt;""),(VLOOKUP($C48,'V-LOOKUP'!$C$61:$M$120,11,FALSE)),"0")</f>
        <v>0</v>
      </c>
      <c r="GE48" s="192" t="str">
        <f>IF(AND($C48&lt;&gt;"",$U48&lt;&gt;""),(VLOOKUP($C48,'V-LOOKUP'!$C$61:$N$120,12,FALSE)),"0")</f>
        <v>0</v>
      </c>
      <c r="GF48" s="192" t="str">
        <f>IF(AND($C48&lt;&gt;"",$V48&lt;&gt;""),(VLOOKUP($C48,'V-LOOKUP'!$C$61:$M$120,4,FALSE)),"0")</f>
        <v>0</v>
      </c>
      <c r="GG48" s="192" t="str">
        <f>IF(AND($C48&lt;&gt;"",V48&lt;&gt;""),(VLOOKUP($C48,'V-LOOKUP'!$C$61:$M$120,5,FALSE)),"0")</f>
        <v>0</v>
      </c>
      <c r="GH48" s="192" t="str">
        <f>IF(AND($C48&lt;&gt;"",$V48&lt;&gt;""),(VLOOKUP($C48,'V-LOOKUP'!$C$61:$M$120,6,FALSE)),"0")</f>
        <v>0</v>
      </c>
      <c r="GI48" s="192" t="str">
        <f>IF(AND($C48&lt;&gt;"",$V48&lt;&gt;""),(VLOOKUP($C48,'V-LOOKUP'!$C$61:$M$120,7,FALSE)),"0")</f>
        <v>0</v>
      </c>
      <c r="GJ48" s="192" t="str">
        <f>IF(AND($C48&lt;&gt;"",$V48&lt;&gt;""),(VLOOKUP($C48,'V-LOOKUP'!$C$61:$M$120,8,FALSE)),"0")</f>
        <v>0</v>
      </c>
      <c r="GK48" s="192" t="str">
        <f>IF(AND($C48&lt;&gt;"",$V48&lt;&gt;""),(VLOOKUP($C48,'V-LOOKUP'!$C$61:$M$120,9,FALSE)),"0")</f>
        <v>0</v>
      </c>
      <c r="GL48" s="192" t="str">
        <f>IF(AND($C48&lt;&gt;"",$V48&lt;&gt;""),(VLOOKUP($C48,'V-LOOKUP'!$C$61:$M$120,10,FALSE)),"0")</f>
        <v>0</v>
      </c>
      <c r="GM48" s="192" t="str">
        <f>IF(AND($C48&lt;&gt;"",$V48&lt;&gt;""),(VLOOKUP($C48,'V-LOOKUP'!$C$61:$M$120,11,FALSE)),"0")</f>
        <v>0</v>
      </c>
      <c r="GN48" s="192" t="str">
        <f>IF(AND($C48&lt;&gt;"",$V48&lt;&gt;""),(VLOOKUP($C48,'V-LOOKUP'!$C$61:$N$120,12,FALSE)),"0")</f>
        <v>0</v>
      </c>
      <c r="GO48" s="192" t="str">
        <f>IF(AND($C48&lt;&gt;"",$W48&lt;&gt;""),(VLOOKUP($C48,'V-LOOKUP'!$C$61:$M$120,4,FALSE)),"0")</f>
        <v>0</v>
      </c>
      <c r="GP48" s="192" t="str">
        <f>IF(AND($C48&lt;&gt;"",$W48&lt;&gt;""),(VLOOKUP($C48,'V-LOOKUP'!$C$61:$M$120,5,FALSE)),"0")</f>
        <v>0</v>
      </c>
      <c r="GQ48" s="192" t="str">
        <f>IF(AND($C48&lt;&gt;"",$W48&lt;&gt;""),(VLOOKUP($C48,'V-LOOKUP'!$C$61:$M$120,6,FALSE)),"0")</f>
        <v>0</v>
      </c>
      <c r="GR48" s="192" t="str">
        <f>IF(AND($C48&lt;&gt;"",$W48&lt;&gt;""),(VLOOKUP($C48,'V-LOOKUP'!$C$61:$M$120,7,FALSE)),"0")</f>
        <v>0</v>
      </c>
      <c r="GS48" s="192" t="str">
        <f>IF(AND($C48&lt;&gt;"",$W48&lt;&gt;""),(VLOOKUP($C48,'V-LOOKUP'!$C$61:$M$120,8,FALSE)),"0")</f>
        <v>0</v>
      </c>
      <c r="GT48" s="192" t="str">
        <f>IF(AND($C48&lt;&gt;"",$W48&lt;&gt;""),(VLOOKUP($C48,'V-LOOKUP'!$C$61:$M$120,9,FALSE)),"0")</f>
        <v>0</v>
      </c>
      <c r="GU48" s="192" t="str">
        <f>IF(AND($C48&lt;&gt;"",$W48&lt;&gt;""),(VLOOKUP($C48,'V-LOOKUP'!$C$61:$M$120,10,FALSE)),"0")</f>
        <v>0</v>
      </c>
      <c r="GV48" s="192" t="str">
        <f>IF(AND($C48&lt;&gt;"",$W48&lt;&gt;""),(VLOOKUP($C48,'V-LOOKUP'!$C$61:$M$120,11,FALSE)),"0")</f>
        <v>0</v>
      </c>
      <c r="GW48" s="192" t="str">
        <f>IF(AND($C48&lt;&gt;"",$W48&lt;&gt;""),(VLOOKUP($C48,'V-LOOKUP'!$C$61:$N$120,12,FALSE)),"0")</f>
        <v>0</v>
      </c>
    </row>
    <row r="49" spans="1:205" ht="14.65" hidden="1" customHeight="1">
      <c r="A49" s="193"/>
      <c r="B49" s="245"/>
      <c r="C49" s="203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Y49" s="190"/>
      <c r="Z49" s="192" t="str">
        <f>IF(AND($C49&lt;&gt;"",$D49&lt;&gt;""),(VLOOKUP($C49,'V-LOOKUP'!$C$61:$M$120,4,FALSE)),"0")</f>
        <v>0</v>
      </c>
      <c r="AA49" s="192" t="str">
        <f>IF(AND($C49&lt;&gt;"",$D49&lt;&gt;""),(VLOOKUP($C49,'V-LOOKUP'!$C$61:$M$120,5,FALSE)),"0")</f>
        <v>0</v>
      </c>
      <c r="AB49" s="192" t="str">
        <f>IF(AND($C49&lt;&gt;"",$D49&lt;&gt;""),(VLOOKUP($C49,'V-LOOKUP'!$C$61:$M$120,6,FALSE)),"0")</f>
        <v>0</v>
      </c>
      <c r="AC49" s="192" t="str">
        <f>IF(AND($C49&lt;&gt;"",$D49&lt;&gt;""),(VLOOKUP($C49,'V-LOOKUP'!$C$61:$M$120,7,FALSE)),"0")</f>
        <v>0</v>
      </c>
      <c r="AD49" s="192" t="str">
        <f>IF(AND($C49&lt;&gt;"",$D49&lt;&gt;""),(VLOOKUP($C49,'V-LOOKUP'!$C$61:$M$120,8,FALSE)),"0")</f>
        <v>0</v>
      </c>
      <c r="AE49" s="192" t="str">
        <f>IF(AND($C49&lt;&gt;"",$D49&lt;&gt;""),(VLOOKUP($C49,'V-LOOKUP'!$C$61:$M$120,9,FALSE)),"0")</f>
        <v>0</v>
      </c>
      <c r="AF49" s="192" t="str">
        <f>IF(AND($C49&lt;&gt;"",$D49&lt;&gt;""),(VLOOKUP($C49,'V-LOOKUP'!$C$61:$M$120,10,FALSE)),"0")</f>
        <v>0</v>
      </c>
      <c r="AG49" s="192" t="str">
        <f>IF(AND($C49&lt;&gt;"",$D49&lt;&gt;""),(VLOOKUP($C49,'V-LOOKUP'!$C$61:$M$120,11,FALSE)),"0")</f>
        <v>0</v>
      </c>
      <c r="AH49" s="192" t="str">
        <f>IF(AND($C49&lt;&gt;"",$D49&lt;&gt;""),(VLOOKUP($C49,'V-LOOKUP'!$C$61:$N$120,12,FALSE)),"0")</f>
        <v>0</v>
      </c>
      <c r="AI49" s="192" t="str">
        <f>IF(AND($C49&lt;&gt;"",$E49&lt;&gt;""),(VLOOKUP($C49,'V-LOOKUP'!$C$61:$M$120,4,FALSE)),"0")</f>
        <v>0</v>
      </c>
      <c r="AJ49" s="192" t="str">
        <f>IF(AND($C49&lt;&gt;"",$E49&lt;&gt;""),(VLOOKUP($C49,'V-LOOKUP'!$C$61:$M$120,5,FALSE)),"0")</f>
        <v>0</v>
      </c>
      <c r="AK49" s="192" t="str">
        <f>IF(AND($C49&lt;&gt;"",$E49&lt;&gt;""),(VLOOKUP($C49,'V-LOOKUP'!$C$61:$M$120,6,FALSE)),"0")</f>
        <v>0</v>
      </c>
      <c r="AL49" s="192" t="str">
        <f>IF(AND($C49&lt;&gt;"",$E49&lt;&gt;""),(VLOOKUP($C49,'V-LOOKUP'!$C$61:$M$120,7,FALSE)),"0")</f>
        <v>0</v>
      </c>
      <c r="AM49" s="192" t="str">
        <f>IF(AND($C49&lt;&gt;"",$E49&lt;&gt;""),(VLOOKUP($C49,'V-LOOKUP'!$C$61:$M$120,8,FALSE)),"0")</f>
        <v>0</v>
      </c>
      <c r="AN49" s="192" t="str">
        <f>IF(AND($C49&lt;&gt;"",$E49&lt;&gt;""),(VLOOKUP($C49,'V-LOOKUP'!$C$61:$M$120,9,FALSE)),"0")</f>
        <v>0</v>
      </c>
      <c r="AO49" s="192" t="str">
        <f>IF(AND($C49&lt;&gt;"",$E49&lt;&gt;""),(VLOOKUP($C49,'V-LOOKUP'!$C$61:$M$120,10,FALSE)),"0")</f>
        <v>0</v>
      </c>
      <c r="AP49" s="192" t="str">
        <f>IF(AND($C49&lt;&gt;"",$E49&lt;&gt;""),(VLOOKUP($C49,'V-LOOKUP'!$C$61:$M$120,11,FALSE)),"0")</f>
        <v>0</v>
      </c>
      <c r="AQ49" s="192" t="str">
        <f>IF(AND($C49&lt;&gt;"",$E49&lt;&gt;""),(VLOOKUP($C49,'V-LOOKUP'!$C$61:$N$120,12,FALSE)),"0")</f>
        <v>0</v>
      </c>
      <c r="AR49" s="192" t="str">
        <f>IF(AND($C49&lt;&gt;"",$F49&lt;&gt;""),(VLOOKUP($C49,'V-LOOKUP'!$C$61:$M$120,4,FALSE)),"0")</f>
        <v>0</v>
      </c>
      <c r="AS49" s="192" t="str">
        <f>IF(AND($C49&lt;&gt;"",$F49&lt;&gt;""),(VLOOKUP($C49,'V-LOOKUP'!$C$61:$M$120,5,FALSE)),"0")</f>
        <v>0</v>
      </c>
      <c r="AT49" s="192" t="str">
        <f>IF(AND($C49&lt;&gt;"",$F49&lt;&gt;""),(VLOOKUP($C49,'V-LOOKUP'!$C$61:$M$120,6,FALSE)),"0")</f>
        <v>0</v>
      </c>
      <c r="AU49" s="192" t="str">
        <f>IF(AND($C49&lt;&gt;"",$F49&lt;&gt;""),(VLOOKUP($C49,'V-LOOKUP'!$C$61:$M$120,7,FALSE)),"0")</f>
        <v>0</v>
      </c>
      <c r="AV49" s="192" t="str">
        <f>IF(AND($C49&lt;&gt;"",$F49&lt;&gt;""),(VLOOKUP($C49,'V-LOOKUP'!$C$61:$M$120,8,FALSE)),"0")</f>
        <v>0</v>
      </c>
      <c r="AW49" s="192" t="str">
        <f>IF(AND($C49&lt;&gt;"",$F49&lt;&gt;""),(VLOOKUP($C49,'V-LOOKUP'!$C$61:$M$120,9,FALSE)),"0")</f>
        <v>0</v>
      </c>
      <c r="AX49" s="192" t="str">
        <f>IF(AND($C49&lt;&gt;"",$F49&lt;&gt;""),(VLOOKUP($C49,'V-LOOKUP'!$C$61:$M$120,10,FALSE)),"0")</f>
        <v>0</v>
      </c>
      <c r="AY49" s="192" t="str">
        <f>IF(AND($C49&lt;&gt;"",$F49&lt;&gt;""),(VLOOKUP($C49,'V-LOOKUP'!$C$61:$M$120,11,FALSE)),"0")</f>
        <v>0</v>
      </c>
      <c r="AZ49" s="192" t="str">
        <f>IF(AND($C49&lt;&gt;"",$F49&lt;&gt;""),(VLOOKUP($C49,'V-LOOKUP'!$C$61:$N$120,12,FALSE)),"0")</f>
        <v>0</v>
      </c>
      <c r="BA49" s="192" t="str">
        <f>IF(AND($C49&lt;&gt;"",$G49&lt;&gt;""),(VLOOKUP($C49,'V-LOOKUP'!$C$61:$M$120,4,FALSE)),"0")</f>
        <v>0</v>
      </c>
      <c r="BB49" s="192" t="str">
        <f>IF(AND($C49&lt;&gt;"",$G49&lt;&gt;""),(VLOOKUP($C49,'V-LOOKUP'!$C$61:$M$120,5,FALSE)),"0")</f>
        <v>0</v>
      </c>
      <c r="BC49" s="192" t="str">
        <f>IF(AND($C49&lt;&gt;"",$G49&lt;&gt;""),(VLOOKUP($C49,'V-LOOKUP'!$C$61:$M$120,6,FALSE)),"0")</f>
        <v>0</v>
      </c>
      <c r="BD49" s="192" t="str">
        <f>IF(AND($C49&lt;&gt;"",$G49&lt;&gt;""),(VLOOKUP($C49,'V-LOOKUP'!$C$61:$M$120,7,FALSE)),"0")</f>
        <v>0</v>
      </c>
      <c r="BE49" s="192" t="str">
        <f>IF(AND($C49&lt;&gt;"",$G49&lt;&gt;""),(VLOOKUP($C49,'V-LOOKUP'!$C$61:$M$120,8,FALSE)),"0")</f>
        <v>0</v>
      </c>
      <c r="BF49" s="192" t="str">
        <f>IF(AND($C49&lt;&gt;"",$G49&lt;&gt;""),(VLOOKUP($C49,'V-LOOKUP'!$C$61:$M$120,9,FALSE)),"0")</f>
        <v>0</v>
      </c>
      <c r="BG49" s="192" t="str">
        <f>IF(AND($C49&lt;&gt;"",$G49&lt;&gt;""),(VLOOKUP($C49,'V-LOOKUP'!$C$61:$M$120,10,FALSE)),"0")</f>
        <v>0</v>
      </c>
      <c r="BH49" s="192" t="str">
        <f>IF(AND($C49&lt;&gt;"",$G49&lt;&gt;""),(VLOOKUP($C49,'V-LOOKUP'!$C$61:$M$120,11,FALSE)),"0")</f>
        <v>0</v>
      </c>
      <c r="BI49" s="192" t="str">
        <f>IF(AND($C49&lt;&gt;"",$G49&lt;&gt;""),(VLOOKUP($C49,'V-LOOKUP'!$C$61:$N$120,12,FALSE)),"0")</f>
        <v>0</v>
      </c>
      <c r="BJ49" s="192" t="str">
        <f>IF(AND($C49&lt;&gt;"",$H49&lt;&gt;""),(VLOOKUP($C49,'V-LOOKUP'!$C$61:$M$120,4,FALSE)),"0")</f>
        <v>0</v>
      </c>
      <c r="BK49" s="192" t="str">
        <f>IF(AND($C49&lt;&gt;"",$H49&lt;&gt;""),(VLOOKUP($C49,'V-LOOKUP'!$C$61:$M$120,5,FALSE)),"0")</f>
        <v>0</v>
      </c>
      <c r="BL49" s="192" t="str">
        <f>IF(AND($C49&lt;&gt;"",$H49&lt;&gt;""),(VLOOKUP($C49,'V-LOOKUP'!$C$61:$M$120,6,FALSE)),"0")</f>
        <v>0</v>
      </c>
      <c r="BM49" s="192" t="str">
        <f>IF(AND($C49&lt;&gt;"",$H49&lt;&gt;""),(VLOOKUP($C49,'V-LOOKUP'!$C$61:$M$120,7,FALSE)),"0")</f>
        <v>0</v>
      </c>
      <c r="BN49" s="192" t="str">
        <f>IF(AND($C49&lt;&gt;"",$H49&lt;&gt;""),(VLOOKUP($C49,'V-LOOKUP'!$C$61:$M$120,8,FALSE)),"0")</f>
        <v>0</v>
      </c>
      <c r="BO49" s="192" t="str">
        <f>IF(AND($C49&lt;&gt;"",$H49&lt;&gt;""),(VLOOKUP($C49,'V-LOOKUP'!$C$61:$M$120,9,FALSE)),"0")</f>
        <v>0</v>
      </c>
      <c r="BP49" s="192" t="str">
        <f>IF(AND($C49&lt;&gt;"",$H49&lt;&gt;""),(VLOOKUP($C49,'V-LOOKUP'!$C$61:$M$120,10,FALSE)),"0")</f>
        <v>0</v>
      </c>
      <c r="BQ49" s="192" t="str">
        <f>IF(AND($C49&lt;&gt;"",$H49&lt;&gt;""),(VLOOKUP($C49,'V-LOOKUP'!$C$61:$M$120,11,FALSE)),"0")</f>
        <v>0</v>
      </c>
      <c r="BR49" s="192" t="str">
        <f>IF(AND($C49&lt;&gt;"",$H49&lt;&gt;""),(VLOOKUP($C49,'V-LOOKUP'!$C$61:$N$120,12,FALSE)),"0")</f>
        <v>0</v>
      </c>
      <c r="BS49" s="192" t="str">
        <f>IF(AND($C49&lt;&gt;"",$I49&lt;&gt;""),(VLOOKUP($C49,'V-LOOKUP'!$C$61:$M$120,4,FALSE)),"0")</f>
        <v>0</v>
      </c>
      <c r="BT49" s="192" t="str">
        <f>IF(AND($C49&lt;&gt;"",$I49&lt;&gt;""),(VLOOKUP($C49,'V-LOOKUP'!$C$61:$M$120,5,FALSE)),"0")</f>
        <v>0</v>
      </c>
      <c r="BU49" s="192" t="str">
        <f>IF(AND($C49&lt;&gt;"",$I49&lt;&gt;""),(VLOOKUP($C49,'V-LOOKUP'!$C$61:$M$120,6,FALSE)),"0")</f>
        <v>0</v>
      </c>
      <c r="BV49" s="192" t="str">
        <f>IF(AND($C49&lt;&gt;"",$I49&lt;&gt;""),(VLOOKUP($C49,'V-LOOKUP'!$C$61:$M$120,7,FALSE)),"0")</f>
        <v>0</v>
      </c>
      <c r="BW49" s="192" t="str">
        <f>IF(AND($C49&lt;&gt;"",$I49&lt;&gt;""),(VLOOKUP($C49,'V-LOOKUP'!$C$61:$M$120,8,FALSE)),"0")</f>
        <v>0</v>
      </c>
      <c r="BX49" s="192" t="str">
        <f>IF(AND($C49&lt;&gt;"",$I49&lt;&gt;""),(VLOOKUP($C49,'V-LOOKUP'!$C$61:$M$120,9,FALSE)),"0")</f>
        <v>0</v>
      </c>
      <c r="BY49" s="192" t="str">
        <f>IF(AND($C49&lt;&gt;"",$I49&lt;&gt;""),(VLOOKUP($C49,'V-LOOKUP'!$C$61:$M$120,10,FALSE)),"0")</f>
        <v>0</v>
      </c>
      <c r="BZ49" s="192" t="str">
        <f>IF(AND($C49&lt;&gt;"",$I49&lt;&gt;""),(VLOOKUP($C49,'V-LOOKUP'!$C$61:$M$120,11,FALSE)),"0")</f>
        <v>0</v>
      </c>
      <c r="CA49" s="192" t="str">
        <f>IF(AND($C49&lt;&gt;"",$I49&lt;&gt;""),(VLOOKUP($C49,'V-LOOKUP'!$C$61:$N$120,12,FALSE)),"0")</f>
        <v>0</v>
      </c>
      <c r="CB49" s="192" t="str">
        <f>IF(AND($C49&lt;&gt;"",$J49&lt;&gt;""),(VLOOKUP($C49,'V-LOOKUP'!$C$61:$M$120,4,FALSE)),"0")</f>
        <v>0</v>
      </c>
      <c r="CC49" s="192" t="str">
        <f>IF(AND($C49&lt;&gt;"",$J49&lt;&gt;""),(VLOOKUP($C49,'V-LOOKUP'!$C$61:$M$120,5,FALSE)),"0")</f>
        <v>0</v>
      </c>
      <c r="CD49" s="192" t="str">
        <f>IF(AND($C49&lt;&gt;"",$J49&lt;&gt;""),(VLOOKUP($C49,'V-LOOKUP'!$C$61:$M$120,6,FALSE)),"0")</f>
        <v>0</v>
      </c>
      <c r="CE49" s="192" t="str">
        <f>IF(AND($C49&lt;&gt;"",$J49&lt;&gt;""),(VLOOKUP($C49,'V-LOOKUP'!$C$61:$M$120,7,FALSE)),"0")</f>
        <v>0</v>
      </c>
      <c r="CF49" s="192" t="str">
        <f>IF(AND($C49&lt;&gt;"",$J49&lt;&gt;""),(VLOOKUP($C49,'V-LOOKUP'!$C$61:$M$120,8,FALSE)),"0")</f>
        <v>0</v>
      </c>
      <c r="CG49" s="192" t="str">
        <f>IF(AND($C49&lt;&gt;"",$J49&lt;&gt;""),(VLOOKUP($C49,'V-LOOKUP'!$C$61:$M$120,9,FALSE)),"0")</f>
        <v>0</v>
      </c>
      <c r="CH49" s="192" t="str">
        <f>IF(AND($C49&lt;&gt;"",$J49&lt;&gt;""),(VLOOKUP($C49,'V-LOOKUP'!$C$61:$M$120,10,FALSE)),"0")</f>
        <v>0</v>
      </c>
      <c r="CI49" s="192" t="str">
        <f>IF(AND($C49&lt;&gt;"",$J49&lt;&gt;""),(VLOOKUP($C49,'V-LOOKUP'!$C$61:$M$120,11,FALSE)),"0")</f>
        <v>0</v>
      </c>
      <c r="CJ49" s="192" t="str">
        <f>IF(AND($C49&lt;&gt;"",$J49&lt;&gt;""),(VLOOKUP($C49,'V-LOOKUP'!$C$61:$N$120,12,FALSE)),"0")</f>
        <v>0</v>
      </c>
      <c r="CK49" s="192" t="str">
        <f>IF(AND($C49&lt;&gt;"",$K49&lt;&gt;""),(VLOOKUP($C49,'V-LOOKUP'!$C$61:$M$120,4,FALSE)),"0")</f>
        <v>0</v>
      </c>
      <c r="CL49" s="192" t="str">
        <f>IF(AND($C49&lt;&gt;"",$K49&lt;&gt;""),(VLOOKUP($C49,'V-LOOKUP'!$C$61:$M$120,5,FALSE)),"0")</f>
        <v>0</v>
      </c>
      <c r="CM49" s="192" t="str">
        <f>IF(AND($C49&lt;&gt;"",$K49&lt;&gt;""),(VLOOKUP($C49,'V-LOOKUP'!$C$61:$M$120,6,FALSE)),"0")</f>
        <v>0</v>
      </c>
      <c r="CN49" s="192" t="str">
        <f>IF(AND($C49&lt;&gt;"",$K49&lt;&gt;""),(VLOOKUP($C49,'V-LOOKUP'!$C$61:$M$120,7,FALSE)),"0")</f>
        <v>0</v>
      </c>
      <c r="CO49" s="192" t="str">
        <f>IF(AND($C49&lt;&gt;"",$K49&lt;&gt;""),(VLOOKUP($C49,'V-LOOKUP'!$C$61:$M$120,8,FALSE)),"0")</f>
        <v>0</v>
      </c>
      <c r="CP49" s="192" t="str">
        <f>IF(AND($C49&lt;&gt;"",$K49&lt;&gt;""),(VLOOKUP($C49,'V-LOOKUP'!$C$61:$M$120,9,FALSE)),"0")</f>
        <v>0</v>
      </c>
      <c r="CQ49" s="192" t="str">
        <f>IF(AND($C49&lt;&gt;"",$K49&lt;&gt;""),(VLOOKUP($C49,'V-LOOKUP'!$C$61:$M$120,10,FALSE)),"0")</f>
        <v>0</v>
      </c>
      <c r="CR49" s="192" t="str">
        <f>IF(AND($C49&lt;&gt;"",$K49&lt;&gt;""),(VLOOKUP($C49,'V-LOOKUP'!$C$61:$M$120,11,FALSE)),"0")</f>
        <v>0</v>
      </c>
      <c r="CS49" s="192" t="str">
        <f>IF(AND($C49&lt;&gt;"",$K49&lt;&gt;""),(VLOOKUP($C49,'V-LOOKUP'!$C$61:$N$120,12,FALSE)),"0")</f>
        <v>0</v>
      </c>
      <c r="CT49" s="192" t="str">
        <f>IF(AND($C49&lt;&gt;"",$L49&lt;&gt;""),(VLOOKUP($C49,'V-LOOKUP'!$C$61:$M$120,4,FALSE)),"0")</f>
        <v>0</v>
      </c>
      <c r="CU49" s="192" t="str">
        <f>IF(AND($C49&lt;&gt;"",$L49&lt;&gt;""),(VLOOKUP($C49,'V-LOOKUP'!$C$61:$M$120,5,FALSE)),"0")</f>
        <v>0</v>
      </c>
      <c r="CV49" s="192" t="str">
        <f>IF(AND($C49&lt;&gt;"",$L49&lt;&gt;""),(VLOOKUP($C49,'V-LOOKUP'!$C$61:$M$120,6,FALSE)),"0")</f>
        <v>0</v>
      </c>
      <c r="CW49" s="192" t="str">
        <f>IF(AND($C49&lt;&gt;"",$L49&lt;&gt;""),(VLOOKUP($C49,'V-LOOKUP'!$C$61:$M$120,7,FALSE)),"0")</f>
        <v>0</v>
      </c>
      <c r="CX49" s="192" t="str">
        <f>IF(AND($C49&lt;&gt;"",$L49&lt;&gt;""),(VLOOKUP($C49,'V-LOOKUP'!$C$61:$M$120,8,FALSE)),"0")</f>
        <v>0</v>
      </c>
      <c r="CY49" s="192" t="str">
        <f>IF(AND($C49&lt;&gt;"",$L49&lt;&gt;""),(VLOOKUP($C49,'V-LOOKUP'!$C$61:$M$120,9,FALSE)),"0")</f>
        <v>0</v>
      </c>
      <c r="CZ49" s="192" t="str">
        <f>IF(AND($C49&lt;&gt;"",$L49&lt;&gt;""),(VLOOKUP($C49,'V-LOOKUP'!$C$61:$M$120,10,FALSE)),"0")</f>
        <v>0</v>
      </c>
      <c r="DA49" s="192" t="str">
        <f>IF(AND($C49&lt;&gt;"",$L49&lt;&gt;""),(VLOOKUP($C49,'V-LOOKUP'!$C$61:$M$120,11,FALSE)),"0")</f>
        <v>0</v>
      </c>
      <c r="DB49" s="192" t="str">
        <f>IF(AND($C49&lt;&gt;"",$L49&lt;&gt;""),(VLOOKUP($C49,'V-LOOKUP'!$C$61:$N$120,12,FALSE)),"0")</f>
        <v>0</v>
      </c>
      <c r="DC49" s="192" t="str">
        <f>IF(AND($C49&lt;&gt;"",$M49&lt;&gt;""),(VLOOKUP($C49,'V-LOOKUP'!$C$61:$M$120,4,FALSE)),"0")</f>
        <v>0</v>
      </c>
      <c r="DD49" s="192" t="str">
        <f>IF(AND($C49&lt;&gt;"",$M49&lt;&gt;""),(VLOOKUP($C49,'V-LOOKUP'!$C$61:$M$120,5,FALSE)),"0")</f>
        <v>0</v>
      </c>
      <c r="DE49" s="192" t="str">
        <f>IF(AND($C49&lt;&gt;"",$M49&lt;&gt;""),(VLOOKUP($C49,'V-LOOKUP'!$C$61:$M$120,6,FALSE)),"0")</f>
        <v>0</v>
      </c>
      <c r="DF49" s="192" t="str">
        <f>IF(AND($C49&lt;&gt;"",$M49&lt;&gt;""),(VLOOKUP($C49,'V-LOOKUP'!$C$61:$M$120,7,FALSE)),"0")</f>
        <v>0</v>
      </c>
      <c r="DG49" s="192" t="str">
        <f>IF(AND($C49&lt;&gt;"",$M49&lt;&gt;""),(VLOOKUP($C49,'V-LOOKUP'!$C$61:$M$120,8,FALSE)),"0")</f>
        <v>0</v>
      </c>
      <c r="DH49" s="192" t="str">
        <f>IF(AND($C49&lt;&gt;"",$M49&lt;&gt;""),(VLOOKUP($C49,'V-LOOKUP'!$C$61:$M$120,9,FALSE)),"0")</f>
        <v>0</v>
      </c>
      <c r="DI49" s="192" t="str">
        <f>IF(AND($C49&lt;&gt;"",$M49&lt;&gt;""),(VLOOKUP($C49,'V-LOOKUP'!$C$61:$M$120,10,FALSE)),"0")</f>
        <v>0</v>
      </c>
      <c r="DJ49" s="192" t="str">
        <f>IF(AND($C49&lt;&gt;"",$M49&lt;&gt;""),(VLOOKUP($C49,'V-LOOKUP'!$C$61:$M$120,11,FALSE)),"0")</f>
        <v>0</v>
      </c>
      <c r="DK49" s="192" t="str">
        <f>IF(AND($C49&lt;&gt;"",$M49&lt;&gt;""),(VLOOKUP($C49,'V-LOOKUP'!$C$61:$N$120,12,FALSE)),"0")</f>
        <v>0</v>
      </c>
      <c r="DL49" s="192" t="str">
        <f>IF(AND($C49&lt;&gt;"",$N49&lt;&gt;""),(VLOOKUP($C49,'V-LOOKUP'!$C$61:$M$120,4,FALSE)),"0")</f>
        <v>0</v>
      </c>
      <c r="DM49" s="192" t="str">
        <f>IF(AND($C49&lt;&gt;"",$N49&lt;&gt;""),(VLOOKUP($C49,'V-LOOKUP'!$C$61:$M$120,5,FALSE)),"0")</f>
        <v>0</v>
      </c>
      <c r="DN49" s="192" t="str">
        <f>IF(AND($C49&lt;&gt;"",$N49&lt;&gt;""),(VLOOKUP($C49,'V-LOOKUP'!$C$61:$M$120,6,FALSE)),"0")</f>
        <v>0</v>
      </c>
      <c r="DO49" s="192" t="str">
        <f>IF(AND($C49&lt;&gt;"",$N49&lt;&gt;""),(VLOOKUP($C49,'V-LOOKUP'!$C$61:$M$120,7,FALSE)),"0")</f>
        <v>0</v>
      </c>
      <c r="DP49" s="192" t="str">
        <f>IF(AND($C49&lt;&gt;"",$N49&lt;&gt;""),(VLOOKUP($C49,'V-LOOKUP'!$C$61:$M$120,8,FALSE)),"0")</f>
        <v>0</v>
      </c>
      <c r="DQ49" s="192" t="str">
        <f>IF(AND($C49&lt;&gt;"",$N49&lt;&gt;""),(VLOOKUP($C49,'V-LOOKUP'!$C$61:$M$120,9,FALSE)),"0")</f>
        <v>0</v>
      </c>
      <c r="DR49" s="192" t="str">
        <f>IF(AND($C49&lt;&gt;"",$N49&lt;&gt;""),(VLOOKUP($C49,'V-LOOKUP'!$C$61:$M$120,10,FALSE)),"0")</f>
        <v>0</v>
      </c>
      <c r="DS49" s="192" t="str">
        <f>IF(AND($C49&lt;&gt;"",$N49&lt;&gt;""),(VLOOKUP($C49,'V-LOOKUP'!$C$61:$M$120,11,FALSE)),"0")</f>
        <v>0</v>
      </c>
      <c r="DT49" s="192" t="str">
        <f>IF(AND($C49&lt;&gt;"",$N49&lt;&gt;""),(VLOOKUP($C49,'V-LOOKUP'!$C$61:$N$120,12,FALSE)),"0")</f>
        <v>0</v>
      </c>
      <c r="DU49" s="192" t="str">
        <f>IF(AND($C49&lt;&gt;"",$O49&lt;&gt;""),(VLOOKUP($C49,'V-LOOKUP'!$C$61:$M$120,4,FALSE)),"0")</f>
        <v>0</v>
      </c>
      <c r="DV49" s="192" t="str">
        <f>IF(AND($C49&lt;&gt;"",$O49&lt;&gt;""),(VLOOKUP($C49,'V-LOOKUP'!$C$61:$M$120,5,FALSE)),"0")</f>
        <v>0</v>
      </c>
      <c r="DW49" s="192" t="str">
        <f>IF(AND($C49&lt;&gt;"",$O49&lt;&gt;""),(VLOOKUP($C49,'V-LOOKUP'!$C$61:$M$120,6,FALSE)),"0")</f>
        <v>0</v>
      </c>
      <c r="DX49" s="192" t="str">
        <f>IF(AND($C49&lt;&gt;"",$O49&lt;&gt;""),(VLOOKUP($C49,'V-LOOKUP'!$C$61:$M$120,7,FALSE)),"0")</f>
        <v>0</v>
      </c>
      <c r="DY49" s="192" t="str">
        <f>IF(AND($C49&lt;&gt;"",$O49&lt;&gt;""),(VLOOKUP($C49,'V-LOOKUP'!$C$61:$M$120,8,FALSE)),"0")</f>
        <v>0</v>
      </c>
      <c r="DZ49" s="192" t="str">
        <f>IF(AND($C49&lt;&gt;"",$O49&lt;&gt;""),(VLOOKUP($C49,'V-LOOKUP'!$C$61:$M$120,9,FALSE)),"0")</f>
        <v>0</v>
      </c>
      <c r="EA49" s="192" t="str">
        <f>IF(AND($C49&lt;&gt;"",$O49&lt;&gt;""),(VLOOKUP($C49,'V-LOOKUP'!$C$61:$M$120,10,FALSE)),"0")</f>
        <v>0</v>
      </c>
      <c r="EB49" s="192" t="str">
        <f>IF(AND($C49&lt;&gt;"",$O49&lt;&gt;""),(VLOOKUP($C49,'V-LOOKUP'!$C$61:$M$120,11,FALSE)),"0")</f>
        <v>0</v>
      </c>
      <c r="EC49" s="192" t="str">
        <f>IF(AND($C49&lt;&gt;"",$O49&lt;&gt;""),(VLOOKUP($C49,'V-LOOKUP'!$C$61:$N$120,12,FALSE)),"0")</f>
        <v>0</v>
      </c>
      <c r="ED49" s="192" t="str">
        <f>IF(AND($C49&lt;&gt;"",$P49&lt;&gt;""),(VLOOKUP($C49,'V-LOOKUP'!$C$61:$M$120,4,FALSE)),"0")</f>
        <v>0</v>
      </c>
      <c r="EE49" s="192" t="str">
        <f>IF(AND($C49&lt;&gt;"",$P49&lt;&gt;""),(VLOOKUP($C49,'V-LOOKUP'!$C$61:$M$120,5,FALSE)),"0")</f>
        <v>0</v>
      </c>
      <c r="EF49" s="192" t="str">
        <f>IF(AND($C49&lt;&gt;"",$P49&lt;&gt;""),(VLOOKUP($C49,'V-LOOKUP'!$C$61:$M$120,6,FALSE)),"0")</f>
        <v>0</v>
      </c>
      <c r="EG49" s="192" t="str">
        <f>IF(AND($C49&lt;&gt;"",$P49&lt;&gt;""),(VLOOKUP($C49,'V-LOOKUP'!$C$61:$M$120,7,FALSE)),"0")</f>
        <v>0</v>
      </c>
      <c r="EH49" s="192" t="str">
        <f>IF(AND($C49&lt;&gt;"",$P49&lt;&gt;""),(VLOOKUP($C49,'V-LOOKUP'!$C$61:$M$120,8,FALSE)),"0")</f>
        <v>0</v>
      </c>
      <c r="EI49" s="192" t="str">
        <f>IF(AND($C49&lt;&gt;"",$P49&lt;&gt;""),(VLOOKUP($C49,'V-LOOKUP'!$C$61:$M$120,9,FALSE)),"0")</f>
        <v>0</v>
      </c>
      <c r="EJ49" s="192" t="str">
        <f>IF(AND($C49&lt;&gt;"",$P49&lt;&gt;""),(VLOOKUP($C49,'V-LOOKUP'!$C$61:$M$120,10,FALSE)),"0")</f>
        <v>0</v>
      </c>
      <c r="EK49" s="192" t="str">
        <f>IF(AND($C49&lt;&gt;"",$P49&lt;&gt;""),(VLOOKUP($C49,'V-LOOKUP'!$C$61:$M$120,11,FALSE)),"0")</f>
        <v>0</v>
      </c>
      <c r="EL49" s="192" t="str">
        <f>IF(AND($C49&lt;&gt;"",$P49&lt;&gt;""),(VLOOKUP($C49,'V-LOOKUP'!$C$61:$N$120,12,FALSE)),"0")</f>
        <v>0</v>
      </c>
      <c r="EM49" s="192" t="str">
        <f>IF(AND($C49&lt;&gt;"",$Q49&lt;&gt;""),(VLOOKUP($C49,'V-LOOKUP'!$C$61:$M$120,4,FALSE)),"0")</f>
        <v>0</v>
      </c>
      <c r="EN49" s="192" t="str">
        <f>IF(AND($C49&lt;&gt;"",$Q49&lt;&gt;""),(VLOOKUP($C49,'V-LOOKUP'!$C$61:$M$120,5,FALSE)),"0")</f>
        <v>0</v>
      </c>
      <c r="EO49" s="192" t="str">
        <f>IF(AND($C49&lt;&gt;"",$Q49&lt;&gt;""),(VLOOKUP($C49,'V-LOOKUP'!$C$61:$M$120,6,FALSE)),"0")</f>
        <v>0</v>
      </c>
      <c r="EP49" s="192" t="str">
        <f>IF(AND($C49&lt;&gt;"",$Q49&lt;&gt;""),(VLOOKUP($C49,'V-LOOKUP'!$C$61:$M$120,7,FALSE)),"0")</f>
        <v>0</v>
      </c>
      <c r="EQ49" s="192" t="str">
        <f>IF(AND($C49&lt;&gt;"",$Q49&lt;&gt;""),(VLOOKUP($C49,'V-LOOKUP'!$C$61:$M$120,8,FALSE)),"0")</f>
        <v>0</v>
      </c>
      <c r="ER49" s="192" t="str">
        <f>IF(AND($C49&lt;&gt;"",$Q49&lt;&gt;""),(VLOOKUP($C49,'V-LOOKUP'!$C$61:$M$120,9,FALSE)),"0")</f>
        <v>0</v>
      </c>
      <c r="ES49" s="192" t="str">
        <f>IF(AND($C49&lt;&gt;"",$Q49&lt;&gt;""),(VLOOKUP($C49,'V-LOOKUP'!$C$61:$M$120,10,FALSE)),"0")</f>
        <v>0</v>
      </c>
      <c r="ET49" s="192" t="str">
        <f>IF(AND($C49&lt;&gt;"",$Q49&lt;&gt;""),(VLOOKUP($C49,'V-LOOKUP'!$C$61:$M$120,11,FALSE)),"0")</f>
        <v>0</v>
      </c>
      <c r="EU49" s="192" t="str">
        <f>IF(AND($C49&lt;&gt;"",$Q49&lt;&gt;""),(VLOOKUP($C49,'V-LOOKUP'!$C$61:$N$120,12,FALSE)),"0")</f>
        <v>0</v>
      </c>
      <c r="EV49" s="192" t="str">
        <f>IF(AND($C49&lt;&gt;"",$R49&lt;&gt;""),(VLOOKUP($C49,'V-LOOKUP'!$C$61:$M$120,4,FALSE)),"0")</f>
        <v>0</v>
      </c>
      <c r="EW49" s="192" t="str">
        <f>IF(AND($C49&lt;&gt;"",$R49&lt;&gt;""),(VLOOKUP($C49,'V-LOOKUP'!$C$61:$M$120,5,FALSE)),"0")</f>
        <v>0</v>
      </c>
      <c r="EX49" s="192" t="str">
        <f>IF(AND($C49&lt;&gt;"",$R49&lt;&gt;""),(VLOOKUP($C49,'V-LOOKUP'!$C$61:$M$120,6,FALSE)),"0")</f>
        <v>0</v>
      </c>
      <c r="EY49" s="192" t="str">
        <f>IF(AND($C49&lt;&gt;"",$R49&lt;&gt;""),(VLOOKUP($C49,'V-LOOKUP'!$C$61:$M$120,7,FALSE)),"0")</f>
        <v>0</v>
      </c>
      <c r="EZ49" s="192" t="str">
        <f>IF(AND($C49&lt;&gt;"",$R49&lt;&gt;""),(VLOOKUP($C49,'V-LOOKUP'!$C$61:$M$120,8,FALSE)),"0")</f>
        <v>0</v>
      </c>
      <c r="FA49" s="192" t="str">
        <f>IF(AND($C49&lt;&gt;"",$R49&lt;&gt;""),(VLOOKUP($C49,'V-LOOKUP'!$C$61:$M$120,9,FALSE)),"0")</f>
        <v>0</v>
      </c>
      <c r="FB49" s="192" t="str">
        <f>IF(AND($C49&lt;&gt;"",$R49&lt;&gt;""),(VLOOKUP($C49,'V-LOOKUP'!$C$61:$M$120,10,FALSE)),"0")</f>
        <v>0</v>
      </c>
      <c r="FC49" s="192" t="str">
        <f>IF(AND($C49&lt;&gt;"",$R49&lt;&gt;""),(VLOOKUP($C49,'V-LOOKUP'!$C$61:$M$120,11,FALSE)),"0")</f>
        <v>0</v>
      </c>
      <c r="FD49" s="192" t="str">
        <f>IF(AND($C49&lt;&gt;"",$R49&lt;&gt;""),(VLOOKUP($C49,'V-LOOKUP'!$C$61:$N$120,12,FALSE)),"0")</f>
        <v>0</v>
      </c>
      <c r="FE49" s="192" t="str">
        <f>IF(AND($C49&lt;&gt;"",$S49&lt;&gt;""),(VLOOKUP($C49,'V-LOOKUP'!$C$61:$M$120,4,FALSE)),"0")</f>
        <v>0</v>
      </c>
      <c r="FF49" s="192" t="str">
        <f>IF(AND($C49&lt;&gt;"",$S49&lt;&gt;""),(VLOOKUP($C49,'V-LOOKUP'!$C$61:$M$120,5,FALSE)),"0")</f>
        <v>0</v>
      </c>
      <c r="FG49" s="192" t="str">
        <f>IF(AND($C49&lt;&gt;"",$S49&lt;&gt;""),(VLOOKUP($C49,'V-LOOKUP'!$C$61:$M$120,6,FALSE)),"0")</f>
        <v>0</v>
      </c>
      <c r="FH49" s="192" t="str">
        <f>IF(AND($C49&lt;&gt;"",$S49&lt;&gt;""),(VLOOKUP($C49,'V-LOOKUP'!$C$61:$M$120,7,FALSE)),"0")</f>
        <v>0</v>
      </c>
      <c r="FI49" s="192" t="str">
        <f>IF(AND($C49&lt;&gt;"",$S49&lt;&gt;""),(VLOOKUP($C49,'V-LOOKUP'!$C$61:$M$120,8,FALSE)),"0")</f>
        <v>0</v>
      </c>
      <c r="FJ49" s="192" t="str">
        <f>IF(AND($C49&lt;&gt;"",$S49&lt;&gt;""),(VLOOKUP($C49,'V-LOOKUP'!$C$61:$M$120,9,FALSE)),"0")</f>
        <v>0</v>
      </c>
      <c r="FK49" s="192" t="str">
        <f>IF(AND($C49&lt;&gt;"",$S49&lt;&gt;""),(VLOOKUP($C49,'V-LOOKUP'!$C$61:$M$120,10,FALSE)),"0")</f>
        <v>0</v>
      </c>
      <c r="FL49" s="192" t="str">
        <f>IF(AND($C49&lt;&gt;"",$S49&lt;&gt;""),(VLOOKUP($C49,'V-LOOKUP'!$C$61:$M$120,11,FALSE)),"0")</f>
        <v>0</v>
      </c>
      <c r="FM49" s="192" t="str">
        <f>IF(AND($C49&lt;&gt;"",$S49&lt;&gt;""),(VLOOKUP($C49,'V-LOOKUP'!$C$61:$N$120,12,FALSE)),"0")</f>
        <v>0</v>
      </c>
      <c r="FN49" s="192" t="str">
        <f>IF(AND($C49&lt;&gt;"",$T49&lt;&gt;""),(VLOOKUP($C49,'V-LOOKUP'!$C$61:$M$120,4,FALSE)),"0")</f>
        <v>0</v>
      </c>
      <c r="FO49" s="192" t="str">
        <f>IF(AND($C49&lt;&gt;"",$T49&lt;&gt;""),(VLOOKUP($C49,'V-LOOKUP'!$C$61:$M$120,5,FALSE)),"0")</f>
        <v>0</v>
      </c>
      <c r="FP49" s="192" t="str">
        <f>IF(AND($C49&lt;&gt;"",$T49&lt;&gt;""),(VLOOKUP($C49,'V-LOOKUP'!$C$61:$M$120,6,FALSE)),"0")</f>
        <v>0</v>
      </c>
      <c r="FQ49" s="192" t="str">
        <f>IF(AND($C49&lt;&gt;"",$T49&lt;&gt;""),(VLOOKUP($C49,'V-LOOKUP'!$C$61:$M$120,7,FALSE)),"0")</f>
        <v>0</v>
      </c>
      <c r="FR49" s="192" t="str">
        <f>IF(AND($C49&lt;&gt;"",$T49&lt;&gt;""),(VLOOKUP($C49,'V-LOOKUP'!$C$61:$M$120,8,FALSE)),"0")</f>
        <v>0</v>
      </c>
      <c r="FS49" s="192" t="str">
        <f>IF(AND($C49&lt;&gt;"",$T49&lt;&gt;""),(VLOOKUP($C49,'V-LOOKUP'!$C$61:$M$120,9,FALSE)),"0")</f>
        <v>0</v>
      </c>
      <c r="FT49" s="192" t="str">
        <f>IF(AND($C49&lt;&gt;"",$T49&lt;&gt;""),(VLOOKUP($C49,'V-LOOKUP'!$C$61:$M$120,10,FALSE)),"0")</f>
        <v>0</v>
      </c>
      <c r="FU49" s="192" t="str">
        <f>IF(AND($C49&lt;&gt;"",$T49&lt;&gt;""),(VLOOKUP($C49,'V-LOOKUP'!$C$61:$M$120,11,FALSE)),"0")</f>
        <v>0</v>
      </c>
      <c r="FV49" s="192" t="str">
        <f>IF(AND($C49&lt;&gt;"",$T49&lt;&gt;""),(VLOOKUP($C49,'V-LOOKUP'!$C$61:$N$120,12,FALSE)),"0")</f>
        <v>0</v>
      </c>
      <c r="FW49" s="192" t="str">
        <f>IF(AND($C49&lt;&gt;"",$U49&lt;&gt;""),(VLOOKUP($C49,'V-LOOKUP'!$C$61:$M$120,4,FALSE)),"0")</f>
        <v>0</v>
      </c>
      <c r="FX49" s="192" t="str">
        <f>IF(AND($C49&lt;&gt;"",$U49&lt;&gt;""),(VLOOKUP($C49,'V-LOOKUP'!$C$61:$M$120,5,FALSE)),"0")</f>
        <v>0</v>
      </c>
      <c r="FY49" s="192" t="str">
        <f>IF(AND($C49&lt;&gt;"",$U49&lt;&gt;""),(VLOOKUP($C49,'V-LOOKUP'!$C$61:$M$120,6,FALSE)),"0")</f>
        <v>0</v>
      </c>
      <c r="FZ49" s="192" t="str">
        <f>IF(AND($C49&lt;&gt;"",$U49&lt;&gt;""),(VLOOKUP($C49,'V-LOOKUP'!$C$61:$M$120,7,FALSE)),"0")</f>
        <v>0</v>
      </c>
      <c r="GA49" s="192" t="str">
        <f>IF(AND($C49&lt;&gt;"",$U49&lt;&gt;""),(VLOOKUP($C49,'V-LOOKUP'!$C$61:$M$120,8,FALSE)),"0")</f>
        <v>0</v>
      </c>
      <c r="GB49" s="192" t="str">
        <f>IF(AND($C49&lt;&gt;"",$U49&lt;&gt;""),(VLOOKUP($C49,'V-LOOKUP'!$C$61:$M$120,9,FALSE)),"0")</f>
        <v>0</v>
      </c>
      <c r="GC49" s="192" t="str">
        <f>IF(AND($C49&lt;&gt;"",$U49&lt;&gt;""),(VLOOKUP($C49,'V-LOOKUP'!$C$61:$M$120,10,FALSE)),"0")</f>
        <v>0</v>
      </c>
      <c r="GD49" s="192" t="str">
        <f>IF(AND($C49&lt;&gt;"",$U49&lt;&gt;""),(VLOOKUP($C49,'V-LOOKUP'!$C$61:$M$120,11,FALSE)),"0")</f>
        <v>0</v>
      </c>
      <c r="GE49" s="192" t="str">
        <f>IF(AND($C49&lt;&gt;"",$U49&lt;&gt;""),(VLOOKUP($C49,'V-LOOKUP'!$C$61:$N$120,12,FALSE)),"0")</f>
        <v>0</v>
      </c>
      <c r="GF49" s="192" t="str">
        <f>IF(AND($C49&lt;&gt;"",$V49&lt;&gt;""),(VLOOKUP($C49,'V-LOOKUP'!$C$61:$M$120,4,FALSE)),"0")</f>
        <v>0</v>
      </c>
      <c r="GG49" s="192" t="str">
        <f>IF(AND($C49&lt;&gt;"",V49&lt;&gt;""),(VLOOKUP($C49,'V-LOOKUP'!$C$61:$M$120,5,FALSE)),"0")</f>
        <v>0</v>
      </c>
      <c r="GH49" s="192" t="str">
        <f>IF(AND($C49&lt;&gt;"",$V49&lt;&gt;""),(VLOOKUP($C49,'V-LOOKUP'!$C$61:$M$120,6,FALSE)),"0")</f>
        <v>0</v>
      </c>
      <c r="GI49" s="192" t="str">
        <f>IF(AND($C49&lt;&gt;"",$V49&lt;&gt;""),(VLOOKUP($C49,'V-LOOKUP'!$C$61:$M$120,7,FALSE)),"0")</f>
        <v>0</v>
      </c>
      <c r="GJ49" s="192" t="str">
        <f>IF(AND($C49&lt;&gt;"",$V49&lt;&gt;""),(VLOOKUP($C49,'V-LOOKUP'!$C$61:$M$120,8,FALSE)),"0")</f>
        <v>0</v>
      </c>
      <c r="GK49" s="192" t="str">
        <f>IF(AND($C49&lt;&gt;"",$V49&lt;&gt;""),(VLOOKUP($C49,'V-LOOKUP'!$C$61:$M$120,9,FALSE)),"0")</f>
        <v>0</v>
      </c>
      <c r="GL49" s="192" t="str">
        <f>IF(AND($C49&lt;&gt;"",$V49&lt;&gt;""),(VLOOKUP($C49,'V-LOOKUP'!$C$61:$M$120,10,FALSE)),"0")</f>
        <v>0</v>
      </c>
      <c r="GM49" s="192" t="str">
        <f>IF(AND($C49&lt;&gt;"",$V49&lt;&gt;""),(VLOOKUP($C49,'V-LOOKUP'!$C$61:$M$120,11,FALSE)),"0")</f>
        <v>0</v>
      </c>
      <c r="GN49" s="192" t="str">
        <f>IF(AND($C49&lt;&gt;"",$V49&lt;&gt;""),(VLOOKUP($C49,'V-LOOKUP'!$C$61:$N$120,12,FALSE)),"0")</f>
        <v>0</v>
      </c>
      <c r="GO49" s="192" t="str">
        <f>IF(AND($C49&lt;&gt;"",$W49&lt;&gt;""),(VLOOKUP($C49,'V-LOOKUP'!$C$61:$M$120,4,FALSE)),"0")</f>
        <v>0</v>
      </c>
      <c r="GP49" s="192" t="str">
        <f>IF(AND($C49&lt;&gt;"",$W49&lt;&gt;""),(VLOOKUP($C49,'V-LOOKUP'!$C$61:$M$120,5,FALSE)),"0")</f>
        <v>0</v>
      </c>
      <c r="GQ49" s="192" t="str">
        <f>IF(AND($C49&lt;&gt;"",$W49&lt;&gt;""),(VLOOKUP($C49,'V-LOOKUP'!$C$61:$M$120,6,FALSE)),"0")</f>
        <v>0</v>
      </c>
      <c r="GR49" s="192" t="str">
        <f>IF(AND($C49&lt;&gt;"",$W49&lt;&gt;""),(VLOOKUP($C49,'V-LOOKUP'!$C$61:$M$120,7,FALSE)),"0")</f>
        <v>0</v>
      </c>
      <c r="GS49" s="192" t="str">
        <f>IF(AND($C49&lt;&gt;"",$W49&lt;&gt;""),(VLOOKUP($C49,'V-LOOKUP'!$C$61:$M$120,8,FALSE)),"0")</f>
        <v>0</v>
      </c>
      <c r="GT49" s="192" t="str">
        <f>IF(AND($C49&lt;&gt;"",$W49&lt;&gt;""),(VLOOKUP($C49,'V-LOOKUP'!$C$61:$M$120,9,FALSE)),"0")</f>
        <v>0</v>
      </c>
      <c r="GU49" s="192" t="str">
        <f>IF(AND($C49&lt;&gt;"",$W49&lt;&gt;""),(VLOOKUP($C49,'V-LOOKUP'!$C$61:$M$120,10,FALSE)),"0")</f>
        <v>0</v>
      </c>
      <c r="GV49" s="192" t="str">
        <f>IF(AND($C49&lt;&gt;"",$W49&lt;&gt;""),(VLOOKUP($C49,'V-LOOKUP'!$C$61:$M$120,11,FALSE)),"0")</f>
        <v>0</v>
      </c>
      <c r="GW49" s="192" t="str">
        <f>IF(AND($C49&lt;&gt;"",$W49&lt;&gt;""),(VLOOKUP($C49,'V-LOOKUP'!$C$61:$N$120,12,FALSE)),"0")</f>
        <v>0</v>
      </c>
    </row>
    <row r="50" spans="1:205" ht="14.65" hidden="1" customHeight="1">
      <c r="A50" s="193"/>
      <c r="B50" s="245"/>
      <c r="C50" s="203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Y50" s="190"/>
      <c r="Z50" s="192" t="str">
        <f>IF(AND($C50&lt;&gt;"",$D50&lt;&gt;""),(VLOOKUP($C50,'V-LOOKUP'!$C$61:$M$120,4,FALSE)),"0")</f>
        <v>0</v>
      </c>
      <c r="AA50" s="192" t="str">
        <f>IF(AND($C50&lt;&gt;"",$D50&lt;&gt;""),(VLOOKUP($C50,'V-LOOKUP'!$C$61:$M$120,5,FALSE)),"0")</f>
        <v>0</v>
      </c>
      <c r="AB50" s="192" t="str">
        <f>IF(AND($C50&lt;&gt;"",$D50&lt;&gt;""),(VLOOKUP($C50,'V-LOOKUP'!$C$61:$M$120,6,FALSE)),"0")</f>
        <v>0</v>
      </c>
      <c r="AC50" s="192" t="str">
        <f>IF(AND($C50&lt;&gt;"",$D50&lt;&gt;""),(VLOOKUP($C50,'V-LOOKUP'!$C$61:$M$120,7,FALSE)),"0")</f>
        <v>0</v>
      </c>
      <c r="AD50" s="192" t="str">
        <f>IF(AND($C50&lt;&gt;"",$D50&lt;&gt;""),(VLOOKUP($C50,'V-LOOKUP'!$C$61:$M$120,8,FALSE)),"0")</f>
        <v>0</v>
      </c>
      <c r="AE50" s="192" t="str">
        <f>IF(AND($C50&lt;&gt;"",$D50&lt;&gt;""),(VLOOKUP($C50,'V-LOOKUP'!$C$61:$M$120,9,FALSE)),"0")</f>
        <v>0</v>
      </c>
      <c r="AF50" s="192" t="str">
        <f>IF(AND($C50&lt;&gt;"",$D50&lt;&gt;""),(VLOOKUP($C50,'V-LOOKUP'!$C$61:$M$120,10,FALSE)),"0")</f>
        <v>0</v>
      </c>
      <c r="AG50" s="192" t="str">
        <f>IF(AND($C50&lt;&gt;"",$D50&lt;&gt;""),(VLOOKUP($C50,'V-LOOKUP'!$C$61:$M$120,11,FALSE)),"0")</f>
        <v>0</v>
      </c>
      <c r="AH50" s="192" t="str">
        <f>IF(AND($C50&lt;&gt;"",$D50&lt;&gt;""),(VLOOKUP($C50,'V-LOOKUP'!$C$61:$N$120,12,FALSE)),"0")</f>
        <v>0</v>
      </c>
      <c r="AI50" s="192" t="str">
        <f>IF(AND($C50&lt;&gt;"",$E50&lt;&gt;""),(VLOOKUP($C50,'V-LOOKUP'!$C$61:$M$120,4,FALSE)),"0")</f>
        <v>0</v>
      </c>
      <c r="AJ50" s="192" t="str">
        <f>IF(AND($C50&lt;&gt;"",$E50&lt;&gt;""),(VLOOKUP($C50,'V-LOOKUP'!$C$61:$M$120,5,FALSE)),"0")</f>
        <v>0</v>
      </c>
      <c r="AK50" s="192" t="str">
        <f>IF(AND($C50&lt;&gt;"",$E50&lt;&gt;""),(VLOOKUP($C50,'V-LOOKUP'!$C$61:$M$120,6,FALSE)),"0")</f>
        <v>0</v>
      </c>
      <c r="AL50" s="192" t="str">
        <f>IF(AND($C50&lt;&gt;"",$E50&lt;&gt;""),(VLOOKUP($C50,'V-LOOKUP'!$C$61:$M$120,7,FALSE)),"0")</f>
        <v>0</v>
      </c>
      <c r="AM50" s="192" t="str">
        <f>IF(AND($C50&lt;&gt;"",$E50&lt;&gt;""),(VLOOKUP($C50,'V-LOOKUP'!$C$61:$M$120,8,FALSE)),"0")</f>
        <v>0</v>
      </c>
      <c r="AN50" s="192" t="str">
        <f>IF(AND($C50&lt;&gt;"",$E50&lt;&gt;""),(VLOOKUP($C50,'V-LOOKUP'!$C$61:$M$120,9,FALSE)),"0")</f>
        <v>0</v>
      </c>
      <c r="AO50" s="192" t="str">
        <f>IF(AND($C50&lt;&gt;"",$E50&lt;&gt;""),(VLOOKUP($C50,'V-LOOKUP'!$C$61:$M$120,10,FALSE)),"0")</f>
        <v>0</v>
      </c>
      <c r="AP50" s="192" t="str">
        <f>IF(AND($C50&lt;&gt;"",$E50&lt;&gt;""),(VLOOKUP($C50,'V-LOOKUP'!$C$61:$M$120,11,FALSE)),"0")</f>
        <v>0</v>
      </c>
      <c r="AQ50" s="192" t="str">
        <f>IF(AND($C50&lt;&gt;"",$E50&lt;&gt;""),(VLOOKUP($C50,'V-LOOKUP'!$C$61:$N$120,12,FALSE)),"0")</f>
        <v>0</v>
      </c>
      <c r="AR50" s="192" t="str">
        <f>IF(AND($C50&lt;&gt;"",$F50&lt;&gt;""),(VLOOKUP($C50,'V-LOOKUP'!$C$61:$M$120,4,FALSE)),"0")</f>
        <v>0</v>
      </c>
      <c r="AS50" s="192" t="str">
        <f>IF(AND($C50&lt;&gt;"",$F50&lt;&gt;""),(VLOOKUP($C50,'V-LOOKUP'!$C$61:$M$120,5,FALSE)),"0")</f>
        <v>0</v>
      </c>
      <c r="AT50" s="192" t="str">
        <f>IF(AND($C50&lt;&gt;"",$F50&lt;&gt;""),(VLOOKUP($C50,'V-LOOKUP'!$C$61:$M$120,6,FALSE)),"0")</f>
        <v>0</v>
      </c>
      <c r="AU50" s="192" t="str">
        <f>IF(AND($C50&lt;&gt;"",$F50&lt;&gt;""),(VLOOKUP($C50,'V-LOOKUP'!$C$61:$M$120,7,FALSE)),"0")</f>
        <v>0</v>
      </c>
      <c r="AV50" s="192" t="str">
        <f>IF(AND($C50&lt;&gt;"",$F50&lt;&gt;""),(VLOOKUP($C50,'V-LOOKUP'!$C$61:$M$120,8,FALSE)),"0")</f>
        <v>0</v>
      </c>
      <c r="AW50" s="192" t="str">
        <f>IF(AND($C50&lt;&gt;"",$F50&lt;&gt;""),(VLOOKUP($C50,'V-LOOKUP'!$C$61:$M$120,9,FALSE)),"0")</f>
        <v>0</v>
      </c>
      <c r="AX50" s="192" t="str">
        <f>IF(AND($C50&lt;&gt;"",$F50&lt;&gt;""),(VLOOKUP($C50,'V-LOOKUP'!$C$61:$M$120,10,FALSE)),"0")</f>
        <v>0</v>
      </c>
      <c r="AY50" s="192" t="str">
        <f>IF(AND($C50&lt;&gt;"",$F50&lt;&gt;""),(VLOOKUP($C50,'V-LOOKUP'!$C$61:$M$120,11,FALSE)),"0")</f>
        <v>0</v>
      </c>
      <c r="AZ50" s="192" t="str">
        <f>IF(AND($C50&lt;&gt;"",$F50&lt;&gt;""),(VLOOKUP($C50,'V-LOOKUP'!$C$61:$N$120,12,FALSE)),"0")</f>
        <v>0</v>
      </c>
      <c r="BA50" s="192" t="str">
        <f>IF(AND($C50&lt;&gt;"",$G50&lt;&gt;""),(VLOOKUP($C50,'V-LOOKUP'!$C$61:$M$120,4,FALSE)),"0")</f>
        <v>0</v>
      </c>
      <c r="BB50" s="192" t="str">
        <f>IF(AND($C50&lt;&gt;"",$G50&lt;&gt;""),(VLOOKUP($C50,'V-LOOKUP'!$C$61:$M$120,5,FALSE)),"0")</f>
        <v>0</v>
      </c>
      <c r="BC50" s="192" t="str">
        <f>IF(AND($C50&lt;&gt;"",$G50&lt;&gt;""),(VLOOKUP($C50,'V-LOOKUP'!$C$61:$M$120,6,FALSE)),"0")</f>
        <v>0</v>
      </c>
      <c r="BD50" s="192" t="str">
        <f>IF(AND($C50&lt;&gt;"",$G50&lt;&gt;""),(VLOOKUP($C50,'V-LOOKUP'!$C$61:$M$120,7,FALSE)),"0")</f>
        <v>0</v>
      </c>
      <c r="BE50" s="192" t="str">
        <f>IF(AND($C50&lt;&gt;"",$G50&lt;&gt;""),(VLOOKUP($C50,'V-LOOKUP'!$C$61:$M$120,8,FALSE)),"0")</f>
        <v>0</v>
      </c>
      <c r="BF50" s="192" t="str">
        <f>IF(AND($C50&lt;&gt;"",$G50&lt;&gt;""),(VLOOKUP($C50,'V-LOOKUP'!$C$61:$M$120,9,FALSE)),"0")</f>
        <v>0</v>
      </c>
      <c r="BG50" s="192" t="str">
        <f>IF(AND($C50&lt;&gt;"",$G50&lt;&gt;""),(VLOOKUP($C50,'V-LOOKUP'!$C$61:$M$120,10,FALSE)),"0")</f>
        <v>0</v>
      </c>
      <c r="BH50" s="192" t="str">
        <f>IF(AND($C50&lt;&gt;"",$G50&lt;&gt;""),(VLOOKUP($C50,'V-LOOKUP'!$C$61:$M$120,11,FALSE)),"0")</f>
        <v>0</v>
      </c>
      <c r="BI50" s="192" t="str">
        <f>IF(AND($C50&lt;&gt;"",$G50&lt;&gt;""),(VLOOKUP($C50,'V-LOOKUP'!$C$61:$N$120,12,FALSE)),"0")</f>
        <v>0</v>
      </c>
      <c r="BJ50" s="192" t="str">
        <f>IF(AND($C50&lt;&gt;"",$H50&lt;&gt;""),(VLOOKUP($C50,'V-LOOKUP'!$C$61:$M$120,4,FALSE)),"0")</f>
        <v>0</v>
      </c>
      <c r="BK50" s="192" t="str">
        <f>IF(AND($C50&lt;&gt;"",$H50&lt;&gt;""),(VLOOKUP($C50,'V-LOOKUP'!$C$61:$M$120,5,FALSE)),"0")</f>
        <v>0</v>
      </c>
      <c r="BL50" s="192" t="str">
        <f>IF(AND($C50&lt;&gt;"",$H50&lt;&gt;""),(VLOOKUP($C50,'V-LOOKUP'!$C$61:$M$120,6,FALSE)),"0")</f>
        <v>0</v>
      </c>
      <c r="BM50" s="192" t="str">
        <f>IF(AND($C50&lt;&gt;"",$H50&lt;&gt;""),(VLOOKUP($C50,'V-LOOKUP'!$C$61:$M$120,7,FALSE)),"0")</f>
        <v>0</v>
      </c>
      <c r="BN50" s="192" t="str">
        <f>IF(AND($C50&lt;&gt;"",$H50&lt;&gt;""),(VLOOKUP($C50,'V-LOOKUP'!$C$61:$M$120,8,FALSE)),"0")</f>
        <v>0</v>
      </c>
      <c r="BO50" s="192" t="str">
        <f>IF(AND($C50&lt;&gt;"",$H50&lt;&gt;""),(VLOOKUP($C50,'V-LOOKUP'!$C$61:$M$120,9,FALSE)),"0")</f>
        <v>0</v>
      </c>
      <c r="BP50" s="192" t="str">
        <f>IF(AND($C50&lt;&gt;"",$H50&lt;&gt;""),(VLOOKUP($C50,'V-LOOKUP'!$C$61:$M$120,10,FALSE)),"0")</f>
        <v>0</v>
      </c>
      <c r="BQ50" s="192" t="str">
        <f>IF(AND($C50&lt;&gt;"",$H50&lt;&gt;""),(VLOOKUP($C50,'V-LOOKUP'!$C$61:$M$120,11,FALSE)),"0")</f>
        <v>0</v>
      </c>
      <c r="BR50" s="192" t="str">
        <f>IF(AND($C50&lt;&gt;"",$H50&lt;&gt;""),(VLOOKUP($C50,'V-LOOKUP'!$C$61:$N$120,12,FALSE)),"0")</f>
        <v>0</v>
      </c>
      <c r="BS50" s="192" t="str">
        <f>IF(AND($C50&lt;&gt;"",$I50&lt;&gt;""),(VLOOKUP($C50,'V-LOOKUP'!$C$61:$M$120,4,FALSE)),"0")</f>
        <v>0</v>
      </c>
      <c r="BT50" s="192" t="str">
        <f>IF(AND($C50&lt;&gt;"",$I50&lt;&gt;""),(VLOOKUP($C50,'V-LOOKUP'!$C$61:$M$120,5,FALSE)),"0")</f>
        <v>0</v>
      </c>
      <c r="BU50" s="192" t="str">
        <f>IF(AND($C50&lt;&gt;"",$I50&lt;&gt;""),(VLOOKUP($C50,'V-LOOKUP'!$C$61:$M$120,6,FALSE)),"0")</f>
        <v>0</v>
      </c>
      <c r="BV50" s="192" t="str">
        <f>IF(AND($C50&lt;&gt;"",$I50&lt;&gt;""),(VLOOKUP($C50,'V-LOOKUP'!$C$61:$M$120,7,FALSE)),"0")</f>
        <v>0</v>
      </c>
      <c r="BW50" s="192" t="str">
        <f>IF(AND($C50&lt;&gt;"",$I50&lt;&gt;""),(VLOOKUP($C50,'V-LOOKUP'!$C$61:$M$120,8,FALSE)),"0")</f>
        <v>0</v>
      </c>
      <c r="BX50" s="192" t="str">
        <f>IF(AND($C50&lt;&gt;"",$I50&lt;&gt;""),(VLOOKUP($C50,'V-LOOKUP'!$C$61:$M$120,9,FALSE)),"0")</f>
        <v>0</v>
      </c>
      <c r="BY50" s="192" t="str">
        <f>IF(AND($C50&lt;&gt;"",$I50&lt;&gt;""),(VLOOKUP($C50,'V-LOOKUP'!$C$61:$M$120,10,FALSE)),"0")</f>
        <v>0</v>
      </c>
      <c r="BZ50" s="192" t="str">
        <f>IF(AND($C50&lt;&gt;"",$I50&lt;&gt;""),(VLOOKUP($C50,'V-LOOKUP'!$C$61:$M$120,11,FALSE)),"0")</f>
        <v>0</v>
      </c>
      <c r="CA50" s="192" t="str">
        <f>IF(AND($C50&lt;&gt;"",$I50&lt;&gt;""),(VLOOKUP($C50,'V-LOOKUP'!$C$61:$N$120,12,FALSE)),"0")</f>
        <v>0</v>
      </c>
      <c r="CB50" s="192" t="str">
        <f>IF(AND($C50&lt;&gt;"",$J50&lt;&gt;""),(VLOOKUP($C50,'V-LOOKUP'!$C$61:$M$120,4,FALSE)),"0")</f>
        <v>0</v>
      </c>
      <c r="CC50" s="192" t="str">
        <f>IF(AND($C50&lt;&gt;"",$J50&lt;&gt;""),(VLOOKUP($C50,'V-LOOKUP'!$C$61:$M$120,5,FALSE)),"0")</f>
        <v>0</v>
      </c>
      <c r="CD50" s="192" t="str">
        <f>IF(AND($C50&lt;&gt;"",$J50&lt;&gt;""),(VLOOKUP($C50,'V-LOOKUP'!$C$61:$M$120,6,FALSE)),"0")</f>
        <v>0</v>
      </c>
      <c r="CE50" s="192" t="str">
        <f>IF(AND($C50&lt;&gt;"",$J50&lt;&gt;""),(VLOOKUP($C50,'V-LOOKUP'!$C$61:$M$120,7,FALSE)),"0")</f>
        <v>0</v>
      </c>
      <c r="CF50" s="192" t="str">
        <f>IF(AND($C50&lt;&gt;"",$J50&lt;&gt;""),(VLOOKUP($C50,'V-LOOKUP'!$C$61:$M$120,8,FALSE)),"0")</f>
        <v>0</v>
      </c>
      <c r="CG50" s="192" t="str">
        <f>IF(AND($C50&lt;&gt;"",$J50&lt;&gt;""),(VLOOKUP($C50,'V-LOOKUP'!$C$61:$M$120,9,FALSE)),"0")</f>
        <v>0</v>
      </c>
      <c r="CH50" s="192" t="str">
        <f>IF(AND($C50&lt;&gt;"",$J50&lt;&gt;""),(VLOOKUP($C50,'V-LOOKUP'!$C$61:$M$120,10,FALSE)),"0")</f>
        <v>0</v>
      </c>
      <c r="CI50" s="192" t="str">
        <f>IF(AND($C50&lt;&gt;"",$J50&lt;&gt;""),(VLOOKUP($C50,'V-LOOKUP'!$C$61:$M$120,11,FALSE)),"0")</f>
        <v>0</v>
      </c>
      <c r="CJ50" s="192" t="str">
        <f>IF(AND($C50&lt;&gt;"",$J50&lt;&gt;""),(VLOOKUP($C50,'V-LOOKUP'!$C$61:$N$120,12,FALSE)),"0")</f>
        <v>0</v>
      </c>
      <c r="CK50" s="192" t="str">
        <f>IF(AND($C50&lt;&gt;"",$K50&lt;&gt;""),(VLOOKUP($C50,'V-LOOKUP'!$C$61:$M$120,4,FALSE)),"0")</f>
        <v>0</v>
      </c>
      <c r="CL50" s="192" t="str">
        <f>IF(AND($C50&lt;&gt;"",$K50&lt;&gt;""),(VLOOKUP($C50,'V-LOOKUP'!$C$61:$M$120,5,FALSE)),"0")</f>
        <v>0</v>
      </c>
      <c r="CM50" s="192" t="str">
        <f>IF(AND($C50&lt;&gt;"",$K50&lt;&gt;""),(VLOOKUP($C50,'V-LOOKUP'!$C$61:$M$120,6,FALSE)),"0")</f>
        <v>0</v>
      </c>
      <c r="CN50" s="192" t="str">
        <f>IF(AND($C50&lt;&gt;"",$K50&lt;&gt;""),(VLOOKUP($C50,'V-LOOKUP'!$C$61:$M$120,7,FALSE)),"0")</f>
        <v>0</v>
      </c>
      <c r="CO50" s="192" t="str">
        <f>IF(AND($C50&lt;&gt;"",$K50&lt;&gt;""),(VLOOKUP($C50,'V-LOOKUP'!$C$61:$M$120,8,FALSE)),"0")</f>
        <v>0</v>
      </c>
      <c r="CP50" s="192" t="str">
        <f>IF(AND($C50&lt;&gt;"",$K50&lt;&gt;""),(VLOOKUP($C50,'V-LOOKUP'!$C$61:$M$120,9,FALSE)),"0")</f>
        <v>0</v>
      </c>
      <c r="CQ50" s="192" t="str">
        <f>IF(AND($C50&lt;&gt;"",$K50&lt;&gt;""),(VLOOKUP($C50,'V-LOOKUP'!$C$61:$M$120,10,FALSE)),"0")</f>
        <v>0</v>
      </c>
      <c r="CR50" s="192" t="str">
        <f>IF(AND($C50&lt;&gt;"",$K50&lt;&gt;""),(VLOOKUP($C50,'V-LOOKUP'!$C$61:$M$120,11,FALSE)),"0")</f>
        <v>0</v>
      </c>
      <c r="CS50" s="192" t="str">
        <f>IF(AND($C50&lt;&gt;"",$K50&lt;&gt;""),(VLOOKUP($C50,'V-LOOKUP'!$C$61:$N$120,12,FALSE)),"0")</f>
        <v>0</v>
      </c>
      <c r="CT50" s="192" t="str">
        <f>IF(AND($C50&lt;&gt;"",$L50&lt;&gt;""),(VLOOKUP($C50,'V-LOOKUP'!$C$61:$M$120,4,FALSE)),"0")</f>
        <v>0</v>
      </c>
      <c r="CU50" s="192" t="str">
        <f>IF(AND($C50&lt;&gt;"",$L50&lt;&gt;""),(VLOOKUP($C50,'V-LOOKUP'!$C$61:$M$120,5,FALSE)),"0")</f>
        <v>0</v>
      </c>
      <c r="CV50" s="192" t="str">
        <f>IF(AND($C50&lt;&gt;"",$L50&lt;&gt;""),(VLOOKUP($C50,'V-LOOKUP'!$C$61:$M$120,6,FALSE)),"0")</f>
        <v>0</v>
      </c>
      <c r="CW50" s="192" t="str">
        <f>IF(AND($C50&lt;&gt;"",$L50&lt;&gt;""),(VLOOKUP($C50,'V-LOOKUP'!$C$61:$M$120,7,FALSE)),"0")</f>
        <v>0</v>
      </c>
      <c r="CX50" s="192" t="str">
        <f>IF(AND($C50&lt;&gt;"",$L50&lt;&gt;""),(VLOOKUP($C50,'V-LOOKUP'!$C$61:$M$120,8,FALSE)),"0")</f>
        <v>0</v>
      </c>
      <c r="CY50" s="192" t="str">
        <f>IF(AND($C50&lt;&gt;"",$L50&lt;&gt;""),(VLOOKUP($C50,'V-LOOKUP'!$C$61:$M$120,9,FALSE)),"0")</f>
        <v>0</v>
      </c>
      <c r="CZ50" s="192" t="str">
        <f>IF(AND($C50&lt;&gt;"",$L50&lt;&gt;""),(VLOOKUP($C50,'V-LOOKUP'!$C$61:$M$120,10,FALSE)),"0")</f>
        <v>0</v>
      </c>
      <c r="DA50" s="192" t="str">
        <f>IF(AND($C50&lt;&gt;"",$L50&lt;&gt;""),(VLOOKUP($C50,'V-LOOKUP'!$C$61:$M$120,11,FALSE)),"0")</f>
        <v>0</v>
      </c>
      <c r="DB50" s="192" t="str">
        <f>IF(AND($C50&lt;&gt;"",$L50&lt;&gt;""),(VLOOKUP($C50,'V-LOOKUP'!$C$61:$N$120,12,FALSE)),"0")</f>
        <v>0</v>
      </c>
      <c r="DC50" s="192" t="str">
        <f>IF(AND($C50&lt;&gt;"",$M50&lt;&gt;""),(VLOOKUP($C50,'V-LOOKUP'!$C$61:$M$120,4,FALSE)),"0")</f>
        <v>0</v>
      </c>
      <c r="DD50" s="192" t="str">
        <f>IF(AND($C50&lt;&gt;"",$M50&lt;&gt;""),(VLOOKUP($C50,'V-LOOKUP'!$C$61:$M$120,5,FALSE)),"0")</f>
        <v>0</v>
      </c>
      <c r="DE50" s="192" t="str">
        <f>IF(AND($C50&lt;&gt;"",$M50&lt;&gt;""),(VLOOKUP($C50,'V-LOOKUP'!$C$61:$M$120,6,FALSE)),"0")</f>
        <v>0</v>
      </c>
      <c r="DF50" s="192" t="str">
        <f>IF(AND($C50&lt;&gt;"",$M50&lt;&gt;""),(VLOOKUP($C50,'V-LOOKUP'!$C$61:$M$120,7,FALSE)),"0")</f>
        <v>0</v>
      </c>
      <c r="DG50" s="192" t="str">
        <f>IF(AND($C50&lt;&gt;"",$M50&lt;&gt;""),(VLOOKUP($C50,'V-LOOKUP'!$C$61:$M$120,8,FALSE)),"0")</f>
        <v>0</v>
      </c>
      <c r="DH50" s="192" t="str">
        <f>IF(AND($C50&lt;&gt;"",$M50&lt;&gt;""),(VLOOKUP($C50,'V-LOOKUP'!$C$61:$M$120,9,FALSE)),"0")</f>
        <v>0</v>
      </c>
      <c r="DI50" s="192" t="str">
        <f>IF(AND($C50&lt;&gt;"",$M50&lt;&gt;""),(VLOOKUP($C50,'V-LOOKUP'!$C$61:$M$120,10,FALSE)),"0")</f>
        <v>0</v>
      </c>
      <c r="DJ50" s="192" t="str">
        <f>IF(AND($C50&lt;&gt;"",$M50&lt;&gt;""),(VLOOKUP($C50,'V-LOOKUP'!$C$61:$M$120,11,FALSE)),"0")</f>
        <v>0</v>
      </c>
      <c r="DK50" s="192" t="str">
        <f>IF(AND($C50&lt;&gt;"",$M50&lt;&gt;""),(VLOOKUP($C50,'V-LOOKUP'!$C$61:$N$120,12,FALSE)),"0")</f>
        <v>0</v>
      </c>
      <c r="DL50" s="192" t="str">
        <f>IF(AND($C50&lt;&gt;"",$N50&lt;&gt;""),(VLOOKUP($C50,'V-LOOKUP'!$C$61:$M$120,4,FALSE)),"0")</f>
        <v>0</v>
      </c>
      <c r="DM50" s="192" t="str">
        <f>IF(AND($C50&lt;&gt;"",$N50&lt;&gt;""),(VLOOKUP($C50,'V-LOOKUP'!$C$61:$M$120,5,FALSE)),"0")</f>
        <v>0</v>
      </c>
      <c r="DN50" s="192" t="str">
        <f>IF(AND($C50&lt;&gt;"",$N50&lt;&gt;""),(VLOOKUP($C50,'V-LOOKUP'!$C$61:$M$120,6,FALSE)),"0")</f>
        <v>0</v>
      </c>
      <c r="DO50" s="192" t="str">
        <f>IF(AND($C50&lt;&gt;"",$N50&lt;&gt;""),(VLOOKUP($C50,'V-LOOKUP'!$C$61:$M$120,7,FALSE)),"0")</f>
        <v>0</v>
      </c>
      <c r="DP50" s="192" t="str">
        <f>IF(AND($C50&lt;&gt;"",$N50&lt;&gt;""),(VLOOKUP($C50,'V-LOOKUP'!$C$61:$M$120,8,FALSE)),"0")</f>
        <v>0</v>
      </c>
      <c r="DQ50" s="192" t="str">
        <f>IF(AND($C50&lt;&gt;"",$N50&lt;&gt;""),(VLOOKUP($C50,'V-LOOKUP'!$C$61:$M$120,9,FALSE)),"0")</f>
        <v>0</v>
      </c>
      <c r="DR50" s="192" t="str">
        <f>IF(AND($C50&lt;&gt;"",$N50&lt;&gt;""),(VLOOKUP($C50,'V-LOOKUP'!$C$61:$M$120,10,FALSE)),"0")</f>
        <v>0</v>
      </c>
      <c r="DS50" s="192" t="str">
        <f>IF(AND($C50&lt;&gt;"",$N50&lt;&gt;""),(VLOOKUP($C50,'V-LOOKUP'!$C$61:$M$120,11,FALSE)),"0")</f>
        <v>0</v>
      </c>
      <c r="DT50" s="192" t="str">
        <f>IF(AND($C50&lt;&gt;"",$N50&lt;&gt;""),(VLOOKUP($C50,'V-LOOKUP'!$C$61:$N$120,12,FALSE)),"0")</f>
        <v>0</v>
      </c>
      <c r="DU50" s="192" t="str">
        <f>IF(AND($C50&lt;&gt;"",$O50&lt;&gt;""),(VLOOKUP($C50,'V-LOOKUP'!$C$61:$M$120,4,FALSE)),"0")</f>
        <v>0</v>
      </c>
      <c r="DV50" s="192" t="str">
        <f>IF(AND($C50&lt;&gt;"",$O50&lt;&gt;""),(VLOOKUP($C50,'V-LOOKUP'!$C$61:$M$120,5,FALSE)),"0")</f>
        <v>0</v>
      </c>
      <c r="DW50" s="192" t="str">
        <f>IF(AND($C50&lt;&gt;"",$O50&lt;&gt;""),(VLOOKUP($C50,'V-LOOKUP'!$C$61:$M$120,6,FALSE)),"0")</f>
        <v>0</v>
      </c>
      <c r="DX50" s="192" t="str">
        <f>IF(AND($C50&lt;&gt;"",$O50&lt;&gt;""),(VLOOKUP($C50,'V-LOOKUP'!$C$61:$M$120,7,FALSE)),"0")</f>
        <v>0</v>
      </c>
      <c r="DY50" s="192" t="str">
        <f>IF(AND($C50&lt;&gt;"",$O50&lt;&gt;""),(VLOOKUP($C50,'V-LOOKUP'!$C$61:$M$120,8,FALSE)),"0")</f>
        <v>0</v>
      </c>
      <c r="DZ50" s="192" t="str">
        <f>IF(AND($C50&lt;&gt;"",$O50&lt;&gt;""),(VLOOKUP($C50,'V-LOOKUP'!$C$61:$M$120,9,FALSE)),"0")</f>
        <v>0</v>
      </c>
      <c r="EA50" s="192" t="str">
        <f>IF(AND($C50&lt;&gt;"",$O50&lt;&gt;""),(VLOOKUP($C50,'V-LOOKUP'!$C$61:$M$120,10,FALSE)),"0")</f>
        <v>0</v>
      </c>
      <c r="EB50" s="192" t="str">
        <f>IF(AND($C50&lt;&gt;"",$O50&lt;&gt;""),(VLOOKUP($C50,'V-LOOKUP'!$C$61:$M$120,11,FALSE)),"0")</f>
        <v>0</v>
      </c>
      <c r="EC50" s="192" t="str">
        <f>IF(AND($C50&lt;&gt;"",$O50&lt;&gt;""),(VLOOKUP($C50,'V-LOOKUP'!$C$61:$N$120,12,FALSE)),"0")</f>
        <v>0</v>
      </c>
      <c r="ED50" s="192" t="str">
        <f>IF(AND($C50&lt;&gt;"",$P50&lt;&gt;""),(VLOOKUP($C50,'V-LOOKUP'!$C$61:$M$120,4,FALSE)),"0")</f>
        <v>0</v>
      </c>
      <c r="EE50" s="192" t="str">
        <f>IF(AND($C50&lt;&gt;"",$P50&lt;&gt;""),(VLOOKUP($C50,'V-LOOKUP'!$C$61:$M$120,5,FALSE)),"0")</f>
        <v>0</v>
      </c>
      <c r="EF50" s="192" t="str">
        <f>IF(AND($C50&lt;&gt;"",$P50&lt;&gt;""),(VLOOKUP($C50,'V-LOOKUP'!$C$61:$M$120,6,FALSE)),"0")</f>
        <v>0</v>
      </c>
      <c r="EG50" s="192" t="str">
        <f>IF(AND($C50&lt;&gt;"",$P50&lt;&gt;""),(VLOOKUP($C50,'V-LOOKUP'!$C$61:$M$120,7,FALSE)),"0")</f>
        <v>0</v>
      </c>
      <c r="EH50" s="192" t="str">
        <f>IF(AND($C50&lt;&gt;"",$P50&lt;&gt;""),(VLOOKUP($C50,'V-LOOKUP'!$C$61:$M$120,8,FALSE)),"0")</f>
        <v>0</v>
      </c>
      <c r="EI50" s="192" t="str">
        <f>IF(AND($C50&lt;&gt;"",$P50&lt;&gt;""),(VLOOKUP($C50,'V-LOOKUP'!$C$61:$M$120,9,FALSE)),"0")</f>
        <v>0</v>
      </c>
      <c r="EJ50" s="192" t="str">
        <f>IF(AND($C50&lt;&gt;"",$P50&lt;&gt;""),(VLOOKUP($C50,'V-LOOKUP'!$C$61:$M$120,10,FALSE)),"0")</f>
        <v>0</v>
      </c>
      <c r="EK50" s="192" t="str">
        <f>IF(AND($C50&lt;&gt;"",$P50&lt;&gt;""),(VLOOKUP($C50,'V-LOOKUP'!$C$61:$M$120,11,FALSE)),"0")</f>
        <v>0</v>
      </c>
      <c r="EL50" s="192" t="str">
        <f>IF(AND($C50&lt;&gt;"",$P50&lt;&gt;""),(VLOOKUP($C50,'V-LOOKUP'!$C$61:$N$120,12,FALSE)),"0")</f>
        <v>0</v>
      </c>
      <c r="EM50" s="192" t="str">
        <f>IF(AND($C50&lt;&gt;"",$Q50&lt;&gt;""),(VLOOKUP($C50,'V-LOOKUP'!$C$61:$M$120,4,FALSE)),"0")</f>
        <v>0</v>
      </c>
      <c r="EN50" s="192" t="str">
        <f>IF(AND($C50&lt;&gt;"",$Q50&lt;&gt;""),(VLOOKUP($C50,'V-LOOKUP'!$C$61:$M$120,5,FALSE)),"0")</f>
        <v>0</v>
      </c>
      <c r="EO50" s="192" t="str">
        <f>IF(AND($C50&lt;&gt;"",$Q50&lt;&gt;""),(VLOOKUP($C50,'V-LOOKUP'!$C$61:$M$120,6,FALSE)),"0")</f>
        <v>0</v>
      </c>
      <c r="EP50" s="192" t="str">
        <f>IF(AND($C50&lt;&gt;"",$Q50&lt;&gt;""),(VLOOKUP($C50,'V-LOOKUP'!$C$61:$M$120,7,FALSE)),"0")</f>
        <v>0</v>
      </c>
      <c r="EQ50" s="192" t="str">
        <f>IF(AND($C50&lt;&gt;"",$Q50&lt;&gt;""),(VLOOKUP($C50,'V-LOOKUP'!$C$61:$M$120,8,FALSE)),"0")</f>
        <v>0</v>
      </c>
      <c r="ER50" s="192" t="str">
        <f>IF(AND($C50&lt;&gt;"",$Q50&lt;&gt;""),(VLOOKUP($C50,'V-LOOKUP'!$C$61:$M$120,9,FALSE)),"0")</f>
        <v>0</v>
      </c>
      <c r="ES50" s="192" t="str">
        <f>IF(AND($C50&lt;&gt;"",$Q50&lt;&gt;""),(VLOOKUP($C50,'V-LOOKUP'!$C$61:$M$120,10,FALSE)),"0")</f>
        <v>0</v>
      </c>
      <c r="ET50" s="192" t="str">
        <f>IF(AND($C50&lt;&gt;"",$Q50&lt;&gt;""),(VLOOKUP($C50,'V-LOOKUP'!$C$61:$M$120,11,FALSE)),"0")</f>
        <v>0</v>
      </c>
      <c r="EU50" s="192" t="str">
        <f>IF(AND($C50&lt;&gt;"",$Q50&lt;&gt;""),(VLOOKUP($C50,'V-LOOKUP'!$C$61:$N$120,12,FALSE)),"0")</f>
        <v>0</v>
      </c>
      <c r="EV50" s="192" t="str">
        <f>IF(AND($C50&lt;&gt;"",$R50&lt;&gt;""),(VLOOKUP($C50,'V-LOOKUP'!$C$61:$M$120,4,FALSE)),"0")</f>
        <v>0</v>
      </c>
      <c r="EW50" s="192" t="str">
        <f>IF(AND($C50&lt;&gt;"",$R50&lt;&gt;""),(VLOOKUP($C50,'V-LOOKUP'!$C$61:$M$120,5,FALSE)),"0")</f>
        <v>0</v>
      </c>
      <c r="EX50" s="192" t="str">
        <f>IF(AND($C50&lt;&gt;"",$R50&lt;&gt;""),(VLOOKUP($C50,'V-LOOKUP'!$C$61:$M$120,6,FALSE)),"0")</f>
        <v>0</v>
      </c>
      <c r="EY50" s="192" t="str">
        <f>IF(AND($C50&lt;&gt;"",$R50&lt;&gt;""),(VLOOKUP($C50,'V-LOOKUP'!$C$61:$M$120,7,FALSE)),"0")</f>
        <v>0</v>
      </c>
      <c r="EZ50" s="192" t="str">
        <f>IF(AND($C50&lt;&gt;"",$R50&lt;&gt;""),(VLOOKUP($C50,'V-LOOKUP'!$C$61:$M$120,8,FALSE)),"0")</f>
        <v>0</v>
      </c>
      <c r="FA50" s="192" t="str">
        <f>IF(AND($C50&lt;&gt;"",$R50&lt;&gt;""),(VLOOKUP($C50,'V-LOOKUP'!$C$61:$M$120,9,FALSE)),"0")</f>
        <v>0</v>
      </c>
      <c r="FB50" s="192" t="str">
        <f>IF(AND($C50&lt;&gt;"",$R50&lt;&gt;""),(VLOOKUP($C50,'V-LOOKUP'!$C$61:$M$120,10,FALSE)),"0")</f>
        <v>0</v>
      </c>
      <c r="FC50" s="192" t="str">
        <f>IF(AND($C50&lt;&gt;"",$R50&lt;&gt;""),(VLOOKUP($C50,'V-LOOKUP'!$C$61:$M$120,11,FALSE)),"0")</f>
        <v>0</v>
      </c>
      <c r="FD50" s="192" t="str">
        <f>IF(AND($C50&lt;&gt;"",$R50&lt;&gt;""),(VLOOKUP($C50,'V-LOOKUP'!$C$61:$N$120,12,FALSE)),"0")</f>
        <v>0</v>
      </c>
      <c r="FE50" s="192" t="str">
        <f>IF(AND($C50&lt;&gt;"",$S50&lt;&gt;""),(VLOOKUP($C50,'V-LOOKUP'!$C$61:$M$120,4,FALSE)),"0")</f>
        <v>0</v>
      </c>
      <c r="FF50" s="192" t="str">
        <f>IF(AND($C50&lt;&gt;"",$S50&lt;&gt;""),(VLOOKUP($C50,'V-LOOKUP'!$C$61:$M$120,5,FALSE)),"0")</f>
        <v>0</v>
      </c>
      <c r="FG50" s="192" t="str">
        <f>IF(AND($C50&lt;&gt;"",$S50&lt;&gt;""),(VLOOKUP($C50,'V-LOOKUP'!$C$61:$M$120,6,FALSE)),"0")</f>
        <v>0</v>
      </c>
      <c r="FH50" s="192" t="str">
        <f>IF(AND($C50&lt;&gt;"",$S50&lt;&gt;""),(VLOOKUP($C50,'V-LOOKUP'!$C$61:$M$120,7,FALSE)),"0")</f>
        <v>0</v>
      </c>
      <c r="FI50" s="192" t="str">
        <f>IF(AND($C50&lt;&gt;"",$S50&lt;&gt;""),(VLOOKUP($C50,'V-LOOKUP'!$C$61:$M$120,8,FALSE)),"0")</f>
        <v>0</v>
      </c>
      <c r="FJ50" s="192" t="str">
        <f>IF(AND($C50&lt;&gt;"",$S50&lt;&gt;""),(VLOOKUP($C50,'V-LOOKUP'!$C$61:$M$120,9,FALSE)),"0")</f>
        <v>0</v>
      </c>
      <c r="FK50" s="192" t="str">
        <f>IF(AND($C50&lt;&gt;"",$S50&lt;&gt;""),(VLOOKUP($C50,'V-LOOKUP'!$C$61:$M$120,10,FALSE)),"0")</f>
        <v>0</v>
      </c>
      <c r="FL50" s="192" t="str">
        <f>IF(AND($C50&lt;&gt;"",$S50&lt;&gt;""),(VLOOKUP($C50,'V-LOOKUP'!$C$61:$M$120,11,FALSE)),"0")</f>
        <v>0</v>
      </c>
      <c r="FM50" s="192" t="str">
        <f>IF(AND($C50&lt;&gt;"",$S50&lt;&gt;""),(VLOOKUP($C50,'V-LOOKUP'!$C$61:$N$120,12,FALSE)),"0")</f>
        <v>0</v>
      </c>
      <c r="FN50" s="192" t="str">
        <f>IF(AND($C50&lt;&gt;"",$T50&lt;&gt;""),(VLOOKUP($C50,'V-LOOKUP'!$C$61:$M$120,4,FALSE)),"0")</f>
        <v>0</v>
      </c>
      <c r="FO50" s="192" t="str">
        <f>IF(AND($C50&lt;&gt;"",$T50&lt;&gt;""),(VLOOKUP($C50,'V-LOOKUP'!$C$61:$M$120,5,FALSE)),"0")</f>
        <v>0</v>
      </c>
      <c r="FP50" s="192" t="str">
        <f>IF(AND($C50&lt;&gt;"",$T50&lt;&gt;""),(VLOOKUP($C50,'V-LOOKUP'!$C$61:$M$120,6,FALSE)),"0")</f>
        <v>0</v>
      </c>
      <c r="FQ50" s="192" t="str">
        <f>IF(AND($C50&lt;&gt;"",$T50&lt;&gt;""),(VLOOKUP($C50,'V-LOOKUP'!$C$61:$M$120,7,FALSE)),"0")</f>
        <v>0</v>
      </c>
      <c r="FR50" s="192" t="str">
        <f>IF(AND($C50&lt;&gt;"",$T50&lt;&gt;""),(VLOOKUP($C50,'V-LOOKUP'!$C$61:$M$120,8,FALSE)),"0")</f>
        <v>0</v>
      </c>
      <c r="FS50" s="192" t="str">
        <f>IF(AND($C50&lt;&gt;"",$T50&lt;&gt;""),(VLOOKUP($C50,'V-LOOKUP'!$C$61:$M$120,9,FALSE)),"0")</f>
        <v>0</v>
      </c>
      <c r="FT50" s="192" t="str">
        <f>IF(AND($C50&lt;&gt;"",$T50&lt;&gt;""),(VLOOKUP($C50,'V-LOOKUP'!$C$61:$M$120,10,FALSE)),"0")</f>
        <v>0</v>
      </c>
      <c r="FU50" s="192" t="str">
        <f>IF(AND($C50&lt;&gt;"",$T50&lt;&gt;""),(VLOOKUP($C50,'V-LOOKUP'!$C$61:$M$120,11,FALSE)),"0")</f>
        <v>0</v>
      </c>
      <c r="FV50" s="192" t="str">
        <f>IF(AND($C50&lt;&gt;"",$T50&lt;&gt;""),(VLOOKUP($C50,'V-LOOKUP'!$C$61:$N$120,12,FALSE)),"0")</f>
        <v>0</v>
      </c>
      <c r="FW50" s="192" t="str">
        <f>IF(AND($C50&lt;&gt;"",$U50&lt;&gt;""),(VLOOKUP($C50,'V-LOOKUP'!$C$61:$M$120,4,FALSE)),"0")</f>
        <v>0</v>
      </c>
      <c r="FX50" s="192" t="str">
        <f>IF(AND($C50&lt;&gt;"",$U50&lt;&gt;""),(VLOOKUP($C50,'V-LOOKUP'!$C$61:$M$120,5,FALSE)),"0")</f>
        <v>0</v>
      </c>
      <c r="FY50" s="192" t="str">
        <f>IF(AND($C50&lt;&gt;"",$U50&lt;&gt;""),(VLOOKUP($C50,'V-LOOKUP'!$C$61:$M$120,6,FALSE)),"0")</f>
        <v>0</v>
      </c>
      <c r="FZ50" s="192" t="str">
        <f>IF(AND($C50&lt;&gt;"",$U50&lt;&gt;""),(VLOOKUP($C50,'V-LOOKUP'!$C$61:$M$120,7,FALSE)),"0")</f>
        <v>0</v>
      </c>
      <c r="GA50" s="192" t="str">
        <f>IF(AND($C50&lt;&gt;"",$U50&lt;&gt;""),(VLOOKUP($C50,'V-LOOKUP'!$C$61:$M$120,8,FALSE)),"0")</f>
        <v>0</v>
      </c>
      <c r="GB50" s="192" t="str">
        <f>IF(AND($C50&lt;&gt;"",$U50&lt;&gt;""),(VLOOKUP($C50,'V-LOOKUP'!$C$61:$M$120,9,FALSE)),"0")</f>
        <v>0</v>
      </c>
      <c r="GC50" s="192" t="str">
        <f>IF(AND($C50&lt;&gt;"",$U50&lt;&gt;""),(VLOOKUP($C50,'V-LOOKUP'!$C$61:$M$120,10,FALSE)),"0")</f>
        <v>0</v>
      </c>
      <c r="GD50" s="192" t="str">
        <f>IF(AND($C50&lt;&gt;"",$U50&lt;&gt;""),(VLOOKUP($C50,'V-LOOKUP'!$C$61:$M$120,11,FALSE)),"0")</f>
        <v>0</v>
      </c>
      <c r="GE50" s="192" t="str">
        <f>IF(AND($C50&lt;&gt;"",$U50&lt;&gt;""),(VLOOKUP($C50,'V-LOOKUP'!$C$61:$N$120,12,FALSE)),"0")</f>
        <v>0</v>
      </c>
      <c r="GF50" s="192" t="str">
        <f>IF(AND($C50&lt;&gt;"",$V50&lt;&gt;""),(VLOOKUP($C50,'V-LOOKUP'!$C$61:$M$120,4,FALSE)),"0")</f>
        <v>0</v>
      </c>
      <c r="GG50" s="192" t="str">
        <f>IF(AND($C50&lt;&gt;"",V50&lt;&gt;""),(VLOOKUP($C50,'V-LOOKUP'!$C$61:$M$120,5,FALSE)),"0")</f>
        <v>0</v>
      </c>
      <c r="GH50" s="192" t="str">
        <f>IF(AND($C50&lt;&gt;"",$V50&lt;&gt;""),(VLOOKUP($C50,'V-LOOKUP'!$C$61:$M$120,6,FALSE)),"0")</f>
        <v>0</v>
      </c>
      <c r="GI50" s="192" t="str">
        <f>IF(AND($C50&lt;&gt;"",$V50&lt;&gt;""),(VLOOKUP($C50,'V-LOOKUP'!$C$61:$M$120,7,FALSE)),"0")</f>
        <v>0</v>
      </c>
      <c r="GJ50" s="192" t="str">
        <f>IF(AND($C50&lt;&gt;"",$V50&lt;&gt;""),(VLOOKUP($C50,'V-LOOKUP'!$C$61:$M$120,8,FALSE)),"0")</f>
        <v>0</v>
      </c>
      <c r="GK50" s="192" t="str">
        <f>IF(AND($C50&lt;&gt;"",$V50&lt;&gt;""),(VLOOKUP($C50,'V-LOOKUP'!$C$61:$M$120,9,FALSE)),"0")</f>
        <v>0</v>
      </c>
      <c r="GL50" s="192" t="str">
        <f>IF(AND($C50&lt;&gt;"",$V50&lt;&gt;""),(VLOOKUP($C50,'V-LOOKUP'!$C$61:$M$120,10,FALSE)),"0")</f>
        <v>0</v>
      </c>
      <c r="GM50" s="192" t="str">
        <f>IF(AND($C50&lt;&gt;"",$V50&lt;&gt;""),(VLOOKUP($C50,'V-LOOKUP'!$C$61:$M$120,11,FALSE)),"0")</f>
        <v>0</v>
      </c>
      <c r="GN50" s="192" t="str">
        <f>IF(AND($C50&lt;&gt;"",$V50&lt;&gt;""),(VLOOKUP($C50,'V-LOOKUP'!$C$61:$N$120,12,FALSE)),"0")</f>
        <v>0</v>
      </c>
      <c r="GO50" s="192" t="str">
        <f>IF(AND($C50&lt;&gt;"",$W50&lt;&gt;""),(VLOOKUP($C50,'V-LOOKUP'!$C$61:$M$120,4,FALSE)),"0")</f>
        <v>0</v>
      </c>
      <c r="GP50" s="192" t="str">
        <f>IF(AND($C50&lt;&gt;"",$W50&lt;&gt;""),(VLOOKUP($C50,'V-LOOKUP'!$C$61:$M$120,5,FALSE)),"0")</f>
        <v>0</v>
      </c>
      <c r="GQ50" s="192" t="str">
        <f>IF(AND($C50&lt;&gt;"",$W50&lt;&gt;""),(VLOOKUP($C50,'V-LOOKUP'!$C$61:$M$120,6,FALSE)),"0")</f>
        <v>0</v>
      </c>
      <c r="GR50" s="192" t="str">
        <f>IF(AND($C50&lt;&gt;"",$W50&lt;&gt;""),(VLOOKUP($C50,'V-LOOKUP'!$C$61:$M$120,7,FALSE)),"0")</f>
        <v>0</v>
      </c>
      <c r="GS50" s="192" t="str">
        <f>IF(AND($C50&lt;&gt;"",$W50&lt;&gt;""),(VLOOKUP($C50,'V-LOOKUP'!$C$61:$M$120,8,FALSE)),"0")</f>
        <v>0</v>
      </c>
      <c r="GT50" s="192" t="str">
        <f>IF(AND($C50&lt;&gt;"",$W50&lt;&gt;""),(VLOOKUP($C50,'V-LOOKUP'!$C$61:$M$120,9,FALSE)),"0")</f>
        <v>0</v>
      </c>
      <c r="GU50" s="192" t="str">
        <f>IF(AND($C50&lt;&gt;"",$W50&lt;&gt;""),(VLOOKUP($C50,'V-LOOKUP'!$C$61:$M$120,10,FALSE)),"0")</f>
        <v>0</v>
      </c>
      <c r="GV50" s="192" t="str">
        <f>IF(AND($C50&lt;&gt;"",$W50&lt;&gt;""),(VLOOKUP($C50,'V-LOOKUP'!$C$61:$M$120,11,FALSE)),"0")</f>
        <v>0</v>
      </c>
      <c r="GW50" s="192" t="str">
        <f>IF(AND($C50&lt;&gt;"",$W50&lt;&gt;""),(VLOOKUP($C50,'V-LOOKUP'!$C$61:$N$120,12,FALSE)),"0")</f>
        <v>0</v>
      </c>
    </row>
    <row r="51" spans="1:205" ht="14.65" hidden="1" customHeight="1">
      <c r="A51" s="193"/>
      <c r="B51" s="245"/>
      <c r="C51" s="203"/>
      <c r="D51" s="202"/>
      <c r="E51" s="202"/>
      <c r="F51" s="202"/>
      <c r="G51" s="202"/>
      <c r="H51" s="202"/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Y51" s="190"/>
      <c r="Z51" s="192" t="str">
        <f>IF(AND($C51&lt;&gt;"",$D51&lt;&gt;""),(VLOOKUP($C51,'V-LOOKUP'!$C$61:$M$120,4,FALSE)),"0")</f>
        <v>0</v>
      </c>
      <c r="AA51" s="192" t="str">
        <f>IF(AND($C51&lt;&gt;"",$D51&lt;&gt;""),(VLOOKUP($C51,'V-LOOKUP'!$C$61:$M$120,5,FALSE)),"0")</f>
        <v>0</v>
      </c>
      <c r="AB51" s="192" t="str">
        <f>IF(AND($C51&lt;&gt;"",$D51&lt;&gt;""),(VLOOKUP($C51,'V-LOOKUP'!$C$61:$M$120,6,FALSE)),"0")</f>
        <v>0</v>
      </c>
      <c r="AC51" s="192" t="str">
        <f>IF(AND($C51&lt;&gt;"",$D51&lt;&gt;""),(VLOOKUP($C51,'V-LOOKUP'!$C$61:$M$120,7,FALSE)),"0")</f>
        <v>0</v>
      </c>
      <c r="AD51" s="192" t="str">
        <f>IF(AND($C51&lt;&gt;"",$D51&lt;&gt;""),(VLOOKUP($C51,'V-LOOKUP'!$C$61:$M$120,8,FALSE)),"0")</f>
        <v>0</v>
      </c>
      <c r="AE51" s="192" t="str">
        <f>IF(AND($C51&lt;&gt;"",$D51&lt;&gt;""),(VLOOKUP($C51,'V-LOOKUP'!$C$61:$M$120,9,FALSE)),"0")</f>
        <v>0</v>
      </c>
      <c r="AF51" s="192" t="str">
        <f>IF(AND($C51&lt;&gt;"",$D51&lt;&gt;""),(VLOOKUP($C51,'V-LOOKUP'!$C$61:$M$120,10,FALSE)),"0")</f>
        <v>0</v>
      </c>
      <c r="AG51" s="192" t="str">
        <f>IF(AND($C51&lt;&gt;"",$D51&lt;&gt;""),(VLOOKUP($C51,'V-LOOKUP'!$C$61:$M$120,11,FALSE)),"0")</f>
        <v>0</v>
      </c>
      <c r="AH51" s="192" t="str">
        <f>IF(AND($C51&lt;&gt;"",$D51&lt;&gt;""),(VLOOKUP($C51,'V-LOOKUP'!$C$61:$N$120,12,FALSE)),"0")</f>
        <v>0</v>
      </c>
      <c r="AI51" s="192" t="str">
        <f>IF(AND($C51&lt;&gt;"",$E51&lt;&gt;""),(VLOOKUP($C51,'V-LOOKUP'!$C$61:$M$120,4,FALSE)),"0")</f>
        <v>0</v>
      </c>
      <c r="AJ51" s="192" t="str">
        <f>IF(AND($C51&lt;&gt;"",$E51&lt;&gt;""),(VLOOKUP($C51,'V-LOOKUP'!$C$61:$M$120,5,FALSE)),"0")</f>
        <v>0</v>
      </c>
      <c r="AK51" s="192" t="str">
        <f>IF(AND($C51&lt;&gt;"",$E51&lt;&gt;""),(VLOOKUP($C51,'V-LOOKUP'!$C$61:$M$120,6,FALSE)),"0")</f>
        <v>0</v>
      </c>
      <c r="AL51" s="192" t="str">
        <f>IF(AND($C51&lt;&gt;"",$E51&lt;&gt;""),(VLOOKUP($C51,'V-LOOKUP'!$C$61:$M$120,7,FALSE)),"0")</f>
        <v>0</v>
      </c>
      <c r="AM51" s="192" t="str">
        <f>IF(AND($C51&lt;&gt;"",$E51&lt;&gt;""),(VLOOKUP($C51,'V-LOOKUP'!$C$61:$M$120,8,FALSE)),"0")</f>
        <v>0</v>
      </c>
      <c r="AN51" s="192" t="str">
        <f>IF(AND($C51&lt;&gt;"",$E51&lt;&gt;""),(VLOOKUP($C51,'V-LOOKUP'!$C$61:$M$120,9,FALSE)),"0")</f>
        <v>0</v>
      </c>
      <c r="AO51" s="192" t="str">
        <f>IF(AND($C51&lt;&gt;"",$E51&lt;&gt;""),(VLOOKUP($C51,'V-LOOKUP'!$C$61:$M$120,10,FALSE)),"0")</f>
        <v>0</v>
      </c>
      <c r="AP51" s="192" t="str">
        <f>IF(AND($C51&lt;&gt;"",$E51&lt;&gt;""),(VLOOKUP($C51,'V-LOOKUP'!$C$61:$M$120,11,FALSE)),"0")</f>
        <v>0</v>
      </c>
      <c r="AQ51" s="192" t="str">
        <f>IF(AND($C51&lt;&gt;"",$E51&lt;&gt;""),(VLOOKUP($C51,'V-LOOKUP'!$C$61:$N$120,12,FALSE)),"0")</f>
        <v>0</v>
      </c>
      <c r="AR51" s="192" t="str">
        <f>IF(AND($C51&lt;&gt;"",$F51&lt;&gt;""),(VLOOKUP($C51,'V-LOOKUP'!$C$61:$M$120,4,FALSE)),"0")</f>
        <v>0</v>
      </c>
      <c r="AS51" s="192" t="str">
        <f>IF(AND($C51&lt;&gt;"",$F51&lt;&gt;""),(VLOOKUP($C51,'V-LOOKUP'!$C$61:$M$120,5,FALSE)),"0")</f>
        <v>0</v>
      </c>
      <c r="AT51" s="192" t="str">
        <f>IF(AND($C51&lt;&gt;"",$F51&lt;&gt;""),(VLOOKUP($C51,'V-LOOKUP'!$C$61:$M$120,6,FALSE)),"0")</f>
        <v>0</v>
      </c>
      <c r="AU51" s="192" t="str">
        <f>IF(AND($C51&lt;&gt;"",$F51&lt;&gt;""),(VLOOKUP($C51,'V-LOOKUP'!$C$61:$M$120,7,FALSE)),"0")</f>
        <v>0</v>
      </c>
      <c r="AV51" s="192" t="str">
        <f>IF(AND($C51&lt;&gt;"",$F51&lt;&gt;""),(VLOOKUP($C51,'V-LOOKUP'!$C$61:$M$120,8,FALSE)),"0")</f>
        <v>0</v>
      </c>
      <c r="AW51" s="192" t="str">
        <f>IF(AND($C51&lt;&gt;"",$F51&lt;&gt;""),(VLOOKUP($C51,'V-LOOKUP'!$C$61:$M$120,9,FALSE)),"0")</f>
        <v>0</v>
      </c>
      <c r="AX51" s="192" t="str">
        <f>IF(AND($C51&lt;&gt;"",$F51&lt;&gt;""),(VLOOKUP($C51,'V-LOOKUP'!$C$61:$M$120,10,FALSE)),"0")</f>
        <v>0</v>
      </c>
      <c r="AY51" s="192" t="str">
        <f>IF(AND($C51&lt;&gt;"",$F51&lt;&gt;""),(VLOOKUP($C51,'V-LOOKUP'!$C$61:$M$120,11,FALSE)),"0")</f>
        <v>0</v>
      </c>
      <c r="AZ51" s="192" t="str">
        <f>IF(AND($C51&lt;&gt;"",$F51&lt;&gt;""),(VLOOKUP($C51,'V-LOOKUP'!$C$61:$N$120,12,FALSE)),"0")</f>
        <v>0</v>
      </c>
      <c r="BA51" s="192" t="str">
        <f>IF(AND($C51&lt;&gt;"",$G51&lt;&gt;""),(VLOOKUP($C51,'V-LOOKUP'!$C$61:$M$120,4,FALSE)),"0")</f>
        <v>0</v>
      </c>
      <c r="BB51" s="192" t="str">
        <f>IF(AND($C51&lt;&gt;"",$G51&lt;&gt;""),(VLOOKUP($C51,'V-LOOKUP'!$C$61:$M$120,5,FALSE)),"0")</f>
        <v>0</v>
      </c>
      <c r="BC51" s="192" t="str">
        <f>IF(AND($C51&lt;&gt;"",$G51&lt;&gt;""),(VLOOKUP($C51,'V-LOOKUP'!$C$61:$M$120,6,FALSE)),"0")</f>
        <v>0</v>
      </c>
      <c r="BD51" s="192" t="str">
        <f>IF(AND($C51&lt;&gt;"",$G51&lt;&gt;""),(VLOOKUP($C51,'V-LOOKUP'!$C$61:$M$120,7,FALSE)),"0")</f>
        <v>0</v>
      </c>
      <c r="BE51" s="192" t="str">
        <f>IF(AND($C51&lt;&gt;"",$G51&lt;&gt;""),(VLOOKUP($C51,'V-LOOKUP'!$C$61:$M$120,8,FALSE)),"0")</f>
        <v>0</v>
      </c>
      <c r="BF51" s="192" t="str">
        <f>IF(AND($C51&lt;&gt;"",$G51&lt;&gt;""),(VLOOKUP($C51,'V-LOOKUP'!$C$61:$M$120,9,FALSE)),"0")</f>
        <v>0</v>
      </c>
      <c r="BG51" s="192" t="str">
        <f>IF(AND($C51&lt;&gt;"",$G51&lt;&gt;""),(VLOOKUP($C51,'V-LOOKUP'!$C$61:$M$120,10,FALSE)),"0")</f>
        <v>0</v>
      </c>
      <c r="BH51" s="192" t="str">
        <f>IF(AND($C51&lt;&gt;"",$G51&lt;&gt;""),(VLOOKUP($C51,'V-LOOKUP'!$C$61:$M$120,11,FALSE)),"0")</f>
        <v>0</v>
      </c>
      <c r="BI51" s="192" t="str">
        <f>IF(AND($C51&lt;&gt;"",$G51&lt;&gt;""),(VLOOKUP($C51,'V-LOOKUP'!$C$61:$N$120,12,FALSE)),"0")</f>
        <v>0</v>
      </c>
      <c r="BJ51" s="192" t="str">
        <f>IF(AND($C51&lt;&gt;"",$H51&lt;&gt;""),(VLOOKUP($C51,'V-LOOKUP'!$C$61:$M$120,4,FALSE)),"0")</f>
        <v>0</v>
      </c>
      <c r="BK51" s="192" t="str">
        <f>IF(AND($C51&lt;&gt;"",$H51&lt;&gt;""),(VLOOKUP($C51,'V-LOOKUP'!$C$61:$M$120,5,FALSE)),"0")</f>
        <v>0</v>
      </c>
      <c r="BL51" s="192" t="str">
        <f>IF(AND($C51&lt;&gt;"",$H51&lt;&gt;""),(VLOOKUP($C51,'V-LOOKUP'!$C$61:$M$120,6,FALSE)),"0")</f>
        <v>0</v>
      </c>
      <c r="BM51" s="192" t="str">
        <f>IF(AND($C51&lt;&gt;"",$H51&lt;&gt;""),(VLOOKUP($C51,'V-LOOKUP'!$C$61:$M$120,7,FALSE)),"0")</f>
        <v>0</v>
      </c>
      <c r="BN51" s="192" t="str">
        <f>IF(AND($C51&lt;&gt;"",$H51&lt;&gt;""),(VLOOKUP($C51,'V-LOOKUP'!$C$61:$M$120,8,FALSE)),"0")</f>
        <v>0</v>
      </c>
      <c r="BO51" s="192" t="str">
        <f>IF(AND($C51&lt;&gt;"",$H51&lt;&gt;""),(VLOOKUP($C51,'V-LOOKUP'!$C$61:$M$120,9,FALSE)),"0")</f>
        <v>0</v>
      </c>
      <c r="BP51" s="192" t="str">
        <f>IF(AND($C51&lt;&gt;"",$H51&lt;&gt;""),(VLOOKUP($C51,'V-LOOKUP'!$C$61:$M$120,10,FALSE)),"0")</f>
        <v>0</v>
      </c>
      <c r="BQ51" s="192" t="str">
        <f>IF(AND($C51&lt;&gt;"",$H51&lt;&gt;""),(VLOOKUP($C51,'V-LOOKUP'!$C$61:$M$120,11,FALSE)),"0")</f>
        <v>0</v>
      </c>
      <c r="BR51" s="192" t="str">
        <f>IF(AND($C51&lt;&gt;"",$H51&lt;&gt;""),(VLOOKUP($C51,'V-LOOKUP'!$C$61:$N$120,12,FALSE)),"0")</f>
        <v>0</v>
      </c>
      <c r="BS51" s="192" t="str">
        <f>IF(AND($C51&lt;&gt;"",$I51&lt;&gt;""),(VLOOKUP($C51,'V-LOOKUP'!$C$61:$M$120,4,FALSE)),"0")</f>
        <v>0</v>
      </c>
      <c r="BT51" s="192" t="str">
        <f>IF(AND($C51&lt;&gt;"",$I51&lt;&gt;""),(VLOOKUP($C51,'V-LOOKUP'!$C$61:$M$120,5,FALSE)),"0")</f>
        <v>0</v>
      </c>
      <c r="BU51" s="192" t="str">
        <f>IF(AND($C51&lt;&gt;"",$I51&lt;&gt;""),(VLOOKUP($C51,'V-LOOKUP'!$C$61:$M$120,6,FALSE)),"0")</f>
        <v>0</v>
      </c>
      <c r="BV51" s="192" t="str">
        <f>IF(AND($C51&lt;&gt;"",$I51&lt;&gt;""),(VLOOKUP($C51,'V-LOOKUP'!$C$61:$M$120,7,FALSE)),"0")</f>
        <v>0</v>
      </c>
      <c r="BW51" s="192" t="str">
        <f>IF(AND($C51&lt;&gt;"",$I51&lt;&gt;""),(VLOOKUP($C51,'V-LOOKUP'!$C$61:$M$120,8,FALSE)),"0")</f>
        <v>0</v>
      </c>
      <c r="BX51" s="192" t="str">
        <f>IF(AND($C51&lt;&gt;"",$I51&lt;&gt;""),(VLOOKUP($C51,'V-LOOKUP'!$C$61:$M$120,9,FALSE)),"0")</f>
        <v>0</v>
      </c>
      <c r="BY51" s="192" t="str">
        <f>IF(AND($C51&lt;&gt;"",$I51&lt;&gt;""),(VLOOKUP($C51,'V-LOOKUP'!$C$61:$M$120,10,FALSE)),"0")</f>
        <v>0</v>
      </c>
      <c r="BZ51" s="192" t="str">
        <f>IF(AND($C51&lt;&gt;"",$I51&lt;&gt;""),(VLOOKUP($C51,'V-LOOKUP'!$C$61:$M$120,11,FALSE)),"0")</f>
        <v>0</v>
      </c>
      <c r="CA51" s="192" t="str">
        <f>IF(AND($C51&lt;&gt;"",$I51&lt;&gt;""),(VLOOKUP($C51,'V-LOOKUP'!$C$61:$N$120,12,FALSE)),"0")</f>
        <v>0</v>
      </c>
      <c r="CB51" s="192" t="str">
        <f>IF(AND($C51&lt;&gt;"",$J51&lt;&gt;""),(VLOOKUP($C51,'V-LOOKUP'!$C$61:$M$120,4,FALSE)),"0")</f>
        <v>0</v>
      </c>
      <c r="CC51" s="192" t="str">
        <f>IF(AND($C51&lt;&gt;"",$J51&lt;&gt;""),(VLOOKUP($C51,'V-LOOKUP'!$C$61:$M$120,5,FALSE)),"0")</f>
        <v>0</v>
      </c>
      <c r="CD51" s="192" t="str">
        <f>IF(AND($C51&lt;&gt;"",$J51&lt;&gt;""),(VLOOKUP($C51,'V-LOOKUP'!$C$61:$M$120,6,FALSE)),"0")</f>
        <v>0</v>
      </c>
      <c r="CE51" s="192" t="str">
        <f>IF(AND($C51&lt;&gt;"",$J51&lt;&gt;""),(VLOOKUP($C51,'V-LOOKUP'!$C$61:$M$120,7,FALSE)),"0")</f>
        <v>0</v>
      </c>
      <c r="CF51" s="192" t="str">
        <f>IF(AND($C51&lt;&gt;"",$J51&lt;&gt;""),(VLOOKUP($C51,'V-LOOKUP'!$C$61:$M$120,8,FALSE)),"0")</f>
        <v>0</v>
      </c>
      <c r="CG51" s="192" t="str">
        <f>IF(AND($C51&lt;&gt;"",$J51&lt;&gt;""),(VLOOKUP($C51,'V-LOOKUP'!$C$61:$M$120,9,FALSE)),"0")</f>
        <v>0</v>
      </c>
      <c r="CH51" s="192" t="str">
        <f>IF(AND($C51&lt;&gt;"",$J51&lt;&gt;""),(VLOOKUP($C51,'V-LOOKUP'!$C$61:$M$120,10,FALSE)),"0")</f>
        <v>0</v>
      </c>
      <c r="CI51" s="192" t="str">
        <f>IF(AND($C51&lt;&gt;"",$J51&lt;&gt;""),(VLOOKUP($C51,'V-LOOKUP'!$C$61:$M$120,11,FALSE)),"0")</f>
        <v>0</v>
      </c>
      <c r="CJ51" s="192" t="str">
        <f>IF(AND($C51&lt;&gt;"",$J51&lt;&gt;""),(VLOOKUP($C51,'V-LOOKUP'!$C$61:$N$120,12,FALSE)),"0")</f>
        <v>0</v>
      </c>
      <c r="CK51" s="192" t="str">
        <f>IF(AND($C51&lt;&gt;"",$K51&lt;&gt;""),(VLOOKUP($C51,'V-LOOKUP'!$C$61:$M$120,4,FALSE)),"0")</f>
        <v>0</v>
      </c>
      <c r="CL51" s="192" t="str">
        <f>IF(AND($C51&lt;&gt;"",$K51&lt;&gt;""),(VLOOKUP($C51,'V-LOOKUP'!$C$61:$M$120,5,FALSE)),"0")</f>
        <v>0</v>
      </c>
      <c r="CM51" s="192" t="str">
        <f>IF(AND($C51&lt;&gt;"",$K51&lt;&gt;""),(VLOOKUP($C51,'V-LOOKUP'!$C$61:$M$120,6,FALSE)),"0")</f>
        <v>0</v>
      </c>
      <c r="CN51" s="192" t="str">
        <f>IF(AND($C51&lt;&gt;"",$K51&lt;&gt;""),(VLOOKUP($C51,'V-LOOKUP'!$C$61:$M$120,7,FALSE)),"0")</f>
        <v>0</v>
      </c>
      <c r="CO51" s="192" t="str">
        <f>IF(AND($C51&lt;&gt;"",$K51&lt;&gt;""),(VLOOKUP($C51,'V-LOOKUP'!$C$61:$M$120,8,FALSE)),"0")</f>
        <v>0</v>
      </c>
      <c r="CP51" s="192" t="str">
        <f>IF(AND($C51&lt;&gt;"",$K51&lt;&gt;""),(VLOOKUP($C51,'V-LOOKUP'!$C$61:$M$120,9,FALSE)),"0")</f>
        <v>0</v>
      </c>
      <c r="CQ51" s="192" t="str">
        <f>IF(AND($C51&lt;&gt;"",$K51&lt;&gt;""),(VLOOKUP($C51,'V-LOOKUP'!$C$61:$M$120,10,FALSE)),"0")</f>
        <v>0</v>
      </c>
      <c r="CR51" s="192" t="str">
        <f>IF(AND($C51&lt;&gt;"",$K51&lt;&gt;""),(VLOOKUP($C51,'V-LOOKUP'!$C$61:$M$120,11,FALSE)),"0")</f>
        <v>0</v>
      </c>
      <c r="CS51" s="192" t="str">
        <f>IF(AND($C51&lt;&gt;"",$K51&lt;&gt;""),(VLOOKUP($C51,'V-LOOKUP'!$C$61:$N$120,12,FALSE)),"0")</f>
        <v>0</v>
      </c>
      <c r="CT51" s="192" t="str">
        <f>IF(AND($C51&lt;&gt;"",$L51&lt;&gt;""),(VLOOKUP($C51,'V-LOOKUP'!$C$61:$M$120,4,FALSE)),"0")</f>
        <v>0</v>
      </c>
      <c r="CU51" s="192" t="str">
        <f>IF(AND($C51&lt;&gt;"",$L51&lt;&gt;""),(VLOOKUP($C51,'V-LOOKUP'!$C$61:$M$120,5,FALSE)),"0")</f>
        <v>0</v>
      </c>
      <c r="CV51" s="192" t="str">
        <f>IF(AND($C51&lt;&gt;"",$L51&lt;&gt;""),(VLOOKUP($C51,'V-LOOKUP'!$C$61:$M$120,6,FALSE)),"0")</f>
        <v>0</v>
      </c>
      <c r="CW51" s="192" t="str">
        <f>IF(AND($C51&lt;&gt;"",$L51&lt;&gt;""),(VLOOKUP($C51,'V-LOOKUP'!$C$61:$M$120,7,FALSE)),"0")</f>
        <v>0</v>
      </c>
      <c r="CX51" s="192" t="str">
        <f>IF(AND($C51&lt;&gt;"",$L51&lt;&gt;""),(VLOOKUP($C51,'V-LOOKUP'!$C$61:$M$120,8,FALSE)),"0")</f>
        <v>0</v>
      </c>
      <c r="CY51" s="192" t="str">
        <f>IF(AND($C51&lt;&gt;"",$L51&lt;&gt;""),(VLOOKUP($C51,'V-LOOKUP'!$C$61:$M$120,9,FALSE)),"0")</f>
        <v>0</v>
      </c>
      <c r="CZ51" s="192" t="str">
        <f>IF(AND($C51&lt;&gt;"",$L51&lt;&gt;""),(VLOOKUP($C51,'V-LOOKUP'!$C$61:$M$120,10,FALSE)),"0")</f>
        <v>0</v>
      </c>
      <c r="DA51" s="192" t="str">
        <f>IF(AND($C51&lt;&gt;"",$L51&lt;&gt;""),(VLOOKUP($C51,'V-LOOKUP'!$C$61:$M$120,11,FALSE)),"0")</f>
        <v>0</v>
      </c>
      <c r="DB51" s="192" t="str">
        <f>IF(AND($C51&lt;&gt;"",$L51&lt;&gt;""),(VLOOKUP($C51,'V-LOOKUP'!$C$61:$N$120,12,FALSE)),"0")</f>
        <v>0</v>
      </c>
      <c r="DC51" s="192" t="str">
        <f>IF(AND($C51&lt;&gt;"",$M51&lt;&gt;""),(VLOOKUP($C51,'V-LOOKUP'!$C$61:$M$120,4,FALSE)),"0")</f>
        <v>0</v>
      </c>
      <c r="DD51" s="192" t="str">
        <f>IF(AND($C51&lt;&gt;"",$M51&lt;&gt;""),(VLOOKUP($C51,'V-LOOKUP'!$C$61:$M$120,5,FALSE)),"0")</f>
        <v>0</v>
      </c>
      <c r="DE51" s="192" t="str">
        <f>IF(AND($C51&lt;&gt;"",$M51&lt;&gt;""),(VLOOKUP($C51,'V-LOOKUP'!$C$61:$M$120,6,FALSE)),"0")</f>
        <v>0</v>
      </c>
      <c r="DF51" s="192" t="str">
        <f>IF(AND($C51&lt;&gt;"",$M51&lt;&gt;""),(VLOOKUP($C51,'V-LOOKUP'!$C$61:$M$120,7,FALSE)),"0")</f>
        <v>0</v>
      </c>
      <c r="DG51" s="192" t="str">
        <f>IF(AND($C51&lt;&gt;"",$M51&lt;&gt;""),(VLOOKUP($C51,'V-LOOKUP'!$C$61:$M$120,8,FALSE)),"0")</f>
        <v>0</v>
      </c>
      <c r="DH51" s="192" t="str">
        <f>IF(AND($C51&lt;&gt;"",$M51&lt;&gt;""),(VLOOKUP($C51,'V-LOOKUP'!$C$61:$M$120,9,FALSE)),"0")</f>
        <v>0</v>
      </c>
      <c r="DI51" s="192" t="str">
        <f>IF(AND($C51&lt;&gt;"",$M51&lt;&gt;""),(VLOOKUP($C51,'V-LOOKUP'!$C$61:$M$120,10,FALSE)),"0")</f>
        <v>0</v>
      </c>
      <c r="DJ51" s="192" t="str">
        <f>IF(AND($C51&lt;&gt;"",$M51&lt;&gt;""),(VLOOKUP($C51,'V-LOOKUP'!$C$61:$M$120,11,FALSE)),"0")</f>
        <v>0</v>
      </c>
      <c r="DK51" s="192" t="str">
        <f>IF(AND($C51&lt;&gt;"",$M51&lt;&gt;""),(VLOOKUP($C51,'V-LOOKUP'!$C$61:$N$120,12,FALSE)),"0")</f>
        <v>0</v>
      </c>
      <c r="DL51" s="192" t="str">
        <f>IF(AND($C51&lt;&gt;"",$N51&lt;&gt;""),(VLOOKUP($C51,'V-LOOKUP'!$C$61:$M$120,4,FALSE)),"0")</f>
        <v>0</v>
      </c>
      <c r="DM51" s="192" t="str">
        <f>IF(AND($C51&lt;&gt;"",$N51&lt;&gt;""),(VLOOKUP($C51,'V-LOOKUP'!$C$61:$M$120,5,FALSE)),"0")</f>
        <v>0</v>
      </c>
      <c r="DN51" s="192" t="str">
        <f>IF(AND($C51&lt;&gt;"",$N51&lt;&gt;""),(VLOOKUP($C51,'V-LOOKUP'!$C$61:$M$120,6,FALSE)),"0")</f>
        <v>0</v>
      </c>
      <c r="DO51" s="192" t="str">
        <f>IF(AND($C51&lt;&gt;"",$N51&lt;&gt;""),(VLOOKUP($C51,'V-LOOKUP'!$C$61:$M$120,7,FALSE)),"0")</f>
        <v>0</v>
      </c>
      <c r="DP51" s="192" t="str">
        <f>IF(AND($C51&lt;&gt;"",$N51&lt;&gt;""),(VLOOKUP($C51,'V-LOOKUP'!$C$61:$M$120,8,FALSE)),"0")</f>
        <v>0</v>
      </c>
      <c r="DQ51" s="192" t="str">
        <f>IF(AND($C51&lt;&gt;"",$N51&lt;&gt;""),(VLOOKUP($C51,'V-LOOKUP'!$C$61:$M$120,9,FALSE)),"0")</f>
        <v>0</v>
      </c>
      <c r="DR51" s="192" t="str">
        <f>IF(AND($C51&lt;&gt;"",$N51&lt;&gt;""),(VLOOKUP($C51,'V-LOOKUP'!$C$61:$M$120,10,FALSE)),"0")</f>
        <v>0</v>
      </c>
      <c r="DS51" s="192" t="str">
        <f>IF(AND($C51&lt;&gt;"",$N51&lt;&gt;""),(VLOOKUP($C51,'V-LOOKUP'!$C$61:$M$120,11,FALSE)),"0")</f>
        <v>0</v>
      </c>
      <c r="DT51" s="192" t="str">
        <f>IF(AND($C51&lt;&gt;"",$N51&lt;&gt;""),(VLOOKUP($C51,'V-LOOKUP'!$C$61:$N$120,12,FALSE)),"0")</f>
        <v>0</v>
      </c>
      <c r="DU51" s="192" t="str">
        <f>IF(AND($C51&lt;&gt;"",$O51&lt;&gt;""),(VLOOKUP($C51,'V-LOOKUP'!$C$61:$M$120,4,FALSE)),"0")</f>
        <v>0</v>
      </c>
      <c r="DV51" s="192" t="str">
        <f>IF(AND($C51&lt;&gt;"",$O51&lt;&gt;""),(VLOOKUP($C51,'V-LOOKUP'!$C$61:$M$120,5,FALSE)),"0")</f>
        <v>0</v>
      </c>
      <c r="DW51" s="192" t="str">
        <f>IF(AND($C51&lt;&gt;"",$O51&lt;&gt;""),(VLOOKUP($C51,'V-LOOKUP'!$C$61:$M$120,6,FALSE)),"0")</f>
        <v>0</v>
      </c>
      <c r="DX51" s="192" t="str">
        <f>IF(AND($C51&lt;&gt;"",$O51&lt;&gt;""),(VLOOKUP($C51,'V-LOOKUP'!$C$61:$M$120,7,FALSE)),"0")</f>
        <v>0</v>
      </c>
      <c r="DY51" s="192" t="str">
        <f>IF(AND($C51&lt;&gt;"",$O51&lt;&gt;""),(VLOOKUP($C51,'V-LOOKUP'!$C$61:$M$120,8,FALSE)),"0")</f>
        <v>0</v>
      </c>
      <c r="DZ51" s="192" t="str">
        <f>IF(AND($C51&lt;&gt;"",$O51&lt;&gt;""),(VLOOKUP($C51,'V-LOOKUP'!$C$61:$M$120,9,FALSE)),"0")</f>
        <v>0</v>
      </c>
      <c r="EA51" s="192" t="str">
        <f>IF(AND($C51&lt;&gt;"",$O51&lt;&gt;""),(VLOOKUP($C51,'V-LOOKUP'!$C$61:$M$120,10,FALSE)),"0")</f>
        <v>0</v>
      </c>
      <c r="EB51" s="192" t="str">
        <f>IF(AND($C51&lt;&gt;"",$O51&lt;&gt;""),(VLOOKUP($C51,'V-LOOKUP'!$C$61:$M$120,11,FALSE)),"0")</f>
        <v>0</v>
      </c>
      <c r="EC51" s="192" t="str">
        <f>IF(AND($C51&lt;&gt;"",$O51&lt;&gt;""),(VLOOKUP($C51,'V-LOOKUP'!$C$61:$N$120,12,FALSE)),"0")</f>
        <v>0</v>
      </c>
      <c r="ED51" s="192" t="str">
        <f>IF(AND($C51&lt;&gt;"",$P51&lt;&gt;""),(VLOOKUP($C51,'V-LOOKUP'!$C$61:$M$120,4,FALSE)),"0")</f>
        <v>0</v>
      </c>
      <c r="EE51" s="192" t="str">
        <f>IF(AND($C51&lt;&gt;"",$P51&lt;&gt;""),(VLOOKUP($C51,'V-LOOKUP'!$C$61:$M$120,5,FALSE)),"0")</f>
        <v>0</v>
      </c>
      <c r="EF51" s="192" t="str">
        <f>IF(AND($C51&lt;&gt;"",$P51&lt;&gt;""),(VLOOKUP($C51,'V-LOOKUP'!$C$61:$M$120,6,FALSE)),"0")</f>
        <v>0</v>
      </c>
      <c r="EG51" s="192" t="str">
        <f>IF(AND($C51&lt;&gt;"",$P51&lt;&gt;""),(VLOOKUP($C51,'V-LOOKUP'!$C$61:$M$120,7,FALSE)),"0")</f>
        <v>0</v>
      </c>
      <c r="EH51" s="192" t="str">
        <f>IF(AND($C51&lt;&gt;"",$P51&lt;&gt;""),(VLOOKUP($C51,'V-LOOKUP'!$C$61:$M$120,8,FALSE)),"0")</f>
        <v>0</v>
      </c>
      <c r="EI51" s="192" t="str">
        <f>IF(AND($C51&lt;&gt;"",$P51&lt;&gt;""),(VLOOKUP($C51,'V-LOOKUP'!$C$61:$M$120,9,FALSE)),"0")</f>
        <v>0</v>
      </c>
      <c r="EJ51" s="192" t="str">
        <f>IF(AND($C51&lt;&gt;"",$P51&lt;&gt;""),(VLOOKUP($C51,'V-LOOKUP'!$C$61:$M$120,10,FALSE)),"0")</f>
        <v>0</v>
      </c>
      <c r="EK51" s="192" t="str">
        <f>IF(AND($C51&lt;&gt;"",$P51&lt;&gt;""),(VLOOKUP($C51,'V-LOOKUP'!$C$61:$M$120,11,FALSE)),"0")</f>
        <v>0</v>
      </c>
      <c r="EL51" s="192" t="str">
        <f>IF(AND($C51&lt;&gt;"",$P51&lt;&gt;""),(VLOOKUP($C51,'V-LOOKUP'!$C$61:$N$120,12,FALSE)),"0")</f>
        <v>0</v>
      </c>
      <c r="EM51" s="192" t="str">
        <f>IF(AND($C51&lt;&gt;"",$Q51&lt;&gt;""),(VLOOKUP($C51,'V-LOOKUP'!$C$61:$M$120,4,FALSE)),"0")</f>
        <v>0</v>
      </c>
      <c r="EN51" s="192" t="str">
        <f>IF(AND($C51&lt;&gt;"",$Q51&lt;&gt;""),(VLOOKUP($C51,'V-LOOKUP'!$C$61:$M$120,5,FALSE)),"0")</f>
        <v>0</v>
      </c>
      <c r="EO51" s="192" t="str">
        <f>IF(AND($C51&lt;&gt;"",$Q51&lt;&gt;""),(VLOOKUP($C51,'V-LOOKUP'!$C$61:$M$120,6,FALSE)),"0")</f>
        <v>0</v>
      </c>
      <c r="EP51" s="192" t="str">
        <f>IF(AND($C51&lt;&gt;"",$Q51&lt;&gt;""),(VLOOKUP($C51,'V-LOOKUP'!$C$61:$M$120,7,FALSE)),"0")</f>
        <v>0</v>
      </c>
      <c r="EQ51" s="192" t="str">
        <f>IF(AND($C51&lt;&gt;"",$Q51&lt;&gt;""),(VLOOKUP($C51,'V-LOOKUP'!$C$61:$M$120,8,FALSE)),"0")</f>
        <v>0</v>
      </c>
      <c r="ER51" s="192" t="str">
        <f>IF(AND($C51&lt;&gt;"",$Q51&lt;&gt;""),(VLOOKUP($C51,'V-LOOKUP'!$C$61:$M$120,9,FALSE)),"0")</f>
        <v>0</v>
      </c>
      <c r="ES51" s="192" t="str">
        <f>IF(AND($C51&lt;&gt;"",$Q51&lt;&gt;""),(VLOOKUP($C51,'V-LOOKUP'!$C$61:$M$120,10,FALSE)),"0")</f>
        <v>0</v>
      </c>
      <c r="ET51" s="192" t="str">
        <f>IF(AND($C51&lt;&gt;"",$Q51&lt;&gt;""),(VLOOKUP($C51,'V-LOOKUP'!$C$61:$M$120,11,FALSE)),"0")</f>
        <v>0</v>
      </c>
      <c r="EU51" s="192" t="str">
        <f>IF(AND($C51&lt;&gt;"",$Q51&lt;&gt;""),(VLOOKUP($C51,'V-LOOKUP'!$C$61:$N$120,12,FALSE)),"0")</f>
        <v>0</v>
      </c>
      <c r="EV51" s="192" t="str">
        <f>IF(AND($C51&lt;&gt;"",$R51&lt;&gt;""),(VLOOKUP($C51,'V-LOOKUP'!$C$61:$M$120,4,FALSE)),"0")</f>
        <v>0</v>
      </c>
      <c r="EW51" s="192" t="str">
        <f>IF(AND($C51&lt;&gt;"",$R51&lt;&gt;""),(VLOOKUP($C51,'V-LOOKUP'!$C$61:$M$120,5,FALSE)),"0")</f>
        <v>0</v>
      </c>
      <c r="EX51" s="192" t="str">
        <f>IF(AND($C51&lt;&gt;"",$R51&lt;&gt;""),(VLOOKUP($C51,'V-LOOKUP'!$C$61:$M$120,6,FALSE)),"0")</f>
        <v>0</v>
      </c>
      <c r="EY51" s="192" t="str">
        <f>IF(AND($C51&lt;&gt;"",$R51&lt;&gt;""),(VLOOKUP($C51,'V-LOOKUP'!$C$61:$M$120,7,FALSE)),"0")</f>
        <v>0</v>
      </c>
      <c r="EZ51" s="192" t="str">
        <f>IF(AND($C51&lt;&gt;"",$R51&lt;&gt;""),(VLOOKUP($C51,'V-LOOKUP'!$C$61:$M$120,8,FALSE)),"0")</f>
        <v>0</v>
      </c>
      <c r="FA51" s="192" t="str">
        <f>IF(AND($C51&lt;&gt;"",$R51&lt;&gt;""),(VLOOKUP($C51,'V-LOOKUP'!$C$61:$M$120,9,FALSE)),"0")</f>
        <v>0</v>
      </c>
      <c r="FB51" s="192" t="str">
        <f>IF(AND($C51&lt;&gt;"",$R51&lt;&gt;""),(VLOOKUP($C51,'V-LOOKUP'!$C$61:$M$120,10,FALSE)),"0")</f>
        <v>0</v>
      </c>
      <c r="FC51" s="192" t="str">
        <f>IF(AND($C51&lt;&gt;"",$R51&lt;&gt;""),(VLOOKUP($C51,'V-LOOKUP'!$C$61:$M$120,11,FALSE)),"0")</f>
        <v>0</v>
      </c>
      <c r="FD51" s="192" t="str">
        <f>IF(AND($C51&lt;&gt;"",$R51&lt;&gt;""),(VLOOKUP($C51,'V-LOOKUP'!$C$61:$N$120,12,FALSE)),"0")</f>
        <v>0</v>
      </c>
      <c r="FE51" s="192" t="str">
        <f>IF(AND($C51&lt;&gt;"",$S51&lt;&gt;""),(VLOOKUP($C51,'V-LOOKUP'!$C$61:$M$120,4,FALSE)),"0")</f>
        <v>0</v>
      </c>
      <c r="FF51" s="192" t="str">
        <f>IF(AND($C51&lt;&gt;"",$S51&lt;&gt;""),(VLOOKUP($C51,'V-LOOKUP'!$C$61:$M$120,5,FALSE)),"0")</f>
        <v>0</v>
      </c>
      <c r="FG51" s="192" t="str">
        <f>IF(AND($C51&lt;&gt;"",$S51&lt;&gt;""),(VLOOKUP($C51,'V-LOOKUP'!$C$61:$M$120,6,FALSE)),"0")</f>
        <v>0</v>
      </c>
      <c r="FH51" s="192" t="str">
        <f>IF(AND($C51&lt;&gt;"",$S51&lt;&gt;""),(VLOOKUP($C51,'V-LOOKUP'!$C$61:$M$120,7,FALSE)),"0")</f>
        <v>0</v>
      </c>
      <c r="FI51" s="192" t="str">
        <f>IF(AND($C51&lt;&gt;"",$S51&lt;&gt;""),(VLOOKUP($C51,'V-LOOKUP'!$C$61:$M$120,8,FALSE)),"0")</f>
        <v>0</v>
      </c>
      <c r="FJ51" s="192" t="str">
        <f>IF(AND($C51&lt;&gt;"",$S51&lt;&gt;""),(VLOOKUP($C51,'V-LOOKUP'!$C$61:$M$120,9,FALSE)),"0")</f>
        <v>0</v>
      </c>
      <c r="FK51" s="192" t="str">
        <f>IF(AND($C51&lt;&gt;"",$S51&lt;&gt;""),(VLOOKUP($C51,'V-LOOKUP'!$C$61:$M$120,10,FALSE)),"0")</f>
        <v>0</v>
      </c>
      <c r="FL51" s="192" t="str">
        <f>IF(AND($C51&lt;&gt;"",$S51&lt;&gt;""),(VLOOKUP($C51,'V-LOOKUP'!$C$61:$M$120,11,FALSE)),"0")</f>
        <v>0</v>
      </c>
      <c r="FM51" s="192" t="str">
        <f>IF(AND($C51&lt;&gt;"",$S51&lt;&gt;""),(VLOOKUP($C51,'V-LOOKUP'!$C$61:$N$120,12,FALSE)),"0")</f>
        <v>0</v>
      </c>
      <c r="FN51" s="192" t="str">
        <f>IF(AND($C51&lt;&gt;"",$T51&lt;&gt;""),(VLOOKUP($C51,'V-LOOKUP'!$C$61:$M$120,4,FALSE)),"0")</f>
        <v>0</v>
      </c>
      <c r="FO51" s="192" t="str">
        <f>IF(AND($C51&lt;&gt;"",$T51&lt;&gt;""),(VLOOKUP($C51,'V-LOOKUP'!$C$61:$M$120,5,FALSE)),"0")</f>
        <v>0</v>
      </c>
      <c r="FP51" s="192" t="str">
        <f>IF(AND($C51&lt;&gt;"",$T51&lt;&gt;""),(VLOOKUP($C51,'V-LOOKUP'!$C$61:$M$120,6,FALSE)),"0")</f>
        <v>0</v>
      </c>
      <c r="FQ51" s="192" t="str">
        <f>IF(AND($C51&lt;&gt;"",$T51&lt;&gt;""),(VLOOKUP($C51,'V-LOOKUP'!$C$61:$M$120,7,FALSE)),"0")</f>
        <v>0</v>
      </c>
      <c r="FR51" s="192" t="str">
        <f>IF(AND($C51&lt;&gt;"",$T51&lt;&gt;""),(VLOOKUP($C51,'V-LOOKUP'!$C$61:$M$120,8,FALSE)),"0")</f>
        <v>0</v>
      </c>
      <c r="FS51" s="192" t="str">
        <f>IF(AND($C51&lt;&gt;"",$T51&lt;&gt;""),(VLOOKUP($C51,'V-LOOKUP'!$C$61:$M$120,9,FALSE)),"0")</f>
        <v>0</v>
      </c>
      <c r="FT51" s="192" t="str">
        <f>IF(AND($C51&lt;&gt;"",$T51&lt;&gt;""),(VLOOKUP($C51,'V-LOOKUP'!$C$61:$M$120,10,FALSE)),"0")</f>
        <v>0</v>
      </c>
      <c r="FU51" s="192" t="str">
        <f>IF(AND($C51&lt;&gt;"",$T51&lt;&gt;""),(VLOOKUP($C51,'V-LOOKUP'!$C$61:$M$120,11,FALSE)),"0")</f>
        <v>0</v>
      </c>
      <c r="FV51" s="192" t="str">
        <f>IF(AND($C51&lt;&gt;"",$T51&lt;&gt;""),(VLOOKUP($C51,'V-LOOKUP'!$C$61:$N$120,12,FALSE)),"0")</f>
        <v>0</v>
      </c>
      <c r="FW51" s="192" t="str">
        <f>IF(AND($C51&lt;&gt;"",$U51&lt;&gt;""),(VLOOKUP($C51,'V-LOOKUP'!$C$61:$M$120,4,FALSE)),"0")</f>
        <v>0</v>
      </c>
      <c r="FX51" s="192" t="str">
        <f>IF(AND($C51&lt;&gt;"",$U51&lt;&gt;""),(VLOOKUP($C51,'V-LOOKUP'!$C$61:$M$120,5,FALSE)),"0")</f>
        <v>0</v>
      </c>
      <c r="FY51" s="192" t="str">
        <f>IF(AND($C51&lt;&gt;"",$U51&lt;&gt;""),(VLOOKUP($C51,'V-LOOKUP'!$C$61:$M$120,6,FALSE)),"0")</f>
        <v>0</v>
      </c>
      <c r="FZ51" s="192" t="str">
        <f>IF(AND($C51&lt;&gt;"",$U51&lt;&gt;""),(VLOOKUP($C51,'V-LOOKUP'!$C$61:$M$120,7,FALSE)),"0")</f>
        <v>0</v>
      </c>
      <c r="GA51" s="192" t="str">
        <f>IF(AND($C51&lt;&gt;"",$U51&lt;&gt;""),(VLOOKUP($C51,'V-LOOKUP'!$C$61:$M$120,8,FALSE)),"0")</f>
        <v>0</v>
      </c>
      <c r="GB51" s="192" t="str">
        <f>IF(AND($C51&lt;&gt;"",$U51&lt;&gt;""),(VLOOKUP($C51,'V-LOOKUP'!$C$61:$M$120,9,FALSE)),"0")</f>
        <v>0</v>
      </c>
      <c r="GC51" s="192" t="str">
        <f>IF(AND($C51&lt;&gt;"",$U51&lt;&gt;""),(VLOOKUP($C51,'V-LOOKUP'!$C$61:$M$120,10,FALSE)),"0")</f>
        <v>0</v>
      </c>
      <c r="GD51" s="192" t="str">
        <f>IF(AND($C51&lt;&gt;"",$U51&lt;&gt;""),(VLOOKUP($C51,'V-LOOKUP'!$C$61:$M$120,11,FALSE)),"0")</f>
        <v>0</v>
      </c>
      <c r="GE51" s="192" t="str">
        <f>IF(AND($C51&lt;&gt;"",$U51&lt;&gt;""),(VLOOKUP($C51,'V-LOOKUP'!$C$61:$N$120,12,FALSE)),"0")</f>
        <v>0</v>
      </c>
      <c r="GF51" s="192" t="str">
        <f>IF(AND($C51&lt;&gt;"",$V51&lt;&gt;""),(VLOOKUP($C51,'V-LOOKUP'!$C$61:$M$120,4,FALSE)),"0")</f>
        <v>0</v>
      </c>
      <c r="GG51" s="192" t="str">
        <f>IF(AND($C51&lt;&gt;"",V51&lt;&gt;""),(VLOOKUP($C51,'V-LOOKUP'!$C$61:$M$120,5,FALSE)),"0")</f>
        <v>0</v>
      </c>
      <c r="GH51" s="192" t="str">
        <f>IF(AND($C51&lt;&gt;"",$V51&lt;&gt;""),(VLOOKUP($C51,'V-LOOKUP'!$C$61:$M$120,6,FALSE)),"0")</f>
        <v>0</v>
      </c>
      <c r="GI51" s="192" t="str">
        <f>IF(AND($C51&lt;&gt;"",$V51&lt;&gt;""),(VLOOKUP($C51,'V-LOOKUP'!$C$61:$M$120,7,FALSE)),"0")</f>
        <v>0</v>
      </c>
      <c r="GJ51" s="192" t="str">
        <f>IF(AND($C51&lt;&gt;"",$V51&lt;&gt;""),(VLOOKUP($C51,'V-LOOKUP'!$C$61:$M$120,8,FALSE)),"0")</f>
        <v>0</v>
      </c>
      <c r="GK51" s="192" t="str">
        <f>IF(AND($C51&lt;&gt;"",$V51&lt;&gt;""),(VLOOKUP($C51,'V-LOOKUP'!$C$61:$M$120,9,FALSE)),"0")</f>
        <v>0</v>
      </c>
      <c r="GL51" s="192" t="str">
        <f>IF(AND($C51&lt;&gt;"",$V51&lt;&gt;""),(VLOOKUP($C51,'V-LOOKUP'!$C$61:$M$120,10,FALSE)),"0")</f>
        <v>0</v>
      </c>
      <c r="GM51" s="192" t="str">
        <f>IF(AND($C51&lt;&gt;"",$V51&lt;&gt;""),(VLOOKUP($C51,'V-LOOKUP'!$C$61:$M$120,11,FALSE)),"0")</f>
        <v>0</v>
      </c>
      <c r="GN51" s="192" t="str">
        <f>IF(AND($C51&lt;&gt;"",$V51&lt;&gt;""),(VLOOKUP($C51,'V-LOOKUP'!$C$61:$N$120,12,FALSE)),"0")</f>
        <v>0</v>
      </c>
      <c r="GO51" s="192" t="str">
        <f>IF(AND($C51&lt;&gt;"",$W51&lt;&gt;""),(VLOOKUP($C51,'V-LOOKUP'!$C$61:$M$120,4,FALSE)),"0")</f>
        <v>0</v>
      </c>
      <c r="GP51" s="192" t="str">
        <f>IF(AND($C51&lt;&gt;"",$W51&lt;&gt;""),(VLOOKUP($C51,'V-LOOKUP'!$C$61:$M$120,5,FALSE)),"0")</f>
        <v>0</v>
      </c>
      <c r="GQ51" s="192" t="str">
        <f>IF(AND($C51&lt;&gt;"",$W51&lt;&gt;""),(VLOOKUP($C51,'V-LOOKUP'!$C$61:$M$120,6,FALSE)),"0")</f>
        <v>0</v>
      </c>
      <c r="GR51" s="192" t="str">
        <f>IF(AND($C51&lt;&gt;"",$W51&lt;&gt;""),(VLOOKUP($C51,'V-LOOKUP'!$C$61:$M$120,7,FALSE)),"0")</f>
        <v>0</v>
      </c>
      <c r="GS51" s="192" t="str">
        <f>IF(AND($C51&lt;&gt;"",$W51&lt;&gt;""),(VLOOKUP($C51,'V-LOOKUP'!$C$61:$M$120,8,FALSE)),"0")</f>
        <v>0</v>
      </c>
      <c r="GT51" s="192" t="str">
        <f>IF(AND($C51&lt;&gt;"",$W51&lt;&gt;""),(VLOOKUP($C51,'V-LOOKUP'!$C$61:$M$120,9,FALSE)),"0")</f>
        <v>0</v>
      </c>
      <c r="GU51" s="192" t="str">
        <f>IF(AND($C51&lt;&gt;"",$W51&lt;&gt;""),(VLOOKUP($C51,'V-LOOKUP'!$C$61:$M$120,10,FALSE)),"0")</f>
        <v>0</v>
      </c>
      <c r="GV51" s="192" t="str">
        <f>IF(AND($C51&lt;&gt;"",$W51&lt;&gt;""),(VLOOKUP($C51,'V-LOOKUP'!$C$61:$M$120,11,FALSE)),"0")</f>
        <v>0</v>
      </c>
      <c r="GW51" s="192" t="str">
        <f>IF(AND($C51&lt;&gt;"",$W51&lt;&gt;""),(VLOOKUP($C51,'V-LOOKUP'!$C$61:$N$120,12,FALSE)),"0")</f>
        <v>0</v>
      </c>
    </row>
    <row r="52" spans="1:205" ht="14.65" hidden="1" customHeight="1">
      <c r="A52" s="193"/>
      <c r="B52" s="245"/>
      <c r="C52" s="203"/>
      <c r="D52" s="202"/>
      <c r="E52" s="202"/>
      <c r="F52" s="202"/>
      <c r="G52" s="202"/>
      <c r="H52" s="202"/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Y52" s="190"/>
      <c r="Z52" s="192" t="str">
        <f>IF(AND($C52&lt;&gt;"",$D52&lt;&gt;""),(VLOOKUP($C52,'V-LOOKUP'!$C$61:$M$120,4,FALSE)),"0")</f>
        <v>0</v>
      </c>
      <c r="AA52" s="192" t="str">
        <f>IF(AND($C52&lt;&gt;"",$D52&lt;&gt;""),(VLOOKUP($C52,'V-LOOKUP'!$C$61:$M$120,5,FALSE)),"0")</f>
        <v>0</v>
      </c>
      <c r="AB52" s="192" t="str">
        <f>IF(AND($C52&lt;&gt;"",$D52&lt;&gt;""),(VLOOKUP($C52,'V-LOOKUP'!$C$61:$M$120,6,FALSE)),"0")</f>
        <v>0</v>
      </c>
      <c r="AC52" s="192" t="str">
        <f>IF(AND($C52&lt;&gt;"",$D52&lt;&gt;""),(VLOOKUP($C52,'V-LOOKUP'!$C$61:$M$120,7,FALSE)),"0")</f>
        <v>0</v>
      </c>
      <c r="AD52" s="192" t="str">
        <f>IF(AND($C52&lt;&gt;"",$D52&lt;&gt;""),(VLOOKUP($C52,'V-LOOKUP'!$C$61:$M$120,8,FALSE)),"0")</f>
        <v>0</v>
      </c>
      <c r="AE52" s="192" t="str">
        <f>IF(AND($C52&lt;&gt;"",$D52&lt;&gt;""),(VLOOKUP($C52,'V-LOOKUP'!$C$61:$M$120,9,FALSE)),"0")</f>
        <v>0</v>
      </c>
      <c r="AF52" s="192" t="str">
        <f>IF(AND($C52&lt;&gt;"",$D52&lt;&gt;""),(VLOOKUP($C52,'V-LOOKUP'!$C$61:$M$120,10,FALSE)),"0")</f>
        <v>0</v>
      </c>
      <c r="AG52" s="192" t="str">
        <f>IF(AND($C52&lt;&gt;"",$D52&lt;&gt;""),(VLOOKUP($C52,'V-LOOKUP'!$C$61:$M$120,11,FALSE)),"0")</f>
        <v>0</v>
      </c>
      <c r="AH52" s="192" t="str">
        <f>IF(AND($C52&lt;&gt;"",$D52&lt;&gt;""),(VLOOKUP($C52,'V-LOOKUP'!$C$61:$N$120,12,FALSE)),"0")</f>
        <v>0</v>
      </c>
      <c r="AI52" s="192" t="str">
        <f>IF(AND($C52&lt;&gt;"",$E52&lt;&gt;""),(VLOOKUP($C52,'V-LOOKUP'!$C$61:$M$120,4,FALSE)),"0")</f>
        <v>0</v>
      </c>
      <c r="AJ52" s="192" t="str">
        <f>IF(AND($C52&lt;&gt;"",$E52&lt;&gt;""),(VLOOKUP($C52,'V-LOOKUP'!$C$61:$M$120,5,FALSE)),"0")</f>
        <v>0</v>
      </c>
      <c r="AK52" s="192" t="str">
        <f>IF(AND($C52&lt;&gt;"",$E52&lt;&gt;""),(VLOOKUP($C52,'V-LOOKUP'!$C$61:$M$120,6,FALSE)),"0")</f>
        <v>0</v>
      </c>
      <c r="AL52" s="192" t="str">
        <f>IF(AND($C52&lt;&gt;"",$E52&lt;&gt;""),(VLOOKUP($C52,'V-LOOKUP'!$C$61:$M$120,7,FALSE)),"0")</f>
        <v>0</v>
      </c>
      <c r="AM52" s="192" t="str">
        <f>IF(AND($C52&lt;&gt;"",$E52&lt;&gt;""),(VLOOKUP($C52,'V-LOOKUP'!$C$61:$M$120,8,FALSE)),"0")</f>
        <v>0</v>
      </c>
      <c r="AN52" s="192" t="str">
        <f>IF(AND($C52&lt;&gt;"",$E52&lt;&gt;""),(VLOOKUP($C52,'V-LOOKUP'!$C$61:$M$120,9,FALSE)),"0")</f>
        <v>0</v>
      </c>
      <c r="AO52" s="192" t="str">
        <f>IF(AND($C52&lt;&gt;"",$E52&lt;&gt;""),(VLOOKUP($C52,'V-LOOKUP'!$C$61:$M$120,10,FALSE)),"0")</f>
        <v>0</v>
      </c>
      <c r="AP52" s="192" t="str">
        <f>IF(AND($C52&lt;&gt;"",$E52&lt;&gt;""),(VLOOKUP($C52,'V-LOOKUP'!$C$61:$M$120,11,FALSE)),"0")</f>
        <v>0</v>
      </c>
      <c r="AQ52" s="192" t="str">
        <f>IF(AND($C52&lt;&gt;"",$E52&lt;&gt;""),(VLOOKUP($C52,'V-LOOKUP'!$C$61:$N$120,12,FALSE)),"0")</f>
        <v>0</v>
      </c>
      <c r="AR52" s="192" t="str">
        <f>IF(AND($C52&lt;&gt;"",$F52&lt;&gt;""),(VLOOKUP($C52,'V-LOOKUP'!$C$61:$M$120,4,FALSE)),"0")</f>
        <v>0</v>
      </c>
      <c r="AS52" s="192" t="str">
        <f>IF(AND($C52&lt;&gt;"",$F52&lt;&gt;""),(VLOOKUP($C52,'V-LOOKUP'!$C$61:$M$120,5,FALSE)),"0")</f>
        <v>0</v>
      </c>
      <c r="AT52" s="192" t="str">
        <f>IF(AND($C52&lt;&gt;"",$F52&lt;&gt;""),(VLOOKUP($C52,'V-LOOKUP'!$C$61:$M$120,6,FALSE)),"0")</f>
        <v>0</v>
      </c>
      <c r="AU52" s="192" t="str">
        <f>IF(AND($C52&lt;&gt;"",$F52&lt;&gt;""),(VLOOKUP($C52,'V-LOOKUP'!$C$61:$M$120,7,FALSE)),"0")</f>
        <v>0</v>
      </c>
      <c r="AV52" s="192" t="str">
        <f>IF(AND($C52&lt;&gt;"",$F52&lt;&gt;""),(VLOOKUP($C52,'V-LOOKUP'!$C$61:$M$120,8,FALSE)),"0")</f>
        <v>0</v>
      </c>
      <c r="AW52" s="192" t="str">
        <f>IF(AND($C52&lt;&gt;"",$F52&lt;&gt;""),(VLOOKUP($C52,'V-LOOKUP'!$C$61:$M$120,9,FALSE)),"0")</f>
        <v>0</v>
      </c>
      <c r="AX52" s="192" t="str">
        <f>IF(AND($C52&lt;&gt;"",$F52&lt;&gt;""),(VLOOKUP($C52,'V-LOOKUP'!$C$61:$M$120,10,FALSE)),"0")</f>
        <v>0</v>
      </c>
      <c r="AY52" s="192" t="str">
        <f>IF(AND($C52&lt;&gt;"",$F52&lt;&gt;""),(VLOOKUP($C52,'V-LOOKUP'!$C$61:$M$120,11,FALSE)),"0")</f>
        <v>0</v>
      </c>
      <c r="AZ52" s="192" t="str">
        <f>IF(AND($C52&lt;&gt;"",$F52&lt;&gt;""),(VLOOKUP($C52,'V-LOOKUP'!$C$61:$N$120,12,FALSE)),"0")</f>
        <v>0</v>
      </c>
      <c r="BA52" s="192" t="str">
        <f>IF(AND($C52&lt;&gt;"",$G52&lt;&gt;""),(VLOOKUP($C52,'V-LOOKUP'!$C$61:$M$120,4,FALSE)),"0")</f>
        <v>0</v>
      </c>
      <c r="BB52" s="192" t="str">
        <f>IF(AND($C52&lt;&gt;"",$G52&lt;&gt;""),(VLOOKUP($C52,'V-LOOKUP'!$C$61:$M$120,5,FALSE)),"0")</f>
        <v>0</v>
      </c>
      <c r="BC52" s="192" t="str">
        <f>IF(AND($C52&lt;&gt;"",$G52&lt;&gt;""),(VLOOKUP($C52,'V-LOOKUP'!$C$61:$M$120,6,FALSE)),"0")</f>
        <v>0</v>
      </c>
      <c r="BD52" s="192" t="str">
        <f>IF(AND($C52&lt;&gt;"",$G52&lt;&gt;""),(VLOOKUP($C52,'V-LOOKUP'!$C$61:$M$120,7,FALSE)),"0")</f>
        <v>0</v>
      </c>
      <c r="BE52" s="192" t="str">
        <f>IF(AND($C52&lt;&gt;"",$G52&lt;&gt;""),(VLOOKUP($C52,'V-LOOKUP'!$C$61:$M$120,8,FALSE)),"0")</f>
        <v>0</v>
      </c>
      <c r="BF52" s="192" t="str">
        <f>IF(AND($C52&lt;&gt;"",$G52&lt;&gt;""),(VLOOKUP($C52,'V-LOOKUP'!$C$61:$M$120,9,FALSE)),"0")</f>
        <v>0</v>
      </c>
      <c r="BG52" s="192" t="str">
        <f>IF(AND($C52&lt;&gt;"",$G52&lt;&gt;""),(VLOOKUP($C52,'V-LOOKUP'!$C$61:$M$120,10,FALSE)),"0")</f>
        <v>0</v>
      </c>
      <c r="BH52" s="192" t="str">
        <f>IF(AND($C52&lt;&gt;"",$G52&lt;&gt;""),(VLOOKUP($C52,'V-LOOKUP'!$C$61:$M$120,11,FALSE)),"0")</f>
        <v>0</v>
      </c>
      <c r="BI52" s="192" t="str">
        <f>IF(AND($C52&lt;&gt;"",$G52&lt;&gt;""),(VLOOKUP($C52,'V-LOOKUP'!$C$61:$N$120,12,FALSE)),"0")</f>
        <v>0</v>
      </c>
      <c r="BJ52" s="192" t="str">
        <f>IF(AND($C52&lt;&gt;"",$H52&lt;&gt;""),(VLOOKUP($C52,'V-LOOKUP'!$C$61:$M$120,4,FALSE)),"0")</f>
        <v>0</v>
      </c>
      <c r="BK52" s="192" t="str">
        <f>IF(AND($C52&lt;&gt;"",$H52&lt;&gt;""),(VLOOKUP($C52,'V-LOOKUP'!$C$61:$M$120,5,FALSE)),"0")</f>
        <v>0</v>
      </c>
      <c r="BL52" s="192" t="str">
        <f>IF(AND($C52&lt;&gt;"",$H52&lt;&gt;""),(VLOOKUP($C52,'V-LOOKUP'!$C$61:$M$120,6,FALSE)),"0")</f>
        <v>0</v>
      </c>
      <c r="BM52" s="192" t="str">
        <f>IF(AND($C52&lt;&gt;"",$H52&lt;&gt;""),(VLOOKUP($C52,'V-LOOKUP'!$C$61:$M$120,7,FALSE)),"0")</f>
        <v>0</v>
      </c>
      <c r="BN52" s="192" t="str">
        <f>IF(AND($C52&lt;&gt;"",$H52&lt;&gt;""),(VLOOKUP($C52,'V-LOOKUP'!$C$61:$M$120,8,FALSE)),"0")</f>
        <v>0</v>
      </c>
      <c r="BO52" s="192" t="str">
        <f>IF(AND($C52&lt;&gt;"",$H52&lt;&gt;""),(VLOOKUP($C52,'V-LOOKUP'!$C$61:$M$120,9,FALSE)),"0")</f>
        <v>0</v>
      </c>
      <c r="BP52" s="192" t="str">
        <f>IF(AND($C52&lt;&gt;"",$H52&lt;&gt;""),(VLOOKUP($C52,'V-LOOKUP'!$C$61:$M$120,10,FALSE)),"0")</f>
        <v>0</v>
      </c>
      <c r="BQ52" s="192" t="str">
        <f>IF(AND($C52&lt;&gt;"",$H52&lt;&gt;""),(VLOOKUP($C52,'V-LOOKUP'!$C$61:$M$120,11,FALSE)),"0")</f>
        <v>0</v>
      </c>
      <c r="BR52" s="192" t="str">
        <f>IF(AND($C52&lt;&gt;"",$H52&lt;&gt;""),(VLOOKUP($C52,'V-LOOKUP'!$C$61:$N$120,12,FALSE)),"0")</f>
        <v>0</v>
      </c>
      <c r="BS52" s="192" t="str">
        <f>IF(AND($C52&lt;&gt;"",$I52&lt;&gt;""),(VLOOKUP($C52,'V-LOOKUP'!$C$61:$M$120,4,FALSE)),"0")</f>
        <v>0</v>
      </c>
      <c r="BT52" s="192" t="str">
        <f>IF(AND($C52&lt;&gt;"",$I52&lt;&gt;""),(VLOOKUP($C52,'V-LOOKUP'!$C$61:$M$120,5,FALSE)),"0")</f>
        <v>0</v>
      </c>
      <c r="BU52" s="192" t="str">
        <f>IF(AND($C52&lt;&gt;"",$I52&lt;&gt;""),(VLOOKUP($C52,'V-LOOKUP'!$C$61:$M$120,6,FALSE)),"0")</f>
        <v>0</v>
      </c>
      <c r="BV52" s="192" t="str">
        <f>IF(AND($C52&lt;&gt;"",$I52&lt;&gt;""),(VLOOKUP($C52,'V-LOOKUP'!$C$61:$M$120,7,FALSE)),"0")</f>
        <v>0</v>
      </c>
      <c r="BW52" s="192" t="str">
        <f>IF(AND($C52&lt;&gt;"",$I52&lt;&gt;""),(VLOOKUP($C52,'V-LOOKUP'!$C$61:$M$120,8,FALSE)),"0")</f>
        <v>0</v>
      </c>
      <c r="BX52" s="192" t="str">
        <f>IF(AND($C52&lt;&gt;"",$I52&lt;&gt;""),(VLOOKUP($C52,'V-LOOKUP'!$C$61:$M$120,9,FALSE)),"0")</f>
        <v>0</v>
      </c>
      <c r="BY52" s="192" t="str">
        <f>IF(AND($C52&lt;&gt;"",$I52&lt;&gt;""),(VLOOKUP($C52,'V-LOOKUP'!$C$61:$M$120,10,FALSE)),"0")</f>
        <v>0</v>
      </c>
      <c r="BZ52" s="192" t="str">
        <f>IF(AND($C52&lt;&gt;"",$I52&lt;&gt;""),(VLOOKUP($C52,'V-LOOKUP'!$C$61:$M$120,11,FALSE)),"0")</f>
        <v>0</v>
      </c>
      <c r="CA52" s="192" t="str">
        <f>IF(AND($C52&lt;&gt;"",$I52&lt;&gt;""),(VLOOKUP($C52,'V-LOOKUP'!$C$61:$N$120,12,FALSE)),"0")</f>
        <v>0</v>
      </c>
      <c r="CB52" s="192" t="str">
        <f>IF(AND($C52&lt;&gt;"",$J52&lt;&gt;""),(VLOOKUP($C52,'V-LOOKUP'!$C$61:$M$120,4,FALSE)),"0")</f>
        <v>0</v>
      </c>
      <c r="CC52" s="192" t="str">
        <f>IF(AND($C52&lt;&gt;"",$J52&lt;&gt;""),(VLOOKUP($C52,'V-LOOKUP'!$C$61:$M$120,5,FALSE)),"0")</f>
        <v>0</v>
      </c>
      <c r="CD52" s="192" t="str">
        <f>IF(AND($C52&lt;&gt;"",$J52&lt;&gt;""),(VLOOKUP($C52,'V-LOOKUP'!$C$61:$M$120,6,FALSE)),"0")</f>
        <v>0</v>
      </c>
      <c r="CE52" s="192" t="str">
        <f>IF(AND($C52&lt;&gt;"",$J52&lt;&gt;""),(VLOOKUP($C52,'V-LOOKUP'!$C$61:$M$120,7,FALSE)),"0")</f>
        <v>0</v>
      </c>
      <c r="CF52" s="192" t="str">
        <f>IF(AND($C52&lt;&gt;"",$J52&lt;&gt;""),(VLOOKUP($C52,'V-LOOKUP'!$C$61:$M$120,8,FALSE)),"0")</f>
        <v>0</v>
      </c>
      <c r="CG52" s="192" t="str">
        <f>IF(AND($C52&lt;&gt;"",$J52&lt;&gt;""),(VLOOKUP($C52,'V-LOOKUP'!$C$61:$M$120,9,FALSE)),"0")</f>
        <v>0</v>
      </c>
      <c r="CH52" s="192" t="str">
        <f>IF(AND($C52&lt;&gt;"",$J52&lt;&gt;""),(VLOOKUP($C52,'V-LOOKUP'!$C$61:$M$120,10,FALSE)),"0")</f>
        <v>0</v>
      </c>
      <c r="CI52" s="192" t="str">
        <f>IF(AND($C52&lt;&gt;"",$J52&lt;&gt;""),(VLOOKUP($C52,'V-LOOKUP'!$C$61:$M$120,11,FALSE)),"0")</f>
        <v>0</v>
      </c>
      <c r="CJ52" s="192" t="str">
        <f>IF(AND($C52&lt;&gt;"",$J52&lt;&gt;""),(VLOOKUP($C52,'V-LOOKUP'!$C$61:$N$120,12,FALSE)),"0")</f>
        <v>0</v>
      </c>
      <c r="CK52" s="192" t="str">
        <f>IF(AND($C52&lt;&gt;"",$K52&lt;&gt;""),(VLOOKUP($C52,'V-LOOKUP'!$C$61:$M$120,4,FALSE)),"0")</f>
        <v>0</v>
      </c>
      <c r="CL52" s="192" t="str">
        <f>IF(AND($C52&lt;&gt;"",$K52&lt;&gt;""),(VLOOKUP($C52,'V-LOOKUP'!$C$61:$M$120,5,FALSE)),"0")</f>
        <v>0</v>
      </c>
      <c r="CM52" s="192" t="str">
        <f>IF(AND($C52&lt;&gt;"",$K52&lt;&gt;""),(VLOOKUP($C52,'V-LOOKUP'!$C$61:$M$120,6,FALSE)),"0")</f>
        <v>0</v>
      </c>
      <c r="CN52" s="192" t="str">
        <f>IF(AND($C52&lt;&gt;"",$K52&lt;&gt;""),(VLOOKUP($C52,'V-LOOKUP'!$C$61:$M$120,7,FALSE)),"0")</f>
        <v>0</v>
      </c>
      <c r="CO52" s="192" t="str">
        <f>IF(AND($C52&lt;&gt;"",$K52&lt;&gt;""),(VLOOKUP($C52,'V-LOOKUP'!$C$61:$M$120,8,FALSE)),"0")</f>
        <v>0</v>
      </c>
      <c r="CP52" s="192" t="str">
        <f>IF(AND($C52&lt;&gt;"",$K52&lt;&gt;""),(VLOOKUP($C52,'V-LOOKUP'!$C$61:$M$120,9,FALSE)),"0")</f>
        <v>0</v>
      </c>
      <c r="CQ52" s="192" t="str">
        <f>IF(AND($C52&lt;&gt;"",$K52&lt;&gt;""),(VLOOKUP($C52,'V-LOOKUP'!$C$61:$M$120,10,FALSE)),"0")</f>
        <v>0</v>
      </c>
      <c r="CR52" s="192" t="str">
        <f>IF(AND($C52&lt;&gt;"",$K52&lt;&gt;""),(VLOOKUP($C52,'V-LOOKUP'!$C$61:$M$120,11,FALSE)),"0")</f>
        <v>0</v>
      </c>
      <c r="CS52" s="192" t="str">
        <f>IF(AND($C52&lt;&gt;"",$K52&lt;&gt;""),(VLOOKUP($C52,'V-LOOKUP'!$C$61:$N$120,12,FALSE)),"0")</f>
        <v>0</v>
      </c>
      <c r="CT52" s="192" t="str">
        <f>IF(AND($C52&lt;&gt;"",$L52&lt;&gt;""),(VLOOKUP($C52,'V-LOOKUP'!$C$61:$M$120,4,FALSE)),"0")</f>
        <v>0</v>
      </c>
      <c r="CU52" s="192" t="str">
        <f>IF(AND($C52&lt;&gt;"",$L52&lt;&gt;""),(VLOOKUP($C52,'V-LOOKUP'!$C$61:$M$120,5,FALSE)),"0")</f>
        <v>0</v>
      </c>
      <c r="CV52" s="192" t="str">
        <f>IF(AND($C52&lt;&gt;"",$L52&lt;&gt;""),(VLOOKUP($C52,'V-LOOKUP'!$C$61:$M$120,6,FALSE)),"0")</f>
        <v>0</v>
      </c>
      <c r="CW52" s="192" t="str">
        <f>IF(AND($C52&lt;&gt;"",$L52&lt;&gt;""),(VLOOKUP($C52,'V-LOOKUP'!$C$61:$M$120,7,FALSE)),"0")</f>
        <v>0</v>
      </c>
      <c r="CX52" s="192" t="str">
        <f>IF(AND($C52&lt;&gt;"",$L52&lt;&gt;""),(VLOOKUP($C52,'V-LOOKUP'!$C$61:$M$120,8,FALSE)),"0")</f>
        <v>0</v>
      </c>
      <c r="CY52" s="192" t="str">
        <f>IF(AND($C52&lt;&gt;"",$L52&lt;&gt;""),(VLOOKUP($C52,'V-LOOKUP'!$C$61:$M$120,9,FALSE)),"0")</f>
        <v>0</v>
      </c>
      <c r="CZ52" s="192" t="str">
        <f>IF(AND($C52&lt;&gt;"",$L52&lt;&gt;""),(VLOOKUP($C52,'V-LOOKUP'!$C$61:$M$120,10,FALSE)),"0")</f>
        <v>0</v>
      </c>
      <c r="DA52" s="192" t="str">
        <f>IF(AND($C52&lt;&gt;"",$L52&lt;&gt;""),(VLOOKUP($C52,'V-LOOKUP'!$C$61:$M$120,11,FALSE)),"0")</f>
        <v>0</v>
      </c>
      <c r="DB52" s="192" t="str">
        <f>IF(AND($C52&lt;&gt;"",$L52&lt;&gt;""),(VLOOKUP($C52,'V-LOOKUP'!$C$61:$N$120,12,FALSE)),"0")</f>
        <v>0</v>
      </c>
      <c r="DC52" s="192" t="str">
        <f>IF(AND($C52&lt;&gt;"",$M52&lt;&gt;""),(VLOOKUP($C52,'V-LOOKUP'!$C$61:$M$120,4,FALSE)),"0")</f>
        <v>0</v>
      </c>
      <c r="DD52" s="192" t="str">
        <f>IF(AND($C52&lt;&gt;"",$M52&lt;&gt;""),(VLOOKUP($C52,'V-LOOKUP'!$C$61:$M$120,5,FALSE)),"0")</f>
        <v>0</v>
      </c>
      <c r="DE52" s="192" t="str">
        <f>IF(AND($C52&lt;&gt;"",$M52&lt;&gt;""),(VLOOKUP($C52,'V-LOOKUP'!$C$61:$M$120,6,FALSE)),"0")</f>
        <v>0</v>
      </c>
      <c r="DF52" s="192" t="str">
        <f>IF(AND($C52&lt;&gt;"",$M52&lt;&gt;""),(VLOOKUP($C52,'V-LOOKUP'!$C$61:$M$120,7,FALSE)),"0")</f>
        <v>0</v>
      </c>
      <c r="DG52" s="192" t="str">
        <f>IF(AND($C52&lt;&gt;"",$M52&lt;&gt;""),(VLOOKUP($C52,'V-LOOKUP'!$C$61:$M$120,8,FALSE)),"0")</f>
        <v>0</v>
      </c>
      <c r="DH52" s="192" t="str">
        <f>IF(AND($C52&lt;&gt;"",$M52&lt;&gt;""),(VLOOKUP($C52,'V-LOOKUP'!$C$61:$M$120,9,FALSE)),"0")</f>
        <v>0</v>
      </c>
      <c r="DI52" s="192" t="str">
        <f>IF(AND($C52&lt;&gt;"",$M52&lt;&gt;""),(VLOOKUP($C52,'V-LOOKUP'!$C$61:$M$120,10,FALSE)),"0")</f>
        <v>0</v>
      </c>
      <c r="DJ52" s="192" t="str">
        <f>IF(AND($C52&lt;&gt;"",$M52&lt;&gt;""),(VLOOKUP($C52,'V-LOOKUP'!$C$61:$M$120,11,FALSE)),"0")</f>
        <v>0</v>
      </c>
      <c r="DK52" s="192" t="str">
        <f>IF(AND($C52&lt;&gt;"",$M52&lt;&gt;""),(VLOOKUP($C52,'V-LOOKUP'!$C$61:$N$120,12,FALSE)),"0")</f>
        <v>0</v>
      </c>
      <c r="DL52" s="192" t="str">
        <f>IF(AND($C52&lt;&gt;"",$N52&lt;&gt;""),(VLOOKUP($C52,'V-LOOKUP'!$C$61:$M$120,4,FALSE)),"0")</f>
        <v>0</v>
      </c>
      <c r="DM52" s="192" t="str">
        <f>IF(AND($C52&lt;&gt;"",$N52&lt;&gt;""),(VLOOKUP($C52,'V-LOOKUP'!$C$61:$M$120,5,FALSE)),"0")</f>
        <v>0</v>
      </c>
      <c r="DN52" s="192" t="str">
        <f>IF(AND($C52&lt;&gt;"",$N52&lt;&gt;""),(VLOOKUP($C52,'V-LOOKUP'!$C$61:$M$120,6,FALSE)),"0")</f>
        <v>0</v>
      </c>
      <c r="DO52" s="192" t="str">
        <f>IF(AND($C52&lt;&gt;"",$N52&lt;&gt;""),(VLOOKUP($C52,'V-LOOKUP'!$C$61:$M$120,7,FALSE)),"0")</f>
        <v>0</v>
      </c>
      <c r="DP52" s="192" t="str">
        <f>IF(AND($C52&lt;&gt;"",$N52&lt;&gt;""),(VLOOKUP($C52,'V-LOOKUP'!$C$61:$M$120,8,FALSE)),"0")</f>
        <v>0</v>
      </c>
      <c r="DQ52" s="192" t="str">
        <f>IF(AND($C52&lt;&gt;"",$N52&lt;&gt;""),(VLOOKUP($C52,'V-LOOKUP'!$C$61:$M$120,9,FALSE)),"0")</f>
        <v>0</v>
      </c>
      <c r="DR52" s="192" t="str">
        <f>IF(AND($C52&lt;&gt;"",$N52&lt;&gt;""),(VLOOKUP($C52,'V-LOOKUP'!$C$61:$M$120,10,FALSE)),"0")</f>
        <v>0</v>
      </c>
      <c r="DS52" s="192" t="str">
        <f>IF(AND($C52&lt;&gt;"",$N52&lt;&gt;""),(VLOOKUP($C52,'V-LOOKUP'!$C$61:$M$120,11,FALSE)),"0")</f>
        <v>0</v>
      </c>
      <c r="DT52" s="192" t="str">
        <f>IF(AND($C52&lt;&gt;"",$N52&lt;&gt;""),(VLOOKUP($C52,'V-LOOKUP'!$C$61:$N$120,12,FALSE)),"0")</f>
        <v>0</v>
      </c>
      <c r="DU52" s="192" t="str">
        <f>IF(AND($C52&lt;&gt;"",$O52&lt;&gt;""),(VLOOKUP($C52,'V-LOOKUP'!$C$61:$M$120,4,FALSE)),"0")</f>
        <v>0</v>
      </c>
      <c r="DV52" s="192" t="str">
        <f>IF(AND($C52&lt;&gt;"",$O52&lt;&gt;""),(VLOOKUP($C52,'V-LOOKUP'!$C$61:$M$120,5,FALSE)),"0")</f>
        <v>0</v>
      </c>
      <c r="DW52" s="192" t="str">
        <f>IF(AND($C52&lt;&gt;"",$O52&lt;&gt;""),(VLOOKUP($C52,'V-LOOKUP'!$C$61:$M$120,6,FALSE)),"0")</f>
        <v>0</v>
      </c>
      <c r="DX52" s="192" t="str">
        <f>IF(AND($C52&lt;&gt;"",$O52&lt;&gt;""),(VLOOKUP($C52,'V-LOOKUP'!$C$61:$M$120,7,FALSE)),"0")</f>
        <v>0</v>
      </c>
      <c r="DY52" s="192" t="str">
        <f>IF(AND($C52&lt;&gt;"",$O52&lt;&gt;""),(VLOOKUP($C52,'V-LOOKUP'!$C$61:$M$120,8,FALSE)),"0")</f>
        <v>0</v>
      </c>
      <c r="DZ52" s="192" t="str">
        <f>IF(AND($C52&lt;&gt;"",$O52&lt;&gt;""),(VLOOKUP($C52,'V-LOOKUP'!$C$61:$M$120,9,FALSE)),"0")</f>
        <v>0</v>
      </c>
      <c r="EA52" s="192" t="str">
        <f>IF(AND($C52&lt;&gt;"",$O52&lt;&gt;""),(VLOOKUP($C52,'V-LOOKUP'!$C$61:$M$120,10,FALSE)),"0")</f>
        <v>0</v>
      </c>
      <c r="EB52" s="192" t="str">
        <f>IF(AND($C52&lt;&gt;"",$O52&lt;&gt;""),(VLOOKUP($C52,'V-LOOKUP'!$C$61:$M$120,11,FALSE)),"0")</f>
        <v>0</v>
      </c>
      <c r="EC52" s="192" t="str">
        <f>IF(AND($C52&lt;&gt;"",$O52&lt;&gt;""),(VLOOKUP($C52,'V-LOOKUP'!$C$61:$N$120,12,FALSE)),"0")</f>
        <v>0</v>
      </c>
      <c r="ED52" s="192" t="str">
        <f>IF(AND($C52&lt;&gt;"",$P52&lt;&gt;""),(VLOOKUP($C52,'V-LOOKUP'!$C$61:$M$120,4,FALSE)),"0")</f>
        <v>0</v>
      </c>
      <c r="EE52" s="192" t="str">
        <f>IF(AND($C52&lt;&gt;"",$P52&lt;&gt;""),(VLOOKUP($C52,'V-LOOKUP'!$C$61:$M$120,5,FALSE)),"0")</f>
        <v>0</v>
      </c>
      <c r="EF52" s="192" t="str">
        <f>IF(AND($C52&lt;&gt;"",$P52&lt;&gt;""),(VLOOKUP($C52,'V-LOOKUP'!$C$61:$M$120,6,FALSE)),"0")</f>
        <v>0</v>
      </c>
      <c r="EG52" s="192" t="str">
        <f>IF(AND($C52&lt;&gt;"",$P52&lt;&gt;""),(VLOOKUP($C52,'V-LOOKUP'!$C$61:$M$120,7,FALSE)),"0")</f>
        <v>0</v>
      </c>
      <c r="EH52" s="192" t="str">
        <f>IF(AND($C52&lt;&gt;"",$P52&lt;&gt;""),(VLOOKUP($C52,'V-LOOKUP'!$C$61:$M$120,8,FALSE)),"0")</f>
        <v>0</v>
      </c>
      <c r="EI52" s="192" t="str">
        <f>IF(AND($C52&lt;&gt;"",$P52&lt;&gt;""),(VLOOKUP($C52,'V-LOOKUP'!$C$61:$M$120,9,FALSE)),"0")</f>
        <v>0</v>
      </c>
      <c r="EJ52" s="192" t="str">
        <f>IF(AND($C52&lt;&gt;"",$P52&lt;&gt;""),(VLOOKUP($C52,'V-LOOKUP'!$C$61:$M$120,10,FALSE)),"0")</f>
        <v>0</v>
      </c>
      <c r="EK52" s="192" t="str">
        <f>IF(AND($C52&lt;&gt;"",$P52&lt;&gt;""),(VLOOKUP($C52,'V-LOOKUP'!$C$61:$M$120,11,FALSE)),"0")</f>
        <v>0</v>
      </c>
      <c r="EL52" s="192" t="str">
        <f>IF(AND($C52&lt;&gt;"",$P52&lt;&gt;""),(VLOOKUP($C52,'V-LOOKUP'!$C$61:$N$120,12,FALSE)),"0")</f>
        <v>0</v>
      </c>
      <c r="EM52" s="192" t="str">
        <f>IF(AND($C52&lt;&gt;"",$Q52&lt;&gt;""),(VLOOKUP($C52,'V-LOOKUP'!$C$61:$M$120,4,FALSE)),"0")</f>
        <v>0</v>
      </c>
      <c r="EN52" s="192" t="str">
        <f>IF(AND($C52&lt;&gt;"",$Q52&lt;&gt;""),(VLOOKUP($C52,'V-LOOKUP'!$C$61:$M$120,5,FALSE)),"0")</f>
        <v>0</v>
      </c>
      <c r="EO52" s="192" t="str">
        <f>IF(AND($C52&lt;&gt;"",$Q52&lt;&gt;""),(VLOOKUP($C52,'V-LOOKUP'!$C$61:$M$120,6,FALSE)),"0")</f>
        <v>0</v>
      </c>
      <c r="EP52" s="192" t="str">
        <f>IF(AND($C52&lt;&gt;"",$Q52&lt;&gt;""),(VLOOKUP($C52,'V-LOOKUP'!$C$61:$M$120,7,FALSE)),"0")</f>
        <v>0</v>
      </c>
      <c r="EQ52" s="192" t="str">
        <f>IF(AND($C52&lt;&gt;"",$Q52&lt;&gt;""),(VLOOKUP($C52,'V-LOOKUP'!$C$61:$M$120,8,FALSE)),"0")</f>
        <v>0</v>
      </c>
      <c r="ER52" s="192" t="str">
        <f>IF(AND($C52&lt;&gt;"",$Q52&lt;&gt;""),(VLOOKUP($C52,'V-LOOKUP'!$C$61:$M$120,9,FALSE)),"0")</f>
        <v>0</v>
      </c>
      <c r="ES52" s="192" t="str">
        <f>IF(AND($C52&lt;&gt;"",$Q52&lt;&gt;""),(VLOOKUP($C52,'V-LOOKUP'!$C$61:$M$120,10,FALSE)),"0")</f>
        <v>0</v>
      </c>
      <c r="ET52" s="192" t="str">
        <f>IF(AND($C52&lt;&gt;"",$Q52&lt;&gt;""),(VLOOKUP($C52,'V-LOOKUP'!$C$61:$M$120,11,FALSE)),"0")</f>
        <v>0</v>
      </c>
      <c r="EU52" s="192" t="str">
        <f>IF(AND($C52&lt;&gt;"",$Q52&lt;&gt;""),(VLOOKUP($C52,'V-LOOKUP'!$C$61:$N$120,12,FALSE)),"0")</f>
        <v>0</v>
      </c>
      <c r="EV52" s="192" t="str">
        <f>IF(AND($C52&lt;&gt;"",$R52&lt;&gt;""),(VLOOKUP($C52,'V-LOOKUP'!$C$61:$M$120,4,FALSE)),"0")</f>
        <v>0</v>
      </c>
      <c r="EW52" s="192" t="str">
        <f>IF(AND($C52&lt;&gt;"",$R52&lt;&gt;""),(VLOOKUP($C52,'V-LOOKUP'!$C$61:$M$120,5,FALSE)),"0")</f>
        <v>0</v>
      </c>
      <c r="EX52" s="192" t="str">
        <f>IF(AND($C52&lt;&gt;"",$R52&lt;&gt;""),(VLOOKUP($C52,'V-LOOKUP'!$C$61:$M$120,6,FALSE)),"0")</f>
        <v>0</v>
      </c>
      <c r="EY52" s="192" t="str">
        <f>IF(AND($C52&lt;&gt;"",$R52&lt;&gt;""),(VLOOKUP($C52,'V-LOOKUP'!$C$61:$M$120,7,FALSE)),"0")</f>
        <v>0</v>
      </c>
      <c r="EZ52" s="192" t="str">
        <f>IF(AND($C52&lt;&gt;"",$R52&lt;&gt;""),(VLOOKUP($C52,'V-LOOKUP'!$C$61:$M$120,8,FALSE)),"0")</f>
        <v>0</v>
      </c>
      <c r="FA52" s="192" t="str">
        <f>IF(AND($C52&lt;&gt;"",$R52&lt;&gt;""),(VLOOKUP($C52,'V-LOOKUP'!$C$61:$M$120,9,FALSE)),"0")</f>
        <v>0</v>
      </c>
      <c r="FB52" s="192" t="str">
        <f>IF(AND($C52&lt;&gt;"",$R52&lt;&gt;""),(VLOOKUP($C52,'V-LOOKUP'!$C$61:$M$120,10,FALSE)),"0")</f>
        <v>0</v>
      </c>
      <c r="FC52" s="192" t="str">
        <f>IF(AND($C52&lt;&gt;"",$R52&lt;&gt;""),(VLOOKUP($C52,'V-LOOKUP'!$C$61:$M$120,11,FALSE)),"0")</f>
        <v>0</v>
      </c>
      <c r="FD52" s="192" t="str">
        <f>IF(AND($C52&lt;&gt;"",$R52&lt;&gt;""),(VLOOKUP($C52,'V-LOOKUP'!$C$61:$N$120,12,FALSE)),"0")</f>
        <v>0</v>
      </c>
      <c r="FE52" s="192" t="str">
        <f>IF(AND($C52&lt;&gt;"",$S52&lt;&gt;""),(VLOOKUP($C52,'V-LOOKUP'!$C$61:$M$120,4,FALSE)),"0")</f>
        <v>0</v>
      </c>
      <c r="FF52" s="192" t="str">
        <f>IF(AND($C52&lt;&gt;"",$S52&lt;&gt;""),(VLOOKUP($C52,'V-LOOKUP'!$C$61:$M$120,5,FALSE)),"0")</f>
        <v>0</v>
      </c>
      <c r="FG52" s="192" t="str">
        <f>IF(AND($C52&lt;&gt;"",$S52&lt;&gt;""),(VLOOKUP($C52,'V-LOOKUP'!$C$61:$M$120,6,FALSE)),"0")</f>
        <v>0</v>
      </c>
      <c r="FH52" s="192" t="str">
        <f>IF(AND($C52&lt;&gt;"",$S52&lt;&gt;""),(VLOOKUP($C52,'V-LOOKUP'!$C$61:$M$120,7,FALSE)),"0")</f>
        <v>0</v>
      </c>
      <c r="FI52" s="192" t="str">
        <f>IF(AND($C52&lt;&gt;"",$S52&lt;&gt;""),(VLOOKUP($C52,'V-LOOKUP'!$C$61:$M$120,8,FALSE)),"0")</f>
        <v>0</v>
      </c>
      <c r="FJ52" s="192" t="str">
        <f>IF(AND($C52&lt;&gt;"",$S52&lt;&gt;""),(VLOOKUP($C52,'V-LOOKUP'!$C$61:$M$120,9,FALSE)),"0")</f>
        <v>0</v>
      </c>
      <c r="FK52" s="192" t="str">
        <f>IF(AND($C52&lt;&gt;"",$S52&lt;&gt;""),(VLOOKUP($C52,'V-LOOKUP'!$C$61:$M$120,10,FALSE)),"0")</f>
        <v>0</v>
      </c>
      <c r="FL52" s="192" t="str">
        <f>IF(AND($C52&lt;&gt;"",$S52&lt;&gt;""),(VLOOKUP($C52,'V-LOOKUP'!$C$61:$M$120,11,FALSE)),"0")</f>
        <v>0</v>
      </c>
      <c r="FM52" s="192" t="str">
        <f>IF(AND($C52&lt;&gt;"",$S52&lt;&gt;""),(VLOOKUP($C52,'V-LOOKUP'!$C$61:$N$120,12,FALSE)),"0")</f>
        <v>0</v>
      </c>
      <c r="FN52" s="192" t="str">
        <f>IF(AND($C52&lt;&gt;"",$T52&lt;&gt;""),(VLOOKUP($C52,'V-LOOKUP'!$C$61:$M$120,4,FALSE)),"0")</f>
        <v>0</v>
      </c>
      <c r="FO52" s="192" t="str">
        <f>IF(AND($C52&lt;&gt;"",$T52&lt;&gt;""),(VLOOKUP($C52,'V-LOOKUP'!$C$61:$M$120,5,FALSE)),"0")</f>
        <v>0</v>
      </c>
      <c r="FP52" s="192" t="str">
        <f>IF(AND($C52&lt;&gt;"",$T52&lt;&gt;""),(VLOOKUP($C52,'V-LOOKUP'!$C$61:$M$120,6,FALSE)),"0")</f>
        <v>0</v>
      </c>
      <c r="FQ52" s="192" t="str">
        <f>IF(AND($C52&lt;&gt;"",$T52&lt;&gt;""),(VLOOKUP($C52,'V-LOOKUP'!$C$61:$M$120,7,FALSE)),"0")</f>
        <v>0</v>
      </c>
      <c r="FR52" s="192" t="str">
        <f>IF(AND($C52&lt;&gt;"",$T52&lt;&gt;""),(VLOOKUP($C52,'V-LOOKUP'!$C$61:$M$120,8,FALSE)),"0")</f>
        <v>0</v>
      </c>
      <c r="FS52" s="192" t="str">
        <f>IF(AND($C52&lt;&gt;"",$T52&lt;&gt;""),(VLOOKUP($C52,'V-LOOKUP'!$C$61:$M$120,9,FALSE)),"0")</f>
        <v>0</v>
      </c>
      <c r="FT52" s="192" t="str">
        <f>IF(AND($C52&lt;&gt;"",$T52&lt;&gt;""),(VLOOKUP($C52,'V-LOOKUP'!$C$61:$M$120,10,FALSE)),"0")</f>
        <v>0</v>
      </c>
      <c r="FU52" s="192" t="str">
        <f>IF(AND($C52&lt;&gt;"",$T52&lt;&gt;""),(VLOOKUP($C52,'V-LOOKUP'!$C$61:$M$120,11,FALSE)),"0")</f>
        <v>0</v>
      </c>
      <c r="FV52" s="192" t="str">
        <f>IF(AND($C52&lt;&gt;"",$T52&lt;&gt;""),(VLOOKUP($C52,'V-LOOKUP'!$C$61:$N$120,12,FALSE)),"0")</f>
        <v>0</v>
      </c>
      <c r="FW52" s="192" t="str">
        <f>IF(AND($C52&lt;&gt;"",$U52&lt;&gt;""),(VLOOKUP($C52,'V-LOOKUP'!$C$61:$M$120,4,FALSE)),"0")</f>
        <v>0</v>
      </c>
      <c r="FX52" s="192" t="str">
        <f>IF(AND($C52&lt;&gt;"",$U52&lt;&gt;""),(VLOOKUP($C52,'V-LOOKUP'!$C$61:$M$120,5,FALSE)),"0")</f>
        <v>0</v>
      </c>
      <c r="FY52" s="192" t="str">
        <f>IF(AND($C52&lt;&gt;"",$U52&lt;&gt;""),(VLOOKUP($C52,'V-LOOKUP'!$C$61:$M$120,6,FALSE)),"0")</f>
        <v>0</v>
      </c>
      <c r="FZ52" s="192" t="str">
        <f>IF(AND($C52&lt;&gt;"",$U52&lt;&gt;""),(VLOOKUP($C52,'V-LOOKUP'!$C$61:$M$120,7,FALSE)),"0")</f>
        <v>0</v>
      </c>
      <c r="GA52" s="192" t="str">
        <f>IF(AND($C52&lt;&gt;"",$U52&lt;&gt;""),(VLOOKUP($C52,'V-LOOKUP'!$C$61:$M$120,8,FALSE)),"0")</f>
        <v>0</v>
      </c>
      <c r="GB52" s="192" t="str">
        <f>IF(AND($C52&lt;&gt;"",$U52&lt;&gt;""),(VLOOKUP($C52,'V-LOOKUP'!$C$61:$M$120,9,FALSE)),"0")</f>
        <v>0</v>
      </c>
      <c r="GC52" s="192" t="str">
        <f>IF(AND($C52&lt;&gt;"",$U52&lt;&gt;""),(VLOOKUP($C52,'V-LOOKUP'!$C$61:$M$120,10,FALSE)),"0")</f>
        <v>0</v>
      </c>
      <c r="GD52" s="192" t="str">
        <f>IF(AND($C52&lt;&gt;"",$U52&lt;&gt;""),(VLOOKUP($C52,'V-LOOKUP'!$C$61:$M$120,11,FALSE)),"0")</f>
        <v>0</v>
      </c>
      <c r="GE52" s="192" t="str">
        <f>IF(AND($C52&lt;&gt;"",$U52&lt;&gt;""),(VLOOKUP($C52,'V-LOOKUP'!$C$61:$N$120,12,FALSE)),"0")</f>
        <v>0</v>
      </c>
      <c r="GF52" s="192" t="str">
        <f>IF(AND($C52&lt;&gt;"",$V52&lt;&gt;""),(VLOOKUP($C52,'V-LOOKUP'!$C$61:$M$120,4,FALSE)),"0")</f>
        <v>0</v>
      </c>
      <c r="GG52" s="192" t="str">
        <f>IF(AND($C52&lt;&gt;"",V52&lt;&gt;""),(VLOOKUP($C52,'V-LOOKUP'!$C$61:$M$120,5,FALSE)),"0")</f>
        <v>0</v>
      </c>
      <c r="GH52" s="192" t="str">
        <f>IF(AND($C52&lt;&gt;"",$V52&lt;&gt;""),(VLOOKUP($C52,'V-LOOKUP'!$C$61:$M$120,6,FALSE)),"0")</f>
        <v>0</v>
      </c>
      <c r="GI52" s="192" t="str">
        <f>IF(AND($C52&lt;&gt;"",$V52&lt;&gt;""),(VLOOKUP($C52,'V-LOOKUP'!$C$61:$M$120,7,FALSE)),"0")</f>
        <v>0</v>
      </c>
      <c r="GJ52" s="192" t="str">
        <f>IF(AND($C52&lt;&gt;"",$V52&lt;&gt;""),(VLOOKUP($C52,'V-LOOKUP'!$C$61:$M$120,8,FALSE)),"0")</f>
        <v>0</v>
      </c>
      <c r="GK52" s="192" t="str">
        <f>IF(AND($C52&lt;&gt;"",$V52&lt;&gt;""),(VLOOKUP($C52,'V-LOOKUP'!$C$61:$M$120,9,FALSE)),"0")</f>
        <v>0</v>
      </c>
      <c r="GL52" s="192" t="str">
        <f>IF(AND($C52&lt;&gt;"",$V52&lt;&gt;""),(VLOOKUP($C52,'V-LOOKUP'!$C$61:$M$120,10,FALSE)),"0")</f>
        <v>0</v>
      </c>
      <c r="GM52" s="192" t="str">
        <f>IF(AND($C52&lt;&gt;"",$V52&lt;&gt;""),(VLOOKUP($C52,'V-LOOKUP'!$C$61:$M$120,11,FALSE)),"0")</f>
        <v>0</v>
      </c>
      <c r="GN52" s="192" t="str">
        <f>IF(AND($C52&lt;&gt;"",$V52&lt;&gt;""),(VLOOKUP($C52,'V-LOOKUP'!$C$61:$N$120,12,FALSE)),"0")</f>
        <v>0</v>
      </c>
      <c r="GO52" s="192" t="str">
        <f>IF(AND($C52&lt;&gt;"",$W52&lt;&gt;""),(VLOOKUP($C52,'V-LOOKUP'!$C$61:$M$120,4,FALSE)),"0")</f>
        <v>0</v>
      </c>
      <c r="GP52" s="192" t="str">
        <f>IF(AND($C52&lt;&gt;"",$W52&lt;&gt;""),(VLOOKUP($C52,'V-LOOKUP'!$C$61:$M$120,5,FALSE)),"0")</f>
        <v>0</v>
      </c>
      <c r="GQ52" s="192" t="str">
        <f>IF(AND($C52&lt;&gt;"",$W52&lt;&gt;""),(VLOOKUP($C52,'V-LOOKUP'!$C$61:$M$120,6,FALSE)),"0")</f>
        <v>0</v>
      </c>
      <c r="GR52" s="192" t="str">
        <f>IF(AND($C52&lt;&gt;"",$W52&lt;&gt;""),(VLOOKUP($C52,'V-LOOKUP'!$C$61:$M$120,7,FALSE)),"0")</f>
        <v>0</v>
      </c>
      <c r="GS52" s="192" t="str">
        <f>IF(AND($C52&lt;&gt;"",$W52&lt;&gt;""),(VLOOKUP($C52,'V-LOOKUP'!$C$61:$M$120,8,FALSE)),"0")</f>
        <v>0</v>
      </c>
      <c r="GT52" s="192" t="str">
        <f>IF(AND($C52&lt;&gt;"",$W52&lt;&gt;""),(VLOOKUP($C52,'V-LOOKUP'!$C$61:$M$120,9,FALSE)),"0")</f>
        <v>0</v>
      </c>
      <c r="GU52" s="192" t="str">
        <f>IF(AND($C52&lt;&gt;"",$W52&lt;&gt;""),(VLOOKUP($C52,'V-LOOKUP'!$C$61:$M$120,10,FALSE)),"0")</f>
        <v>0</v>
      </c>
      <c r="GV52" s="192" t="str">
        <f>IF(AND($C52&lt;&gt;"",$W52&lt;&gt;""),(VLOOKUP($C52,'V-LOOKUP'!$C$61:$M$120,11,FALSE)),"0")</f>
        <v>0</v>
      </c>
      <c r="GW52" s="192" t="str">
        <f>IF(AND($C52&lt;&gt;"",$W52&lt;&gt;""),(VLOOKUP($C52,'V-LOOKUP'!$C$61:$N$120,12,FALSE)),"0")</f>
        <v>0</v>
      </c>
    </row>
    <row r="53" spans="1:205" ht="14.65" hidden="1" customHeight="1">
      <c r="A53" s="193"/>
      <c r="B53" s="245"/>
      <c r="C53" s="203"/>
      <c r="D53" s="202"/>
      <c r="E53" s="202"/>
      <c r="F53" s="202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Y53" s="190"/>
      <c r="Z53" s="192" t="str">
        <f>IF(AND($C53&lt;&gt;"",$D53&lt;&gt;""),(VLOOKUP($C53,'V-LOOKUP'!$C$61:$M$120,4,FALSE)),"0")</f>
        <v>0</v>
      </c>
      <c r="AA53" s="192" t="str">
        <f>IF(AND($C53&lt;&gt;"",$D53&lt;&gt;""),(VLOOKUP($C53,'V-LOOKUP'!$C$61:$M$120,5,FALSE)),"0")</f>
        <v>0</v>
      </c>
      <c r="AB53" s="192" t="str">
        <f>IF(AND($C53&lt;&gt;"",$D53&lt;&gt;""),(VLOOKUP($C53,'V-LOOKUP'!$C$61:$M$120,6,FALSE)),"0")</f>
        <v>0</v>
      </c>
      <c r="AC53" s="192" t="str">
        <f>IF(AND($C53&lt;&gt;"",$D53&lt;&gt;""),(VLOOKUP($C53,'V-LOOKUP'!$C$61:$M$120,7,FALSE)),"0")</f>
        <v>0</v>
      </c>
      <c r="AD53" s="192" t="str">
        <f>IF(AND($C53&lt;&gt;"",$D53&lt;&gt;""),(VLOOKUP($C53,'V-LOOKUP'!$C$61:$M$120,8,FALSE)),"0")</f>
        <v>0</v>
      </c>
      <c r="AE53" s="192" t="str">
        <f>IF(AND($C53&lt;&gt;"",$D53&lt;&gt;""),(VLOOKUP($C53,'V-LOOKUP'!$C$61:$M$120,9,FALSE)),"0")</f>
        <v>0</v>
      </c>
      <c r="AF53" s="192" t="str">
        <f>IF(AND($C53&lt;&gt;"",$D53&lt;&gt;""),(VLOOKUP($C53,'V-LOOKUP'!$C$61:$M$120,10,FALSE)),"0")</f>
        <v>0</v>
      </c>
      <c r="AG53" s="192" t="str">
        <f>IF(AND($C53&lt;&gt;"",$D53&lt;&gt;""),(VLOOKUP($C53,'V-LOOKUP'!$C$61:$M$120,11,FALSE)),"0")</f>
        <v>0</v>
      </c>
      <c r="AH53" s="192" t="str">
        <f>IF(AND($C53&lt;&gt;"",$D53&lt;&gt;""),(VLOOKUP($C53,'V-LOOKUP'!$C$61:$N$120,12,FALSE)),"0")</f>
        <v>0</v>
      </c>
      <c r="AI53" s="192" t="str">
        <f>IF(AND($C53&lt;&gt;"",$E53&lt;&gt;""),(VLOOKUP($C53,'V-LOOKUP'!$C$61:$M$120,4,FALSE)),"0")</f>
        <v>0</v>
      </c>
      <c r="AJ53" s="192" t="str">
        <f>IF(AND($C53&lt;&gt;"",$E53&lt;&gt;""),(VLOOKUP($C53,'V-LOOKUP'!$C$61:$M$120,5,FALSE)),"0")</f>
        <v>0</v>
      </c>
      <c r="AK53" s="192" t="str">
        <f>IF(AND($C53&lt;&gt;"",$E53&lt;&gt;""),(VLOOKUP($C53,'V-LOOKUP'!$C$61:$M$120,6,FALSE)),"0")</f>
        <v>0</v>
      </c>
      <c r="AL53" s="192" t="str">
        <f>IF(AND($C53&lt;&gt;"",$E53&lt;&gt;""),(VLOOKUP($C53,'V-LOOKUP'!$C$61:$M$120,7,FALSE)),"0")</f>
        <v>0</v>
      </c>
      <c r="AM53" s="192" t="str">
        <f>IF(AND($C53&lt;&gt;"",$E53&lt;&gt;""),(VLOOKUP($C53,'V-LOOKUP'!$C$61:$M$120,8,FALSE)),"0")</f>
        <v>0</v>
      </c>
      <c r="AN53" s="192" t="str">
        <f>IF(AND($C53&lt;&gt;"",$E53&lt;&gt;""),(VLOOKUP($C53,'V-LOOKUP'!$C$61:$M$120,9,FALSE)),"0")</f>
        <v>0</v>
      </c>
      <c r="AO53" s="192" t="str">
        <f>IF(AND($C53&lt;&gt;"",$E53&lt;&gt;""),(VLOOKUP($C53,'V-LOOKUP'!$C$61:$M$120,10,FALSE)),"0")</f>
        <v>0</v>
      </c>
      <c r="AP53" s="192" t="str">
        <f>IF(AND($C53&lt;&gt;"",$E53&lt;&gt;""),(VLOOKUP($C53,'V-LOOKUP'!$C$61:$M$120,11,FALSE)),"0")</f>
        <v>0</v>
      </c>
      <c r="AQ53" s="192" t="str">
        <f>IF(AND($C53&lt;&gt;"",$E53&lt;&gt;""),(VLOOKUP($C53,'V-LOOKUP'!$C$61:$N$120,12,FALSE)),"0")</f>
        <v>0</v>
      </c>
      <c r="AR53" s="192" t="str">
        <f>IF(AND($C53&lt;&gt;"",$F53&lt;&gt;""),(VLOOKUP($C53,'V-LOOKUP'!$C$61:$M$120,4,FALSE)),"0")</f>
        <v>0</v>
      </c>
      <c r="AS53" s="192" t="str">
        <f>IF(AND($C53&lt;&gt;"",$F53&lt;&gt;""),(VLOOKUP($C53,'V-LOOKUP'!$C$61:$M$120,5,FALSE)),"0")</f>
        <v>0</v>
      </c>
      <c r="AT53" s="192" t="str">
        <f>IF(AND($C53&lt;&gt;"",$F53&lt;&gt;""),(VLOOKUP($C53,'V-LOOKUP'!$C$61:$M$120,6,FALSE)),"0")</f>
        <v>0</v>
      </c>
      <c r="AU53" s="192" t="str">
        <f>IF(AND($C53&lt;&gt;"",$F53&lt;&gt;""),(VLOOKUP($C53,'V-LOOKUP'!$C$61:$M$120,7,FALSE)),"0")</f>
        <v>0</v>
      </c>
      <c r="AV53" s="192" t="str">
        <f>IF(AND($C53&lt;&gt;"",$F53&lt;&gt;""),(VLOOKUP($C53,'V-LOOKUP'!$C$61:$M$120,8,FALSE)),"0")</f>
        <v>0</v>
      </c>
      <c r="AW53" s="192" t="str">
        <f>IF(AND($C53&lt;&gt;"",$F53&lt;&gt;""),(VLOOKUP($C53,'V-LOOKUP'!$C$61:$M$120,9,FALSE)),"0")</f>
        <v>0</v>
      </c>
      <c r="AX53" s="192" t="str">
        <f>IF(AND($C53&lt;&gt;"",$F53&lt;&gt;""),(VLOOKUP($C53,'V-LOOKUP'!$C$61:$M$120,10,FALSE)),"0")</f>
        <v>0</v>
      </c>
      <c r="AY53" s="192" t="str">
        <f>IF(AND($C53&lt;&gt;"",$F53&lt;&gt;""),(VLOOKUP($C53,'V-LOOKUP'!$C$61:$M$120,11,FALSE)),"0")</f>
        <v>0</v>
      </c>
      <c r="AZ53" s="192" t="str">
        <f>IF(AND($C53&lt;&gt;"",$F53&lt;&gt;""),(VLOOKUP($C53,'V-LOOKUP'!$C$61:$N$120,12,FALSE)),"0")</f>
        <v>0</v>
      </c>
      <c r="BA53" s="192" t="str">
        <f>IF(AND($C53&lt;&gt;"",$G53&lt;&gt;""),(VLOOKUP($C53,'V-LOOKUP'!$C$61:$M$120,4,FALSE)),"0")</f>
        <v>0</v>
      </c>
      <c r="BB53" s="192" t="str">
        <f>IF(AND($C53&lt;&gt;"",$G53&lt;&gt;""),(VLOOKUP($C53,'V-LOOKUP'!$C$61:$M$120,5,FALSE)),"0")</f>
        <v>0</v>
      </c>
      <c r="BC53" s="192" t="str">
        <f>IF(AND($C53&lt;&gt;"",$G53&lt;&gt;""),(VLOOKUP($C53,'V-LOOKUP'!$C$61:$M$120,6,FALSE)),"0")</f>
        <v>0</v>
      </c>
      <c r="BD53" s="192" t="str">
        <f>IF(AND($C53&lt;&gt;"",$G53&lt;&gt;""),(VLOOKUP($C53,'V-LOOKUP'!$C$61:$M$120,7,FALSE)),"0")</f>
        <v>0</v>
      </c>
      <c r="BE53" s="192" t="str">
        <f>IF(AND($C53&lt;&gt;"",$G53&lt;&gt;""),(VLOOKUP($C53,'V-LOOKUP'!$C$61:$M$120,8,FALSE)),"0")</f>
        <v>0</v>
      </c>
      <c r="BF53" s="192" t="str">
        <f>IF(AND($C53&lt;&gt;"",$G53&lt;&gt;""),(VLOOKUP($C53,'V-LOOKUP'!$C$61:$M$120,9,FALSE)),"0")</f>
        <v>0</v>
      </c>
      <c r="BG53" s="192" t="str">
        <f>IF(AND($C53&lt;&gt;"",$G53&lt;&gt;""),(VLOOKUP($C53,'V-LOOKUP'!$C$61:$M$120,10,FALSE)),"0")</f>
        <v>0</v>
      </c>
      <c r="BH53" s="192" t="str">
        <f>IF(AND($C53&lt;&gt;"",$G53&lt;&gt;""),(VLOOKUP($C53,'V-LOOKUP'!$C$61:$M$120,11,FALSE)),"0")</f>
        <v>0</v>
      </c>
      <c r="BI53" s="192" t="str">
        <f>IF(AND($C53&lt;&gt;"",$G53&lt;&gt;""),(VLOOKUP($C53,'V-LOOKUP'!$C$61:$N$120,12,FALSE)),"0")</f>
        <v>0</v>
      </c>
      <c r="BJ53" s="192" t="str">
        <f>IF(AND($C53&lt;&gt;"",$H53&lt;&gt;""),(VLOOKUP($C53,'V-LOOKUP'!$C$61:$M$120,4,FALSE)),"0")</f>
        <v>0</v>
      </c>
      <c r="BK53" s="192" t="str">
        <f>IF(AND($C53&lt;&gt;"",$H53&lt;&gt;""),(VLOOKUP($C53,'V-LOOKUP'!$C$61:$M$120,5,FALSE)),"0")</f>
        <v>0</v>
      </c>
      <c r="BL53" s="192" t="str">
        <f>IF(AND($C53&lt;&gt;"",$H53&lt;&gt;""),(VLOOKUP($C53,'V-LOOKUP'!$C$61:$M$120,6,FALSE)),"0")</f>
        <v>0</v>
      </c>
      <c r="BM53" s="192" t="str">
        <f>IF(AND($C53&lt;&gt;"",$H53&lt;&gt;""),(VLOOKUP($C53,'V-LOOKUP'!$C$61:$M$120,7,FALSE)),"0")</f>
        <v>0</v>
      </c>
      <c r="BN53" s="192" t="str">
        <f>IF(AND($C53&lt;&gt;"",$H53&lt;&gt;""),(VLOOKUP($C53,'V-LOOKUP'!$C$61:$M$120,8,FALSE)),"0")</f>
        <v>0</v>
      </c>
      <c r="BO53" s="192" t="str">
        <f>IF(AND($C53&lt;&gt;"",$H53&lt;&gt;""),(VLOOKUP($C53,'V-LOOKUP'!$C$61:$M$120,9,FALSE)),"0")</f>
        <v>0</v>
      </c>
      <c r="BP53" s="192" t="str">
        <f>IF(AND($C53&lt;&gt;"",$H53&lt;&gt;""),(VLOOKUP($C53,'V-LOOKUP'!$C$61:$M$120,10,FALSE)),"0")</f>
        <v>0</v>
      </c>
      <c r="BQ53" s="192" t="str">
        <f>IF(AND($C53&lt;&gt;"",$H53&lt;&gt;""),(VLOOKUP($C53,'V-LOOKUP'!$C$61:$M$120,11,FALSE)),"0")</f>
        <v>0</v>
      </c>
      <c r="BR53" s="192" t="str">
        <f>IF(AND($C53&lt;&gt;"",$H53&lt;&gt;""),(VLOOKUP($C53,'V-LOOKUP'!$C$61:$N$120,12,FALSE)),"0")</f>
        <v>0</v>
      </c>
      <c r="BS53" s="192" t="str">
        <f>IF(AND($C53&lt;&gt;"",$I53&lt;&gt;""),(VLOOKUP($C53,'V-LOOKUP'!$C$61:$M$120,4,FALSE)),"0")</f>
        <v>0</v>
      </c>
      <c r="BT53" s="192" t="str">
        <f>IF(AND($C53&lt;&gt;"",$I53&lt;&gt;""),(VLOOKUP($C53,'V-LOOKUP'!$C$61:$M$120,5,FALSE)),"0")</f>
        <v>0</v>
      </c>
      <c r="BU53" s="192" t="str">
        <f>IF(AND($C53&lt;&gt;"",$I53&lt;&gt;""),(VLOOKUP($C53,'V-LOOKUP'!$C$61:$M$120,6,FALSE)),"0")</f>
        <v>0</v>
      </c>
      <c r="BV53" s="192" t="str">
        <f>IF(AND($C53&lt;&gt;"",$I53&lt;&gt;""),(VLOOKUP($C53,'V-LOOKUP'!$C$61:$M$120,7,FALSE)),"0")</f>
        <v>0</v>
      </c>
      <c r="BW53" s="192" t="str">
        <f>IF(AND($C53&lt;&gt;"",$I53&lt;&gt;""),(VLOOKUP($C53,'V-LOOKUP'!$C$61:$M$120,8,FALSE)),"0")</f>
        <v>0</v>
      </c>
      <c r="BX53" s="192" t="str">
        <f>IF(AND($C53&lt;&gt;"",$I53&lt;&gt;""),(VLOOKUP($C53,'V-LOOKUP'!$C$61:$M$120,9,FALSE)),"0")</f>
        <v>0</v>
      </c>
      <c r="BY53" s="192" t="str">
        <f>IF(AND($C53&lt;&gt;"",$I53&lt;&gt;""),(VLOOKUP($C53,'V-LOOKUP'!$C$61:$M$120,10,FALSE)),"0")</f>
        <v>0</v>
      </c>
      <c r="BZ53" s="192" t="str">
        <f>IF(AND($C53&lt;&gt;"",$I53&lt;&gt;""),(VLOOKUP($C53,'V-LOOKUP'!$C$61:$M$120,11,FALSE)),"0")</f>
        <v>0</v>
      </c>
      <c r="CA53" s="192" t="str">
        <f>IF(AND($C53&lt;&gt;"",$I53&lt;&gt;""),(VLOOKUP($C53,'V-LOOKUP'!$C$61:$N$120,12,FALSE)),"0")</f>
        <v>0</v>
      </c>
      <c r="CB53" s="192" t="str">
        <f>IF(AND($C53&lt;&gt;"",$J53&lt;&gt;""),(VLOOKUP($C53,'V-LOOKUP'!$C$61:$M$120,4,FALSE)),"0")</f>
        <v>0</v>
      </c>
      <c r="CC53" s="192" t="str">
        <f>IF(AND($C53&lt;&gt;"",$J53&lt;&gt;""),(VLOOKUP($C53,'V-LOOKUP'!$C$61:$M$120,5,FALSE)),"0")</f>
        <v>0</v>
      </c>
      <c r="CD53" s="192" t="str">
        <f>IF(AND($C53&lt;&gt;"",$J53&lt;&gt;""),(VLOOKUP($C53,'V-LOOKUP'!$C$61:$M$120,6,FALSE)),"0")</f>
        <v>0</v>
      </c>
      <c r="CE53" s="192" t="str">
        <f>IF(AND($C53&lt;&gt;"",$J53&lt;&gt;""),(VLOOKUP($C53,'V-LOOKUP'!$C$61:$M$120,7,FALSE)),"0")</f>
        <v>0</v>
      </c>
      <c r="CF53" s="192" t="str">
        <f>IF(AND($C53&lt;&gt;"",$J53&lt;&gt;""),(VLOOKUP($C53,'V-LOOKUP'!$C$61:$M$120,8,FALSE)),"0")</f>
        <v>0</v>
      </c>
      <c r="CG53" s="192" t="str">
        <f>IF(AND($C53&lt;&gt;"",$J53&lt;&gt;""),(VLOOKUP($C53,'V-LOOKUP'!$C$61:$M$120,9,FALSE)),"0")</f>
        <v>0</v>
      </c>
      <c r="CH53" s="192" t="str">
        <f>IF(AND($C53&lt;&gt;"",$J53&lt;&gt;""),(VLOOKUP($C53,'V-LOOKUP'!$C$61:$M$120,10,FALSE)),"0")</f>
        <v>0</v>
      </c>
      <c r="CI53" s="192" t="str">
        <f>IF(AND($C53&lt;&gt;"",$J53&lt;&gt;""),(VLOOKUP($C53,'V-LOOKUP'!$C$61:$M$120,11,FALSE)),"0")</f>
        <v>0</v>
      </c>
      <c r="CJ53" s="192" t="str">
        <f>IF(AND($C53&lt;&gt;"",$J53&lt;&gt;""),(VLOOKUP($C53,'V-LOOKUP'!$C$61:$N$120,12,FALSE)),"0")</f>
        <v>0</v>
      </c>
      <c r="CK53" s="192" t="str">
        <f>IF(AND($C53&lt;&gt;"",$K53&lt;&gt;""),(VLOOKUP($C53,'V-LOOKUP'!$C$61:$M$120,4,FALSE)),"0")</f>
        <v>0</v>
      </c>
      <c r="CL53" s="192" t="str">
        <f>IF(AND($C53&lt;&gt;"",$K53&lt;&gt;""),(VLOOKUP($C53,'V-LOOKUP'!$C$61:$M$120,5,FALSE)),"0")</f>
        <v>0</v>
      </c>
      <c r="CM53" s="192" t="str">
        <f>IF(AND($C53&lt;&gt;"",$K53&lt;&gt;""),(VLOOKUP($C53,'V-LOOKUP'!$C$61:$M$120,6,FALSE)),"0")</f>
        <v>0</v>
      </c>
      <c r="CN53" s="192" t="str">
        <f>IF(AND($C53&lt;&gt;"",$K53&lt;&gt;""),(VLOOKUP($C53,'V-LOOKUP'!$C$61:$M$120,7,FALSE)),"0")</f>
        <v>0</v>
      </c>
      <c r="CO53" s="192" t="str">
        <f>IF(AND($C53&lt;&gt;"",$K53&lt;&gt;""),(VLOOKUP($C53,'V-LOOKUP'!$C$61:$M$120,8,FALSE)),"0")</f>
        <v>0</v>
      </c>
      <c r="CP53" s="192" t="str">
        <f>IF(AND($C53&lt;&gt;"",$K53&lt;&gt;""),(VLOOKUP($C53,'V-LOOKUP'!$C$61:$M$120,9,FALSE)),"0")</f>
        <v>0</v>
      </c>
      <c r="CQ53" s="192" t="str">
        <f>IF(AND($C53&lt;&gt;"",$K53&lt;&gt;""),(VLOOKUP($C53,'V-LOOKUP'!$C$61:$M$120,10,FALSE)),"0")</f>
        <v>0</v>
      </c>
      <c r="CR53" s="192" t="str">
        <f>IF(AND($C53&lt;&gt;"",$K53&lt;&gt;""),(VLOOKUP($C53,'V-LOOKUP'!$C$61:$M$120,11,FALSE)),"0")</f>
        <v>0</v>
      </c>
      <c r="CS53" s="192" t="str">
        <f>IF(AND($C53&lt;&gt;"",$K53&lt;&gt;""),(VLOOKUP($C53,'V-LOOKUP'!$C$61:$N$120,12,FALSE)),"0")</f>
        <v>0</v>
      </c>
      <c r="CT53" s="192" t="str">
        <f>IF(AND($C53&lt;&gt;"",$L53&lt;&gt;""),(VLOOKUP($C53,'V-LOOKUP'!$C$61:$M$120,4,FALSE)),"0")</f>
        <v>0</v>
      </c>
      <c r="CU53" s="192" t="str">
        <f>IF(AND($C53&lt;&gt;"",$L53&lt;&gt;""),(VLOOKUP($C53,'V-LOOKUP'!$C$61:$M$120,5,FALSE)),"0")</f>
        <v>0</v>
      </c>
      <c r="CV53" s="192" t="str">
        <f>IF(AND($C53&lt;&gt;"",$L53&lt;&gt;""),(VLOOKUP($C53,'V-LOOKUP'!$C$61:$M$120,6,FALSE)),"0")</f>
        <v>0</v>
      </c>
      <c r="CW53" s="192" t="str">
        <f>IF(AND($C53&lt;&gt;"",$L53&lt;&gt;""),(VLOOKUP($C53,'V-LOOKUP'!$C$61:$M$120,7,FALSE)),"0")</f>
        <v>0</v>
      </c>
      <c r="CX53" s="192" t="str">
        <f>IF(AND($C53&lt;&gt;"",$L53&lt;&gt;""),(VLOOKUP($C53,'V-LOOKUP'!$C$61:$M$120,8,FALSE)),"0")</f>
        <v>0</v>
      </c>
      <c r="CY53" s="192" t="str">
        <f>IF(AND($C53&lt;&gt;"",$L53&lt;&gt;""),(VLOOKUP($C53,'V-LOOKUP'!$C$61:$M$120,9,FALSE)),"0")</f>
        <v>0</v>
      </c>
      <c r="CZ53" s="192" t="str">
        <f>IF(AND($C53&lt;&gt;"",$L53&lt;&gt;""),(VLOOKUP($C53,'V-LOOKUP'!$C$61:$M$120,10,FALSE)),"0")</f>
        <v>0</v>
      </c>
      <c r="DA53" s="192" t="str">
        <f>IF(AND($C53&lt;&gt;"",$L53&lt;&gt;""),(VLOOKUP($C53,'V-LOOKUP'!$C$61:$M$120,11,FALSE)),"0")</f>
        <v>0</v>
      </c>
      <c r="DB53" s="192" t="str">
        <f>IF(AND($C53&lt;&gt;"",$L53&lt;&gt;""),(VLOOKUP($C53,'V-LOOKUP'!$C$61:$N$120,12,FALSE)),"0")</f>
        <v>0</v>
      </c>
      <c r="DC53" s="192" t="str">
        <f>IF(AND($C53&lt;&gt;"",$M53&lt;&gt;""),(VLOOKUP($C53,'V-LOOKUP'!$C$61:$M$120,4,FALSE)),"0")</f>
        <v>0</v>
      </c>
      <c r="DD53" s="192" t="str">
        <f>IF(AND($C53&lt;&gt;"",$M53&lt;&gt;""),(VLOOKUP($C53,'V-LOOKUP'!$C$61:$M$120,5,FALSE)),"0")</f>
        <v>0</v>
      </c>
      <c r="DE53" s="192" t="str">
        <f>IF(AND($C53&lt;&gt;"",$M53&lt;&gt;""),(VLOOKUP($C53,'V-LOOKUP'!$C$61:$M$120,6,FALSE)),"0")</f>
        <v>0</v>
      </c>
      <c r="DF53" s="192" t="str">
        <f>IF(AND($C53&lt;&gt;"",$M53&lt;&gt;""),(VLOOKUP($C53,'V-LOOKUP'!$C$61:$M$120,7,FALSE)),"0")</f>
        <v>0</v>
      </c>
      <c r="DG53" s="192" t="str">
        <f>IF(AND($C53&lt;&gt;"",$M53&lt;&gt;""),(VLOOKUP($C53,'V-LOOKUP'!$C$61:$M$120,8,FALSE)),"0")</f>
        <v>0</v>
      </c>
      <c r="DH53" s="192" t="str">
        <f>IF(AND($C53&lt;&gt;"",$M53&lt;&gt;""),(VLOOKUP($C53,'V-LOOKUP'!$C$61:$M$120,9,FALSE)),"0")</f>
        <v>0</v>
      </c>
      <c r="DI53" s="192" t="str">
        <f>IF(AND($C53&lt;&gt;"",$M53&lt;&gt;""),(VLOOKUP($C53,'V-LOOKUP'!$C$61:$M$120,10,FALSE)),"0")</f>
        <v>0</v>
      </c>
      <c r="DJ53" s="192" t="str">
        <f>IF(AND($C53&lt;&gt;"",$M53&lt;&gt;""),(VLOOKUP($C53,'V-LOOKUP'!$C$61:$M$120,11,FALSE)),"0")</f>
        <v>0</v>
      </c>
      <c r="DK53" s="192" t="str">
        <f>IF(AND($C53&lt;&gt;"",$M53&lt;&gt;""),(VLOOKUP($C53,'V-LOOKUP'!$C$61:$N$120,12,FALSE)),"0")</f>
        <v>0</v>
      </c>
      <c r="DL53" s="192" t="str">
        <f>IF(AND($C53&lt;&gt;"",$N53&lt;&gt;""),(VLOOKUP($C53,'V-LOOKUP'!$C$61:$M$120,4,FALSE)),"0")</f>
        <v>0</v>
      </c>
      <c r="DM53" s="192" t="str">
        <f>IF(AND($C53&lt;&gt;"",$N53&lt;&gt;""),(VLOOKUP($C53,'V-LOOKUP'!$C$61:$M$120,5,FALSE)),"0")</f>
        <v>0</v>
      </c>
      <c r="DN53" s="192" t="str">
        <f>IF(AND($C53&lt;&gt;"",$N53&lt;&gt;""),(VLOOKUP($C53,'V-LOOKUP'!$C$61:$M$120,6,FALSE)),"0")</f>
        <v>0</v>
      </c>
      <c r="DO53" s="192" t="str">
        <f>IF(AND($C53&lt;&gt;"",$N53&lt;&gt;""),(VLOOKUP($C53,'V-LOOKUP'!$C$61:$M$120,7,FALSE)),"0")</f>
        <v>0</v>
      </c>
      <c r="DP53" s="192" t="str">
        <f>IF(AND($C53&lt;&gt;"",$N53&lt;&gt;""),(VLOOKUP($C53,'V-LOOKUP'!$C$61:$M$120,8,FALSE)),"0")</f>
        <v>0</v>
      </c>
      <c r="DQ53" s="192" t="str">
        <f>IF(AND($C53&lt;&gt;"",$N53&lt;&gt;""),(VLOOKUP($C53,'V-LOOKUP'!$C$61:$M$120,9,FALSE)),"0")</f>
        <v>0</v>
      </c>
      <c r="DR53" s="192" t="str">
        <f>IF(AND($C53&lt;&gt;"",$N53&lt;&gt;""),(VLOOKUP($C53,'V-LOOKUP'!$C$61:$M$120,10,FALSE)),"0")</f>
        <v>0</v>
      </c>
      <c r="DS53" s="192" t="str">
        <f>IF(AND($C53&lt;&gt;"",$N53&lt;&gt;""),(VLOOKUP($C53,'V-LOOKUP'!$C$61:$M$120,11,FALSE)),"0")</f>
        <v>0</v>
      </c>
      <c r="DT53" s="192" t="str">
        <f>IF(AND($C53&lt;&gt;"",$N53&lt;&gt;""),(VLOOKUP($C53,'V-LOOKUP'!$C$61:$N$120,12,FALSE)),"0")</f>
        <v>0</v>
      </c>
      <c r="DU53" s="192" t="str">
        <f>IF(AND($C53&lt;&gt;"",$O53&lt;&gt;""),(VLOOKUP($C53,'V-LOOKUP'!$C$61:$M$120,4,FALSE)),"0")</f>
        <v>0</v>
      </c>
      <c r="DV53" s="192" t="str">
        <f>IF(AND($C53&lt;&gt;"",$O53&lt;&gt;""),(VLOOKUP($C53,'V-LOOKUP'!$C$61:$M$120,5,FALSE)),"0")</f>
        <v>0</v>
      </c>
      <c r="DW53" s="192" t="str">
        <f>IF(AND($C53&lt;&gt;"",$O53&lt;&gt;""),(VLOOKUP($C53,'V-LOOKUP'!$C$61:$M$120,6,FALSE)),"0")</f>
        <v>0</v>
      </c>
      <c r="DX53" s="192" t="str">
        <f>IF(AND($C53&lt;&gt;"",$O53&lt;&gt;""),(VLOOKUP($C53,'V-LOOKUP'!$C$61:$M$120,7,FALSE)),"0")</f>
        <v>0</v>
      </c>
      <c r="DY53" s="192" t="str">
        <f>IF(AND($C53&lt;&gt;"",$O53&lt;&gt;""),(VLOOKUP($C53,'V-LOOKUP'!$C$61:$M$120,8,FALSE)),"0")</f>
        <v>0</v>
      </c>
      <c r="DZ53" s="192" t="str">
        <f>IF(AND($C53&lt;&gt;"",$O53&lt;&gt;""),(VLOOKUP($C53,'V-LOOKUP'!$C$61:$M$120,9,FALSE)),"0")</f>
        <v>0</v>
      </c>
      <c r="EA53" s="192" t="str">
        <f>IF(AND($C53&lt;&gt;"",$O53&lt;&gt;""),(VLOOKUP($C53,'V-LOOKUP'!$C$61:$M$120,10,FALSE)),"0")</f>
        <v>0</v>
      </c>
      <c r="EB53" s="192" t="str">
        <f>IF(AND($C53&lt;&gt;"",$O53&lt;&gt;""),(VLOOKUP($C53,'V-LOOKUP'!$C$61:$M$120,11,FALSE)),"0")</f>
        <v>0</v>
      </c>
      <c r="EC53" s="192" t="str">
        <f>IF(AND($C53&lt;&gt;"",$O53&lt;&gt;""),(VLOOKUP($C53,'V-LOOKUP'!$C$61:$N$120,12,FALSE)),"0")</f>
        <v>0</v>
      </c>
      <c r="ED53" s="192" t="str">
        <f>IF(AND($C53&lt;&gt;"",$P53&lt;&gt;""),(VLOOKUP($C53,'V-LOOKUP'!$C$61:$M$120,4,FALSE)),"0")</f>
        <v>0</v>
      </c>
      <c r="EE53" s="192" t="str">
        <f>IF(AND($C53&lt;&gt;"",$P53&lt;&gt;""),(VLOOKUP($C53,'V-LOOKUP'!$C$61:$M$120,5,FALSE)),"0")</f>
        <v>0</v>
      </c>
      <c r="EF53" s="192" t="str">
        <f>IF(AND($C53&lt;&gt;"",$P53&lt;&gt;""),(VLOOKUP($C53,'V-LOOKUP'!$C$61:$M$120,6,FALSE)),"0")</f>
        <v>0</v>
      </c>
      <c r="EG53" s="192" t="str">
        <f>IF(AND($C53&lt;&gt;"",$P53&lt;&gt;""),(VLOOKUP($C53,'V-LOOKUP'!$C$61:$M$120,7,FALSE)),"0")</f>
        <v>0</v>
      </c>
      <c r="EH53" s="192" t="str">
        <f>IF(AND($C53&lt;&gt;"",$P53&lt;&gt;""),(VLOOKUP($C53,'V-LOOKUP'!$C$61:$M$120,8,FALSE)),"0")</f>
        <v>0</v>
      </c>
      <c r="EI53" s="192" t="str">
        <f>IF(AND($C53&lt;&gt;"",$P53&lt;&gt;""),(VLOOKUP($C53,'V-LOOKUP'!$C$61:$M$120,9,FALSE)),"0")</f>
        <v>0</v>
      </c>
      <c r="EJ53" s="192" t="str">
        <f>IF(AND($C53&lt;&gt;"",$P53&lt;&gt;""),(VLOOKUP($C53,'V-LOOKUP'!$C$61:$M$120,10,FALSE)),"0")</f>
        <v>0</v>
      </c>
      <c r="EK53" s="192" t="str">
        <f>IF(AND($C53&lt;&gt;"",$P53&lt;&gt;""),(VLOOKUP($C53,'V-LOOKUP'!$C$61:$M$120,11,FALSE)),"0")</f>
        <v>0</v>
      </c>
      <c r="EL53" s="192" t="str">
        <f>IF(AND($C53&lt;&gt;"",$P53&lt;&gt;""),(VLOOKUP($C53,'V-LOOKUP'!$C$61:$N$120,12,FALSE)),"0")</f>
        <v>0</v>
      </c>
      <c r="EM53" s="192" t="str">
        <f>IF(AND($C53&lt;&gt;"",$Q53&lt;&gt;""),(VLOOKUP($C53,'V-LOOKUP'!$C$61:$M$120,4,FALSE)),"0")</f>
        <v>0</v>
      </c>
      <c r="EN53" s="192" t="str">
        <f>IF(AND($C53&lt;&gt;"",$Q53&lt;&gt;""),(VLOOKUP($C53,'V-LOOKUP'!$C$61:$M$120,5,FALSE)),"0")</f>
        <v>0</v>
      </c>
      <c r="EO53" s="192" t="str">
        <f>IF(AND($C53&lt;&gt;"",$Q53&lt;&gt;""),(VLOOKUP($C53,'V-LOOKUP'!$C$61:$M$120,6,FALSE)),"0")</f>
        <v>0</v>
      </c>
      <c r="EP53" s="192" t="str">
        <f>IF(AND($C53&lt;&gt;"",$Q53&lt;&gt;""),(VLOOKUP($C53,'V-LOOKUP'!$C$61:$M$120,7,FALSE)),"0")</f>
        <v>0</v>
      </c>
      <c r="EQ53" s="192" t="str">
        <f>IF(AND($C53&lt;&gt;"",$Q53&lt;&gt;""),(VLOOKUP($C53,'V-LOOKUP'!$C$61:$M$120,8,FALSE)),"0")</f>
        <v>0</v>
      </c>
      <c r="ER53" s="192" t="str">
        <f>IF(AND($C53&lt;&gt;"",$Q53&lt;&gt;""),(VLOOKUP($C53,'V-LOOKUP'!$C$61:$M$120,9,FALSE)),"0")</f>
        <v>0</v>
      </c>
      <c r="ES53" s="192" t="str">
        <f>IF(AND($C53&lt;&gt;"",$Q53&lt;&gt;""),(VLOOKUP($C53,'V-LOOKUP'!$C$61:$M$120,10,FALSE)),"0")</f>
        <v>0</v>
      </c>
      <c r="ET53" s="192" t="str">
        <f>IF(AND($C53&lt;&gt;"",$Q53&lt;&gt;""),(VLOOKUP($C53,'V-LOOKUP'!$C$61:$M$120,11,FALSE)),"0")</f>
        <v>0</v>
      </c>
      <c r="EU53" s="192" t="str">
        <f>IF(AND($C53&lt;&gt;"",$Q53&lt;&gt;""),(VLOOKUP($C53,'V-LOOKUP'!$C$61:$N$120,12,FALSE)),"0")</f>
        <v>0</v>
      </c>
      <c r="EV53" s="192" t="str">
        <f>IF(AND($C53&lt;&gt;"",$R53&lt;&gt;""),(VLOOKUP($C53,'V-LOOKUP'!$C$61:$M$120,4,FALSE)),"0")</f>
        <v>0</v>
      </c>
      <c r="EW53" s="192" t="str">
        <f>IF(AND($C53&lt;&gt;"",$R53&lt;&gt;""),(VLOOKUP($C53,'V-LOOKUP'!$C$61:$M$120,5,FALSE)),"0")</f>
        <v>0</v>
      </c>
      <c r="EX53" s="192" t="str">
        <f>IF(AND($C53&lt;&gt;"",$R53&lt;&gt;""),(VLOOKUP($C53,'V-LOOKUP'!$C$61:$M$120,6,FALSE)),"0")</f>
        <v>0</v>
      </c>
      <c r="EY53" s="192" t="str">
        <f>IF(AND($C53&lt;&gt;"",$R53&lt;&gt;""),(VLOOKUP($C53,'V-LOOKUP'!$C$61:$M$120,7,FALSE)),"0")</f>
        <v>0</v>
      </c>
      <c r="EZ53" s="192" t="str">
        <f>IF(AND($C53&lt;&gt;"",$R53&lt;&gt;""),(VLOOKUP($C53,'V-LOOKUP'!$C$61:$M$120,8,FALSE)),"0")</f>
        <v>0</v>
      </c>
      <c r="FA53" s="192" t="str">
        <f>IF(AND($C53&lt;&gt;"",$R53&lt;&gt;""),(VLOOKUP($C53,'V-LOOKUP'!$C$61:$M$120,9,FALSE)),"0")</f>
        <v>0</v>
      </c>
      <c r="FB53" s="192" t="str">
        <f>IF(AND($C53&lt;&gt;"",$R53&lt;&gt;""),(VLOOKUP($C53,'V-LOOKUP'!$C$61:$M$120,10,FALSE)),"0")</f>
        <v>0</v>
      </c>
      <c r="FC53" s="192" t="str">
        <f>IF(AND($C53&lt;&gt;"",$R53&lt;&gt;""),(VLOOKUP($C53,'V-LOOKUP'!$C$61:$M$120,11,FALSE)),"0")</f>
        <v>0</v>
      </c>
      <c r="FD53" s="192" t="str">
        <f>IF(AND($C53&lt;&gt;"",$R53&lt;&gt;""),(VLOOKUP($C53,'V-LOOKUP'!$C$61:$N$120,12,FALSE)),"0")</f>
        <v>0</v>
      </c>
      <c r="FE53" s="192" t="str">
        <f>IF(AND($C53&lt;&gt;"",$S53&lt;&gt;""),(VLOOKUP($C53,'V-LOOKUP'!$C$61:$M$120,4,FALSE)),"0")</f>
        <v>0</v>
      </c>
      <c r="FF53" s="192" t="str">
        <f>IF(AND($C53&lt;&gt;"",$S53&lt;&gt;""),(VLOOKUP($C53,'V-LOOKUP'!$C$61:$M$120,5,FALSE)),"0")</f>
        <v>0</v>
      </c>
      <c r="FG53" s="192" t="str">
        <f>IF(AND($C53&lt;&gt;"",$S53&lt;&gt;""),(VLOOKUP($C53,'V-LOOKUP'!$C$61:$M$120,6,FALSE)),"0")</f>
        <v>0</v>
      </c>
      <c r="FH53" s="192" t="str">
        <f>IF(AND($C53&lt;&gt;"",$S53&lt;&gt;""),(VLOOKUP($C53,'V-LOOKUP'!$C$61:$M$120,7,FALSE)),"0")</f>
        <v>0</v>
      </c>
      <c r="FI53" s="192" t="str">
        <f>IF(AND($C53&lt;&gt;"",$S53&lt;&gt;""),(VLOOKUP($C53,'V-LOOKUP'!$C$61:$M$120,8,FALSE)),"0")</f>
        <v>0</v>
      </c>
      <c r="FJ53" s="192" t="str">
        <f>IF(AND($C53&lt;&gt;"",$S53&lt;&gt;""),(VLOOKUP($C53,'V-LOOKUP'!$C$61:$M$120,9,FALSE)),"0")</f>
        <v>0</v>
      </c>
      <c r="FK53" s="192" t="str">
        <f>IF(AND($C53&lt;&gt;"",$S53&lt;&gt;""),(VLOOKUP($C53,'V-LOOKUP'!$C$61:$M$120,10,FALSE)),"0")</f>
        <v>0</v>
      </c>
      <c r="FL53" s="192" t="str">
        <f>IF(AND($C53&lt;&gt;"",$S53&lt;&gt;""),(VLOOKUP($C53,'V-LOOKUP'!$C$61:$M$120,11,FALSE)),"0")</f>
        <v>0</v>
      </c>
      <c r="FM53" s="192" t="str">
        <f>IF(AND($C53&lt;&gt;"",$S53&lt;&gt;""),(VLOOKUP($C53,'V-LOOKUP'!$C$61:$N$120,12,FALSE)),"0")</f>
        <v>0</v>
      </c>
      <c r="FN53" s="192" t="str">
        <f>IF(AND($C53&lt;&gt;"",$T53&lt;&gt;""),(VLOOKUP($C53,'V-LOOKUP'!$C$61:$M$120,4,FALSE)),"0")</f>
        <v>0</v>
      </c>
      <c r="FO53" s="192" t="str">
        <f>IF(AND($C53&lt;&gt;"",$T53&lt;&gt;""),(VLOOKUP($C53,'V-LOOKUP'!$C$61:$M$120,5,FALSE)),"0")</f>
        <v>0</v>
      </c>
      <c r="FP53" s="192" t="str">
        <f>IF(AND($C53&lt;&gt;"",$T53&lt;&gt;""),(VLOOKUP($C53,'V-LOOKUP'!$C$61:$M$120,6,FALSE)),"0")</f>
        <v>0</v>
      </c>
      <c r="FQ53" s="192" t="str">
        <f>IF(AND($C53&lt;&gt;"",$T53&lt;&gt;""),(VLOOKUP($C53,'V-LOOKUP'!$C$61:$M$120,7,FALSE)),"0")</f>
        <v>0</v>
      </c>
      <c r="FR53" s="192" t="str">
        <f>IF(AND($C53&lt;&gt;"",$T53&lt;&gt;""),(VLOOKUP($C53,'V-LOOKUP'!$C$61:$M$120,8,FALSE)),"0")</f>
        <v>0</v>
      </c>
      <c r="FS53" s="192" t="str">
        <f>IF(AND($C53&lt;&gt;"",$T53&lt;&gt;""),(VLOOKUP($C53,'V-LOOKUP'!$C$61:$M$120,9,FALSE)),"0")</f>
        <v>0</v>
      </c>
      <c r="FT53" s="192" t="str">
        <f>IF(AND($C53&lt;&gt;"",$T53&lt;&gt;""),(VLOOKUP($C53,'V-LOOKUP'!$C$61:$M$120,10,FALSE)),"0")</f>
        <v>0</v>
      </c>
      <c r="FU53" s="192" t="str">
        <f>IF(AND($C53&lt;&gt;"",$T53&lt;&gt;""),(VLOOKUP($C53,'V-LOOKUP'!$C$61:$M$120,11,FALSE)),"0")</f>
        <v>0</v>
      </c>
      <c r="FV53" s="192" t="str">
        <f>IF(AND($C53&lt;&gt;"",$T53&lt;&gt;""),(VLOOKUP($C53,'V-LOOKUP'!$C$61:$N$120,12,FALSE)),"0")</f>
        <v>0</v>
      </c>
      <c r="FW53" s="192" t="str">
        <f>IF(AND($C53&lt;&gt;"",$U53&lt;&gt;""),(VLOOKUP($C53,'V-LOOKUP'!$C$61:$M$120,4,FALSE)),"0")</f>
        <v>0</v>
      </c>
      <c r="FX53" s="192" t="str">
        <f>IF(AND($C53&lt;&gt;"",$U53&lt;&gt;""),(VLOOKUP($C53,'V-LOOKUP'!$C$61:$M$120,5,FALSE)),"0")</f>
        <v>0</v>
      </c>
      <c r="FY53" s="192" t="str">
        <f>IF(AND($C53&lt;&gt;"",$U53&lt;&gt;""),(VLOOKUP($C53,'V-LOOKUP'!$C$61:$M$120,6,FALSE)),"0")</f>
        <v>0</v>
      </c>
      <c r="FZ53" s="192" t="str">
        <f>IF(AND($C53&lt;&gt;"",$U53&lt;&gt;""),(VLOOKUP($C53,'V-LOOKUP'!$C$61:$M$120,7,FALSE)),"0")</f>
        <v>0</v>
      </c>
      <c r="GA53" s="192" t="str">
        <f>IF(AND($C53&lt;&gt;"",$U53&lt;&gt;""),(VLOOKUP($C53,'V-LOOKUP'!$C$61:$M$120,8,FALSE)),"0")</f>
        <v>0</v>
      </c>
      <c r="GB53" s="192" t="str">
        <f>IF(AND($C53&lt;&gt;"",$U53&lt;&gt;""),(VLOOKUP($C53,'V-LOOKUP'!$C$61:$M$120,9,FALSE)),"0")</f>
        <v>0</v>
      </c>
      <c r="GC53" s="192" t="str">
        <f>IF(AND($C53&lt;&gt;"",$U53&lt;&gt;""),(VLOOKUP($C53,'V-LOOKUP'!$C$61:$M$120,10,FALSE)),"0")</f>
        <v>0</v>
      </c>
      <c r="GD53" s="192" t="str">
        <f>IF(AND($C53&lt;&gt;"",$U53&lt;&gt;""),(VLOOKUP($C53,'V-LOOKUP'!$C$61:$M$120,11,FALSE)),"0")</f>
        <v>0</v>
      </c>
      <c r="GE53" s="192" t="str">
        <f>IF(AND($C53&lt;&gt;"",$U53&lt;&gt;""),(VLOOKUP($C53,'V-LOOKUP'!$C$61:$N$120,12,FALSE)),"0")</f>
        <v>0</v>
      </c>
      <c r="GF53" s="192" t="str">
        <f>IF(AND($C53&lt;&gt;"",$V53&lt;&gt;""),(VLOOKUP($C53,'V-LOOKUP'!$C$61:$M$120,4,FALSE)),"0")</f>
        <v>0</v>
      </c>
      <c r="GG53" s="192" t="str">
        <f>IF(AND($C53&lt;&gt;"",V53&lt;&gt;""),(VLOOKUP($C53,'V-LOOKUP'!$C$61:$M$120,5,FALSE)),"0")</f>
        <v>0</v>
      </c>
      <c r="GH53" s="192" t="str">
        <f>IF(AND($C53&lt;&gt;"",$V53&lt;&gt;""),(VLOOKUP($C53,'V-LOOKUP'!$C$61:$M$120,6,FALSE)),"0")</f>
        <v>0</v>
      </c>
      <c r="GI53" s="192" t="str">
        <f>IF(AND($C53&lt;&gt;"",$V53&lt;&gt;""),(VLOOKUP($C53,'V-LOOKUP'!$C$61:$M$120,7,FALSE)),"0")</f>
        <v>0</v>
      </c>
      <c r="GJ53" s="192" t="str">
        <f>IF(AND($C53&lt;&gt;"",$V53&lt;&gt;""),(VLOOKUP($C53,'V-LOOKUP'!$C$61:$M$120,8,FALSE)),"0")</f>
        <v>0</v>
      </c>
      <c r="GK53" s="192" t="str">
        <f>IF(AND($C53&lt;&gt;"",$V53&lt;&gt;""),(VLOOKUP($C53,'V-LOOKUP'!$C$61:$M$120,9,FALSE)),"0")</f>
        <v>0</v>
      </c>
      <c r="GL53" s="192" t="str">
        <f>IF(AND($C53&lt;&gt;"",$V53&lt;&gt;""),(VLOOKUP($C53,'V-LOOKUP'!$C$61:$M$120,10,FALSE)),"0")</f>
        <v>0</v>
      </c>
      <c r="GM53" s="192" t="str">
        <f>IF(AND($C53&lt;&gt;"",$V53&lt;&gt;""),(VLOOKUP($C53,'V-LOOKUP'!$C$61:$M$120,11,FALSE)),"0")</f>
        <v>0</v>
      </c>
      <c r="GN53" s="192" t="str">
        <f>IF(AND($C53&lt;&gt;"",$V53&lt;&gt;""),(VLOOKUP($C53,'V-LOOKUP'!$C$61:$N$120,12,FALSE)),"0")</f>
        <v>0</v>
      </c>
      <c r="GO53" s="192" t="str">
        <f>IF(AND($C53&lt;&gt;"",$W53&lt;&gt;""),(VLOOKUP($C53,'V-LOOKUP'!$C$61:$M$120,4,FALSE)),"0")</f>
        <v>0</v>
      </c>
      <c r="GP53" s="192" t="str">
        <f>IF(AND($C53&lt;&gt;"",$W53&lt;&gt;""),(VLOOKUP($C53,'V-LOOKUP'!$C$61:$M$120,5,FALSE)),"0")</f>
        <v>0</v>
      </c>
      <c r="GQ53" s="192" t="str">
        <f>IF(AND($C53&lt;&gt;"",$W53&lt;&gt;""),(VLOOKUP($C53,'V-LOOKUP'!$C$61:$M$120,6,FALSE)),"0")</f>
        <v>0</v>
      </c>
      <c r="GR53" s="192" t="str">
        <f>IF(AND($C53&lt;&gt;"",$W53&lt;&gt;""),(VLOOKUP($C53,'V-LOOKUP'!$C$61:$M$120,7,FALSE)),"0")</f>
        <v>0</v>
      </c>
      <c r="GS53" s="192" t="str">
        <f>IF(AND($C53&lt;&gt;"",$W53&lt;&gt;""),(VLOOKUP($C53,'V-LOOKUP'!$C$61:$M$120,8,FALSE)),"0")</f>
        <v>0</v>
      </c>
      <c r="GT53" s="192" t="str">
        <f>IF(AND($C53&lt;&gt;"",$W53&lt;&gt;""),(VLOOKUP($C53,'V-LOOKUP'!$C$61:$M$120,9,FALSE)),"0")</f>
        <v>0</v>
      </c>
      <c r="GU53" s="192" t="str">
        <f>IF(AND($C53&lt;&gt;"",$W53&lt;&gt;""),(VLOOKUP($C53,'V-LOOKUP'!$C$61:$M$120,10,FALSE)),"0")</f>
        <v>0</v>
      </c>
      <c r="GV53" s="192" t="str">
        <f>IF(AND($C53&lt;&gt;"",$W53&lt;&gt;""),(VLOOKUP($C53,'V-LOOKUP'!$C$61:$M$120,11,FALSE)),"0")</f>
        <v>0</v>
      </c>
      <c r="GW53" s="192" t="str">
        <f>IF(AND($C53&lt;&gt;"",$W53&lt;&gt;""),(VLOOKUP($C53,'V-LOOKUP'!$C$61:$N$120,12,FALSE)),"0")</f>
        <v>0</v>
      </c>
    </row>
    <row r="54" spans="1:205" ht="14.65" hidden="1" customHeight="1">
      <c r="A54" s="193"/>
      <c r="B54" s="245"/>
      <c r="C54" s="203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Y54" s="190"/>
      <c r="Z54" s="192" t="str">
        <f>IF(AND($C54&lt;&gt;"",$D54&lt;&gt;""),(VLOOKUP($C54,'V-LOOKUP'!$C$61:$M$120,4,FALSE)),"0")</f>
        <v>0</v>
      </c>
      <c r="AA54" s="192" t="str">
        <f>IF(AND($C54&lt;&gt;"",$D54&lt;&gt;""),(VLOOKUP($C54,'V-LOOKUP'!$C$61:$M$120,5,FALSE)),"0")</f>
        <v>0</v>
      </c>
      <c r="AB54" s="192" t="str">
        <f>IF(AND($C54&lt;&gt;"",$D54&lt;&gt;""),(VLOOKUP($C54,'V-LOOKUP'!$C$61:$M$120,6,FALSE)),"0")</f>
        <v>0</v>
      </c>
      <c r="AC54" s="192" t="str">
        <f>IF(AND($C54&lt;&gt;"",$D54&lt;&gt;""),(VLOOKUP($C54,'V-LOOKUP'!$C$61:$M$120,7,FALSE)),"0")</f>
        <v>0</v>
      </c>
      <c r="AD54" s="192" t="str">
        <f>IF(AND($C54&lt;&gt;"",$D54&lt;&gt;""),(VLOOKUP($C54,'V-LOOKUP'!$C$61:$M$120,8,FALSE)),"0")</f>
        <v>0</v>
      </c>
      <c r="AE54" s="192" t="str">
        <f>IF(AND($C54&lt;&gt;"",$D54&lt;&gt;""),(VLOOKUP($C54,'V-LOOKUP'!$C$61:$M$120,9,FALSE)),"0")</f>
        <v>0</v>
      </c>
      <c r="AF54" s="192" t="str">
        <f>IF(AND($C54&lt;&gt;"",$D54&lt;&gt;""),(VLOOKUP($C54,'V-LOOKUP'!$C$61:$M$120,10,FALSE)),"0")</f>
        <v>0</v>
      </c>
      <c r="AG54" s="192" t="str">
        <f>IF(AND($C54&lt;&gt;"",$D54&lt;&gt;""),(VLOOKUP($C54,'V-LOOKUP'!$C$61:$M$120,11,FALSE)),"0")</f>
        <v>0</v>
      </c>
      <c r="AH54" s="192" t="str">
        <f>IF(AND($C54&lt;&gt;"",$D54&lt;&gt;""),(VLOOKUP($C54,'V-LOOKUP'!$C$61:$N$120,12,FALSE)),"0")</f>
        <v>0</v>
      </c>
      <c r="AI54" s="192" t="str">
        <f>IF(AND($C54&lt;&gt;"",$E54&lt;&gt;""),(VLOOKUP($C54,'V-LOOKUP'!$C$61:$M$120,4,FALSE)),"0")</f>
        <v>0</v>
      </c>
      <c r="AJ54" s="192" t="str">
        <f>IF(AND($C54&lt;&gt;"",$E54&lt;&gt;""),(VLOOKUP($C54,'V-LOOKUP'!$C$61:$M$120,5,FALSE)),"0")</f>
        <v>0</v>
      </c>
      <c r="AK54" s="192" t="str">
        <f>IF(AND($C54&lt;&gt;"",$E54&lt;&gt;""),(VLOOKUP($C54,'V-LOOKUP'!$C$61:$M$120,6,FALSE)),"0")</f>
        <v>0</v>
      </c>
      <c r="AL54" s="192" t="str">
        <f>IF(AND($C54&lt;&gt;"",$E54&lt;&gt;""),(VLOOKUP($C54,'V-LOOKUP'!$C$61:$M$120,7,FALSE)),"0")</f>
        <v>0</v>
      </c>
      <c r="AM54" s="192" t="str">
        <f>IF(AND($C54&lt;&gt;"",$E54&lt;&gt;""),(VLOOKUP($C54,'V-LOOKUP'!$C$61:$M$120,8,FALSE)),"0")</f>
        <v>0</v>
      </c>
      <c r="AN54" s="192" t="str">
        <f>IF(AND($C54&lt;&gt;"",$E54&lt;&gt;""),(VLOOKUP($C54,'V-LOOKUP'!$C$61:$M$120,9,FALSE)),"0")</f>
        <v>0</v>
      </c>
      <c r="AO54" s="192" t="str">
        <f>IF(AND($C54&lt;&gt;"",$E54&lt;&gt;""),(VLOOKUP($C54,'V-LOOKUP'!$C$61:$M$120,10,FALSE)),"0")</f>
        <v>0</v>
      </c>
      <c r="AP54" s="192" t="str">
        <f>IF(AND($C54&lt;&gt;"",$E54&lt;&gt;""),(VLOOKUP($C54,'V-LOOKUP'!$C$61:$M$120,11,FALSE)),"0")</f>
        <v>0</v>
      </c>
      <c r="AQ54" s="192" t="str">
        <f>IF(AND($C54&lt;&gt;"",$E54&lt;&gt;""),(VLOOKUP($C54,'V-LOOKUP'!$C$61:$N$120,12,FALSE)),"0")</f>
        <v>0</v>
      </c>
      <c r="AR54" s="192" t="str">
        <f>IF(AND($C54&lt;&gt;"",$F54&lt;&gt;""),(VLOOKUP($C54,'V-LOOKUP'!$C$61:$M$120,4,FALSE)),"0")</f>
        <v>0</v>
      </c>
      <c r="AS54" s="192" t="str">
        <f>IF(AND($C54&lt;&gt;"",$F54&lt;&gt;""),(VLOOKUP($C54,'V-LOOKUP'!$C$61:$M$120,5,FALSE)),"0")</f>
        <v>0</v>
      </c>
      <c r="AT54" s="192" t="str">
        <f>IF(AND($C54&lt;&gt;"",$F54&lt;&gt;""),(VLOOKUP($C54,'V-LOOKUP'!$C$61:$M$120,6,FALSE)),"0")</f>
        <v>0</v>
      </c>
      <c r="AU54" s="192" t="str">
        <f>IF(AND($C54&lt;&gt;"",$F54&lt;&gt;""),(VLOOKUP($C54,'V-LOOKUP'!$C$61:$M$120,7,FALSE)),"0")</f>
        <v>0</v>
      </c>
      <c r="AV54" s="192" t="str">
        <f>IF(AND($C54&lt;&gt;"",$F54&lt;&gt;""),(VLOOKUP($C54,'V-LOOKUP'!$C$61:$M$120,8,FALSE)),"0")</f>
        <v>0</v>
      </c>
      <c r="AW54" s="192" t="str">
        <f>IF(AND($C54&lt;&gt;"",$F54&lt;&gt;""),(VLOOKUP($C54,'V-LOOKUP'!$C$61:$M$120,9,FALSE)),"0")</f>
        <v>0</v>
      </c>
      <c r="AX54" s="192" t="str">
        <f>IF(AND($C54&lt;&gt;"",$F54&lt;&gt;""),(VLOOKUP($C54,'V-LOOKUP'!$C$61:$M$120,10,FALSE)),"0")</f>
        <v>0</v>
      </c>
      <c r="AY54" s="192" t="str">
        <f>IF(AND($C54&lt;&gt;"",$F54&lt;&gt;""),(VLOOKUP($C54,'V-LOOKUP'!$C$61:$M$120,11,FALSE)),"0")</f>
        <v>0</v>
      </c>
      <c r="AZ54" s="192" t="str">
        <f>IF(AND($C54&lt;&gt;"",$F54&lt;&gt;""),(VLOOKUP($C54,'V-LOOKUP'!$C$61:$N$120,12,FALSE)),"0")</f>
        <v>0</v>
      </c>
      <c r="BA54" s="192" t="str">
        <f>IF(AND($C54&lt;&gt;"",$G54&lt;&gt;""),(VLOOKUP($C54,'V-LOOKUP'!$C$61:$M$120,4,FALSE)),"0")</f>
        <v>0</v>
      </c>
      <c r="BB54" s="192" t="str">
        <f>IF(AND($C54&lt;&gt;"",$G54&lt;&gt;""),(VLOOKUP($C54,'V-LOOKUP'!$C$61:$M$120,5,FALSE)),"0")</f>
        <v>0</v>
      </c>
      <c r="BC54" s="192" t="str">
        <f>IF(AND($C54&lt;&gt;"",$G54&lt;&gt;""),(VLOOKUP($C54,'V-LOOKUP'!$C$61:$M$120,6,FALSE)),"0")</f>
        <v>0</v>
      </c>
      <c r="BD54" s="192" t="str">
        <f>IF(AND($C54&lt;&gt;"",$G54&lt;&gt;""),(VLOOKUP($C54,'V-LOOKUP'!$C$61:$M$120,7,FALSE)),"0")</f>
        <v>0</v>
      </c>
      <c r="BE54" s="192" t="str">
        <f>IF(AND($C54&lt;&gt;"",$G54&lt;&gt;""),(VLOOKUP($C54,'V-LOOKUP'!$C$61:$M$120,8,FALSE)),"0")</f>
        <v>0</v>
      </c>
      <c r="BF54" s="192" t="str">
        <f>IF(AND($C54&lt;&gt;"",$G54&lt;&gt;""),(VLOOKUP($C54,'V-LOOKUP'!$C$61:$M$120,9,FALSE)),"0")</f>
        <v>0</v>
      </c>
      <c r="BG54" s="192" t="str">
        <f>IF(AND($C54&lt;&gt;"",$G54&lt;&gt;""),(VLOOKUP($C54,'V-LOOKUP'!$C$61:$M$120,10,FALSE)),"0")</f>
        <v>0</v>
      </c>
      <c r="BH54" s="192" t="str">
        <f>IF(AND($C54&lt;&gt;"",$G54&lt;&gt;""),(VLOOKUP($C54,'V-LOOKUP'!$C$61:$M$120,11,FALSE)),"0")</f>
        <v>0</v>
      </c>
      <c r="BI54" s="192" t="str">
        <f>IF(AND($C54&lt;&gt;"",$G54&lt;&gt;""),(VLOOKUP($C54,'V-LOOKUP'!$C$61:$N$120,12,FALSE)),"0")</f>
        <v>0</v>
      </c>
      <c r="BJ54" s="192" t="str">
        <f>IF(AND($C54&lt;&gt;"",$H54&lt;&gt;""),(VLOOKUP($C54,'V-LOOKUP'!$C$61:$M$120,4,FALSE)),"0")</f>
        <v>0</v>
      </c>
      <c r="BK54" s="192" t="str">
        <f>IF(AND($C54&lt;&gt;"",$H54&lt;&gt;""),(VLOOKUP($C54,'V-LOOKUP'!$C$61:$M$120,5,FALSE)),"0")</f>
        <v>0</v>
      </c>
      <c r="BL54" s="192" t="str">
        <f>IF(AND($C54&lt;&gt;"",$H54&lt;&gt;""),(VLOOKUP($C54,'V-LOOKUP'!$C$61:$M$120,6,FALSE)),"0")</f>
        <v>0</v>
      </c>
      <c r="BM54" s="192" t="str">
        <f>IF(AND($C54&lt;&gt;"",$H54&lt;&gt;""),(VLOOKUP($C54,'V-LOOKUP'!$C$61:$M$120,7,FALSE)),"0")</f>
        <v>0</v>
      </c>
      <c r="BN54" s="192" t="str">
        <f>IF(AND($C54&lt;&gt;"",$H54&lt;&gt;""),(VLOOKUP($C54,'V-LOOKUP'!$C$61:$M$120,8,FALSE)),"0")</f>
        <v>0</v>
      </c>
      <c r="BO54" s="192" t="str">
        <f>IF(AND($C54&lt;&gt;"",$H54&lt;&gt;""),(VLOOKUP($C54,'V-LOOKUP'!$C$61:$M$120,9,FALSE)),"0")</f>
        <v>0</v>
      </c>
      <c r="BP54" s="192" t="str">
        <f>IF(AND($C54&lt;&gt;"",$H54&lt;&gt;""),(VLOOKUP($C54,'V-LOOKUP'!$C$61:$M$120,10,FALSE)),"0")</f>
        <v>0</v>
      </c>
      <c r="BQ54" s="192" t="str">
        <f>IF(AND($C54&lt;&gt;"",$H54&lt;&gt;""),(VLOOKUP($C54,'V-LOOKUP'!$C$61:$M$120,11,FALSE)),"0")</f>
        <v>0</v>
      </c>
      <c r="BR54" s="192" t="str">
        <f>IF(AND($C54&lt;&gt;"",$H54&lt;&gt;""),(VLOOKUP($C54,'V-LOOKUP'!$C$61:$N$120,12,FALSE)),"0")</f>
        <v>0</v>
      </c>
      <c r="BS54" s="192" t="str">
        <f>IF(AND($C54&lt;&gt;"",$I54&lt;&gt;""),(VLOOKUP($C54,'V-LOOKUP'!$C$61:$M$120,4,FALSE)),"0")</f>
        <v>0</v>
      </c>
      <c r="BT54" s="192" t="str">
        <f>IF(AND($C54&lt;&gt;"",$I54&lt;&gt;""),(VLOOKUP($C54,'V-LOOKUP'!$C$61:$M$120,5,FALSE)),"0")</f>
        <v>0</v>
      </c>
      <c r="BU54" s="192" t="str">
        <f>IF(AND($C54&lt;&gt;"",$I54&lt;&gt;""),(VLOOKUP($C54,'V-LOOKUP'!$C$61:$M$120,6,FALSE)),"0")</f>
        <v>0</v>
      </c>
      <c r="BV54" s="192" t="str">
        <f>IF(AND($C54&lt;&gt;"",$I54&lt;&gt;""),(VLOOKUP($C54,'V-LOOKUP'!$C$61:$M$120,7,FALSE)),"0")</f>
        <v>0</v>
      </c>
      <c r="BW54" s="192" t="str">
        <f>IF(AND($C54&lt;&gt;"",$I54&lt;&gt;""),(VLOOKUP($C54,'V-LOOKUP'!$C$61:$M$120,8,FALSE)),"0")</f>
        <v>0</v>
      </c>
      <c r="BX54" s="192" t="str">
        <f>IF(AND($C54&lt;&gt;"",$I54&lt;&gt;""),(VLOOKUP($C54,'V-LOOKUP'!$C$61:$M$120,9,FALSE)),"0")</f>
        <v>0</v>
      </c>
      <c r="BY54" s="192" t="str">
        <f>IF(AND($C54&lt;&gt;"",$I54&lt;&gt;""),(VLOOKUP($C54,'V-LOOKUP'!$C$61:$M$120,10,FALSE)),"0")</f>
        <v>0</v>
      </c>
      <c r="BZ54" s="192" t="str">
        <f>IF(AND($C54&lt;&gt;"",$I54&lt;&gt;""),(VLOOKUP($C54,'V-LOOKUP'!$C$61:$M$120,11,FALSE)),"0")</f>
        <v>0</v>
      </c>
      <c r="CA54" s="192" t="str">
        <f>IF(AND($C54&lt;&gt;"",$I54&lt;&gt;""),(VLOOKUP($C54,'V-LOOKUP'!$C$61:$N$120,12,FALSE)),"0")</f>
        <v>0</v>
      </c>
      <c r="CB54" s="192" t="str">
        <f>IF(AND($C54&lt;&gt;"",$J54&lt;&gt;""),(VLOOKUP($C54,'V-LOOKUP'!$C$61:$M$120,4,FALSE)),"0")</f>
        <v>0</v>
      </c>
      <c r="CC54" s="192" t="str">
        <f>IF(AND($C54&lt;&gt;"",$J54&lt;&gt;""),(VLOOKUP($C54,'V-LOOKUP'!$C$61:$M$120,5,FALSE)),"0")</f>
        <v>0</v>
      </c>
      <c r="CD54" s="192" t="str">
        <f>IF(AND($C54&lt;&gt;"",$J54&lt;&gt;""),(VLOOKUP($C54,'V-LOOKUP'!$C$61:$M$120,6,FALSE)),"0")</f>
        <v>0</v>
      </c>
      <c r="CE54" s="192" t="str">
        <f>IF(AND($C54&lt;&gt;"",$J54&lt;&gt;""),(VLOOKUP($C54,'V-LOOKUP'!$C$61:$M$120,7,FALSE)),"0")</f>
        <v>0</v>
      </c>
      <c r="CF54" s="192" t="str">
        <f>IF(AND($C54&lt;&gt;"",$J54&lt;&gt;""),(VLOOKUP($C54,'V-LOOKUP'!$C$61:$M$120,8,FALSE)),"0")</f>
        <v>0</v>
      </c>
      <c r="CG54" s="192" t="str">
        <f>IF(AND($C54&lt;&gt;"",$J54&lt;&gt;""),(VLOOKUP($C54,'V-LOOKUP'!$C$61:$M$120,9,FALSE)),"0")</f>
        <v>0</v>
      </c>
      <c r="CH54" s="192" t="str">
        <f>IF(AND($C54&lt;&gt;"",$J54&lt;&gt;""),(VLOOKUP($C54,'V-LOOKUP'!$C$61:$M$120,10,FALSE)),"0")</f>
        <v>0</v>
      </c>
      <c r="CI54" s="192" t="str">
        <f>IF(AND($C54&lt;&gt;"",$J54&lt;&gt;""),(VLOOKUP($C54,'V-LOOKUP'!$C$61:$M$120,11,FALSE)),"0")</f>
        <v>0</v>
      </c>
      <c r="CJ54" s="192" t="str">
        <f>IF(AND($C54&lt;&gt;"",$J54&lt;&gt;""),(VLOOKUP($C54,'V-LOOKUP'!$C$61:$N$120,12,FALSE)),"0")</f>
        <v>0</v>
      </c>
      <c r="CK54" s="192" t="str">
        <f>IF(AND($C54&lt;&gt;"",$K54&lt;&gt;""),(VLOOKUP($C54,'V-LOOKUP'!$C$61:$M$120,4,FALSE)),"0")</f>
        <v>0</v>
      </c>
      <c r="CL54" s="192" t="str">
        <f>IF(AND($C54&lt;&gt;"",$K54&lt;&gt;""),(VLOOKUP($C54,'V-LOOKUP'!$C$61:$M$120,5,FALSE)),"0")</f>
        <v>0</v>
      </c>
      <c r="CM54" s="192" t="str">
        <f>IF(AND($C54&lt;&gt;"",$K54&lt;&gt;""),(VLOOKUP($C54,'V-LOOKUP'!$C$61:$M$120,6,FALSE)),"0")</f>
        <v>0</v>
      </c>
      <c r="CN54" s="192" t="str">
        <f>IF(AND($C54&lt;&gt;"",$K54&lt;&gt;""),(VLOOKUP($C54,'V-LOOKUP'!$C$61:$M$120,7,FALSE)),"0")</f>
        <v>0</v>
      </c>
      <c r="CO54" s="192" t="str">
        <f>IF(AND($C54&lt;&gt;"",$K54&lt;&gt;""),(VLOOKUP($C54,'V-LOOKUP'!$C$61:$M$120,8,FALSE)),"0")</f>
        <v>0</v>
      </c>
      <c r="CP54" s="192" t="str">
        <f>IF(AND($C54&lt;&gt;"",$K54&lt;&gt;""),(VLOOKUP($C54,'V-LOOKUP'!$C$61:$M$120,9,FALSE)),"0")</f>
        <v>0</v>
      </c>
      <c r="CQ54" s="192" t="str">
        <f>IF(AND($C54&lt;&gt;"",$K54&lt;&gt;""),(VLOOKUP($C54,'V-LOOKUP'!$C$61:$M$120,10,FALSE)),"0")</f>
        <v>0</v>
      </c>
      <c r="CR54" s="192" t="str">
        <f>IF(AND($C54&lt;&gt;"",$K54&lt;&gt;""),(VLOOKUP($C54,'V-LOOKUP'!$C$61:$M$120,11,FALSE)),"0")</f>
        <v>0</v>
      </c>
      <c r="CS54" s="192" t="str">
        <f>IF(AND($C54&lt;&gt;"",$K54&lt;&gt;""),(VLOOKUP($C54,'V-LOOKUP'!$C$61:$N$120,12,FALSE)),"0")</f>
        <v>0</v>
      </c>
      <c r="CT54" s="192" t="str">
        <f>IF(AND($C54&lt;&gt;"",$L54&lt;&gt;""),(VLOOKUP($C54,'V-LOOKUP'!$C$61:$M$120,4,FALSE)),"0")</f>
        <v>0</v>
      </c>
      <c r="CU54" s="192" t="str">
        <f>IF(AND($C54&lt;&gt;"",$L54&lt;&gt;""),(VLOOKUP($C54,'V-LOOKUP'!$C$61:$M$120,5,FALSE)),"0")</f>
        <v>0</v>
      </c>
      <c r="CV54" s="192" t="str">
        <f>IF(AND($C54&lt;&gt;"",$L54&lt;&gt;""),(VLOOKUP($C54,'V-LOOKUP'!$C$61:$M$120,6,FALSE)),"0")</f>
        <v>0</v>
      </c>
      <c r="CW54" s="192" t="str">
        <f>IF(AND($C54&lt;&gt;"",$L54&lt;&gt;""),(VLOOKUP($C54,'V-LOOKUP'!$C$61:$M$120,7,FALSE)),"0")</f>
        <v>0</v>
      </c>
      <c r="CX54" s="192" t="str">
        <f>IF(AND($C54&lt;&gt;"",$L54&lt;&gt;""),(VLOOKUP($C54,'V-LOOKUP'!$C$61:$M$120,8,FALSE)),"0")</f>
        <v>0</v>
      </c>
      <c r="CY54" s="192" t="str">
        <f>IF(AND($C54&lt;&gt;"",$L54&lt;&gt;""),(VLOOKUP($C54,'V-LOOKUP'!$C$61:$M$120,9,FALSE)),"0")</f>
        <v>0</v>
      </c>
      <c r="CZ54" s="192" t="str">
        <f>IF(AND($C54&lt;&gt;"",$L54&lt;&gt;""),(VLOOKUP($C54,'V-LOOKUP'!$C$61:$M$120,10,FALSE)),"0")</f>
        <v>0</v>
      </c>
      <c r="DA54" s="192" t="str">
        <f>IF(AND($C54&lt;&gt;"",$L54&lt;&gt;""),(VLOOKUP($C54,'V-LOOKUP'!$C$61:$M$120,11,FALSE)),"0")</f>
        <v>0</v>
      </c>
      <c r="DB54" s="192" t="str">
        <f>IF(AND($C54&lt;&gt;"",$L54&lt;&gt;""),(VLOOKUP($C54,'V-LOOKUP'!$C$61:$N$120,12,FALSE)),"0")</f>
        <v>0</v>
      </c>
      <c r="DC54" s="192" t="str">
        <f>IF(AND($C54&lt;&gt;"",$M54&lt;&gt;""),(VLOOKUP($C54,'V-LOOKUP'!$C$61:$M$120,4,FALSE)),"0")</f>
        <v>0</v>
      </c>
      <c r="DD54" s="192" t="str">
        <f>IF(AND($C54&lt;&gt;"",$M54&lt;&gt;""),(VLOOKUP($C54,'V-LOOKUP'!$C$61:$M$120,5,FALSE)),"0")</f>
        <v>0</v>
      </c>
      <c r="DE54" s="192" t="str">
        <f>IF(AND($C54&lt;&gt;"",$M54&lt;&gt;""),(VLOOKUP($C54,'V-LOOKUP'!$C$61:$M$120,6,FALSE)),"0")</f>
        <v>0</v>
      </c>
      <c r="DF54" s="192" t="str">
        <f>IF(AND($C54&lt;&gt;"",$M54&lt;&gt;""),(VLOOKUP($C54,'V-LOOKUP'!$C$61:$M$120,7,FALSE)),"0")</f>
        <v>0</v>
      </c>
      <c r="DG54" s="192" t="str">
        <f>IF(AND($C54&lt;&gt;"",$M54&lt;&gt;""),(VLOOKUP($C54,'V-LOOKUP'!$C$61:$M$120,8,FALSE)),"0")</f>
        <v>0</v>
      </c>
      <c r="DH54" s="192" t="str">
        <f>IF(AND($C54&lt;&gt;"",$M54&lt;&gt;""),(VLOOKUP($C54,'V-LOOKUP'!$C$61:$M$120,9,FALSE)),"0")</f>
        <v>0</v>
      </c>
      <c r="DI54" s="192" t="str">
        <f>IF(AND($C54&lt;&gt;"",$M54&lt;&gt;""),(VLOOKUP($C54,'V-LOOKUP'!$C$61:$M$120,10,FALSE)),"0")</f>
        <v>0</v>
      </c>
      <c r="DJ54" s="192" t="str">
        <f>IF(AND($C54&lt;&gt;"",$M54&lt;&gt;""),(VLOOKUP($C54,'V-LOOKUP'!$C$61:$M$120,11,FALSE)),"0")</f>
        <v>0</v>
      </c>
      <c r="DK54" s="192" t="str">
        <f>IF(AND($C54&lt;&gt;"",$M54&lt;&gt;""),(VLOOKUP($C54,'V-LOOKUP'!$C$61:$N$120,12,FALSE)),"0")</f>
        <v>0</v>
      </c>
      <c r="DL54" s="192" t="str">
        <f>IF(AND($C54&lt;&gt;"",$N54&lt;&gt;""),(VLOOKUP($C54,'V-LOOKUP'!$C$61:$M$120,4,FALSE)),"0")</f>
        <v>0</v>
      </c>
      <c r="DM54" s="192" t="str">
        <f>IF(AND($C54&lt;&gt;"",$N54&lt;&gt;""),(VLOOKUP($C54,'V-LOOKUP'!$C$61:$M$120,5,FALSE)),"0")</f>
        <v>0</v>
      </c>
      <c r="DN54" s="192" t="str">
        <f>IF(AND($C54&lt;&gt;"",$N54&lt;&gt;""),(VLOOKUP($C54,'V-LOOKUP'!$C$61:$M$120,6,FALSE)),"0")</f>
        <v>0</v>
      </c>
      <c r="DO54" s="192" t="str">
        <f>IF(AND($C54&lt;&gt;"",$N54&lt;&gt;""),(VLOOKUP($C54,'V-LOOKUP'!$C$61:$M$120,7,FALSE)),"0")</f>
        <v>0</v>
      </c>
      <c r="DP54" s="192" t="str">
        <f>IF(AND($C54&lt;&gt;"",$N54&lt;&gt;""),(VLOOKUP($C54,'V-LOOKUP'!$C$61:$M$120,8,FALSE)),"0")</f>
        <v>0</v>
      </c>
      <c r="DQ54" s="192" t="str">
        <f>IF(AND($C54&lt;&gt;"",$N54&lt;&gt;""),(VLOOKUP($C54,'V-LOOKUP'!$C$61:$M$120,9,FALSE)),"0")</f>
        <v>0</v>
      </c>
      <c r="DR54" s="192" t="str">
        <f>IF(AND($C54&lt;&gt;"",$N54&lt;&gt;""),(VLOOKUP($C54,'V-LOOKUP'!$C$61:$M$120,10,FALSE)),"0")</f>
        <v>0</v>
      </c>
      <c r="DS54" s="192" t="str">
        <f>IF(AND($C54&lt;&gt;"",$N54&lt;&gt;""),(VLOOKUP($C54,'V-LOOKUP'!$C$61:$M$120,11,FALSE)),"0")</f>
        <v>0</v>
      </c>
      <c r="DT54" s="192" t="str">
        <f>IF(AND($C54&lt;&gt;"",$N54&lt;&gt;""),(VLOOKUP($C54,'V-LOOKUP'!$C$61:$N$120,12,FALSE)),"0")</f>
        <v>0</v>
      </c>
      <c r="DU54" s="192" t="str">
        <f>IF(AND($C54&lt;&gt;"",$O54&lt;&gt;""),(VLOOKUP($C54,'V-LOOKUP'!$C$61:$M$120,4,FALSE)),"0")</f>
        <v>0</v>
      </c>
      <c r="DV54" s="192" t="str">
        <f>IF(AND($C54&lt;&gt;"",$O54&lt;&gt;""),(VLOOKUP($C54,'V-LOOKUP'!$C$61:$M$120,5,FALSE)),"0")</f>
        <v>0</v>
      </c>
      <c r="DW54" s="192" t="str">
        <f>IF(AND($C54&lt;&gt;"",$O54&lt;&gt;""),(VLOOKUP($C54,'V-LOOKUP'!$C$61:$M$120,6,FALSE)),"0")</f>
        <v>0</v>
      </c>
      <c r="DX54" s="192" t="str">
        <f>IF(AND($C54&lt;&gt;"",$O54&lt;&gt;""),(VLOOKUP($C54,'V-LOOKUP'!$C$61:$M$120,7,FALSE)),"0")</f>
        <v>0</v>
      </c>
      <c r="DY54" s="192" t="str">
        <f>IF(AND($C54&lt;&gt;"",$O54&lt;&gt;""),(VLOOKUP($C54,'V-LOOKUP'!$C$61:$M$120,8,FALSE)),"0")</f>
        <v>0</v>
      </c>
      <c r="DZ54" s="192" t="str">
        <f>IF(AND($C54&lt;&gt;"",$O54&lt;&gt;""),(VLOOKUP($C54,'V-LOOKUP'!$C$61:$M$120,9,FALSE)),"0")</f>
        <v>0</v>
      </c>
      <c r="EA54" s="192" t="str">
        <f>IF(AND($C54&lt;&gt;"",$O54&lt;&gt;""),(VLOOKUP($C54,'V-LOOKUP'!$C$61:$M$120,10,FALSE)),"0")</f>
        <v>0</v>
      </c>
      <c r="EB54" s="192" t="str">
        <f>IF(AND($C54&lt;&gt;"",$O54&lt;&gt;""),(VLOOKUP($C54,'V-LOOKUP'!$C$61:$M$120,11,FALSE)),"0")</f>
        <v>0</v>
      </c>
      <c r="EC54" s="192" t="str">
        <f>IF(AND($C54&lt;&gt;"",$O54&lt;&gt;""),(VLOOKUP($C54,'V-LOOKUP'!$C$61:$N$120,12,FALSE)),"0")</f>
        <v>0</v>
      </c>
      <c r="ED54" s="192" t="str">
        <f>IF(AND($C54&lt;&gt;"",$P54&lt;&gt;""),(VLOOKUP($C54,'V-LOOKUP'!$C$61:$M$120,4,FALSE)),"0")</f>
        <v>0</v>
      </c>
      <c r="EE54" s="192" t="str">
        <f>IF(AND($C54&lt;&gt;"",$P54&lt;&gt;""),(VLOOKUP($C54,'V-LOOKUP'!$C$61:$M$120,5,FALSE)),"0")</f>
        <v>0</v>
      </c>
      <c r="EF54" s="192" t="str">
        <f>IF(AND($C54&lt;&gt;"",$P54&lt;&gt;""),(VLOOKUP($C54,'V-LOOKUP'!$C$61:$M$120,6,FALSE)),"0")</f>
        <v>0</v>
      </c>
      <c r="EG54" s="192" t="str">
        <f>IF(AND($C54&lt;&gt;"",$P54&lt;&gt;""),(VLOOKUP($C54,'V-LOOKUP'!$C$61:$M$120,7,FALSE)),"0")</f>
        <v>0</v>
      </c>
      <c r="EH54" s="192" t="str">
        <f>IF(AND($C54&lt;&gt;"",$P54&lt;&gt;""),(VLOOKUP($C54,'V-LOOKUP'!$C$61:$M$120,8,FALSE)),"0")</f>
        <v>0</v>
      </c>
      <c r="EI54" s="192" t="str">
        <f>IF(AND($C54&lt;&gt;"",$P54&lt;&gt;""),(VLOOKUP($C54,'V-LOOKUP'!$C$61:$M$120,9,FALSE)),"0")</f>
        <v>0</v>
      </c>
      <c r="EJ54" s="192" t="str">
        <f>IF(AND($C54&lt;&gt;"",$P54&lt;&gt;""),(VLOOKUP($C54,'V-LOOKUP'!$C$61:$M$120,10,FALSE)),"0")</f>
        <v>0</v>
      </c>
      <c r="EK54" s="192" t="str">
        <f>IF(AND($C54&lt;&gt;"",$P54&lt;&gt;""),(VLOOKUP($C54,'V-LOOKUP'!$C$61:$M$120,11,FALSE)),"0")</f>
        <v>0</v>
      </c>
      <c r="EL54" s="192" t="str">
        <f>IF(AND($C54&lt;&gt;"",$P54&lt;&gt;""),(VLOOKUP($C54,'V-LOOKUP'!$C$61:$N$120,12,FALSE)),"0")</f>
        <v>0</v>
      </c>
      <c r="EM54" s="192" t="str">
        <f>IF(AND($C54&lt;&gt;"",$Q54&lt;&gt;""),(VLOOKUP($C54,'V-LOOKUP'!$C$61:$M$120,4,FALSE)),"0")</f>
        <v>0</v>
      </c>
      <c r="EN54" s="192" t="str">
        <f>IF(AND($C54&lt;&gt;"",$Q54&lt;&gt;""),(VLOOKUP($C54,'V-LOOKUP'!$C$61:$M$120,5,FALSE)),"0")</f>
        <v>0</v>
      </c>
      <c r="EO54" s="192" t="str">
        <f>IF(AND($C54&lt;&gt;"",$Q54&lt;&gt;""),(VLOOKUP($C54,'V-LOOKUP'!$C$61:$M$120,6,FALSE)),"0")</f>
        <v>0</v>
      </c>
      <c r="EP54" s="192" t="str">
        <f>IF(AND($C54&lt;&gt;"",$Q54&lt;&gt;""),(VLOOKUP($C54,'V-LOOKUP'!$C$61:$M$120,7,FALSE)),"0")</f>
        <v>0</v>
      </c>
      <c r="EQ54" s="192" t="str">
        <f>IF(AND($C54&lt;&gt;"",$Q54&lt;&gt;""),(VLOOKUP($C54,'V-LOOKUP'!$C$61:$M$120,8,FALSE)),"0")</f>
        <v>0</v>
      </c>
      <c r="ER54" s="192" t="str">
        <f>IF(AND($C54&lt;&gt;"",$Q54&lt;&gt;""),(VLOOKUP($C54,'V-LOOKUP'!$C$61:$M$120,9,FALSE)),"0")</f>
        <v>0</v>
      </c>
      <c r="ES54" s="192" t="str">
        <f>IF(AND($C54&lt;&gt;"",$Q54&lt;&gt;""),(VLOOKUP($C54,'V-LOOKUP'!$C$61:$M$120,10,FALSE)),"0")</f>
        <v>0</v>
      </c>
      <c r="ET54" s="192" t="str">
        <f>IF(AND($C54&lt;&gt;"",$Q54&lt;&gt;""),(VLOOKUP($C54,'V-LOOKUP'!$C$61:$M$120,11,FALSE)),"0")</f>
        <v>0</v>
      </c>
      <c r="EU54" s="192" t="str">
        <f>IF(AND($C54&lt;&gt;"",$Q54&lt;&gt;""),(VLOOKUP($C54,'V-LOOKUP'!$C$61:$N$120,12,FALSE)),"0")</f>
        <v>0</v>
      </c>
      <c r="EV54" s="192" t="str">
        <f>IF(AND($C54&lt;&gt;"",$R54&lt;&gt;""),(VLOOKUP($C54,'V-LOOKUP'!$C$61:$M$120,4,FALSE)),"0")</f>
        <v>0</v>
      </c>
      <c r="EW54" s="192" t="str">
        <f>IF(AND($C54&lt;&gt;"",$R54&lt;&gt;""),(VLOOKUP($C54,'V-LOOKUP'!$C$61:$M$120,5,FALSE)),"0")</f>
        <v>0</v>
      </c>
      <c r="EX54" s="192" t="str">
        <f>IF(AND($C54&lt;&gt;"",$R54&lt;&gt;""),(VLOOKUP($C54,'V-LOOKUP'!$C$61:$M$120,6,FALSE)),"0")</f>
        <v>0</v>
      </c>
      <c r="EY54" s="192" t="str">
        <f>IF(AND($C54&lt;&gt;"",$R54&lt;&gt;""),(VLOOKUP($C54,'V-LOOKUP'!$C$61:$M$120,7,FALSE)),"0")</f>
        <v>0</v>
      </c>
      <c r="EZ54" s="192" t="str">
        <f>IF(AND($C54&lt;&gt;"",$R54&lt;&gt;""),(VLOOKUP($C54,'V-LOOKUP'!$C$61:$M$120,8,FALSE)),"0")</f>
        <v>0</v>
      </c>
      <c r="FA54" s="192" t="str">
        <f>IF(AND($C54&lt;&gt;"",$R54&lt;&gt;""),(VLOOKUP($C54,'V-LOOKUP'!$C$61:$M$120,9,FALSE)),"0")</f>
        <v>0</v>
      </c>
      <c r="FB54" s="192" t="str">
        <f>IF(AND($C54&lt;&gt;"",$R54&lt;&gt;""),(VLOOKUP($C54,'V-LOOKUP'!$C$61:$M$120,10,FALSE)),"0")</f>
        <v>0</v>
      </c>
      <c r="FC54" s="192" t="str">
        <f>IF(AND($C54&lt;&gt;"",$R54&lt;&gt;""),(VLOOKUP($C54,'V-LOOKUP'!$C$61:$M$120,11,FALSE)),"0")</f>
        <v>0</v>
      </c>
      <c r="FD54" s="192" t="str">
        <f>IF(AND($C54&lt;&gt;"",$R54&lt;&gt;""),(VLOOKUP($C54,'V-LOOKUP'!$C$61:$N$120,12,FALSE)),"0")</f>
        <v>0</v>
      </c>
      <c r="FE54" s="192" t="str">
        <f>IF(AND($C54&lt;&gt;"",$S54&lt;&gt;""),(VLOOKUP($C54,'V-LOOKUP'!$C$61:$M$120,4,FALSE)),"0")</f>
        <v>0</v>
      </c>
      <c r="FF54" s="192" t="str">
        <f>IF(AND($C54&lt;&gt;"",$S54&lt;&gt;""),(VLOOKUP($C54,'V-LOOKUP'!$C$61:$M$120,5,FALSE)),"0")</f>
        <v>0</v>
      </c>
      <c r="FG54" s="192" t="str">
        <f>IF(AND($C54&lt;&gt;"",$S54&lt;&gt;""),(VLOOKUP($C54,'V-LOOKUP'!$C$61:$M$120,6,FALSE)),"0")</f>
        <v>0</v>
      </c>
      <c r="FH54" s="192" t="str">
        <f>IF(AND($C54&lt;&gt;"",$S54&lt;&gt;""),(VLOOKUP($C54,'V-LOOKUP'!$C$61:$M$120,7,FALSE)),"0")</f>
        <v>0</v>
      </c>
      <c r="FI54" s="192" t="str">
        <f>IF(AND($C54&lt;&gt;"",$S54&lt;&gt;""),(VLOOKUP($C54,'V-LOOKUP'!$C$61:$M$120,8,FALSE)),"0")</f>
        <v>0</v>
      </c>
      <c r="FJ54" s="192" t="str">
        <f>IF(AND($C54&lt;&gt;"",$S54&lt;&gt;""),(VLOOKUP($C54,'V-LOOKUP'!$C$61:$M$120,9,FALSE)),"0")</f>
        <v>0</v>
      </c>
      <c r="FK54" s="192" t="str">
        <f>IF(AND($C54&lt;&gt;"",$S54&lt;&gt;""),(VLOOKUP($C54,'V-LOOKUP'!$C$61:$M$120,10,FALSE)),"0")</f>
        <v>0</v>
      </c>
      <c r="FL54" s="192" t="str">
        <f>IF(AND($C54&lt;&gt;"",$S54&lt;&gt;""),(VLOOKUP($C54,'V-LOOKUP'!$C$61:$M$120,11,FALSE)),"0")</f>
        <v>0</v>
      </c>
      <c r="FM54" s="192" t="str">
        <f>IF(AND($C54&lt;&gt;"",$S54&lt;&gt;""),(VLOOKUP($C54,'V-LOOKUP'!$C$61:$N$120,12,FALSE)),"0")</f>
        <v>0</v>
      </c>
      <c r="FN54" s="192" t="str">
        <f>IF(AND($C54&lt;&gt;"",$T54&lt;&gt;""),(VLOOKUP($C54,'V-LOOKUP'!$C$61:$M$120,4,FALSE)),"0")</f>
        <v>0</v>
      </c>
      <c r="FO54" s="192" t="str">
        <f>IF(AND($C54&lt;&gt;"",$T54&lt;&gt;""),(VLOOKUP($C54,'V-LOOKUP'!$C$61:$M$120,5,FALSE)),"0")</f>
        <v>0</v>
      </c>
      <c r="FP54" s="192" t="str">
        <f>IF(AND($C54&lt;&gt;"",$T54&lt;&gt;""),(VLOOKUP($C54,'V-LOOKUP'!$C$61:$M$120,6,FALSE)),"0")</f>
        <v>0</v>
      </c>
      <c r="FQ54" s="192" t="str">
        <f>IF(AND($C54&lt;&gt;"",$T54&lt;&gt;""),(VLOOKUP($C54,'V-LOOKUP'!$C$61:$M$120,7,FALSE)),"0")</f>
        <v>0</v>
      </c>
      <c r="FR54" s="192" t="str">
        <f>IF(AND($C54&lt;&gt;"",$T54&lt;&gt;""),(VLOOKUP($C54,'V-LOOKUP'!$C$61:$M$120,8,FALSE)),"0")</f>
        <v>0</v>
      </c>
      <c r="FS54" s="192" t="str">
        <f>IF(AND($C54&lt;&gt;"",$T54&lt;&gt;""),(VLOOKUP($C54,'V-LOOKUP'!$C$61:$M$120,9,FALSE)),"0")</f>
        <v>0</v>
      </c>
      <c r="FT54" s="192" t="str">
        <f>IF(AND($C54&lt;&gt;"",$T54&lt;&gt;""),(VLOOKUP($C54,'V-LOOKUP'!$C$61:$M$120,10,FALSE)),"0")</f>
        <v>0</v>
      </c>
      <c r="FU54" s="192" t="str">
        <f>IF(AND($C54&lt;&gt;"",$T54&lt;&gt;""),(VLOOKUP($C54,'V-LOOKUP'!$C$61:$M$120,11,FALSE)),"0")</f>
        <v>0</v>
      </c>
      <c r="FV54" s="192" t="str">
        <f>IF(AND($C54&lt;&gt;"",$T54&lt;&gt;""),(VLOOKUP($C54,'V-LOOKUP'!$C$61:$N$120,12,FALSE)),"0")</f>
        <v>0</v>
      </c>
      <c r="FW54" s="192" t="str">
        <f>IF(AND($C54&lt;&gt;"",$U54&lt;&gt;""),(VLOOKUP($C54,'V-LOOKUP'!$C$61:$M$120,4,FALSE)),"0")</f>
        <v>0</v>
      </c>
      <c r="FX54" s="192" t="str">
        <f>IF(AND($C54&lt;&gt;"",$U54&lt;&gt;""),(VLOOKUP($C54,'V-LOOKUP'!$C$61:$M$120,5,FALSE)),"0")</f>
        <v>0</v>
      </c>
      <c r="FY54" s="192" t="str">
        <f>IF(AND($C54&lt;&gt;"",$U54&lt;&gt;""),(VLOOKUP($C54,'V-LOOKUP'!$C$61:$M$120,6,FALSE)),"0")</f>
        <v>0</v>
      </c>
      <c r="FZ54" s="192" t="str">
        <f>IF(AND($C54&lt;&gt;"",$U54&lt;&gt;""),(VLOOKUP($C54,'V-LOOKUP'!$C$61:$M$120,7,FALSE)),"0")</f>
        <v>0</v>
      </c>
      <c r="GA54" s="192" t="str">
        <f>IF(AND($C54&lt;&gt;"",$U54&lt;&gt;""),(VLOOKUP($C54,'V-LOOKUP'!$C$61:$M$120,8,FALSE)),"0")</f>
        <v>0</v>
      </c>
      <c r="GB54" s="192" t="str">
        <f>IF(AND($C54&lt;&gt;"",$U54&lt;&gt;""),(VLOOKUP($C54,'V-LOOKUP'!$C$61:$M$120,9,FALSE)),"0")</f>
        <v>0</v>
      </c>
      <c r="GC54" s="192" t="str">
        <f>IF(AND($C54&lt;&gt;"",$U54&lt;&gt;""),(VLOOKUP($C54,'V-LOOKUP'!$C$61:$M$120,10,FALSE)),"0")</f>
        <v>0</v>
      </c>
      <c r="GD54" s="192" t="str">
        <f>IF(AND($C54&lt;&gt;"",$U54&lt;&gt;""),(VLOOKUP($C54,'V-LOOKUP'!$C$61:$M$120,11,FALSE)),"0")</f>
        <v>0</v>
      </c>
      <c r="GE54" s="192" t="str">
        <f>IF(AND($C54&lt;&gt;"",$U54&lt;&gt;""),(VLOOKUP($C54,'V-LOOKUP'!$C$61:$N$120,12,FALSE)),"0")</f>
        <v>0</v>
      </c>
      <c r="GF54" s="192" t="str">
        <f>IF(AND($C54&lt;&gt;"",$V54&lt;&gt;""),(VLOOKUP($C54,'V-LOOKUP'!$C$61:$M$120,4,FALSE)),"0")</f>
        <v>0</v>
      </c>
      <c r="GG54" s="192" t="str">
        <f>IF(AND($C54&lt;&gt;"",V54&lt;&gt;""),(VLOOKUP($C54,'V-LOOKUP'!$C$61:$M$120,5,FALSE)),"0")</f>
        <v>0</v>
      </c>
      <c r="GH54" s="192" t="str">
        <f>IF(AND($C54&lt;&gt;"",$V54&lt;&gt;""),(VLOOKUP($C54,'V-LOOKUP'!$C$61:$M$120,6,FALSE)),"0")</f>
        <v>0</v>
      </c>
      <c r="GI54" s="192" t="str">
        <f>IF(AND($C54&lt;&gt;"",$V54&lt;&gt;""),(VLOOKUP($C54,'V-LOOKUP'!$C$61:$M$120,7,FALSE)),"0")</f>
        <v>0</v>
      </c>
      <c r="GJ54" s="192" t="str">
        <f>IF(AND($C54&lt;&gt;"",$V54&lt;&gt;""),(VLOOKUP($C54,'V-LOOKUP'!$C$61:$M$120,8,FALSE)),"0")</f>
        <v>0</v>
      </c>
      <c r="GK54" s="192" t="str">
        <f>IF(AND($C54&lt;&gt;"",$V54&lt;&gt;""),(VLOOKUP($C54,'V-LOOKUP'!$C$61:$M$120,9,FALSE)),"0")</f>
        <v>0</v>
      </c>
      <c r="GL54" s="192" t="str">
        <f>IF(AND($C54&lt;&gt;"",$V54&lt;&gt;""),(VLOOKUP($C54,'V-LOOKUP'!$C$61:$M$120,10,FALSE)),"0")</f>
        <v>0</v>
      </c>
      <c r="GM54" s="192" t="str">
        <f>IF(AND($C54&lt;&gt;"",$V54&lt;&gt;""),(VLOOKUP($C54,'V-LOOKUP'!$C$61:$M$120,11,FALSE)),"0")</f>
        <v>0</v>
      </c>
      <c r="GN54" s="192" t="str">
        <f>IF(AND($C54&lt;&gt;"",$V54&lt;&gt;""),(VLOOKUP($C54,'V-LOOKUP'!$C$61:$N$120,12,FALSE)),"0")</f>
        <v>0</v>
      </c>
      <c r="GO54" s="192" t="str">
        <f>IF(AND($C54&lt;&gt;"",$W54&lt;&gt;""),(VLOOKUP($C54,'V-LOOKUP'!$C$61:$M$120,4,FALSE)),"0")</f>
        <v>0</v>
      </c>
      <c r="GP54" s="192" t="str">
        <f>IF(AND($C54&lt;&gt;"",$W54&lt;&gt;""),(VLOOKUP($C54,'V-LOOKUP'!$C$61:$M$120,5,FALSE)),"0")</f>
        <v>0</v>
      </c>
      <c r="GQ54" s="192" t="str">
        <f>IF(AND($C54&lt;&gt;"",$W54&lt;&gt;""),(VLOOKUP($C54,'V-LOOKUP'!$C$61:$M$120,6,FALSE)),"0")</f>
        <v>0</v>
      </c>
      <c r="GR54" s="192" t="str">
        <f>IF(AND($C54&lt;&gt;"",$W54&lt;&gt;""),(VLOOKUP($C54,'V-LOOKUP'!$C$61:$M$120,7,FALSE)),"0")</f>
        <v>0</v>
      </c>
      <c r="GS54" s="192" t="str">
        <f>IF(AND($C54&lt;&gt;"",$W54&lt;&gt;""),(VLOOKUP($C54,'V-LOOKUP'!$C$61:$M$120,8,FALSE)),"0")</f>
        <v>0</v>
      </c>
      <c r="GT54" s="192" t="str">
        <f>IF(AND($C54&lt;&gt;"",$W54&lt;&gt;""),(VLOOKUP($C54,'V-LOOKUP'!$C$61:$M$120,9,FALSE)),"0")</f>
        <v>0</v>
      </c>
      <c r="GU54" s="192" t="str">
        <f>IF(AND($C54&lt;&gt;"",$W54&lt;&gt;""),(VLOOKUP($C54,'V-LOOKUP'!$C$61:$M$120,10,FALSE)),"0")</f>
        <v>0</v>
      </c>
      <c r="GV54" s="192" t="str">
        <f>IF(AND($C54&lt;&gt;"",$W54&lt;&gt;""),(VLOOKUP($C54,'V-LOOKUP'!$C$61:$M$120,11,FALSE)),"0")</f>
        <v>0</v>
      </c>
      <c r="GW54" s="192" t="str">
        <f>IF(AND($C54&lt;&gt;"",$W54&lt;&gt;""),(VLOOKUP($C54,'V-LOOKUP'!$C$61:$N$120,12,FALSE)),"0")</f>
        <v>0</v>
      </c>
    </row>
    <row r="55" spans="1:205" ht="14.65" hidden="1" customHeight="1">
      <c r="A55" s="193"/>
      <c r="B55" s="245"/>
      <c r="C55" s="203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Y55" s="190"/>
      <c r="Z55" s="192" t="str">
        <f>IF(AND($C55&lt;&gt;"",$D55&lt;&gt;""),(VLOOKUP($C55,'V-LOOKUP'!$C$61:$M$120,4,FALSE)),"0")</f>
        <v>0</v>
      </c>
      <c r="AA55" s="192" t="str">
        <f>IF(AND($C55&lt;&gt;"",$D55&lt;&gt;""),(VLOOKUP($C55,'V-LOOKUP'!$C$61:$M$120,5,FALSE)),"0")</f>
        <v>0</v>
      </c>
      <c r="AB55" s="192" t="str">
        <f>IF(AND($C55&lt;&gt;"",$D55&lt;&gt;""),(VLOOKUP($C55,'V-LOOKUP'!$C$61:$M$120,6,FALSE)),"0")</f>
        <v>0</v>
      </c>
      <c r="AC55" s="192" t="str">
        <f>IF(AND($C55&lt;&gt;"",$D55&lt;&gt;""),(VLOOKUP($C55,'V-LOOKUP'!$C$61:$M$120,7,FALSE)),"0")</f>
        <v>0</v>
      </c>
      <c r="AD55" s="192" t="str">
        <f>IF(AND($C55&lt;&gt;"",$D55&lt;&gt;""),(VLOOKUP($C55,'V-LOOKUP'!$C$61:$M$120,8,FALSE)),"0")</f>
        <v>0</v>
      </c>
      <c r="AE55" s="192" t="str">
        <f>IF(AND($C55&lt;&gt;"",$D55&lt;&gt;""),(VLOOKUP($C55,'V-LOOKUP'!$C$61:$M$120,9,FALSE)),"0")</f>
        <v>0</v>
      </c>
      <c r="AF55" s="192" t="str">
        <f>IF(AND($C55&lt;&gt;"",$D55&lt;&gt;""),(VLOOKUP($C55,'V-LOOKUP'!$C$61:$M$120,10,FALSE)),"0")</f>
        <v>0</v>
      </c>
      <c r="AG55" s="192" t="str">
        <f>IF(AND($C55&lt;&gt;"",$D55&lt;&gt;""),(VLOOKUP($C55,'V-LOOKUP'!$C$61:$M$120,11,FALSE)),"0")</f>
        <v>0</v>
      </c>
      <c r="AH55" s="192" t="str">
        <f>IF(AND($C55&lt;&gt;"",$D55&lt;&gt;""),(VLOOKUP($C55,'V-LOOKUP'!$C$61:$N$120,12,FALSE)),"0")</f>
        <v>0</v>
      </c>
      <c r="AI55" s="192" t="str">
        <f>IF(AND($C55&lt;&gt;"",$E55&lt;&gt;""),(VLOOKUP($C55,'V-LOOKUP'!$C$61:$M$120,4,FALSE)),"0")</f>
        <v>0</v>
      </c>
      <c r="AJ55" s="192" t="str">
        <f>IF(AND($C55&lt;&gt;"",$E55&lt;&gt;""),(VLOOKUP($C55,'V-LOOKUP'!$C$61:$M$120,5,FALSE)),"0")</f>
        <v>0</v>
      </c>
      <c r="AK55" s="192" t="str">
        <f>IF(AND($C55&lt;&gt;"",$E55&lt;&gt;""),(VLOOKUP($C55,'V-LOOKUP'!$C$61:$M$120,6,FALSE)),"0")</f>
        <v>0</v>
      </c>
      <c r="AL55" s="192" t="str">
        <f>IF(AND($C55&lt;&gt;"",$E55&lt;&gt;""),(VLOOKUP($C55,'V-LOOKUP'!$C$61:$M$120,7,FALSE)),"0")</f>
        <v>0</v>
      </c>
      <c r="AM55" s="192" t="str">
        <f>IF(AND($C55&lt;&gt;"",$E55&lt;&gt;""),(VLOOKUP($C55,'V-LOOKUP'!$C$61:$M$120,8,FALSE)),"0")</f>
        <v>0</v>
      </c>
      <c r="AN55" s="192" t="str">
        <f>IF(AND($C55&lt;&gt;"",$E55&lt;&gt;""),(VLOOKUP($C55,'V-LOOKUP'!$C$61:$M$120,9,FALSE)),"0")</f>
        <v>0</v>
      </c>
      <c r="AO55" s="192" t="str">
        <f>IF(AND($C55&lt;&gt;"",$E55&lt;&gt;""),(VLOOKUP($C55,'V-LOOKUP'!$C$61:$M$120,10,FALSE)),"0")</f>
        <v>0</v>
      </c>
      <c r="AP55" s="192" t="str">
        <f>IF(AND($C55&lt;&gt;"",$E55&lt;&gt;""),(VLOOKUP($C55,'V-LOOKUP'!$C$61:$M$120,11,FALSE)),"0")</f>
        <v>0</v>
      </c>
      <c r="AQ55" s="192" t="str">
        <f>IF(AND($C55&lt;&gt;"",$E55&lt;&gt;""),(VLOOKUP($C55,'V-LOOKUP'!$C$61:$N$120,12,FALSE)),"0")</f>
        <v>0</v>
      </c>
      <c r="AR55" s="192" t="str">
        <f>IF(AND($C55&lt;&gt;"",$F55&lt;&gt;""),(VLOOKUP($C55,'V-LOOKUP'!$C$61:$M$120,4,FALSE)),"0")</f>
        <v>0</v>
      </c>
      <c r="AS55" s="192" t="str">
        <f>IF(AND($C55&lt;&gt;"",$F55&lt;&gt;""),(VLOOKUP($C55,'V-LOOKUP'!$C$61:$M$120,5,FALSE)),"0")</f>
        <v>0</v>
      </c>
      <c r="AT55" s="192" t="str">
        <f>IF(AND($C55&lt;&gt;"",$F55&lt;&gt;""),(VLOOKUP($C55,'V-LOOKUP'!$C$61:$M$120,6,FALSE)),"0")</f>
        <v>0</v>
      </c>
      <c r="AU55" s="192" t="str">
        <f>IF(AND($C55&lt;&gt;"",$F55&lt;&gt;""),(VLOOKUP($C55,'V-LOOKUP'!$C$61:$M$120,7,FALSE)),"0")</f>
        <v>0</v>
      </c>
      <c r="AV55" s="192" t="str">
        <f>IF(AND($C55&lt;&gt;"",$F55&lt;&gt;""),(VLOOKUP($C55,'V-LOOKUP'!$C$61:$M$120,8,FALSE)),"0")</f>
        <v>0</v>
      </c>
      <c r="AW55" s="192" t="str">
        <f>IF(AND($C55&lt;&gt;"",$F55&lt;&gt;""),(VLOOKUP($C55,'V-LOOKUP'!$C$61:$M$120,9,FALSE)),"0")</f>
        <v>0</v>
      </c>
      <c r="AX55" s="192" t="str">
        <f>IF(AND($C55&lt;&gt;"",$F55&lt;&gt;""),(VLOOKUP($C55,'V-LOOKUP'!$C$61:$M$120,10,FALSE)),"0")</f>
        <v>0</v>
      </c>
      <c r="AY55" s="192" t="str">
        <f>IF(AND($C55&lt;&gt;"",$F55&lt;&gt;""),(VLOOKUP($C55,'V-LOOKUP'!$C$61:$M$120,11,FALSE)),"0")</f>
        <v>0</v>
      </c>
      <c r="AZ55" s="192" t="str">
        <f>IF(AND($C55&lt;&gt;"",$F55&lt;&gt;""),(VLOOKUP($C55,'V-LOOKUP'!$C$61:$N$120,12,FALSE)),"0")</f>
        <v>0</v>
      </c>
      <c r="BA55" s="192" t="str">
        <f>IF(AND($C55&lt;&gt;"",$G55&lt;&gt;""),(VLOOKUP($C55,'V-LOOKUP'!$C$61:$M$120,4,FALSE)),"0")</f>
        <v>0</v>
      </c>
      <c r="BB55" s="192" t="str">
        <f>IF(AND($C55&lt;&gt;"",$G55&lt;&gt;""),(VLOOKUP($C55,'V-LOOKUP'!$C$61:$M$120,5,FALSE)),"0")</f>
        <v>0</v>
      </c>
      <c r="BC55" s="192" t="str">
        <f>IF(AND($C55&lt;&gt;"",$G55&lt;&gt;""),(VLOOKUP($C55,'V-LOOKUP'!$C$61:$M$120,6,FALSE)),"0")</f>
        <v>0</v>
      </c>
      <c r="BD55" s="192" t="str">
        <f>IF(AND($C55&lt;&gt;"",$G55&lt;&gt;""),(VLOOKUP($C55,'V-LOOKUP'!$C$61:$M$120,7,FALSE)),"0")</f>
        <v>0</v>
      </c>
      <c r="BE55" s="192" t="str">
        <f>IF(AND($C55&lt;&gt;"",$G55&lt;&gt;""),(VLOOKUP($C55,'V-LOOKUP'!$C$61:$M$120,8,FALSE)),"0")</f>
        <v>0</v>
      </c>
      <c r="BF55" s="192" t="str">
        <f>IF(AND($C55&lt;&gt;"",$G55&lt;&gt;""),(VLOOKUP($C55,'V-LOOKUP'!$C$61:$M$120,9,FALSE)),"0")</f>
        <v>0</v>
      </c>
      <c r="BG55" s="192" t="str">
        <f>IF(AND($C55&lt;&gt;"",$G55&lt;&gt;""),(VLOOKUP($C55,'V-LOOKUP'!$C$61:$M$120,10,FALSE)),"0")</f>
        <v>0</v>
      </c>
      <c r="BH55" s="192" t="str">
        <f>IF(AND($C55&lt;&gt;"",$G55&lt;&gt;""),(VLOOKUP($C55,'V-LOOKUP'!$C$61:$M$120,11,FALSE)),"0")</f>
        <v>0</v>
      </c>
      <c r="BI55" s="192" t="str">
        <f>IF(AND($C55&lt;&gt;"",$G55&lt;&gt;""),(VLOOKUP($C55,'V-LOOKUP'!$C$61:$N$120,12,FALSE)),"0")</f>
        <v>0</v>
      </c>
      <c r="BJ55" s="192" t="str">
        <f>IF(AND($C55&lt;&gt;"",$H55&lt;&gt;""),(VLOOKUP($C55,'V-LOOKUP'!$C$61:$M$120,4,FALSE)),"0")</f>
        <v>0</v>
      </c>
      <c r="BK55" s="192" t="str">
        <f>IF(AND($C55&lt;&gt;"",$H55&lt;&gt;""),(VLOOKUP($C55,'V-LOOKUP'!$C$61:$M$120,5,FALSE)),"0")</f>
        <v>0</v>
      </c>
      <c r="BL55" s="192" t="str">
        <f>IF(AND($C55&lt;&gt;"",$H55&lt;&gt;""),(VLOOKUP($C55,'V-LOOKUP'!$C$61:$M$120,6,FALSE)),"0")</f>
        <v>0</v>
      </c>
      <c r="BM55" s="192" t="str">
        <f>IF(AND($C55&lt;&gt;"",$H55&lt;&gt;""),(VLOOKUP($C55,'V-LOOKUP'!$C$61:$M$120,7,FALSE)),"0")</f>
        <v>0</v>
      </c>
      <c r="BN55" s="192" t="str">
        <f>IF(AND($C55&lt;&gt;"",$H55&lt;&gt;""),(VLOOKUP($C55,'V-LOOKUP'!$C$61:$M$120,8,FALSE)),"0")</f>
        <v>0</v>
      </c>
      <c r="BO55" s="192" t="str">
        <f>IF(AND($C55&lt;&gt;"",$H55&lt;&gt;""),(VLOOKUP($C55,'V-LOOKUP'!$C$61:$M$120,9,FALSE)),"0")</f>
        <v>0</v>
      </c>
      <c r="BP55" s="192" t="str">
        <f>IF(AND($C55&lt;&gt;"",$H55&lt;&gt;""),(VLOOKUP($C55,'V-LOOKUP'!$C$61:$M$120,10,FALSE)),"0")</f>
        <v>0</v>
      </c>
      <c r="BQ55" s="192" t="str">
        <f>IF(AND($C55&lt;&gt;"",$H55&lt;&gt;""),(VLOOKUP($C55,'V-LOOKUP'!$C$61:$M$120,11,FALSE)),"0")</f>
        <v>0</v>
      </c>
      <c r="BR55" s="192" t="str">
        <f>IF(AND($C55&lt;&gt;"",$H55&lt;&gt;""),(VLOOKUP($C55,'V-LOOKUP'!$C$61:$N$120,12,FALSE)),"0")</f>
        <v>0</v>
      </c>
      <c r="BS55" s="192" t="str">
        <f>IF(AND($C55&lt;&gt;"",$I55&lt;&gt;""),(VLOOKUP($C55,'V-LOOKUP'!$C$61:$M$120,4,FALSE)),"0")</f>
        <v>0</v>
      </c>
      <c r="BT55" s="192" t="str">
        <f>IF(AND($C55&lt;&gt;"",$I55&lt;&gt;""),(VLOOKUP($C55,'V-LOOKUP'!$C$61:$M$120,5,FALSE)),"0")</f>
        <v>0</v>
      </c>
      <c r="BU55" s="192" t="str">
        <f>IF(AND($C55&lt;&gt;"",$I55&lt;&gt;""),(VLOOKUP($C55,'V-LOOKUP'!$C$61:$M$120,6,FALSE)),"0")</f>
        <v>0</v>
      </c>
      <c r="BV55" s="192" t="str">
        <f>IF(AND($C55&lt;&gt;"",$I55&lt;&gt;""),(VLOOKUP($C55,'V-LOOKUP'!$C$61:$M$120,7,FALSE)),"0")</f>
        <v>0</v>
      </c>
      <c r="BW55" s="192" t="str">
        <f>IF(AND($C55&lt;&gt;"",$I55&lt;&gt;""),(VLOOKUP($C55,'V-LOOKUP'!$C$61:$M$120,8,FALSE)),"0")</f>
        <v>0</v>
      </c>
      <c r="BX55" s="192" t="str">
        <f>IF(AND($C55&lt;&gt;"",$I55&lt;&gt;""),(VLOOKUP($C55,'V-LOOKUP'!$C$61:$M$120,9,FALSE)),"0")</f>
        <v>0</v>
      </c>
      <c r="BY55" s="192" t="str">
        <f>IF(AND($C55&lt;&gt;"",$I55&lt;&gt;""),(VLOOKUP($C55,'V-LOOKUP'!$C$61:$M$120,10,FALSE)),"0")</f>
        <v>0</v>
      </c>
      <c r="BZ55" s="192" t="str">
        <f>IF(AND($C55&lt;&gt;"",$I55&lt;&gt;""),(VLOOKUP($C55,'V-LOOKUP'!$C$61:$M$120,11,FALSE)),"0")</f>
        <v>0</v>
      </c>
      <c r="CA55" s="192" t="str">
        <f>IF(AND($C55&lt;&gt;"",$I55&lt;&gt;""),(VLOOKUP($C55,'V-LOOKUP'!$C$61:$N$120,12,FALSE)),"0")</f>
        <v>0</v>
      </c>
      <c r="CB55" s="192" t="str">
        <f>IF(AND($C55&lt;&gt;"",$J55&lt;&gt;""),(VLOOKUP($C55,'V-LOOKUP'!$C$61:$M$120,4,FALSE)),"0")</f>
        <v>0</v>
      </c>
      <c r="CC55" s="192" t="str">
        <f>IF(AND($C55&lt;&gt;"",$J55&lt;&gt;""),(VLOOKUP($C55,'V-LOOKUP'!$C$61:$M$120,5,FALSE)),"0")</f>
        <v>0</v>
      </c>
      <c r="CD55" s="192" t="str">
        <f>IF(AND($C55&lt;&gt;"",$J55&lt;&gt;""),(VLOOKUP($C55,'V-LOOKUP'!$C$61:$M$120,6,FALSE)),"0")</f>
        <v>0</v>
      </c>
      <c r="CE55" s="192" t="str">
        <f>IF(AND($C55&lt;&gt;"",$J55&lt;&gt;""),(VLOOKUP($C55,'V-LOOKUP'!$C$61:$M$120,7,FALSE)),"0")</f>
        <v>0</v>
      </c>
      <c r="CF55" s="192" t="str">
        <f>IF(AND($C55&lt;&gt;"",$J55&lt;&gt;""),(VLOOKUP($C55,'V-LOOKUP'!$C$61:$M$120,8,FALSE)),"0")</f>
        <v>0</v>
      </c>
      <c r="CG55" s="192" t="str">
        <f>IF(AND($C55&lt;&gt;"",$J55&lt;&gt;""),(VLOOKUP($C55,'V-LOOKUP'!$C$61:$M$120,9,FALSE)),"0")</f>
        <v>0</v>
      </c>
      <c r="CH55" s="192" t="str">
        <f>IF(AND($C55&lt;&gt;"",$J55&lt;&gt;""),(VLOOKUP($C55,'V-LOOKUP'!$C$61:$M$120,10,FALSE)),"0")</f>
        <v>0</v>
      </c>
      <c r="CI55" s="192" t="str">
        <f>IF(AND($C55&lt;&gt;"",$J55&lt;&gt;""),(VLOOKUP($C55,'V-LOOKUP'!$C$61:$M$120,11,FALSE)),"0")</f>
        <v>0</v>
      </c>
      <c r="CJ55" s="192" t="str">
        <f>IF(AND($C55&lt;&gt;"",$J55&lt;&gt;""),(VLOOKUP($C55,'V-LOOKUP'!$C$61:$N$120,12,FALSE)),"0")</f>
        <v>0</v>
      </c>
      <c r="CK55" s="192" t="str">
        <f>IF(AND($C55&lt;&gt;"",$K55&lt;&gt;""),(VLOOKUP($C55,'V-LOOKUP'!$C$61:$M$120,4,FALSE)),"0")</f>
        <v>0</v>
      </c>
      <c r="CL55" s="192" t="str">
        <f>IF(AND($C55&lt;&gt;"",$K55&lt;&gt;""),(VLOOKUP($C55,'V-LOOKUP'!$C$61:$M$120,5,FALSE)),"0")</f>
        <v>0</v>
      </c>
      <c r="CM55" s="192" t="str">
        <f>IF(AND($C55&lt;&gt;"",$K55&lt;&gt;""),(VLOOKUP($C55,'V-LOOKUP'!$C$61:$M$120,6,FALSE)),"0")</f>
        <v>0</v>
      </c>
      <c r="CN55" s="192" t="str">
        <f>IF(AND($C55&lt;&gt;"",$K55&lt;&gt;""),(VLOOKUP($C55,'V-LOOKUP'!$C$61:$M$120,7,FALSE)),"0")</f>
        <v>0</v>
      </c>
      <c r="CO55" s="192" t="str">
        <f>IF(AND($C55&lt;&gt;"",$K55&lt;&gt;""),(VLOOKUP($C55,'V-LOOKUP'!$C$61:$M$120,8,FALSE)),"0")</f>
        <v>0</v>
      </c>
      <c r="CP55" s="192" t="str">
        <f>IF(AND($C55&lt;&gt;"",$K55&lt;&gt;""),(VLOOKUP($C55,'V-LOOKUP'!$C$61:$M$120,9,FALSE)),"0")</f>
        <v>0</v>
      </c>
      <c r="CQ55" s="192" t="str">
        <f>IF(AND($C55&lt;&gt;"",$K55&lt;&gt;""),(VLOOKUP($C55,'V-LOOKUP'!$C$61:$M$120,10,FALSE)),"0")</f>
        <v>0</v>
      </c>
      <c r="CR55" s="192" t="str">
        <f>IF(AND($C55&lt;&gt;"",$K55&lt;&gt;""),(VLOOKUP($C55,'V-LOOKUP'!$C$61:$M$120,11,FALSE)),"0")</f>
        <v>0</v>
      </c>
      <c r="CS55" s="192" t="str">
        <f>IF(AND($C55&lt;&gt;"",$K55&lt;&gt;""),(VLOOKUP($C55,'V-LOOKUP'!$C$61:$N$120,12,FALSE)),"0")</f>
        <v>0</v>
      </c>
      <c r="CT55" s="192" t="str">
        <f>IF(AND($C55&lt;&gt;"",$L55&lt;&gt;""),(VLOOKUP($C55,'V-LOOKUP'!$C$61:$M$120,4,FALSE)),"0")</f>
        <v>0</v>
      </c>
      <c r="CU55" s="192" t="str">
        <f>IF(AND($C55&lt;&gt;"",$L55&lt;&gt;""),(VLOOKUP($C55,'V-LOOKUP'!$C$61:$M$120,5,FALSE)),"0")</f>
        <v>0</v>
      </c>
      <c r="CV55" s="192" t="str">
        <f>IF(AND($C55&lt;&gt;"",$L55&lt;&gt;""),(VLOOKUP($C55,'V-LOOKUP'!$C$61:$M$120,6,FALSE)),"0")</f>
        <v>0</v>
      </c>
      <c r="CW55" s="192" t="str">
        <f>IF(AND($C55&lt;&gt;"",$L55&lt;&gt;""),(VLOOKUP($C55,'V-LOOKUP'!$C$61:$M$120,7,FALSE)),"0")</f>
        <v>0</v>
      </c>
      <c r="CX55" s="192" t="str">
        <f>IF(AND($C55&lt;&gt;"",$L55&lt;&gt;""),(VLOOKUP($C55,'V-LOOKUP'!$C$61:$M$120,8,FALSE)),"0")</f>
        <v>0</v>
      </c>
      <c r="CY55" s="192" t="str">
        <f>IF(AND($C55&lt;&gt;"",$L55&lt;&gt;""),(VLOOKUP($C55,'V-LOOKUP'!$C$61:$M$120,9,FALSE)),"0")</f>
        <v>0</v>
      </c>
      <c r="CZ55" s="192" t="str">
        <f>IF(AND($C55&lt;&gt;"",$L55&lt;&gt;""),(VLOOKUP($C55,'V-LOOKUP'!$C$61:$M$120,10,FALSE)),"0")</f>
        <v>0</v>
      </c>
      <c r="DA55" s="192" t="str">
        <f>IF(AND($C55&lt;&gt;"",$L55&lt;&gt;""),(VLOOKUP($C55,'V-LOOKUP'!$C$61:$M$120,11,FALSE)),"0")</f>
        <v>0</v>
      </c>
      <c r="DB55" s="192" t="str">
        <f>IF(AND($C55&lt;&gt;"",$L55&lt;&gt;""),(VLOOKUP($C55,'V-LOOKUP'!$C$61:$N$120,12,FALSE)),"0")</f>
        <v>0</v>
      </c>
      <c r="DC55" s="192" t="str">
        <f>IF(AND($C55&lt;&gt;"",$M55&lt;&gt;""),(VLOOKUP($C55,'V-LOOKUP'!$C$61:$M$120,4,FALSE)),"0")</f>
        <v>0</v>
      </c>
      <c r="DD55" s="192" t="str">
        <f>IF(AND($C55&lt;&gt;"",$M55&lt;&gt;""),(VLOOKUP($C55,'V-LOOKUP'!$C$61:$M$120,5,FALSE)),"0")</f>
        <v>0</v>
      </c>
      <c r="DE55" s="192" t="str">
        <f>IF(AND($C55&lt;&gt;"",$M55&lt;&gt;""),(VLOOKUP($C55,'V-LOOKUP'!$C$61:$M$120,6,FALSE)),"0")</f>
        <v>0</v>
      </c>
      <c r="DF55" s="192" t="str">
        <f>IF(AND($C55&lt;&gt;"",$M55&lt;&gt;""),(VLOOKUP($C55,'V-LOOKUP'!$C$61:$M$120,7,FALSE)),"0")</f>
        <v>0</v>
      </c>
      <c r="DG55" s="192" t="str">
        <f>IF(AND($C55&lt;&gt;"",$M55&lt;&gt;""),(VLOOKUP($C55,'V-LOOKUP'!$C$61:$M$120,8,FALSE)),"0")</f>
        <v>0</v>
      </c>
      <c r="DH55" s="192" t="str">
        <f>IF(AND($C55&lt;&gt;"",$M55&lt;&gt;""),(VLOOKUP($C55,'V-LOOKUP'!$C$61:$M$120,9,FALSE)),"0")</f>
        <v>0</v>
      </c>
      <c r="DI55" s="192" t="str">
        <f>IF(AND($C55&lt;&gt;"",$M55&lt;&gt;""),(VLOOKUP($C55,'V-LOOKUP'!$C$61:$M$120,10,FALSE)),"0")</f>
        <v>0</v>
      </c>
      <c r="DJ55" s="192" t="str">
        <f>IF(AND($C55&lt;&gt;"",$M55&lt;&gt;""),(VLOOKUP($C55,'V-LOOKUP'!$C$61:$M$120,11,FALSE)),"0")</f>
        <v>0</v>
      </c>
      <c r="DK55" s="192" t="str">
        <f>IF(AND($C55&lt;&gt;"",$M55&lt;&gt;""),(VLOOKUP($C55,'V-LOOKUP'!$C$61:$N$120,12,FALSE)),"0")</f>
        <v>0</v>
      </c>
      <c r="DL55" s="192" t="str">
        <f>IF(AND($C55&lt;&gt;"",$N55&lt;&gt;""),(VLOOKUP($C55,'V-LOOKUP'!$C$61:$M$120,4,FALSE)),"0")</f>
        <v>0</v>
      </c>
      <c r="DM55" s="192" t="str">
        <f>IF(AND($C55&lt;&gt;"",$N55&lt;&gt;""),(VLOOKUP($C55,'V-LOOKUP'!$C$61:$M$120,5,FALSE)),"0")</f>
        <v>0</v>
      </c>
      <c r="DN55" s="192" t="str">
        <f>IF(AND($C55&lt;&gt;"",$N55&lt;&gt;""),(VLOOKUP($C55,'V-LOOKUP'!$C$61:$M$120,6,FALSE)),"0")</f>
        <v>0</v>
      </c>
      <c r="DO55" s="192" t="str">
        <f>IF(AND($C55&lt;&gt;"",$N55&lt;&gt;""),(VLOOKUP($C55,'V-LOOKUP'!$C$61:$M$120,7,FALSE)),"0")</f>
        <v>0</v>
      </c>
      <c r="DP55" s="192" t="str">
        <f>IF(AND($C55&lt;&gt;"",$N55&lt;&gt;""),(VLOOKUP($C55,'V-LOOKUP'!$C$61:$M$120,8,FALSE)),"0")</f>
        <v>0</v>
      </c>
      <c r="DQ55" s="192" t="str">
        <f>IF(AND($C55&lt;&gt;"",$N55&lt;&gt;""),(VLOOKUP($C55,'V-LOOKUP'!$C$61:$M$120,9,FALSE)),"0")</f>
        <v>0</v>
      </c>
      <c r="DR55" s="192" t="str">
        <f>IF(AND($C55&lt;&gt;"",$N55&lt;&gt;""),(VLOOKUP($C55,'V-LOOKUP'!$C$61:$M$120,10,FALSE)),"0")</f>
        <v>0</v>
      </c>
      <c r="DS55" s="192" t="str">
        <f>IF(AND($C55&lt;&gt;"",$N55&lt;&gt;""),(VLOOKUP($C55,'V-LOOKUP'!$C$61:$M$120,11,FALSE)),"0")</f>
        <v>0</v>
      </c>
      <c r="DT55" s="192" t="str">
        <f>IF(AND($C55&lt;&gt;"",$N55&lt;&gt;""),(VLOOKUP($C55,'V-LOOKUP'!$C$61:$N$120,12,FALSE)),"0")</f>
        <v>0</v>
      </c>
      <c r="DU55" s="192" t="str">
        <f>IF(AND($C55&lt;&gt;"",$O55&lt;&gt;""),(VLOOKUP($C55,'V-LOOKUP'!$C$61:$M$120,4,FALSE)),"0")</f>
        <v>0</v>
      </c>
      <c r="DV55" s="192" t="str">
        <f>IF(AND($C55&lt;&gt;"",$O55&lt;&gt;""),(VLOOKUP($C55,'V-LOOKUP'!$C$61:$M$120,5,FALSE)),"0")</f>
        <v>0</v>
      </c>
      <c r="DW55" s="192" t="str">
        <f>IF(AND($C55&lt;&gt;"",$O55&lt;&gt;""),(VLOOKUP($C55,'V-LOOKUP'!$C$61:$M$120,6,FALSE)),"0")</f>
        <v>0</v>
      </c>
      <c r="DX55" s="192" t="str">
        <f>IF(AND($C55&lt;&gt;"",$O55&lt;&gt;""),(VLOOKUP($C55,'V-LOOKUP'!$C$61:$M$120,7,FALSE)),"0")</f>
        <v>0</v>
      </c>
      <c r="DY55" s="192" t="str">
        <f>IF(AND($C55&lt;&gt;"",$O55&lt;&gt;""),(VLOOKUP($C55,'V-LOOKUP'!$C$61:$M$120,8,FALSE)),"0")</f>
        <v>0</v>
      </c>
      <c r="DZ55" s="192" t="str">
        <f>IF(AND($C55&lt;&gt;"",$O55&lt;&gt;""),(VLOOKUP($C55,'V-LOOKUP'!$C$61:$M$120,9,FALSE)),"0")</f>
        <v>0</v>
      </c>
      <c r="EA55" s="192" t="str">
        <f>IF(AND($C55&lt;&gt;"",$O55&lt;&gt;""),(VLOOKUP($C55,'V-LOOKUP'!$C$61:$M$120,10,FALSE)),"0")</f>
        <v>0</v>
      </c>
      <c r="EB55" s="192" t="str">
        <f>IF(AND($C55&lt;&gt;"",$O55&lt;&gt;""),(VLOOKUP($C55,'V-LOOKUP'!$C$61:$M$120,11,FALSE)),"0")</f>
        <v>0</v>
      </c>
      <c r="EC55" s="192" t="str">
        <f>IF(AND($C55&lt;&gt;"",$O55&lt;&gt;""),(VLOOKUP($C55,'V-LOOKUP'!$C$61:$N$120,12,FALSE)),"0")</f>
        <v>0</v>
      </c>
      <c r="ED55" s="192" t="str">
        <f>IF(AND($C55&lt;&gt;"",$P55&lt;&gt;""),(VLOOKUP($C55,'V-LOOKUP'!$C$61:$M$120,4,FALSE)),"0")</f>
        <v>0</v>
      </c>
      <c r="EE55" s="192" t="str">
        <f>IF(AND($C55&lt;&gt;"",$P55&lt;&gt;""),(VLOOKUP($C55,'V-LOOKUP'!$C$61:$M$120,5,FALSE)),"0")</f>
        <v>0</v>
      </c>
      <c r="EF55" s="192" t="str">
        <f>IF(AND($C55&lt;&gt;"",$P55&lt;&gt;""),(VLOOKUP($C55,'V-LOOKUP'!$C$61:$M$120,6,FALSE)),"0")</f>
        <v>0</v>
      </c>
      <c r="EG55" s="192" t="str">
        <f>IF(AND($C55&lt;&gt;"",$P55&lt;&gt;""),(VLOOKUP($C55,'V-LOOKUP'!$C$61:$M$120,7,FALSE)),"0")</f>
        <v>0</v>
      </c>
      <c r="EH55" s="192" t="str">
        <f>IF(AND($C55&lt;&gt;"",$P55&lt;&gt;""),(VLOOKUP($C55,'V-LOOKUP'!$C$61:$M$120,8,FALSE)),"0")</f>
        <v>0</v>
      </c>
      <c r="EI55" s="192" t="str">
        <f>IF(AND($C55&lt;&gt;"",$P55&lt;&gt;""),(VLOOKUP($C55,'V-LOOKUP'!$C$61:$M$120,9,FALSE)),"0")</f>
        <v>0</v>
      </c>
      <c r="EJ55" s="192" t="str">
        <f>IF(AND($C55&lt;&gt;"",$P55&lt;&gt;""),(VLOOKUP($C55,'V-LOOKUP'!$C$61:$M$120,10,FALSE)),"0")</f>
        <v>0</v>
      </c>
      <c r="EK55" s="192" t="str">
        <f>IF(AND($C55&lt;&gt;"",$P55&lt;&gt;""),(VLOOKUP($C55,'V-LOOKUP'!$C$61:$M$120,11,FALSE)),"0")</f>
        <v>0</v>
      </c>
      <c r="EL55" s="192" t="str">
        <f>IF(AND($C55&lt;&gt;"",$P55&lt;&gt;""),(VLOOKUP($C55,'V-LOOKUP'!$C$61:$N$120,12,FALSE)),"0")</f>
        <v>0</v>
      </c>
      <c r="EM55" s="192" t="str">
        <f>IF(AND($C55&lt;&gt;"",$Q55&lt;&gt;""),(VLOOKUP($C55,'V-LOOKUP'!$C$61:$M$120,4,FALSE)),"0")</f>
        <v>0</v>
      </c>
      <c r="EN55" s="192" t="str">
        <f>IF(AND($C55&lt;&gt;"",$Q55&lt;&gt;""),(VLOOKUP($C55,'V-LOOKUP'!$C$61:$M$120,5,FALSE)),"0")</f>
        <v>0</v>
      </c>
      <c r="EO55" s="192" t="str">
        <f>IF(AND($C55&lt;&gt;"",$Q55&lt;&gt;""),(VLOOKUP($C55,'V-LOOKUP'!$C$61:$M$120,6,FALSE)),"0")</f>
        <v>0</v>
      </c>
      <c r="EP55" s="192" t="str">
        <f>IF(AND($C55&lt;&gt;"",$Q55&lt;&gt;""),(VLOOKUP($C55,'V-LOOKUP'!$C$61:$M$120,7,FALSE)),"0")</f>
        <v>0</v>
      </c>
      <c r="EQ55" s="192" t="str">
        <f>IF(AND($C55&lt;&gt;"",$Q55&lt;&gt;""),(VLOOKUP($C55,'V-LOOKUP'!$C$61:$M$120,8,FALSE)),"0")</f>
        <v>0</v>
      </c>
      <c r="ER55" s="192" t="str">
        <f>IF(AND($C55&lt;&gt;"",$Q55&lt;&gt;""),(VLOOKUP($C55,'V-LOOKUP'!$C$61:$M$120,9,FALSE)),"0")</f>
        <v>0</v>
      </c>
      <c r="ES55" s="192" t="str">
        <f>IF(AND($C55&lt;&gt;"",$Q55&lt;&gt;""),(VLOOKUP($C55,'V-LOOKUP'!$C$61:$M$120,10,FALSE)),"0")</f>
        <v>0</v>
      </c>
      <c r="ET55" s="192" t="str">
        <f>IF(AND($C55&lt;&gt;"",$Q55&lt;&gt;""),(VLOOKUP($C55,'V-LOOKUP'!$C$61:$M$120,11,FALSE)),"0")</f>
        <v>0</v>
      </c>
      <c r="EU55" s="192" t="str">
        <f>IF(AND($C55&lt;&gt;"",$Q55&lt;&gt;""),(VLOOKUP($C55,'V-LOOKUP'!$C$61:$N$120,12,FALSE)),"0")</f>
        <v>0</v>
      </c>
      <c r="EV55" s="192" t="str">
        <f>IF(AND($C55&lt;&gt;"",$R55&lt;&gt;""),(VLOOKUP($C55,'V-LOOKUP'!$C$61:$M$120,4,FALSE)),"0")</f>
        <v>0</v>
      </c>
      <c r="EW55" s="192" t="str">
        <f>IF(AND($C55&lt;&gt;"",$R55&lt;&gt;""),(VLOOKUP($C55,'V-LOOKUP'!$C$61:$M$120,5,FALSE)),"0")</f>
        <v>0</v>
      </c>
      <c r="EX55" s="192" t="str">
        <f>IF(AND($C55&lt;&gt;"",$R55&lt;&gt;""),(VLOOKUP($C55,'V-LOOKUP'!$C$61:$M$120,6,FALSE)),"0")</f>
        <v>0</v>
      </c>
      <c r="EY55" s="192" t="str">
        <f>IF(AND($C55&lt;&gt;"",$R55&lt;&gt;""),(VLOOKUP($C55,'V-LOOKUP'!$C$61:$M$120,7,FALSE)),"0")</f>
        <v>0</v>
      </c>
      <c r="EZ55" s="192" t="str">
        <f>IF(AND($C55&lt;&gt;"",$R55&lt;&gt;""),(VLOOKUP($C55,'V-LOOKUP'!$C$61:$M$120,8,FALSE)),"0")</f>
        <v>0</v>
      </c>
      <c r="FA55" s="192" t="str">
        <f>IF(AND($C55&lt;&gt;"",$R55&lt;&gt;""),(VLOOKUP($C55,'V-LOOKUP'!$C$61:$M$120,9,FALSE)),"0")</f>
        <v>0</v>
      </c>
      <c r="FB55" s="192" t="str">
        <f>IF(AND($C55&lt;&gt;"",$R55&lt;&gt;""),(VLOOKUP($C55,'V-LOOKUP'!$C$61:$M$120,10,FALSE)),"0")</f>
        <v>0</v>
      </c>
      <c r="FC55" s="192" t="str">
        <f>IF(AND($C55&lt;&gt;"",$R55&lt;&gt;""),(VLOOKUP($C55,'V-LOOKUP'!$C$61:$M$120,11,FALSE)),"0")</f>
        <v>0</v>
      </c>
      <c r="FD55" s="192" t="str">
        <f>IF(AND($C55&lt;&gt;"",$R55&lt;&gt;""),(VLOOKUP($C55,'V-LOOKUP'!$C$61:$N$120,12,FALSE)),"0")</f>
        <v>0</v>
      </c>
      <c r="FE55" s="192" t="str">
        <f>IF(AND($C55&lt;&gt;"",$S55&lt;&gt;""),(VLOOKUP($C55,'V-LOOKUP'!$C$61:$M$120,4,FALSE)),"0")</f>
        <v>0</v>
      </c>
      <c r="FF55" s="192" t="str">
        <f>IF(AND($C55&lt;&gt;"",$S55&lt;&gt;""),(VLOOKUP($C55,'V-LOOKUP'!$C$61:$M$120,5,FALSE)),"0")</f>
        <v>0</v>
      </c>
      <c r="FG55" s="192" t="str">
        <f>IF(AND($C55&lt;&gt;"",$S55&lt;&gt;""),(VLOOKUP($C55,'V-LOOKUP'!$C$61:$M$120,6,FALSE)),"0")</f>
        <v>0</v>
      </c>
      <c r="FH55" s="192" t="str">
        <f>IF(AND($C55&lt;&gt;"",$S55&lt;&gt;""),(VLOOKUP($C55,'V-LOOKUP'!$C$61:$M$120,7,FALSE)),"0")</f>
        <v>0</v>
      </c>
      <c r="FI55" s="192" t="str">
        <f>IF(AND($C55&lt;&gt;"",$S55&lt;&gt;""),(VLOOKUP($C55,'V-LOOKUP'!$C$61:$M$120,8,FALSE)),"0")</f>
        <v>0</v>
      </c>
      <c r="FJ55" s="192" t="str">
        <f>IF(AND($C55&lt;&gt;"",$S55&lt;&gt;""),(VLOOKUP($C55,'V-LOOKUP'!$C$61:$M$120,9,FALSE)),"0")</f>
        <v>0</v>
      </c>
      <c r="FK55" s="192" t="str">
        <f>IF(AND($C55&lt;&gt;"",$S55&lt;&gt;""),(VLOOKUP($C55,'V-LOOKUP'!$C$61:$M$120,10,FALSE)),"0")</f>
        <v>0</v>
      </c>
      <c r="FL55" s="192" t="str">
        <f>IF(AND($C55&lt;&gt;"",$S55&lt;&gt;""),(VLOOKUP($C55,'V-LOOKUP'!$C$61:$M$120,11,FALSE)),"0")</f>
        <v>0</v>
      </c>
      <c r="FM55" s="192" t="str">
        <f>IF(AND($C55&lt;&gt;"",$S55&lt;&gt;""),(VLOOKUP($C55,'V-LOOKUP'!$C$61:$N$120,12,FALSE)),"0")</f>
        <v>0</v>
      </c>
      <c r="FN55" s="192" t="str">
        <f>IF(AND($C55&lt;&gt;"",$T55&lt;&gt;""),(VLOOKUP($C55,'V-LOOKUP'!$C$61:$M$120,4,FALSE)),"0")</f>
        <v>0</v>
      </c>
      <c r="FO55" s="192" t="str">
        <f>IF(AND($C55&lt;&gt;"",$T55&lt;&gt;""),(VLOOKUP($C55,'V-LOOKUP'!$C$61:$M$120,5,FALSE)),"0")</f>
        <v>0</v>
      </c>
      <c r="FP55" s="192" t="str">
        <f>IF(AND($C55&lt;&gt;"",$T55&lt;&gt;""),(VLOOKUP($C55,'V-LOOKUP'!$C$61:$M$120,6,FALSE)),"0")</f>
        <v>0</v>
      </c>
      <c r="FQ55" s="192" t="str">
        <f>IF(AND($C55&lt;&gt;"",$T55&lt;&gt;""),(VLOOKUP($C55,'V-LOOKUP'!$C$61:$M$120,7,FALSE)),"0")</f>
        <v>0</v>
      </c>
      <c r="FR55" s="192" t="str">
        <f>IF(AND($C55&lt;&gt;"",$T55&lt;&gt;""),(VLOOKUP($C55,'V-LOOKUP'!$C$61:$M$120,8,FALSE)),"0")</f>
        <v>0</v>
      </c>
      <c r="FS55" s="192" t="str">
        <f>IF(AND($C55&lt;&gt;"",$T55&lt;&gt;""),(VLOOKUP($C55,'V-LOOKUP'!$C$61:$M$120,9,FALSE)),"0")</f>
        <v>0</v>
      </c>
      <c r="FT55" s="192" t="str">
        <f>IF(AND($C55&lt;&gt;"",$T55&lt;&gt;""),(VLOOKUP($C55,'V-LOOKUP'!$C$61:$M$120,10,FALSE)),"0")</f>
        <v>0</v>
      </c>
      <c r="FU55" s="192" t="str">
        <f>IF(AND($C55&lt;&gt;"",$T55&lt;&gt;""),(VLOOKUP($C55,'V-LOOKUP'!$C$61:$M$120,11,FALSE)),"0")</f>
        <v>0</v>
      </c>
      <c r="FV55" s="192" t="str">
        <f>IF(AND($C55&lt;&gt;"",$T55&lt;&gt;""),(VLOOKUP($C55,'V-LOOKUP'!$C$61:$N$120,12,FALSE)),"0")</f>
        <v>0</v>
      </c>
      <c r="FW55" s="192" t="str">
        <f>IF(AND($C55&lt;&gt;"",$U55&lt;&gt;""),(VLOOKUP($C55,'V-LOOKUP'!$C$61:$M$120,4,FALSE)),"0")</f>
        <v>0</v>
      </c>
      <c r="FX55" s="192" t="str">
        <f>IF(AND($C55&lt;&gt;"",$U55&lt;&gt;""),(VLOOKUP($C55,'V-LOOKUP'!$C$61:$M$120,5,FALSE)),"0")</f>
        <v>0</v>
      </c>
      <c r="FY55" s="192" t="str">
        <f>IF(AND($C55&lt;&gt;"",$U55&lt;&gt;""),(VLOOKUP($C55,'V-LOOKUP'!$C$61:$M$120,6,FALSE)),"0")</f>
        <v>0</v>
      </c>
      <c r="FZ55" s="192" t="str">
        <f>IF(AND($C55&lt;&gt;"",$U55&lt;&gt;""),(VLOOKUP($C55,'V-LOOKUP'!$C$61:$M$120,7,FALSE)),"0")</f>
        <v>0</v>
      </c>
      <c r="GA55" s="192" t="str">
        <f>IF(AND($C55&lt;&gt;"",$U55&lt;&gt;""),(VLOOKUP($C55,'V-LOOKUP'!$C$61:$M$120,8,FALSE)),"0")</f>
        <v>0</v>
      </c>
      <c r="GB55" s="192" t="str">
        <f>IF(AND($C55&lt;&gt;"",$U55&lt;&gt;""),(VLOOKUP($C55,'V-LOOKUP'!$C$61:$M$120,9,FALSE)),"0")</f>
        <v>0</v>
      </c>
      <c r="GC55" s="192" t="str">
        <f>IF(AND($C55&lt;&gt;"",$U55&lt;&gt;""),(VLOOKUP($C55,'V-LOOKUP'!$C$61:$M$120,10,FALSE)),"0")</f>
        <v>0</v>
      </c>
      <c r="GD55" s="192" t="str">
        <f>IF(AND($C55&lt;&gt;"",$U55&lt;&gt;""),(VLOOKUP($C55,'V-LOOKUP'!$C$61:$M$120,11,FALSE)),"0")</f>
        <v>0</v>
      </c>
      <c r="GE55" s="192" t="str">
        <f>IF(AND($C55&lt;&gt;"",$U55&lt;&gt;""),(VLOOKUP($C55,'V-LOOKUP'!$C$61:$N$120,12,FALSE)),"0")</f>
        <v>0</v>
      </c>
      <c r="GF55" s="192" t="str">
        <f>IF(AND($C55&lt;&gt;"",$V55&lt;&gt;""),(VLOOKUP($C55,'V-LOOKUP'!$C$61:$M$120,4,FALSE)),"0")</f>
        <v>0</v>
      </c>
      <c r="GG55" s="192" t="str">
        <f>IF(AND($C55&lt;&gt;"",V55&lt;&gt;""),(VLOOKUP($C55,'V-LOOKUP'!$C$61:$M$120,5,FALSE)),"0")</f>
        <v>0</v>
      </c>
      <c r="GH55" s="192" t="str">
        <f>IF(AND($C55&lt;&gt;"",$V55&lt;&gt;""),(VLOOKUP($C55,'V-LOOKUP'!$C$61:$M$120,6,FALSE)),"0")</f>
        <v>0</v>
      </c>
      <c r="GI55" s="192" t="str">
        <f>IF(AND($C55&lt;&gt;"",$V55&lt;&gt;""),(VLOOKUP($C55,'V-LOOKUP'!$C$61:$M$120,7,FALSE)),"0")</f>
        <v>0</v>
      </c>
      <c r="GJ55" s="192" t="str">
        <f>IF(AND($C55&lt;&gt;"",$V55&lt;&gt;""),(VLOOKUP($C55,'V-LOOKUP'!$C$61:$M$120,8,FALSE)),"0")</f>
        <v>0</v>
      </c>
      <c r="GK55" s="192" t="str">
        <f>IF(AND($C55&lt;&gt;"",$V55&lt;&gt;""),(VLOOKUP($C55,'V-LOOKUP'!$C$61:$M$120,9,FALSE)),"0")</f>
        <v>0</v>
      </c>
      <c r="GL55" s="192" t="str">
        <f>IF(AND($C55&lt;&gt;"",$V55&lt;&gt;""),(VLOOKUP($C55,'V-LOOKUP'!$C$61:$M$120,10,FALSE)),"0")</f>
        <v>0</v>
      </c>
      <c r="GM55" s="192" t="str">
        <f>IF(AND($C55&lt;&gt;"",$V55&lt;&gt;""),(VLOOKUP($C55,'V-LOOKUP'!$C$61:$M$120,11,FALSE)),"0")</f>
        <v>0</v>
      </c>
      <c r="GN55" s="192" t="str">
        <f>IF(AND($C55&lt;&gt;"",$V55&lt;&gt;""),(VLOOKUP($C55,'V-LOOKUP'!$C$61:$N$120,12,FALSE)),"0")</f>
        <v>0</v>
      </c>
      <c r="GO55" s="192" t="str">
        <f>IF(AND($C55&lt;&gt;"",$W55&lt;&gt;""),(VLOOKUP($C55,'V-LOOKUP'!$C$61:$M$120,4,FALSE)),"0")</f>
        <v>0</v>
      </c>
      <c r="GP55" s="192" t="str">
        <f>IF(AND($C55&lt;&gt;"",$W55&lt;&gt;""),(VLOOKUP($C55,'V-LOOKUP'!$C$61:$M$120,5,FALSE)),"0")</f>
        <v>0</v>
      </c>
      <c r="GQ55" s="192" t="str">
        <f>IF(AND($C55&lt;&gt;"",$W55&lt;&gt;""),(VLOOKUP($C55,'V-LOOKUP'!$C$61:$M$120,6,FALSE)),"0")</f>
        <v>0</v>
      </c>
      <c r="GR55" s="192" t="str">
        <f>IF(AND($C55&lt;&gt;"",$W55&lt;&gt;""),(VLOOKUP($C55,'V-LOOKUP'!$C$61:$M$120,7,FALSE)),"0")</f>
        <v>0</v>
      </c>
      <c r="GS55" s="192" t="str">
        <f>IF(AND($C55&lt;&gt;"",$W55&lt;&gt;""),(VLOOKUP($C55,'V-LOOKUP'!$C$61:$M$120,8,FALSE)),"0")</f>
        <v>0</v>
      </c>
      <c r="GT55" s="192" t="str">
        <f>IF(AND($C55&lt;&gt;"",$W55&lt;&gt;""),(VLOOKUP($C55,'V-LOOKUP'!$C$61:$M$120,9,FALSE)),"0")</f>
        <v>0</v>
      </c>
      <c r="GU55" s="192" t="str">
        <f>IF(AND($C55&lt;&gt;"",$W55&lt;&gt;""),(VLOOKUP($C55,'V-LOOKUP'!$C$61:$M$120,10,FALSE)),"0")</f>
        <v>0</v>
      </c>
      <c r="GV55" s="192" t="str">
        <f>IF(AND($C55&lt;&gt;"",$W55&lt;&gt;""),(VLOOKUP($C55,'V-LOOKUP'!$C$61:$M$120,11,FALSE)),"0")</f>
        <v>0</v>
      </c>
      <c r="GW55" s="192" t="str">
        <f>IF(AND($C55&lt;&gt;"",$W55&lt;&gt;""),(VLOOKUP($C55,'V-LOOKUP'!$C$61:$N$120,12,FALSE)),"0")</f>
        <v>0</v>
      </c>
    </row>
    <row r="56" spans="1:205" ht="14.65" hidden="1" customHeight="1">
      <c r="A56" s="193"/>
      <c r="B56" s="245"/>
      <c r="C56" s="203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Y56" s="190"/>
      <c r="Z56" s="192" t="str">
        <f>IF(AND($C56&lt;&gt;"",$D56&lt;&gt;""),(VLOOKUP($C56,'V-LOOKUP'!$C$61:$M$120,4,FALSE)),"0")</f>
        <v>0</v>
      </c>
      <c r="AA56" s="192" t="str">
        <f>IF(AND($C56&lt;&gt;"",$D56&lt;&gt;""),(VLOOKUP($C56,'V-LOOKUP'!$C$61:$M$120,5,FALSE)),"0")</f>
        <v>0</v>
      </c>
      <c r="AB56" s="192" t="str">
        <f>IF(AND($C56&lt;&gt;"",$D56&lt;&gt;""),(VLOOKUP($C56,'V-LOOKUP'!$C$61:$M$120,6,FALSE)),"0")</f>
        <v>0</v>
      </c>
      <c r="AC56" s="192" t="str">
        <f>IF(AND($C56&lt;&gt;"",$D56&lt;&gt;""),(VLOOKUP($C56,'V-LOOKUP'!$C$61:$M$120,7,FALSE)),"0")</f>
        <v>0</v>
      </c>
      <c r="AD56" s="192" t="str">
        <f>IF(AND($C56&lt;&gt;"",$D56&lt;&gt;""),(VLOOKUP($C56,'V-LOOKUP'!$C$61:$M$120,8,FALSE)),"0")</f>
        <v>0</v>
      </c>
      <c r="AE56" s="192" t="str">
        <f>IF(AND($C56&lt;&gt;"",$D56&lt;&gt;""),(VLOOKUP($C56,'V-LOOKUP'!$C$61:$M$120,9,FALSE)),"0")</f>
        <v>0</v>
      </c>
      <c r="AF56" s="192" t="str">
        <f>IF(AND($C56&lt;&gt;"",$D56&lt;&gt;""),(VLOOKUP($C56,'V-LOOKUP'!$C$61:$M$120,10,FALSE)),"0")</f>
        <v>0</v>
      </c>
      <c r="AG56" s="192" t="str">
        <f>IF(AND($C56&lt;&gt;"",$D56&lt;&gt;""),(VLOOKUP($C56,'V-LOOKUP'!$C$61:$M$120,11,FALSE)),"0")</f>
        <v>0</v>
      </c>
      <c r="AH56" s="192" t="str">
        <f>IF(AND($C56&lt;&gt;"",$D56&lt;&gt;""),(VLOOKUP($C56,'V-LOOKUP'!$C$61:$N$120,12,FALSE)),"0")</f>
        <v>0</v>
      </c>
      <c r="AI56" s="192" t="str">
        <f>IF(AND($C56&lt;&gt;"",$E56&lt;&gt;""),(VLOOKUP($C56,'V-LOOKUP'!$C$61:$M$120,4,FALSE)),"0")</f>
        <v>0</v>
      </c>
      <c r="AJ56" s="192" t="str">
        <f>IF(AND($C56&lt;&gt;"",$E56&lt;&gt;""),(VLOOKUP($C56,'V-LOOKUP'!$C$61:$M$120,5,FALSE)),"0")</f>
        <v>0</v>
      </c>
      <c r="AK56" s="192" t="str">
        <f>IF(AND($C56&lt;&gt;"",$E56&lt;&gt;""),(VLOOKUP($C56,'V-LOOKUP'!$C$61:$M$120,6,FALSE)),"0")</f>
        <v>0</v>
      </c>
      <c r="AL56" s="192" t="str">
        <f>IF(AND($C56&lt;&gt;"",$E56&lt;&gt;""),(VLOOKUP($C56,'V-LOOKUP'!$C$61:$M$120,7,FALSE)),"0")</f>
        <v>0</v>
      </c>
      <c r="AM56" s="192" t="str">
        <f>IF(AND($C56&lt;&gt;"",$E56&lt;&gt;""),(VLOOKUP($C56,'V-LOOKUP'!$C$61:$M$120,8,FALSE)),"0")</f>
        <v>0</v>
      </c>
      <c r="AN56" s="192" t="str">
        <f>IF(AND($C56&lt;&gt;"",$E56&lt;&gt;""),(VLOOKUP($C56,'V-LOOKUP'!$C$61:$M$120,9,FALSE)),"0")</f>
        <v>0</v>
      </c>
      <c r="AO56" s="192" t="str">
        <f>IF(AND($C56&lt;&gt;"",$E56&lt;&gt;""),(VLOOKUP($C56,'V-LOOKUP'!$C$61:$M$120,10,FALSE)),"0")</f>
        <v>0</v>
      </c>
      <c r="AP56" s="192" t="str">
        <f>IF(AND($C56&lt;&gt;"",$E56&lt;&gt;""),(VLOOKUP($C56,'V-LOOKUP'!$C$61:$M$120,11,FALSE)),"0")</f>
        <v>0</v>
      </c>
      <c r="AQ56" s="192" t="str">
        <f>IF(AND($C56&lt;&gt;"",$E56&lt;&gt;""),(VLOOKUP($C56,'V-LOOKUP'!$C$61:$N$120,12,FALSE)),"0")</f>
        <v>0</v>
      </c>
      <c r="AR56" s="192" t="str">
        <f>IF(AND($C56&lt;&gt;"",$F56&lt;&gt;""),(VLOOKUP($C56,'V-LOOKUP'!$C$61:$M$120,4,FALSE)),"0")</f>
        <v>0</v>
      </c>
      <c r="AS56" s="192" t="str">
        <f>IF(AND($C56&lt;&gt;"",$F56&lt;&gt;""),(VLOOKUP($C56,'V-LOOKUP'!$C$61:$M$120,5,FALSE)),"0")</f>
        <v>0</v>
      </c>
      <c r="AT56" s="192" t="str">
        <f>IF(AND($C56&lt;&gt;"",$F56&lt;&gt;""),(VLOOKUP($C56,'V-LOOKUP'!$C$61:$M$120,6,FALSE)),"0")</f>
        <v>0</v>
      </c>
      <c r="AU56" s="192" t="str">
        <f>IF(AND($C56&lt;&gt;"",$F56&lt;&gt;""),(VLOOKUP($C56,'V-LOOKUP'!$C$61:$M$120,7,FALSE)),"0")</f>
        <v>0</v>
      </c>
      <c r="AV56" s="192" t="str">
        <f>IF(AND($C56&lt;&gt;"",$F56&lt;&gt;""),(VLOOKUP($C56,'V-LOOKUP'!$C$61:$M$120,8,FALSE)),"0")</f>
        <v>0</v>
      </c>
      <c r="AW56" s="192" t="str">
        <f>IF(AND($C56&lt;&gt;"",$F56&lt;&gt;""),(VLOOKUP($C56,'V-LOOKUP'!$C$61:$M$120,9,FALSE)),"0")</f>
        <v>0</v>
      </c>
      <c r="AX56" s="192" t="str">
        <f>IF(AND($C56&lt;&gt;"",$F56&lt;&gt;""),(VLOOKUP($C56,'V-LOOKUP'!$C$61:$M$120,10,FALSE)),"0")</f>
        <v>0</v>
      </c>
      <c r="AY56" s="192" t="str">
        <f>IF(AND($C56&lt;&gt;"",$F56&lt;&gt;""),(VLOOKUP($C56,'V-LOOKUP'!$C$61:$M$120,11,FALSE)),"0")</f>
        <v>0</v>
      </c>
      <c r="AZ56" s="192" t="str">
        <f>IF(AND($C56&lt;&gt;"",$F56&lt;&gt;""),(VLOOKUP($C56,'V-LOOKUP'!$C$61:$N$120,12,FALSE)),"0")</f>
        <v>0</v>
      </c>
      <c r="BA56" s="192" t="str">
        <f>IF(AND($C56&lt;&gt;"",$G56&lt;&gt;""),(VLOOKUP($C56,'V-LOOKUP'!$C$61:$M$120,4,FALSE)),"0")</f>
        <v>0</v>
      </c>
      <c r="BB56" s="192" t="str">
        <f>IF(AND($C56&lt;&gt;"",$G56&lt;&gt;""),(VLOOKUP($C56,'V-LOOKUP'!$C$61:$M$120,5,FALSE)),"0")</f>
        <v>0</v>
      </c>
      <c r="BC56" s="192" t="str">
        <f>IF(AND($C56&lt;&gt;"",$G56&lt;&gt;""),(VLOOKUP($C56,'V-LOOKUP'!$C$61:$M$120,6,FALSE)),"0")</f>
        <v>0</v>
      </c>
      <c r="BD56" s="192" t="str">
        <f>IF(AND($C56&lt;&gt;"",$G56&lt;&gt;""),(VLOOKUP($C56,'V-LOOKUP'!$C$61:$M$120,7,FALSE)),"0")</f>
        <v>0</v>
      </c>
      <c r="BE56" s="192" t="str">
        <f>IF(AND($C56&lt;&gt;"",$G56&lt;&gt;""),(VLOOKUP($C56,'V-LOOKUP'!$C$61:$M$120,8,FALSE)),"0")</f>
        <v>0</v>
      </c>
      <c r="BF56" s="192" t="str">
        <f>IF(AND($C56&lt;&gt;"",$G56&lt;&gt;""),(VLOOKUP($C56,'V-LOOKUP'!$C$61:$M$120,9,FALSE)),"0")</f>
        <v>0</v>
      </c>
      <c r="BG56" s="192" t="str">
        <f>IF(AND($C56&lt;&gt;"",$G56&lt;&gt;""),(VLOOKUP($C56,'V-LOOKUP'!$C$61:$M$120,10,FALSE)),"0")</f>
        <v>0</v>
      </c>
      <c r="BH56" s="192" t="str">
        <f>IF(AND($C56&lt;&gt;"",$G56&lt;&gt;""),(VLOOKUP($C56,'V-LOOKUP'!$C$61:$M$120,11,FALSE)),"0")</f>
        <v>0</v>
      </c>
      <c r="BI56" s="192" t="str">
        <f>IF(AND($C56&lt;&gt;"",$G56&lt;&gt;""),(VLOOKUP($C56,'V-LOOKUP'!$C$61:$N$120,12,FALSE)),"0")</f>
        <v>0</v>
      </c>
      <c r="BJ56" s="192" t="str">
        <f>IF(AND($C56&lt;&gt;"",$H56&lt;&gt;""),(VLOOKUP($C56,'V-LOOKUP'!$C$61:$M$120,4,FALSE)),"0")</f>
        <v>0</v>
      </c>
      <c r="BK56" s="192" t="str">
        <f>IF(AND($C56&lt;&gt;"",$H56&lt;&gt;""),(VLOOKUP($C56,'V-LOOKUP'!$C$61:$M$120,5,FALSE)),"0")</f>
        <v>0</v>
      </c>
      <c r="BL56" s="192" t="str">
        <f>IF(AND($C56&lt;&gt;"",$H56&lt;&gt;""),(VLOOKUP($C56,'V-LOOKUP'!$C$61:$M$120,6,FALSE)),"0")</f>
        <v>0</v>
      </c>
      <c r="BM56" s="192" t="str">
        <f>IF(AND($C56&lt;&gt;"",$H56&lt;&gt;""),(VLOOKUP($C56,'V-LOOKUP'!$C$61:$M$120,7,FALSE)),"0")</f>
        <v>0</v>
      </c>
      <c r="BN56" s="192" t="str">
        <f>IF(AND($C56&lt;&gt;"",$H56&lt;&gt;""),(VLOOKUP($C56,'V-LOOKUP'!$C$61:$M$120,8,FALSE)),"0")</f>
        <v>0</v>
      </c>
      <c r="BO56" s="192" t="str">
        <f>IF(AND($C56&lt;&gt;"",$H56&lt;&gt;""),(VLOOKUP($C56,'V-LOOKUP'!$C$61:$M$120,9,FALSE)),"0")</f>
        <v>0</v>
      </c>
      <c r="BP56" s="192" t="str">
        <f>IF(AND($C56&lt;&gt;"",$H56&lt;&gt;""),(VLOOKUP($C56,'V-LOOKUP'!$C$61:$M$120,10,FALSE)),"0")</f>
        <v>0</v>
      </c>
      <c r="BQ56" s="192" t="str">
        <f>IF(AND($C56&lt;&gt;"",$H56&lt;&gt;""),(VLOOKUP($C56,'V-LOOKUP'!$C$61:$M$120,11,FALSE)),"0")</f>
        <v>0</v>
      </c>
      <c r="BR56" s="192" t="str">
        <f>IF(AND($C56&lt;&gt;"",$H56&lt;&gt;""),(VLOOKUP($C56,'V-LOOKUP'!$C$61:$N$120,12,FALSE)),"0")</f>
        <v>0</v>
      </c>
      <c r="BS56" s="192" t="str">
        <f>IF(AND($C56&lt;&gt;"",$I56&lt;&gt;""),(VLOOKUP($C56,'V-LOOKUP'!$C$61:$M$120,4,FALSE)),"0")</f>
        <v>0</v>
      </c>
      <c r="BT56" s="192" t="str">
        <f>IF(AND($C56&lt;&gt;"",$I56&lt;&gt;""),(VLOOKUP($C56,'V-LOOKUP'!$C$61:$M$120,5,FALSE)),"0")</f>
        <v>0</v>
      </c>
      <c r="BU56" s="192" t="str">
        <f>IF(AND($C56&lt;&gt;"",$I56&lt;&gt;""),(VLOOKUP($C56,'V-LOOKUP'!$C$61:$M$120,6,FALSE)),"0")</f>
        <v>0</v>
      </c>
      <c r="BV56" s="192" t="str">
        <f>IF(AND($C56&lt;&gt;"",$I56&lt;&gt;""),(VLOOKUP($C56,'V-LOOKUP'!$C$61:$M$120,7,FALSE)),"0")</f>
        <v>0</v>
      </c>
      <c r="BW56" s="192" t="str">
        <f>IF(AND($C56&lt;&gt;"",$I56&lt;&gt;""),(VLOOKUP($C56,'V-LOOKUP'!$C$61:$M$120,8,FALSE)),"0")</f>
        <v>0</v>
      </c>
      <c r="BX56" s="192" t="str">
        <f>IF(AND($C56&lt;&gt;"",$I56&lt;&gt;""),(VLOOKUP($C56,'V-LOOKUP'!$C$61:$M$120,9,FALSE)),"0")</f>
        <v>0</v>
      </c>
      <c r="BY56" s="192" t="str">
        <f>IF(AND($C56&lt;&gt;"",$I56&lt;&gt;""),(VLOOKUP($C56,'V-LOOKUP'!$C$61:$M$120,10,FALSE)),"0")</f>
        <v>0</v>
      </c>
      <c r="BZ56" s="192" t="str">
        <f>IF(AND($C56&lt;&gt;"",$I56&lt;&gt;""),(VLOOKUP($C56,'V-LOOKUP'!$C$61:$M$120,11,FALSE)),"0")</f>
        <v>0</v>
      </c>
      <c r="CA56" s="192" t="str">
        <f>IF(AND($C56&lt;&gt;"",$I56&lt;&gt;""),(VLOOKUP($C56,'V-LOOKUP'!$C$61:$N$120,12,FALSE)),"0")</f>
        <v>0</v>
      </c>
      <c r="CB56" s="192" t="str">
        <f>IF(AND($C56&lt;&gt;"",$J56&lt;&gt;""),(VLOOKUP($C56,'V-LOOKUP'!$C$61:$M$120,4,FALSE)),"0")</f>
        <v>0</v>
      </c>
      <c r="CC56" s="192" t="str">
        <f>IF(AND($C56&lt;&gt;"",$J56&lt;&gt;""),(VLOOKUP($C56,'V-LOOKUP'!$C$61:$M$120,5,FALSE)),"0")</f>
        <v>0</v>
      </c>
      <c r="CD56" s="192" t="str">
        <f>IF(AND($C56&lt;&gt;"",$J56&lt;&gt;""),(VLOOKUP($C56,'V-LOOKUP'!$C$61:$M$120,6,FALSE)),"0")</f>
        <v>0</v>
      </c>
      <c r="CE56" s="192" t="str">
        <f>IF(AND($C56&lt;&gt;"",$J56&lt;&gt;""),(VLOOKUP($C56,'V-LOOKUP'!$C$61:$M$120,7,FALSE)),"0")</f>
        <v>0</v>
      </c>
      <c r="CF56" s="192" t="str">
        <f>IF(AND($C56&lt;&gt;"",$J56&lt;&gt;""),(VLOOKUP($C56,'V-LOOKUP'!$C$61:$M$120,8,FALSE)),"0")</f>
        <v>0</v>
      </c>
      <c r="CG56" s="192" t="str">
        <f>IF(AND($C56&lt;&gt;"",$J56&lt;&gt;""),(VLOOKUP($C56,'V-LOOKUP'!$C$61:$M$120,9,FALSE)),"0")</f>
        <v>0</v>
      </c>
      <c r="CH56" s="192" t="str">
        <f>IF(AND($C56&lt;&gt;"",$J56&lt;&gt;""),(VLOOKUP($C56,'V-LOOKUP'!$C$61:$M$120,10,FALSE)),"0")</f>
        <v>0</v>
      </c>
      <c r="CI56" s="192" t="str">
        <f>IF(AND($C56&lt;&gt;"",$J56&lt;&gt;""),(VLOOKUP($C56,'V-LOOKUP'!$C$61:$M$120,11,FALSE)),"0")</f>
        <v>0</v>
      </c>
      <c r="CJ56" s="192" t="str">
        <f>IF(AND($C56&lt;&gt;"",$J56&lt;&gt;""),(VLOOKUP($C56,'V-LOOKUP'!$C$61:$N$120,12,FALSE)),"0")</f>
        <v>0</v>
      </c>
      <c r="CK56" s="192" t="str">
        <f>IF(AND($C56&lt;&gt;"",$K56&lt;&gt;""),(VLOOKUP($C56,'V-LOOKUP'!$C$61:$M$120,4,FALSE)),"0")</f>
        <v>0</v>
      </c>
      <c r="CL56" s="192" t="str">
        <f>IF(AND($C56&lt;&gt;"",$K56&lt;&gt;""),(VLOOKUP($C56,'V-LOOKUP'!$C$61:$M$120,5,FALSE)),"0")</f>
        <v>0</v>
      </c>
      <c r="CM56" s="192" t="str">
        <f>IF(AND($C56&lt;&gt;"",$K56&lt;&gt;""),(VLOOKUP($C56,'V-LOOKUP'!$C$61:$M$120,6,FALSE)),"0")</f>
        <v>0</v>
      </c>
      <c r="CN56" s="192" t="str">
        <f>IF(AND($C56&lt;&gt;"",$K56&lt;&gt;""),(VLOOKUP($C56,'V-LOOKUP'!$C$61:$M$120,7,FALSE)),"0")</f>
        <v>0</v>
      </c>
      <c r="CO56" s="192" t="str">
        <f>IF(AND($C56&lt;&gt;"",$K56&lt;&gt;""),(VLOOKUP($C56,'V-LOOKUP'!$C$61:$M$120,8,FALSE)),"0")</f>
        <v>0</v>
      </c>
      <c r="CP56" s="192" t="str">
        <f>IF(AND($C56&lt;&gt;"",$K56&lt;&gt;""),(VLOOKUP($C56,'V-LOOKUP'!$C$61:$M$120,9,FALSE)),"0")</f>
        <v>0</v>
      </c>
      <c r="CQ56" s="192" t="str">
        <f>IF(AND($C56&lt;&gt;"",$K56&lt;&gt;""),(VLOOKUP($C56,'V-LOOKUP'!$C$61:$M$120,10,FALSE)),"0")</f>
        <v>0</v>
      </c>
      <c r="CR56" s="192" t="str">
        <f>IF(AND($C56&lt;&gt;"",$K56&lt;&gt;""),(VLOOKUP($C56,'V-LOOKUP'!$C$61:$M$120,11,FALSE)),"0")</f>
        <v>0</v>
      </c>
      <c r="CS56" s="192" t="str">
        <f>IF(AND($C56&lt;&gt;"",$K56&lt;&gt;""),(VLOOKUP($C56,'V-LOOKUP'!$C$61:$N$120,12,FALSE)),"0")</f>
        <v>0</v>
      </c>
      <c r="CT56" s="192" t="str">
        <f>IF(AND($C56&lt;&gt;"",$L56&lt;&gt;""),(VLOOKUP($C56,'V-LOOKUP'!$C$61:$M$120,4,FALSE)),"0")</f>
        <v>0</v>
      </c>
      <c r="CU56" s="192" t="str">
        <f>IF(AND($C56&lt;&gt;"",$L56&lt;&gt;""),(VLOOKUP($C56,'V-LOOKUP'!$C$61:$M$120,5,FALSE)),"0")</f>
        <v>0</v>
      </c>
      <c r="CV56" s="192" t="str">
        <f>IF(AND($C56&lt;&gt;"",$L56&lt;&gt;""),(VLOOKUP($C56,'V-LOOKUP'!$C$61:$M$120,6,FALSE)),"0")</f>
        <v>0</v>
      </c>
      <c r="CW56" s="192" t="str">
        <f>IF(AND($C56&lt;&gt;"",$L56&lt;&gt;""),(VLOOKUP($C56,'V-LOOKUP'!$C$61:$M$120,7,FALSE)),"0")</f>
        <v>0</v>
      </c>
      <c r="CX56" s="192" t="str">
        <f>IF(AND($C56&lt;&gt;"",$L56&lt;&gt;""),(VLOOKUP($C56,'V-LOOKUP'!$C$61:$M$120,8,FALSE)),"0")</f>
        <v>0</v>
      </c>
      <c r="CY56" s="192" t="str">
        <f>IF(AND($C56&lt;&gt;"",$L56&lt;&gt;""),(VLOOKUP($C56,'V-LOOKUP'!$C$61:$M$120,9,FALSE)),"0")</f>
        <v>0</v>
      </c>
      <c r="CZ56" s="192" t="str">
        <f>IF(AND($C56&lt;&gt;"",$L56&lt;&gt;""),(VLOOKUP($C56,'V-LOOKUP'!$C$61:$M$120,10,FALSE)),"0")</f>
        <v>0</v>
      </c>
      <c r="DA56" s="192" t="str">
        <f>IF(AND($C56&lt;&gt;"",$L56&lt;&gt;""),(VLOOKUP($C56,'V-LOOKUP'!$C$61:$M$120,11,FALSE)),"0")</f>
        <v>0</v>
      </c>
      <c r="DB56" s="192" t="str">
        <f>IF(AND($C56&lt;&gt;"",$L56&lt;&gt;""),(VLOOKUP($C56,'V-LOOKUP'!$C$61:$N$120,12,FALSE)),"0")</f>
        <v>0</v>
      </c>
      <c r="DC56" s="192" t="str">
        <f>IF(AND($C56&lt;&gt;"",$M56&lt;&gt;""),(VLOOKUP($C56,'V-LOOKUP'!$C$61:$M$120,4,FALSE)),"0")</f>
        <v>0</v>
      </c>
      <c r="DD56" s="192" t="str">
        <f>IF(AND($C56&lt;&gt;"",$M56&lt;&gt;""),(VLOOKUP($C56,'V-LOOKUP'!$C$61:$M$120,5,FALSE)),"0")</f>
        <v>0</v>
      </c>
      <c r="DE56" s="192" t="str">
        <f>IF(AND($C56&lt;&gt;"",$M56&lt;&gt;""),(VLOOKUP($C56,'V-LOOKUP'!$C$61:$M$120,6,FALSE)),"0")</f>
        <v>0</v>
      </c>
      <c r="DF56" s="192" t="str">
        <f>IF(AND($C56&lt;&gt;"",$M56&lt;&gt;""),(VLOOKUP($C56,'V-LOOKUP'!$C$61:$M$120,7,FALSE)),"0")</f>
        <v>0</v>
      </c>
      <c r="DG56" s="192" t="str">
        <f>IF(AND($C56&lt;&gt;"",$M56&lt;&gt;""),(VLOOKUP($C56,'V-LOOKUP'!$C$61:$M$120,8,FALSE)),"0")</f>
        <v>0</v>
      </c>
      <c r="DH56" s="192" t="str">
        <f>IF(AND($C56&lt;&gt;"",$M56&lt;&gt;""),(VLOOKUP($C56,'V-LOOKUP'!$C$61:$M$120,9,FALSE)),"0")</f>
        <v>0</v>
      </c>
      <c r="DI56" s="192" t="str">
        <f>IF(AND($C56&lt;&gt;"",$M56&lt;&gt;""),(VLOOKUP($C56,'V-LOOKUP'!$C$61:$M$120,10,FALSE)),"0")</f>
        <v>0</v>
      </c>
      <c r="DJ56" s="192" t="str">
        <f>IF(AND($C56&lt;&gt;"",$M56&lt;&gt;""),(VLOOKUP($C56,'V-LOOKUP'!$C$61:$M$120,11,FALSE)),"0")</f>
        <v>0</v>
      </c>
      <c r="DK56" s="192" t="str">
        <f>IF(AND($C56&lt;&gt;"",$M56&lt;&gt;""),(VLOOKUP($C56,'V-LOOKUP'!$C$61:$N$120,12,FALSE)),"0")</f>
        <v>0</v>
      </c>
      <c r="DL56" s="192" t="str">
        <f>IF(AND($C56&lt;&gt;"",$N56&lt;&gt;""),(VLOOKUP($C56,'V-LOOKUP'!$C$61:$M$120,4,FALSE)),"0")</f>
        <v>0</v>
      </c>
      <c r="DM56" s="192" t="str">
        <f>IF(AND($C56&lt;&gt;"",$N56&lt;&gt;""),(VLOOKUP($C56,'V-LOOKUP'!$C$61:$M$120,5,FALSE)),"0")</f>
        <v>0</v>
      </c>
      <c r="DN56" s="192" t="str">
        <f>IF(AND($C56&lt;&gt;"",$N56&lt;&gt;""),(VLOOKUP($C56,'V-LOOKUP'!$C$61:$M$120,6,FALSE)),"0")</f>
        <v>0</v>
      </c>
      <c r="DO56" s="192" t="str">
        <f>IF(AND($C56&lt;&gt;"",$N56&lt;&gt;""),(VLOOKUP($C56,'V-LOOKUP'!$C$61:$M$120,7,FALSE)),"0")</f>
        <v>0</v>
      </c>
      <c r="DP56" s="192" t="str">
        <f>IF(AND($C56&lt;&gt;"",$N56&lt;&gt;""),(VLOOKUP($C56,'V-LOOKUP'!$C$61:$M$120,8,FALSE)),"0")</f>
        <v>0</v>
      </c>
      <c r="DQ56" s="192" t="str">
        <f>IF(AND($C56&lt;&gt;"",$N56&lt;&gt;""),(VLOOKUP($C56,'V-LOOKUP'!$C$61:$M$120,9,FALSE)),"0")</f>
        <v>0</v>
      </c>
      <c r="DR56" s="192" t="str">
        <f>IF(AND($C56&lt;&gt;"",$N56&lt;&gt;""),(VLOOKUP($C56,'V-LOOKUP'!$C$61:$M$120,10,FALSE)),"0")</f>
        <v>0</v>
      </c>
      <c r="DS56" s="192" t="str">
        <f>IF(AND($C56&lt;&gt;"",$N56&lt;&gt;""),(VLOOKUP($C56,'V-LOOKUP'!$C$61:$M$120,11,FALSE)),"0")</f>
        <v>0</v>
      </c>
      <c r="DT56" s="192" t="str">
        <f>IF(AND($C56&lt;&gt;"",$N56&lt;&gt;""),(VLOOKUP($C56,'V-LOOKUP'!$C$61:$N$120,12,FALSE)),"0")</f>
        <v>0</v>
      </c>
      <c r="DU56" s="192" t="str">
        <f>IF(AND($C56&lt;&gt;"",$O56&lt;&gt;""),(VLOOKUP($C56,'V-LOOKUP'!$C$61:$M$120,4,FALSE)),"0")</f>
        <v>0</v>
      </c>
      <c r="DV56" s="192" t="str">
        <f>IF(AND($C56&lt;&gt;"",$O56&lt;&gt;""),(VLOOKUP($C56,'V-LOOKUP'!$C$61:$M$120,5,FALSE)),"0")</f>
        <v>0</v>
      </c>
      <c r="DW56" s="192" t="str">
        <f>IF(AND($C56&lt;&gt;"",$O56&lt;&gt;""),(VLOOKUP($C56,'V-LOOKUP'!$C$61:$M$120,6,FALSE)),"0")</f>
        <v>0</v>
      </c>
      <c r="DX56" s="192" t="str">
        <f>IF(AND($C56&lt;&gt;"",$O56&lt;&gt;""),(VLOOKUP($C56,'V-LOOKUP'!$C$61:$M$120,7,FALSE)),"0")</f>
        <v>0</v>
      </c>
      <c r="DY56" s="192" t="str">
        <f>IF(AND($C56&lt;&gt;"",$O56&lt;&gt;""),(VLOOKUP($C56,'V-LOOKUP'!$C$61:$M$120,8,FALSE)),"0")</f>
        <v>0</v>
      </c>
      <c r="DZ56" s="192" t="str">
        <f>IF(AND($C56&lt;&gt;"",$O56&lt;&gt;""),(VLOOKUP($C56,'V-LOOKUP'!$C$61:$M$120,9,FALSE)),"0")</f>
        <v>0</v>
      </c>
      <c r="EA56" s="192" t="str">
        <f>IF(AND($C56&lt;&gt;"",$O56&lt;&gt;""),(VLOOKUP($C56,'V-LOOKUP'!$C$61:$M$120,10,FALSE)),"0")</f>
        <v>0</v>
      </c>
      <c r="EB56" s="192" t="str">
        <f>IF(AND($C56&lt;&gt;"",$O56&lt;&gt;""),(VLOOKUP($C56,'V-LOOKUP'!$C$61:$M$120,11,FALSE)),"0")</f>
        <v>0</v>
      </c>
      <c r="EC56" s="192" t="str">
        <f>IF(AND($C56&lt;&gt;"",$O56&lt;&gt;""),(VLOOKUP($C56,'V-LOOKUP'!$C$61:$N$120,12,FALSE)),"0")</f>
        <v>0</v>
      </c>
      <c r="ED56" s="192" t="str">
        <f>IF(AND($C56&lt;&gt;"",$P56&lt;&gt;""),(VLOOKUP($C56,'V-LOOKUP'!$C$61:$M$120,4,FALSE)),"0")</f>
        <v>0</v>
      </c>
      <c r="EE56" s="192" t="str">
        <f>IF(AND($C56&lt;&gt;"",$P56&lt;&gt;""),(VLOOKUP($C56,'V-LOOKUP'!$C$61:$M$120,5,FALSE)),"0")</f>
        <v>0</v>
      </c>
      <c r="EF56" s="192" t="str">
        <f>IF(AND($C56&lt;&gt;"",$P56&lt;&gt;""),(VLOOKUP($C56,'V-LOOKUP'!$C$61:$M$120,6,FALSE)),"0")</f>
        <v>0</v>
      </c>
      <c r="EG56" s="192" t="str">
        <f>IF(AND($C56&lt;&gt;"",$P56&lt;&gt;""),(VLOOKUP($C56,'V-LOOKUP'!$C$61:$M$120,7,FALSE)),"0")</f>
        <v>0</v>
      </c>
      <c r="EH56" s="192" t="str">
        <f>IF(AND($C56&lt;&gt;"",$P56&lt;&gt;""),(VLOOKUP($C56,'V-LOOKUP'!$C$61:$M$120,8,FALSE)),"0")</f>
        <v>0</v>
      </c>
      <c r="EI56" s="192" t="str">
        <f>IF(AND($C56&lt;&gt;"",$P56&lt;&gt;""),(VLOOKUP($C56,'V-LOOKUP'!$C$61:$M$120,9,FALSE)),"0")</f>
        <v>0</v>
      </c>
      <c r="EJ56" s="192" t="str">
        <f>IF(AND($C56&lt;&gt;"",$P56&lt;&gt;""),(VLOOKUP($C56,'V-LOOKUP'!$C$61:$M$120,10,FALSE)),"0")</f>
        <v>0</v>
      </c>
      <c r="EK56" s="192" t="str">
        <f>IF(AND($C56&lt;&gt;"",$P56&lt;&gt;""),(VLOOKUP($C56,'V-LOOKUP'!$C$61:$M$120,11,FALSE)),"0")</f>
        <v>0</v>
      </c>
      <c r="EL56" s="192" t="str">
        <f>IF(AND($C56&lt;&gt;"",$P56&lt;&gt;""),(VLOOKUP($C56,'V-LOOKUP'!$C$61:$N$120,12,FALSE)),"0")</f>
        <v>0</v>
      </c>
      <c r="EM56" s="192" t="str">
        <f>IF(AND($C56&lt;&gt;"",$Q56&lt;&gt;""),(VLOOKUP($C56,'V-LOOKUP'!$C$61:$M$120,4,FALSE)),"0")</f>
        <v>0</v>
      </c>
      <c r="EN56" s="192" t="str">
        <f>IF(AND($C56&lt;&gt;"",$Q56&lt;&gt;""),(VLOOKUP($C56,'V-LOOKUP'!$C$61:$M$120,5,FALSE)),"0")</f>
        <v>0</v>
      </c>
      <c r="EO56" s="192" t="str">
        <f>IF(AND($C56&lt;&gt;"",$Q56&lt;&gt;""),(VLOOKUP($C56,'V-LOOKUP'!$C$61:$M$120,6,FALSE)),"0")</f>
        <v>0</v>
      </c>
      <c r="EP56" s="192" t="str">
        <f>IF(AND($C56&lt;&gt;"",$Q56&lt;&gt;""),(VLOOKUP($C56,'V-LOOKUP'!$C$61:$M$120,7,FALSE)),"0")</f>
        <v>0</v>
      </c>
      <c r="EQ56" s="192" t="str">
        <f>IF(AND($C56&lt;&gt;"",$Q56&lt;&gt;""),(VLOOKUP($C56,'V-LOOKUP'!$C$61:$M$120,8,FALSE)),"0")</f>
        <v>0</v>
      </c>
      <c r="ER56" s="192" t="str">
        <f>IF(AND($C56&lt;&gt;"",$Q56&lt;&gt;""),(VLOOKUP($C56,'V-LOOKUP'!$C$61:$M$120,9,FALSE)),"0")</f>
        <v>0</v>
      </c>
      <c r="ES56" s="192" t="str">
        <f>IF(AND($C56&lt;&gt;"",$Q56&lt;&gt;""),(VLOOKUP($C56,'V-LOOKUP'!$C$61:$M$120,10,FALSE)),"0")</f>
        <v>0</v>
      </c>
      <c r="ET56" s="192" t="str">
        <f>IF(AND($C56&lt;&gt;"",$Q56&lt;&gt;""),(VLOOKUP($C56,'V-LOOKUP'!$C$61:$M$120,11,FALSE)),"0")</f>
        <v>0</v>
      </c>
      <c r="EU56" s="192" t="str">
        <f>IF(AND($C56&lt;&gt;"",$Q56&lt;&gt;""),(VLOOKUP($C56,'V-LOOKUP'!$C$61:$N$120,12,FALSE)),"0")</f>
        <v>0</v>
      </c>
      <c r="EV56" s="192" t="str">
        <f>IF(AND($C56&lt;&gt;"",$R56&lt;&gt;""),(VLOOKUP($C56,'V-LOOKUP'!$C$61:$M$120,4,FALSE)),"0")</f>
        <v>0</v>
      </c>
      <c r="EW56" s="192" t="str">
        <f>IF(AND($C56&lt;&gt;"",$R56&lt;&gt;""),(VLOOKUP($C56,'V-LOOKUP'!$C$61:$M$120,5,FALSE)),"0")</f>
        <v>0</v>
      </c>
      <c r="EX56" s="192" t="str">
        <f>IF(AND($C56&lt;&gt;"",$R56&lt;&gt;""),(VLOOKUP($C56,'V-LOOKUP'!$C$61:$M$120,6,FALSE)),"0")</f>
        <v>0</v>
      </c>
      <c r="EY56" s="192" t="str">
        <f>IF(AND($C56&lt;&gt;"",$R56&lt;&gt;""),(VLOOKUP($C56,'V-LOOKUP'!$C$61:$M$120,7,FALSE)),"0")</f>
        <v>0</v>
      </c>
      <c r="EZ56" s="192" t="str">
        <f>IF(AND($C56&lt;&gt;"",$R56&lt;&gt;""),(VLOOKUP($C56,'V-LOOKUP'!$C$61:$M$120,8,FALSE)),"0")</f>
        <v>0</v>
      </c>
      <c r="FA56" s="192" t="str">
        <f>IF(AND($C56&lt;&gt;"",$R56&lt;&gt;""),(VLOOKUP($C56,'V-LOOKUP'!$C$61:$M$120,9,FALSE)),"0")</f>
        <v>0</v>
      </c>
      <c r="FB56" s="192" t="str">
        <f>IF(AND($C56&lt;&gt;"",$R56&lt;&gt;""),(VLOOKUP($C56,'V-LOOKUP'!$C$61:$M$120,10,FALSE)),"0")</f>
        <v>0</v>
      </c>
      <c r="FC56" s="192" t="str">
        <f>IF(AND($C56&lt;&gt;"",$R56&lt;&gt;""),(VLOOKUP($C56,'V-LOOKUP'!$C$61:$M$120,11,FALSE)),"0")</f>
        <v>0</v>
      </c>
      <c r="FD56" s="192" t="str">
        <f>IF(AND($C56&lt;&gt;"",$R56&lt;&gt;""),(VLOOKUP($C56,'V-LOOKUP'!$C$61:$N$120,12,FALSE)),"0")</f>
        <v>0</v>
      </c>
      <c r="FE56" s="192" t="str">
        <f>IF(AND($C56&lt;&gt;"",$S56&lt;&gt;""),(VLOOKUP($C56,'V-LOOKUP'!$C$61:$M$120,4,FALSE)),"0")</f>
        <v>0</v>
      </c>
      <c r="FF56" s="192" t="str">
        <f>IF(AND($C56&lt;&gt;"",$S56&lt;&gt;""),(VLOOKUP($C56,'V-LOOKUP'!$C$61:$M$120,5,FALSE)),"0")</f>
        <v>0</v>
      </c>
      <c r="FG56" s="192" t="str">
        <f>IF(AND($C56&lt;&gt;"",$S56&lt;&gt;""),(VLOOKUP($C56,'V-LOOKUP'!$C$61:$M$120,6,FALSE)),"0")</f>
        <v>0</v>
      </c>
      <c r="FH56" s="192" t="str">
        <f>IF(AND($C56&lt;&gt;"",$S56&lt;&gt;""),(VLOOKUP($C56,'V-LOOKUP'!$C$61:$M$120,7,FALSE)),"0")</f>
        <v>0</v>
      </c>
      <c r="FI56" s="192" t="str">
        <f>IF(AND($C56&lt;&gt;"",$S56&lt;&gt;""),(VLOOKUP($C56,'V-LOOKUP'!$C$61:$M$120,8,FALSE)),"0")</f>
        <v>0</v>
      </c>
      <c r="FJ56" s="192" t="str">
        <f>IF(AND($C56&lt;&gt;"",$S56&lt;&gt;""),(VLOOKUP($C56,'V-LOOKUP'!$C$61:$M$120,9,FALSE)),"0")</f>
        <v>0</v>
      </c>
      <c r="FK56" s="192" t="str">
        <f>IF(AND($C56&lt;&gt;"",$S56&lt;&gt;""),(VLOOKUP($C56,'V-LOOKUP'!$C$61:$M$120,10,FALSE)),"0")</f>
        <v>0</v>
      </c>
      <c r="FL56" s="192" t="str">
        <f>IF(AND($C56&lt;&gt;"",$S56&lt;&gt;""),(VLOOKUP($C56,'V-LOOKUP'!$C$61:$M$120,11,FALSE)),"0")</f>
        <v>0</v>
      </c>
      <c r="FM56" s="192" t="str">
        <f>IF(AND($C56&lt;&gt;"",$S56&lt;&gt;""),(VLOOKUP($C56,'V-LOOKUP'!$C$61:$N$120,12,FALSE)),"0")</f>
        <v>0</v>
      </c>
      <c r="FN56" s="192" t="str">
        <f>IF(AND($C56&lt;&gt;"",$T56&lt;&gt;""),(VLOOKUP($C56,'V-LOOKUP'!$C$61:$M$120,4,FALSE)),"0")</f>
        <v>0</v>
      </c>
      <c r="FO56" s="192" t="str">
        <f>IF(AND($C56&lt;&gt;"",$T56&lt;&gt;""),(VLOOKUP($C56,'V-LOOKUP'!$C$61:$M$120,5,FALSE)),"0")</f>
        <v>0</v>
      </c>
      <c r="FP56" s="192" t="str">
        <f>IF(AND($C56&lt;&gt;"",$T56&lt;&gt;""),(VLOOKUP($C56,'V-LOOKUP'!$C$61:$M$120,6,FALSE)),"0")</f>
        <v>0</v>
      </c>
      <c r="FQ56" s="192" t="str">
        <f>IF(AND($C56&lt;&gt;"",$T56&lt;&gt;""),(VLOOKUP($C56,'V-LOOKUP'!$C$61:$M$120,7,FALSE)),"0")</f>
        <v>0</v>
      </c>
      <c r="FR56" s="192" t="str">
        <f>IF(AND($C56&lt;&gt;"",$T56&lt;&gt;""),(VLOOKUP($C56,'V-LOOKUP'!$C$61:$M$120,8,FALSE)),"0")</f>
        <v>0</v>
      </c>
      <c r="FS56" s="192" t="str">
        <f>IF(AND($C56&lt;&gt;"",$T56&lt;&gt;""),(VLOOKUP($C56,'V-LOOKUP'!$C$61:$M$120,9,FALSE)),"0")</f>
        <v>0</v>
      </c>
      <c r="FT56" s="192" t="str">
        <f>IF(AND($C56&lt;&gt;"",$T56&lt;&gt;""),(VLOOKUP($C56,'V-LOOKUP'!$C$61:$M$120,10,FALSE)),"0")</f>
        <v>0</v>
      </c>
      <c r="FU56" s="192" t="str">
        <f>IF(AND($C56&lt;&gt;"",$T56&lt;&gt;""),(VLOOKUP($C56,'V-LOOKUP'!$C$61:$M$120,11,FALSE)),"0")</f>
        <v>0</v>
      </c>
      <c r="FV56" s="192" t="str">
        <f>IF(AND($C56&lt;&gt;"",$T56&lt;&gt;""),(VLOOKUP($C56,'V-LOOKUP'!$C$61:$N$120,12,FALSE)),"0")</f>
        <v>0</v>
      </c>
      <c r="FW56" s="192" t="str">
        <f>IF(AND($C56&lt;&gt;"",$U56&lt;&gt;""),(VLOOKUP($C56,'V-LOOKUP'!$C$61:$M$120,4,FALSE)),"0")</f>
        <v>0</v>
      </c>
      <c r="FX56" s="192" t="str">
        <f>IF(AND($C56&lt;&gt;"",$U56&lt;&gt;""),(VLOOKUP($C56,'V-LOOKUP'!$C$61:$M$120,5,FALSE)),"0")</f>
        <v>0</v>
      </c>
      <c r="FY56" s="192" t="str">
        <f>IF(AND($C56&lt;&gt;"",$U56&lt;&gt;""),(VLOOKUP($C56,'V-LOOKUP'!$C$61:$M$120,6,FALSE)),"0")</f>
        <v>0</v>
      </c>
      <c r="FZ56" s="192" t="str">
        <f>IF(AND($C56&lt;&gt;"",$U56&lt;&gt;""),(VLOOKUP($C56,'V-LOOKUP'!$C$61:$M$120,7,FALSE)),"0")</f>
        <v>0</v>
      </c>
      <c r="GA56" s="192" t="str">
        <f>IF(AND($C56&lt;&gt;"",$U56&lt;&gt;""),(VLOOKUP($C56,'V-LOOKUP'!$C$61:$M$120,8,FALSE)),"0")</f>
        <v>0</v>
      </c>
      <c r="GB56" s="192" t="str">
        <f>IF(AND($C56&lt;&gt;"",$U56&lt;&gt;""),(VLOOKUP($C56,'V-LOOKUP'!$C$61:$M$120,9,FALSE)),"0")</f>
        <v>0</v>
      </c>
      <c r="GC56" s="192" t="str">
        <f>IF(AND($C56&lt;&gt;"",$U56&lt;&gt;""),(VLOOKUP($C56,'V-LOOKUP'!$C$61:$M$120,10,FALSE)),"0")</f>
        <v>0</v>
      </c>
      <c r="GD56" s="192" t="str">
        <f>IF(AND($C56&lt;&gt;"",$U56&lt;&gt;""),(VLOOKUP($C56,'V-LOOKUP'!$C$61:$M$120,11,FALSE)),"0")</f>
        <v>0</v>
      </c>
      <c r="GE56" s="192" t="str">
        <f>IF(AND($C56&lt;&gt;"",$U56&lt;&gt;""),(VLOOKUP($C56,'V-LOOKUP'!$C$61:$N$120,12,FALSE)),"0")</f>
        <v>0</v>
      </c>
      <c r="GF56" s="192" t="str">
        <f>IF(AND($C56&lt;&gt;"",$V56&lt;&gt;""),(VLOOKUP($C56,'V-LOOKUP'!$C$61:$M$120,4,FALSE)),"0")</f>
        <v>0</v>
      </c>
      <c r="GG56" s="192" t="str">
        <f>IF(AND($C56&lt;&gt;"",V56&lt;&gt;""),(VLOOKUP($C56,'V-LOOKUP'!$C$61:$M$120,5,FALSE)),"0")</f>
        <v>0</v>
      </c>
      <c r="GH56" s="192" t="str">
        <f>IF(AND($C56&lt;&gt;"",$V56&lt;&gt;""),(VLOOKUP($C56,'V-LOOKUP'!$C$61:$M$120,6,FALSE)),"0")</f>
        <v>0</v>
      </c>
      <c r="GI56" s="192" t="str">
        <f>IF(AND($C56&lt;&gt;"",$V56&lt;&gt;""),(VLOOKUP($C56,'V-LOOKUP'!$C$61:$M$120,7,FALSE)),"0")</f>
        <v>0</v>
      </c>
      <c r="GJ56" s="192" t="str">
        <f>IF(AND($C56&lt;&gt;"",$V56&lt;&gt;""),(VLOOKUP($C56,'V-LOOKUP'!$C$61:$M$120,8,FALSE)),"0")</f>
        <v>0</v>
      </c>
      <c r="GK56" s="192" t="str">
        <f>IF(AND($C56&lt;&gt;"",$V56&lt;&gt;""),(VLOOKUP($C56,'V-LOOKUP'!$C$61:$M$120,9,FALSE)),"0")</f>
        <v>0</v>
      </c>
      <c r="GL56" s="192" t="str">
        <f>IF(AND($C56&lt;&gt;"",$V56&lt;&gt;""),(VLOOKUP($C56,'V-LOOKUP'!$C$61:$M$120,10,FALSE)),"0")</f>
        <v>0</v>
      </c>
      <c r="GM56" s="192" t="str">
        <f>IF(AND($C56&lt;&gt;"",$V56&lt;&gt;""),(VLOOKUP($C56,'V-LOOKUP'!$C$61:$M$120,11,FALSE)),"0")</f>
        <v>0</v>
      </c>
      <c r="GN56" s="192" t="str">
        <f>IF(AND($C56&lt;&gt;"",$V56&lt;&gt;""),(VLOOKUP($C56,'V-LOOKUP'!$C$61:$N$120,12,FALSE)),"0")</f>
        <v>0</v>
      </c>
      <c r="GO56" s="192" t="str">
        <f>IF(AND($C56&lt;&gt;"",$W56&lt;&gt;""),(VLOOKUP($C56,'V-LOOKUP'!$C$61:$M$120,4,FALSE)),"0")</f>
        <v>0</v>
      </c>
      <c r="GP56" s="192" t="str">
        <f>IF(AND($C56&lt;&gt;"",$W56&lt;&gt;""),(VLOOKUP($C56,'V-LOOKUP'!$C$61:$M$120,5,FALSE)),"0")</f>
        <v>0</v>
      </c>
      <c r="GQ56" s="192" t="str">
        <f>IF(AND($C56&lt;&gt;"",$W56&lt;&gt;""),(VLOOKUP($C56,'V-LOOKUP'!$C$61:$M$120,6,FALSE)),"0")</f>
        <v>0</v>
      </c>
      <c r="GR56" s="192" t="str">
        <f>IF(AND($C56&lt;&gt;"",$W56&lt;&gt;""),(VLOOKUP($C56,'V-LOOKUP'!$C$61:$M$120,7,FALSE)),"0")</f>
        <v>0</v>
      </c>
      <c r="GS56" s="192" t="str">
        <f>IF(AND($C56&lt;&gt;"",$W56&lt;&gt;""),(VLOOKUP($C56,'V-LOOKUP'!$C$61:$M$120,8,FALSE)),"0")</f>
        <v>0</v>
      </c>
      <c r="GT56" s="192" t="str">
        <f>IF(AND($C56&lt;&gt;"",$W56&lt;&gt;""),(VLOOKUP($C56,'V-LOOKUP'!$C$61:$M$120,9,FALSE)),"0")</f>
        <v>0</v>
      </c>
      <c r="GU56" s="192" t="str">
        <f>IF(AND($C56&lt;&gt;"",$W56&lt;&gt;""),(VLOOKUP($C56,'V-LOOKUP'!$C$61:$M$120,10,FALSE)),"0")</f>
        <v>0</v>
      </c>
      <c r="GV56" s="192" t="str">
        <f>IF(AND($C56&lt;&gt;"",$W56&lt;&gt;""),(VLOOKUP($C56,'V-LOOKUP'!$C$61:$M$120,11,FALSE)),"0")</f>
        <v>0</v>
      </c>
      <c r="GW56" s="192" t="str">
        <f>IF(AND($C56&lt;&gt;"",$W56&lt;&gt;""),(VLOOKUP($C56,'V-LOOKUP'!$C$61:$N$120,12,FALSE)),"0")</f>
        <v>0</v>
      </c>
    </row>
    <row r="57" spans="1:205" ht="14.65" hidden="1" customHeight="1">
      <c r="A57" s="193"/>
      <c r="B57" s="245"/>
      <c r="C57" s="203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Y57" s="190"/>
      <c r="Z57" s="192" t="str">
        <f>IF(AND($C57&lt;&gt;"",$D57&lt;&gt;""),(VLOOKUP($C57,'V-LOOKUP'!$C$61:$M$120,4,FALSE)),"0")</f>
        <v>0</v>
      </c>
      <c r="AA57" s="192" t="str">
        <f>IF(AND($C57&lt;&gt;"",$D57&lt;&gt;""),(VLOOKUP($C57,'V-LOOKUP'!$C$61:$M$120,5,FALSE)),"0")</f>
        <v>0</v>
      </c>
      <c r="AB57" s="192" t="str">
        <f>IF(AND($C57&lt;&gt;"",$D57&lt;&gt;""),(VLOOKUP($C57,'V-LOOKUP'!$C$61:$M$120,6,FALSE)),"0")</f>
        <v>0</v>
      </c>
      <c r="AC57" s="192" t="str">
        <f>IF(AND($C57&lt;&gt;"",$D57&lt;&gt;""),(VLOOKUP($C57,'V-LOOKUP'!$C$61:$M$120,7,FALSE)),"0")</f>
        <v>0</v>
      </c>
      <c r="AD57" s="192" t="str">
        <f>IF(AND($C57&lt;&gt;"",$D57&lt;&gt;""),(VLOOKUP($C57,'V-LOOKUP'!$C$61:$M$120,8,FALSE)),"0")</f>
        <v>0</v>
      </c>
      <c r="AE57" s="192" t="str">
        <f>IF(AND($C57&lt;&gt;"",$D57&lt;&gt;""),(VLOOKUP($C57,'V-LOOKUP'!$C$61:$M$120,9,FALSE)),"0")</f>
        <v>0</v>
      </c>
      <c r="AF57" s="192" t="str">
        <f>IF(AND($C57&lt;&gt;"",$D57&lt;&gt;""),(VLOOKUP($C57,'V-LOOKUP'!$C$61:$M$120,10,FALSE)),"0")</f>
        <v>0</v>
      </c>
      <c r="AG57" s="192" t="str">
        <f>IF(AND($C57&lt;&gt;"",$D57&lt;&gt;""),(VLOOKUP($C57,'V-LOOKUP'!$C$61:$M$120,11,FALSE)),"0")</f>
        <v>0</v>
      </c>
      <c r="AH57" s="192" t="str">
        <f>IF(AND($C57&lt;&gt;"",$D57&lt;&gt;""),(VLOOKUP($C57,'V-LOOKUP'!$C$61:$N$120,12,FALSE)),"0")</f>
        <v>0</v>
      </c>
      <c r="AI57" s="192" t="str">
        <f>IF(AND($C57&lt;&gt;"",$E57&lt;&gt;""),(VLOOKUP($C57,'V-LOOKUP'!$C$61:$M$120,4,FALSE)),"0")</f>
        <v>0</v>
      </c>
      <c r="AJ57" s="192" t="str">
        <f>IF(AND($C57&lt;&gt;"",$E57&lt;&gt;""),(VLOOKUP($C57,'V-LOOKUP'!$C$61:$M$120,5,FALSE)),"0")</f>
        <v>0</v>
      </c>
      <c r="AK57" s="192" t="str">
        <f>IF(AND($C57&lt;&gt;"",$E57&lt;&gt;""),(VLOOKUP($C57,'V-LOOKUP'!$C$61:$M$120,6,FALSE)),"0")</f>
        <v>0</v>
      </c>
      <c r="AL57" s="192" t="str">
        <f>IF(AND($C57&lt;&gt;"",$E57&lt;&gt;""),(VLOOKUP($C57,'V-LOOKUP'!$C$61:$M$120,7,FALSE)),"0")</f>
        <v>0</v>
      </c>
      <c r="AM57" s="192" t="str">
        <f>IF(AND($C57&lt;&gt;"",$E57&lt;&gt;""),(VLOOKUP($C57,'V-LOOKUP'!$C$61:$M$120,8,FALSE)),"0")</f>
        <v>0</v>
      </c>
      <c r="AN57" s="192" t="str">
        <f>IF(AND($C57&lt;&gt;"",$E57&lt;&gt;""),(VLOOKUP($C57,'V-LOOKUP'!$C$61:$M$120,9,FALSE)),"0")</f>
        <v>0</v>
      </c>
      <c r="AO57" s="192" t="str">
        <f>IF(AND($C57&lt;&gt;"",$E57&lt;&gt;""),(VLOOKUP($C57,'V-LOOKUP'!$C$61:$M$120,10,FALSE)),"0")</f>
        <v>0</v>
      </c>
      <c r="AP57" s="192" t="str">
        <f>IF(AND($C57&lt;&gt;"",$E57&lt;&gt;""),(VLOOKUP($C57,'V-LOOKUP'!$C$61:$M$120,11,FALSE)),"0")</f>
        <v>0</v>
      </c>
      <c r="AQ57" s="192" t="str">
        <f>IF(AND($C57&lt;&gt;"",$E57&lt;&gt;""),(VLOOKUP($C57,'V-LOOKUP'!$C$61:$N$120,12,FALSE)),"0")</f>
        <v>0</v>
      </c>
      <c r="AR57" s="192" t="str">
        <f>IF(AND($C57&lt;&gt;"",$F57&lt;&gt;""),(VLOOKUP($C57,'V-LOOKUP'!$C$61:$M$120,4,FALSE)),"0")</f>
        <v>0</v>
      </c>
      <c r="AS57" s="192" t="str">
        <f>IF(AND($C57&lt;&gt;"",$F57&lt;&gt;""),(VLOOKUP($C57,'V-LOOKUP'!$C$61:$M$120,5,FALSE)),"0")</f>
        <v>0</v>
      </c>
      <c r="AT57" s="192" t="str">
        <f>IF(AND($C57&lt;&gt;"",$F57&lt;&gt;""),(VLOOKUP($C57,'V-LOOKUP'!$C$61:$M$120,6,FALSE)),"0")</f>
        <v>0</v>
      </c>
      <c r="AU57" s="192" t="str">
        <f>IF(AND($C57&lt;&gt;"",$F57&lt;&gt;""),(VLOOKUP($C57,'V-LOOKUP'!$C$61:$M$120,7,FALSE)),"0")</f>
        <v>0</v>
      </c>
      <c r="AV57" s="192" t="str">
        <f>IF(AND($C57&lt;&gt;"",$F57&lt;&gt;""),(VLOOKUP($C57,'V-LOOKUP'!$C$61:$M$120,8,FALSE)),"0")</f>
        <v>0</v>
      </c>
      <c r="AW57" s="192" t="str">
        <f>IF(AND($C57&lt;&gt;"",$F57&lt;&gt;""),(VLOOKUP($C57,'V-LOOKUP'!$C$61:$M$120,9,FALSE)),"0")</f>
        <v>0</v>
      </c>
      <c r="AX57" s="192" t="str">
        <f>IF(AND($C57&lt;&gt;"",$F57&lt;&gt;""),(VLOOKUP($C57,'V-LOOKUP'!$C$61:$M$120,10,FALSE)),"0")</f>
        <v>0</v>
      </c>
      <c r="AY57" s="192" t="str">
        <f>IF(AND($C57&lt;&gt;"",$F57&lt;&gt;""),(VLOOKUP($C57,'V-LOOKUP'!$C$61:$M$120,11,FALSE)),"0")</f>
        <v>0</v>
      </c>
      <c r="AZ57" s="192" t="str">
        <f>IF(AND($C57&lt;&gt;"",$F57&lt;&gt;""),(VLOOKUP($C57,'V-LOOKUP'!$C$61:$N$120,12,FALSE)),"0")</f>
        <v>0</v>
      </c>
      <c r="BA57" s="192" t="str">
        <f>IF(AND($C57&lt;&gt;"",$G57&lt;&gt;""),(VLOOKUP($C57,'V-LOOKUP'!$C$61:$M$120,4,FALSE)),"0")</f>
        <v>0</v>
      </c>
      <c r="BB57" s="192" t="str">
        <f>IF(AND($C57&lt;&gt;"",$G57&lt;&gt;""),(VLOOKUP($C57,'V-LOOKUP'!$C$61:$M$120,5,FALSE)),"0")</f>
        <v>0</v>
      </c>
      <c r="BC57" s="192" t="str">
        <f>IF(AND($C57&lt;&gt;"",$G57&lt;&gt;""),(VLOOKUP($C57,'V-LOOKUP'!$C$61:$M$120,6,FALSE)),"0")</f>
        <v>0</v>
      </c>
      <c r="BD57" s="192" t="str">
        <f>IF(AND($C57&lt;&gt;"",$G57&lt;&gt;""),(VLOOKUP($C57,'V-LOOKUP'!$C$61:$M$120,7,FALSE)),"0")</f>
        <v>0</v>
      </c>
      <c r="BE57" s="192" t="str">
        <f>IF(AND($C57&lt;&gt;"",$G57&lt;&gt;""),(VLOOKUP($C57,'V-LOOKUP'!$C$61:$M$120,8,FALSE)),"0")</f>
        <v>0</v>
      </c>
      <c r="BF57" s="192" t="str">
        <f>IF(AND($C57&lt;&gt;"",$G57&lt;&gt;""),(VLOOKUP($C57,'V-LOOKUP'!$C$61:$M$120,9,FALSE)),"0")</f>
        <v>0</v>
      </c>
      <c r="BG57" s="192" t="str">
        <f>IF(AND($C57&lt;&gt;"",$G57&lt;&gt;""),(VLOOKUP($C57,'V-LOOKUP'!$C$61:$M$120,10,FALSE)),"0")</f>
        <v>0</v>
      </c>
      <c r="BH57" s="192" t="str">
        <f>IF(AND($C57&lt;&gt;"",$G57&lt;&gt;""),(VLOOKUP($C57,'V-LOOKUP'!$C$61:$M$120,11,FALSE)),"0")</f>
        <v>0</v>
      </c>
      <c r="BI57" s="192" t="str">
        <f>IF(AND($C57&lt;&gt;"",$G57&lt;&gt;""),(VLOOKUP($C57,'V-LOOKUP'!$C$61:$N$120,12,FALSE)),"0")</f>
        <v>0</v>
      </c>
      <c r="BJ57" s="192" t="str">
        <f>IF(AND($C57&lt;&gt;"",$H57&lt;&gt;""),(VLOOKUP($C57,'V-LOOKUP'!$C$61:$M$120,4,FALSE)),"0")</f>
        <v>0</v>
      </c>
      <c r="BK57" s="192" t="str">
        <f>IF(AND($C57&lt;&gt;"",$H57&lt;&gt;""),(VLOOKUP($C57,'V-LOOKUP'!$C$61:$M$120,5,FALSE)),"0")</f>
        <v>0</v>
      </c>
      <c r="BL57" s="192" t="str">
        <f>IF(AND($C57&lt;&gt;"",$H57&lt;&gt;""),(VLOOKUP($C57,'V-LOOKUP'!$C$61:$M$120,6,FALSE)),"0")</f>
        <v>0</v>
      </c>
      <c r="BM57" s="192" t="str">
        <f>IF(AND($C57&lt;&gt;"",$H57&lt;&gt;""),(VLOOKUP($C57,'V-LOOKUP'!$C$61:$M$120,7,FALSE)),"0")</f>
        <v>0</v>
      </c>
      <c r="BN57" s="192" t="str">
        <f>IF(AND($C57&lt;&gt;"",$H57&lt;&gt;""),(VLOOKUP($C57,'V-LOOKUP'!$C$61:$M$120,8,FALSE)),"0")</f>
        <v>0</v>
      </c>
      <c r="BO57" s="192" t="str">
        <f>IF(AND($C57&lt;&gt;"",$H57&lt;&gt;""),(VLOOKUP($C57,'V-LOOKUP'!$C$61:$M$120,9,FALSE)),"0")</f>
        <v>0</v>
      </c>
      <c r="BP57" s="192" t="str">
        <f>IF(AND($C57&lt;&gt;"",$H57&lt;&gt;""),(VLOOKUP($C57,'V-LOOKUP'!$C$61:$M$120,10,FALSE)),"0")</f>
        <v>0</v>
      </c>
      <c r="BQ57" s="192" t="str">
        <f>IF(AND($C57&lt;&gt;"",$H57&lt;&gt;""),(VLOOKUP($C57,'V-LOOKUP'!$C$61:$M$120,11,FALSE)),"0")</f>
        <v>0</v>
      </c>
      <c r="BR57" s="192" t="str">
        <f>IF(AND($C57&lt;&gt;"",$H57&lt;&gt;""),(VLOOKUP($C57,'V-LOOKUP'!$C$61:$N$120,12,FALSE)),"0")</f>
        <v>0</v>
      </c>
      <c r="BS57" s="192" t="str">
        <f>IF(AND($C57&lt;&gt;"",$I57&lt;&gt;""),(VLOOKUP($C57,'V-LOOKUP'!$C$61:$M$120,4,FALSE)),"0")</f>
        <v>0</v>
      </c>
      <c r="BT57" s="192" t="str">
        <f>IF(AND($C57&lt;&gt;"",$I57&lt;&gt;""),(VLOOKUP($C57,'V-LOOKUP'!$C$61:$M$120,5,FALSE)),"0")</f>
        <v>0</v>
      </c>
      <c r="BU57" s="192" t="str">
        <f>IF(AND($C57&lt;&gt;"",$I57&lt;&gt;""),(VLOOKUP($C57,'V-LOOKUP'!$C$61:$M$120,6,FALSE)),"0")</f>
        <v>0</v>
      </c>
      <c r="BV57" s="192" t="str">
        <f>IF(AND($C57&lt;&gt;"",$I57&lt;&gt;""),(VLOOKUP($C57,'V-LOOKUP'!$C$61:$M$120,7,FALSE)),"0")</f>
        <v>0</v>
      </c>
      <c r="BW57" s="192" t="str">
        <f>IF(AND($C57&lt;&gt;"",$I57&lt;&gt;""),(VLOOKUP($C57,'V-LOOKUP'!$C$61:$M$120,8,FALSE)),"0")</f>
        <v>0</v>
      </c>
      <c r="BX57" s="192" t="str">
        <f>IF(AND($C57&lt;&gt;"",$I57&lt;&gt;""),(VLOOKUP($C57,'V-LOOKUP'!$C$61:$M$120,9,FALSE)),"0")</f>
        <v>0</v>
      </c>
      <c r="BY57" s="192" t="str">
        <f>IF(AND($C57&lt;&gt;"",$I57&lt;&gt;""),(VLOOKUP($C57,'V-LOOKUP'!$C$61:$M$120,10,FALSE)),"0")</f>
        <v>0</v>
      </c>
      <c r="BZ57" s="192" t="str">
        <f>IF(AND($C57&lt;&gt;"",$I57&lt;&gt;""),(VLOOKUP($C57,'V-LOOKUP'!$C$61:$M$120,11,FALSE)),"0")</f>
        <v>0</v>
      </c>
      <c r="CA57" s="192" t="str">
        <f>IF(AND($C57&lt;&gt;"",$I57&lt;&gt;""),(VLOOKUP($C57,'V-LOOKUP'!$C$61:$N$120,12,FALSE)),"0")</f>
        <v>0</v>
      </c>
      <c r="CB57" s="192" t="str">
        <f>IF(AND($C57&lt;&gt;"",$J57&lt;&gt;""),(VLOOKUP($C57,'V-LOOKUP'!$C$61:$M$120,4,FALSE)),"0")</f>
        <v>0</v>
      </c>
      <c r="CC57" s="192" t="str">
        <f>IF(AND($C57&lt;&gt;"",$J57&lt;&gt;""),(VLOOKUP($C57,'V-LOOKUP'!$C$61:$M$120,5,FALSE)),"0")</f>
        <v>0</v>
      </c>
      <c r="CD57" s="192" t="str">
        <f>IF(AND($C57&lt;&gt;"",$J57&lt;&gt;""),(VLOOKUP($C57,'V-LOOKUP'!$C$61:$M$120,6,FALSE)),"0")</f>
        <v>0</v>
      </c>
      <c r="CE57" s="192" t="str">
        <f>IF(AND($C57&lt;&gt;"",$J57&lt;&gt;""),(VLOOKUP($C57,'V-LOOKUP'!$C$61:$M$120,7,FALSE)),"0")</f>
        <v>0</v>
      </c>
      <c r="CF57" s="192" t="str">
        <f>IF(AND($C57&lt;&gt;"",$J57&lt;&gt;""),(VLOOKUP($C57,'V-LOOKUP'!$C$61:$M$120,8,FALSE)),"0")</f>
        <v>0</v>
      </c>
      <c r="CG57" s="192" t="str">
        <f>IF(AND($C57&lt;&gt;"",$J57&lt;&gt;""),(VLOOKUP($C57,'V-LOOKUP'!$C$61:$M$120,9,FALSE)),"0")</f>
        <v>0</v>
      </c>
      <c r="CH57" s="192" t="str">
        <f>IF(AND($C57&lt;&gt;"",$J57&lt;&gt;""),(VLOOKUP($C57,'V-LOOKUP'!$C$61:$M$120,10,FALSE)),"0")</f>
        <v>0</v>
      </c>
      <c r="CI57" s="192" t="str">
        <f>IF(AND($C57&lt;&gt;"",$J57&lt;&gt;""),(VLOOKUP($C57,'V-LOOKUP'!$C$61:$M$120,11,FALSE)),"0")</f>
        <v>0</v>
      </c>
      <c r="CJ57" s="192" t="str">
        <f>IF(AND($C57&lt;&gt;"",$J57&lt;&gt;""),(VLOOKUP($C57,'V-LOOKUP'!$C$61:$N$120,12,FALSE)),"0")</f>
        <v>0</v>
      </c>
      <c r="CK57" s="192" t="str">
        <f>IF(AND($C57&lt;&gt;"",$K57&lt;&gt;""),(VLOOKUP($C57,'V-LOOKUP'!$C$61:$M$120,4,FALSE)),"0")</f>
        <v>0</v>
      </c>
      <c r="CL57" s="192" t="str">
        <f>IF(AND($C57&lt;&gt;"",$K57&lt;&gt;""),(VLOOKUP($C57,'V-LOOKUP'!$C$61:$M$120,5,FALSE)),"0")</f>
        <v>0</v>
      </c>
      <c r="CM57" s="192" t="str">
        <f>IF(AND($C57&lt;&gt;"",$K57&lt;&gt;""),(VLOOKUP($C57,'V-LOOKUP'!$C$61:$M$120,6,FALSE)),"0")</f>
        <v>0</v>
      </c>
      <c r="CN57" s="192" t="str">
        <f>IF(AND($C57&lt;&gt;"",$K57&lt;&gt;""),(VLOOKUP($C57,'V-LOOKUP'!$C$61:$M$120,7,FALSE)),"0")</f>
        <v>0</v>
      </c>
      <c r="CO57" s="192" t="str">
        <f>IF(AND($C57&lt;&gt;"",$K57&lt;&gt;""),(VLOOKUP($C57,'V-LOOKUP'!$C$61:$M$120,8,FALSE)),"0")</f>
        <v>0</v>
      </c>
      <c r="CP57" s="192" t="str">
        <f>IF(AND($C57&lt;&gt;"",$K57&lt;&gt;""),(VLOOKUP($C57,'V-LOOKUP'!$C$61:$M$120,9,FALSE)),"0")</f>
        <v>0</v>
      </c>
      <c r="CQ57" s="192" t="str">
        <f>IF(AND($C57&lt;&gt;"",$K57&lt;&gt;""),(VLOOKUP($C57,'V-LOOKUP'!$C$61:$M$120,10,FALSE)),"0")</f>
        <v>0</v>
      </c>
      <c r="CR57" s="192" t="str">
        <f>IF(AND($C57&lt;&gt;"",$K57&lt;&gt;""),(VLOOKUP($C57,'V-LOOKUP'!$C$61:$M$120,11,FALSE)),"0")</f>
        <v>0</v>
      </c>
      <c r="CS57" s="192" t="str">
        <f>IF(AND($C57&lt;&gt;"",$K57&lt;&gt;""),(VLOOKUP($C57,'V-LOOKUP'!$C$61:$N$120,12,FALSE)),"0")</f>
        <v>0</v>
      </c>
      <c r="CT57" s="192" t="str">
        <f>IF(AND($C57&lt;&gt;"",$L57&lt;&gt;""),(VLOOKUP($C57,'V-LOOKUP'!$C$61:$M$120,4,FALSE)),"0")</f>
        <v>0</v>
      </c>
      <c r="CU57" s="192" t="str">
        <f>IF(AND($C57&lt;&gt;"",$L57&lt;&gt;""),(VLOOKUP($C57,'V-LOOKUP'!$C$61:$M$120,5,FALSE)),"0")</f>
        <v>0</v>
      </c>
      <c r="CV57" s="192" t="str">
        <f>IF(AND($C57&lt;&gt;"",$L57&lt;&gt;""),(VLOOKUP($C57,'V-LOOKUP'!$C$61:$M$120,6,FALSE)),"0")</f>
        <v>0</v>
      </c>
      <c r="CW57" s="192" t="str">
        <f>IF(AND($C57&lt;&gt;"",$L57&lt;&gt;""),(VLOOKUP($C57,'V-LOOKUP'!$C$61:$M$120,7,FALSE)),"0")</f>
        <v>0</v>
      </c>
      <c r="CX57" s="192" t="str">
        <f>IF(AND($C57&lt;&gt;"",$L57&lt;&gt;""),(VLOOKUP($C57,'V-LOOKUP'!$C$61:$M$120,8,FALSE)),"0")</f>
        <v>0</v>
      </c>
      <c r="CY57" s="192" t="str">
        <f>IF(AND($C57&lt;&gt;"",$L57&lt;&gt;""),(VLOOKUP($C57,'V-LOOKUP'!$C$61:$M$120,9,FALSE)),"0")</f>
        <v>0</v>
      </c>
      <c r="CZ57" s="192" t="str">
        <f>IF(AND($C57&lt;&gt;"",$L57&lt;&gt;""),(VLOOKUP($C57,'V-LOOKUP'!$C$61:$M$120,10,FALSE)),"0")</f>
        <v>0</v>
      </c>
      <c r="DA57" s="192" t="str">
        <f>IF(AND($C57&lt;&gt;"",$L57&lt;&gt;""),(VLOOKUP($C57,'V-LOOKUP'!$C$61:$M$120,11,FALSE)),"0")</f>
        <v>0</v>
      </c>
      <c r="DB57" s="192" t="str">
        <f>IF(AND($C57&lt;&gt;"",$L57&lt;&gt;""),(VLOOKUP($C57,'V-LOOKUP'!$C$61:$N$120,12,FALSE)),"0")</f>
        <v>0</v>
      </c>
      <c r="DC57" s="192" t="str">
        <f>IF(AND($C57&lt;&gt;"",$M57&lt;&gt;""),(VLOOKUP($C57,'V-LOOKUP'!$C$61:$M$120,4,FALSE)),"0")</f>
        <v>0</v>
      </c>
      <c r="DD57" s="192" t="str">
        <f>IF(AND($C57&lt;&gt;"",$M57&lt;&gt;""),(VLOOKUP($C57,'V-LOOKUP'!$C$61:$M$120,5,FALSE)),"0")</f>
        <v>0</v>
      </c>
      <c r="DE57" s="192" t="str">
        <f>IF(AND($C57&lt;&gt;"",$M57&lt;&gt;""),(VLOOKUP($C57,'V-LOOKUP'!$C$61:$M$120,6,FALSE)),"0")</f>
        <v>0</v>
      </c>
      <c r="DF57" s="192" t="str">
        <f>IF(AND($C57&lt;&gt;"",$M57&lt;&gt;""),(VLOOKUP($C57,'V-LOOKUP'!$C$61:$M$120,7,FALSE)),"0")</f>
        <v>0</v>
      </c>
      <c r="DG57" s="192" t="str">
        <f>IF(AND($C57&lt;&gt;"",$M57&lt;&gt;""),(VLOOKUP($C57,'V-LOOKUP'!$C$61:$M$120,8,FALSE)),"0")</f>
        <v>0</v>
      </c>
      <c r="DH57" s="192" t="str">
        <f>IF(AND($C57&lt;&gt;"",$M57&lt;&gt;""),(VLOOKUP($C57,'V-LOOKUP'!$C$61:$M$120,9,FALSE)),"0")</f>
        <v>0</v>
      </c>
      <c r="DI57" s="192" t="str">
        <f>IF(AND($C57&lt;&gt;"",$M57&lt;&gt;""),(VLOOKUP($C57,'V-LOOKUP'!$C$61:$M$120,10,FALSE)),"0")</f>
        <v>0</v>
      </c>
      <c r="DJ57" s="192" t="str">
        <f>IF(AND($C57&lt;&gt;"",$M57&lt;&gt;""),(VLOOKUP($C57,'V-LOOKUP'!$C$61:$M$120,11,FALSE)),"0")</f>
        <v>0</v>
      </c>
      <c r="DK57" s="192" t="str">
        <f>IF(AND($C57&lt;&gt;"",$M57&lt;&gt;""),(VLOOKUP($C57,'V-LOOKUP'!$C$61:$N$120,12,FALSE)),"0")</f>
        <v>0</v>
      </c>
      <c r="DL57" s="192" t="str">
        <f>IF(AND($C57&lt;&gt;"",$N57&lt;&gt;""),(VLOOKUP($C57,'V-LOOKUP'!$C$61:$M$120,4,FALSE)),"0")</f>
        <v>0</v>
      </c>
      <c r="DM57" s="192" t="str">
        <f>IF(AND($C57&lt;&gt;"",$N57&lt;&gt;""),(VLOOKUP($C57,'V-LOOKUP'!$C$61:$M$120,5,FALSE)),"0")</f>
        <v>0</v>
      </c>
      <c r="DN57" s="192" t="str">
        <f>IF(AND($C57&lt;&gt;"",$N57&lt;&gt;""),(VLOOKUP($C57,'V-LOOKUP'!$C$61:$M$120,6,FALSE)),"0")</f>
        <v>0</v>
      </c>
      <c r="DO57" s="192" t="str">
        <f>IF(AND($C57&lt;&gt;"",$N57&lt;&gt;""),(VLOOKUP($C57,'V-LOOKUP'!$C$61:$M$120,7,FALSE)),"0")</f>
        <v>0</v>
      </c>
      <c r="DP57" s="192" t="str">
        <f>IF(AND($C57&lt;&gt;"",$N57&lt;&gt;""),(VLOOKUP($C57,'V-LOOKUP'!$C$61:$M$120,8,FALSE)),"0")</f>
        <v>0</v>
      </c>
      <c r="DQ57" s="192" t="str">
        <f>IF(AND($C57&lt;&gt;"",$N57&lt;&gt;""),(VLOOKUP($C57,'V-LOOKUP'!$C$61:$M$120,9,FALSE)),"0")</f>
        <v>0</v>
      </c>
      <c r="DR57" s="192" t="str">
        <f>IF(AND($C57&lt;&gt;"",$N57&lt;&gt;""),(VLOOKUP($C57,'V-LOOKUP'!$C$61:$M$120,10,FALSE)),"0")</f>
        <v>0</v>
      </c>
      <c r="DS57" s="192" t="str">
        <f>IF(AND($C57&lt;&gt;"",$N57&lt;&gt;""),(VLOOKUP($C57,'V-LOOKUP'!$C$61:$M$120,11,FALSE)),"0")</f>
        <v>0</v>
      </c>
      <c r="DT57" s="192" t="str">
        <f>IF(AND($C57&lt;&gt;"",$N57&lt;&gt;""),(VLOOKUP($C57,'V-LOOKUP'!$C$61:$N$120,12,FALSE)),"0")</f>
        <v>0</v>
      </c>
      <c r="DU57" s="192" t="str">
        <f>IF(AND($C57&lt;&gt;"",$O57&lt;&gt;""),(VLOOKUP($C57,'V-LOOKUP'!$C$61:$M$120,4,FALSE)),"0")</f>
        <v>0</v>
      </c>
      <c r="DV57" s="192" t="str">
        <f>IF(AND($C57&lt;&gt;"",$O57&lt;&gt;""),(VLOOKUP($C57,'V-LOOKUP'!$C$61:$M$120,5,FALSE)),"0")</f>
        <v>0</v>
      </c>
      <c r="DW57" s="192" t="str">
        <f>IF(AND($C57&lt;&gt;"",$O57&lt;&gt;""),(VLOOKUP($C57,'V-LOOKUP'!$C$61:$M$120,6,FALSE)),"0")</f>
        <v>0</v>
      </c>
      <c r="DX57" s="192" t="str">
        <f>IF(AND($C57&lt;&gt;"",$O57&lt;&gt;""),(VLOOKUP($C57,'V-LOOKUP'!$C$61:$M$120,7,FALSE)),"0")</f>
        <v>0</v>
      </c>
      <c r="DY57" s="192" t="str">
        <f>IF(AND($C57&lt;&gt;"",$O57&lt;&gt;""),(VLOOKUP($C57,'V-LOOKUP'!$C$61:$M$120,8,FALSE)),"0")</f>
        <v>0</v>
      </c>
      <c r="DZ57" s="192" t="str">
        <f>IF(AND($C57&lt;&gt;"",$O57&lt;&gt;""),(VLOOKUP($C57,'V-LOOKUP'!$C$61:$M$120,9,FALSE)),"0")</f>
        <v>0</v>
      </c>
      <c r="EA57" s="192" t="str">
        <f>IF(AND($C57&lt;&gt;"",$O57&lt;&gt;""),(VLOOKUP($C57,'V-LOOKUP'!$C$61:$M$120,10,FALSE)),"0")</f>
        <v>0</v>
      </c>
      <c r="EB57" s="192" t="str">
        <f>IF(AND($C57&lt;&gt;"",$O57&lt;&gt;""),(VLOOKUP($C57,'V-LOOKUP'!$C$61:$M$120,11,FALSE)),"0")</f>
        <v>0</v>
      </c>
      <c r="EC57" s="192" t="str">
        <f>IF(AND($C57&lt;&gt;"",$O57&lt;&gt;""),(VLOOKUP($C57,'V-LOOKUP'!$C$61:$N$120,12,FALSE)),"0")</f>
        <v>0</v>
      </c>
      <c r="ED57" s="192" t="str">
        <f>IF(AND($C57&lt;&gt;"",$P57&lt;&gt;""),(VLOOKUP($C57,'V-LOOKUP'!$C$61:$M$120,4,FALSE)),"0")</f>
        <v>0</v>
      </c>
      <c r="EE57" s="192" t="str">
        <f>IF(AND($C57&lt;&gt;"",$P57&lt;&gt;""),(VLOOKUP($C57,'V-LOOKUP'!$C$61:$M$120,5,FALSE)),"0")</f>
        <v>0</v>
      </c>
      <c r="EF57" s="192" t="str">
        <f>IF(AND($C57&lt;&gt;"",$P57&lt;&gt;""),(VLOOKUP($C57,'V-LOOKUP'!$C$61:$M$120,6,FALSE)),"0")</f>
        <v>0</v>
      </c>
      <c r="EG57" s="192" t="str">
        <f>IF(AND($C57&lt;&gt;"",$P57&lt;&gt;""),(VLOOKUP($C57,'V-LOOKUP'!$C$61:$M$120,7,FALSE)),"0")</f>
        <v>0</v>
      </c>
      <c r="EH57" s="192" t="str">
        <f>IF(AND($C57&lt;&gt;"",$P57&lt;&gt;""),(VLOOKUP($C57,'V-LOOKUP'!$C$61:$M$120,8,FALSE)),"0")</f>
        <v>0</v>
      </c>
      <c r="EI57" s="192" t="str">
        <f>IF(AND($C57&lt;&gt;"",$P57&lt;&gt;""),(VLOOKUP($C57,'V-LOOKUP'!$C$61:$M$120,9,FALSE)),"0")</f>
        <v>0</v>
      </c>
      <c r="EJ57" s="192" t="str">
        <f>IF(AND($C57&lt;&gt;"",$P57&lt;&gt;""),(VLOOKUP($C57,'V-LOOKUP'!$C$61:$M$120,10,FALSE)),"0")</f>
        <v>0</v>
      </c>
      <c r="EK57" s="192" t="str">
        <f>IF(AND($C57&lt;&gt;"",$P57&lt;&gt;""),(VLOOKUP($C57,'V-LOOKUP'!$C$61:$M$120,11,FALSE)),"0")</f>
        <v>0</v>
      </c>
      <c r="EL57" s="192" t="str">
        <f>IF(AND($C57&lt;&gt;"",$P57&lt;&gt;""),(VLOOKUP($C57,'V-LOOKUP'!$C$61:$N$120,12,FALSE)),"0")</f>
        <v>0</v>
      </c>
      <c r="EM57" s="192" t="str">
        <f>IF(AND($C57&lt;&gt;"",$Q57&lt;&gt;""),(VLOOKUP($C57,'V-LOOKUP'!$C$61:$M$120,4,FALSE)),"0")</f>
        <v>0</v>
      </c>
      <c r="EN57" s="192" t="str">
        <f>IF(AND($C57&lt;&gt;"",$Q57&lt;&gt;""),(VLOOKUP($C57,'V-LOOKUP'!$C$61:$M$120,5,FALSE)),"0")</f>
        <v>0</v>
      </c>
      <c r="EO57" s="192" t="str">
        <f>IF(AND($C57&lt;&gt;"",$Q57&lt;&gt;""),(VLOOKUP($C57,'V-LOOKUP'!$C$61:$M$120,6,FALSE)),"0")</f>
        <v>0</v>
      </c>
      <c r="EP57" s="192" t="str">
        <f>IF(AND($C57&lt;&gt;"",$Q57&lt;&gt;""),(VLOOKUP($C57,'V-LOOKUP'!$C$61:$M$120,7,FALSE)),"0")</f>
        <v>0</v>
      </c>
      <c r="EQ57" s="192" t="str">
        <f>IF(AND($C57&lt;&gt;"",$Q57&lt;&gt;""),(VLOOKUP($C57,'V-LOOKUP'!$C$61:$M$120,8,FALSE)),"0")</f>
        <v>0</v>
      </c>
      <c r="ER57" s="192" t="str">
        <f>IF(AND($C57&lt;&gt;"",$Q57&lt;&gt;""),(VLOOKUP($C57,'V-LOOKUP'!$C$61:$M$120,9,FALSE)),"0")</f>
        <v>0</v>
      </c>
      <c r="ES57" s="192" t="str">
        <f>IF(AND($C57&lt;&gt;"",$Q57&lt;&gt;""),(VLOOKUP($C57,'V-LOOKUP'!$C$61:$M$120,10,FALSE)),"0")</f>
        <v>0</v>
      </c>
      <c r="ET57" s="192" t="str">
        <f>IF(AND($C57&lt;&gt;"",$Q57&lt;&gt;""),(VLOOKUP($C57,'V-LOOKUP'!$C$61:$M$120,11,FALSE)),"0")</f>
        <v>0</v>
      </c>
      <c r="EU57" s="192" t="str">
        <f>IF(AND($C57&lt;&gt;"",$Q57&lt;&gt;""),(VLOOKUP($C57,'V-LOOKUP'!$C$61:$N$120,12,FALSE)),"0")</f>
        <v>0</v>
      </c>
      <c r="EV57" s="192" t="str">
        <f>IF(AND($C57&lt;&gt;"",$R57&lt;&gt;""),(VLOOKUP($C57,'V-LOOKUP'!$C$61:$M$120,4,FALSE)),"0")</f>
        <v>0</v>
      </c>
      <c r="EW57" s="192" t="str">
        <f>IF(AND($C57&lt;&gt;"",$R57&lt;&gt;""),(VLOOKUP($C57,'V-LOOKUP'!$C$61:$M$120,5,FALSE)),"0")</f>
        <v>0</v>
      </c>
      <c r="EX57" s="192" t="str">
        <f>IF(AND($C57&lt;&gt;"",$R57&lt;&gt;""),(VLOOKUP($C57,'V-LOOKUP'!$C$61:$M$120,6,FALSE)),"0")</f>
        <v>0</v>
      </c>
      <c r="EY57" s="192" t="str">
        <f>IF(AND($C57&lt;&gt;"",$R57&lt;&gt;""),(VLOOKUP($C57,'V-LOOKUP'!$C$61:$M$120,7,FALSE)),"0")</f>
        <v>0</v>
      </c>
      <c r="EZ57" s="192" t="str">
        <f>IF(AND($C57&lt;&gt;"",$R57&lt;&gt;""),(VLOOKUP($C57,'V-LOOKUP'!$C$61:$M$120,8,FALSE)),"0")</f>
        <v>0</v>
      </c>
      <c r="FA57" s="192" t="str">
        <f>IF(AND($C57&lt;&gt;"",$R57&lt;&gt;""),(VLOOKUP($C57,'V-LOOKUP'!$C$61:$M$120,9,FALSE)),"0")</f>
        <v>0</v>
      </c>
      <c r="FB57" s="192" t="str">
        <f>IF(AND($C57&lt;&gt;"",$R57&lt;&gt;""),(VLOOKUP($C57,'V-LOOKUP'!$C$61:$M$120,10,FALSE)),"0")</f>
        <v>0</v>
      </c>
      <c r="FC57" s="192" t="str">
        <f>IF(AND($C57&lt;&gt;"",$R57&lt;&gt;""),(VLOOKUP($C57,'V-LOOKUP'!$C$61:$M$120,11,FALSE)),"0")</f>
        <v>0</v>
      </c>
      <c r="FD57" s="192" t="str">
        <f>IF(AND($C57&lt;&gt;"",$R57&lt;&gt;""),(VLOOKUP($C57,'V-LOOKUP'!$C$61:$N$120,12,FALSE)),"0")</f>
        <v>0</v>
      </c>
      <c r="FE57" s="192" t="str">
        <f>IF(AND($C57&lt;&gt;"",$S57&lt;&gt;""),(VLOOKUP($C57,'V-LOOKUP'!$C$61:$M$120,4,FALSE)),"0")</f>
        <v>0</v>
      </c>
      <c r="FF57" s="192" t="str">
        <f>IF(AND($C57&lt;&gt;"",$S57&lt;&gt;""),(VLOOKUP($C57,'V-LOOKUP'!$C$61:$M$120,5,FALSE)),"0")</f>
        <v>0</v>
      </c>
      <c r="FG57" s="192" t="str">
        <f>IF(AND($C57&lt;&gt;"",$S57&lt;&gt;""),(VLOOKUP($C57,'V-LOOKUP'!$C$61:$M$120,6,FALSE)),"0")</f>
        <v>0</v>
      </c>
      <c r="FH57" s="192" t="str">
        <f>IF(AND($C57&lt;&gt;"",$S57&lt;&gt;""),(VLOOKUP($C57,'V-LOOKUP'!$C$61:$M$120,7,FALSE)),"0")</f>
        <v>0</v>
      </c>
      <c r="FI57" s="192" t="str">
        <f>IF(AND($C57&lt;&gt;"",$S57&lt;&gt;""),(VLOOKUP($C57,'V-LOOKUP'!$C$61:$M$120,8,FALSE)),"0")</f>
        <v>0</v>
      </c>
      <c r="FJ57" s="192" t="str">
        <f>IF(AND($C57&lt;&gt;"",$S57&lt;&gt;""),(VLOOKUP($C57,'V-LOOKUP'!$C$61:$M$120,9,FALSE)),"0")</f>
        <v>0</v>
      </c>
      <c r="FK57" s="192" t="str">
        <f>IF(AND($C57&lt;&gt;"",$S57&lt;&gt;""),(VLOOKUP($C57,'V-LOOKUP'!$C$61:$M$120,10,FALSE)),"0")</f>
        <v>0</v>
      </c>
      <c r="FL57" s="192" t="str">
        <f>IF(AND($C57&lt;&gt;"",$S57&lt;&gt;""),(VLOOKUP($C57,'V-LOOKUP'!$C$61:$M$120,11,FALSE)),"0")</f>
        <v>0</v>
      </c>
      <c r="FM57" s="192" t="str">
        <f>IF(AND($C57&lt;&gt;"",$S57&lt;&gt;""),(VLOOKUP($C57,'V-LOOKUP'!$C$61:$N$120,12,FALSE)),"0")</f>
        <v>0</v>
      </c>
      <c r="FN57" s="192" t="str">
        <f>IF(AND($C57&lt;&gt;"",$T57&lt;&gt;""),(VLOOKUP($C57,'V-LOOKUP'!$C$61:$M$120,4,FALSE)),"0")</f>
        <v>0</v>
      </c>
      <c r="FO57" s="192" t="str">
        <f>IF(AND($C57&lt;&gt;"",$T57&lt;&gt;""),(VLOOKUP($C57,'V-LOOKUP'!$C$61:$M$120,5,FALSE)),"0")</f>
        <v>0</v>
      </c>
      <c r="FP57" s="192" t="str">
        <f>IF(AND($C57&lt;&gt;"",$T57&lt;&gt;""),(VLOOKUP($C57,'V-LOOKUP'!$C$61:$M$120,6,FALSE)),"0")</f>
        <v>0</v>
      </c>
      <c r="FQ57" s="192" t="str">
        <f>IF(AND($C57&lt;&gt;"",$T57&lt;&gt;""),(VLOOKUP($C57,'V-LOOKUP'!$C$61:$M$120,7,FALSE)),"0")</f>
        <v>0</v>
      </c>
      <c r="FR57" s="192" t="str">
        <f>IF(AND($C57&lt;&gt;"",$T57&lt;&gt;""),(VLOOKUP($C57,'V-LOOKUP'!$C$61:$M$120,8,FALSE)),"0")</f>
        <v>0</v>
      </c>
      <c r="FS57" s="192" t="str">
        <f>IF(AND($C57&lt;&gt;"",$T57&lt;&gt;""),(VLOOKUP($C57,'V-LOOKUP'!$C$61:$M$120,9,FALSE)),"0")</f>
        <v>0</v>
      </c>
      <c r="FT57" s="192" t="str">
        <f>IF(AND($C57&lt;&gt;"",$T57&lt;&gt;""),(VLOOKUP($C57,'V-LOOKUP'!$C$61:$M$120,10,FALSE)),"0")</f>
        <v>0</v>
      </c>
      <c r="FU57" s="192" t="str">
        <f>IF(AND($C57&lt;&gt;"",$T57&lt;&gt;""),(VLOOKUP($C57,'V-LOOKUP'!$C$61:$M$120,11,FALSE)),"0")</f>
        <v>0</v>
      </c>
      <c r="FV57" s="192" t="str">
        <f>IF(AND($C57&lt;&gt;"",$T57&lt;&gt;""),(VLOOKUP($C57,'V-LOOKUP'!$C$61:$N$120,12,FALSE)),"0")</f>
        <v>0</v>
      </c>
      <c r="FW57" s="192" t="str">
        <f>IF(AND($C57&lt;&gt;"",$U57&lt;&gt;""),(VLOOKUP($C57,'V-LOOKUP'!$C$61:$M$120,4,FALSE)),"0")</f>
        <v>0</v>
      </c>
      <c r="FX57" s="192" t="str">
        <f>IF(AND($C57&lt;&gt;"",$U57&lt;&gt;""),(VLOOKUP($C57,'V-LOOKUP'!$C$61:$M$120,5,FALSE)),"0")</f>
        <v>0</v>
      </c>
      <c r="FY57" s="192" t="str">
        <f>IF(AND($C57&lt;&gt;"",$U57&lt;&gt;""),(VLOOKUP($C57,'V-LOOKUP'!$C$61:$M$120,6,FALSE)),"0")</f>
        <v>0</v>
      </c>
      <c r="FZ57" s="192" t="str">
        <f>IF(AND($C57&lt;&gt;"",$U57&lt;&gt;""),(VLOOKUP($C57,'V-LOOKUP'!$C$61:$M$120,7,FALSE)),"0")</f>
        <v>0</v>
      </c>
      <c r="GA57" s="192" t="str">
        <f>IF(AND($C57&lt;&gt;"",$U57&lt;&gt;""),(VLOOKUP($C57,'V-LOOKUP'!$C$61:$M$120,8,FALSE)),"0")</f>
        <v>0</v>
      </c>
      <c r="GB57" s="192" t="str">
        <f>IF(AND($C57&lt;&gt;"",$U57&lt;&gt;""),(VLOOKUP($C57,'V-LOOKUP'!$C$61:$M$120,9,FALSE)),"0")</f>
        <v>0</v>
      </c>
      <c r="GC57" s="192" t="str">
        <f>IF(AND($C57&lt;&gt;"",$U57&lt;&gt;""),(VLOOKUP($C57,'V-LOOKUP'!$C$61:$M$120,10,FALSE)),"0")</f>
        <v>0</v>
      </c>
      <c r="GD57" s="192" t="str">
        <f>IF(AND($C57&lt;&gt;"",$U57&lt;&gt;""),(VLOOKUP($C57,'V-LOOKUP'!$C$61:$M$120,11,FALSE)),"0")</f>
        <v>0</v>
      </c>
      <c r="GE57" s="192" t="str">
        <f>IF(AND($C57&lt;&gt;"",$U57&lt;&gt;""),(VLOOKUP($C57,'V-LOOKUP'!$C$61:$N$120,12,FALSE)),"0")</f>
        <v>0</v>
      </c>
      <c r="GF57" s="192" t="str">
        <f>IF(AND($C57&lt;&gt;"",$V57&lt;&gt;""),(VLOOKUP($C57,'V-LOOKUP'!$C$61:$M$120,4,FALSE)),"0")</f>
        <v>0</v>
      </c>
      <c r="GG57" s="192" t="str">
        <f>IF(AND($C57&lt;&gt;"",V57&lt;&gt;""),(VLOOKUP($C57,'V-LOOKUP'!$C$61:$M$120,5,FALSE)),"0")</f>
        <v>0</v>
      </c>
      <c r="GH57" s="192" t="str">
        <f>IF(AND($C57&lt;&gt;"",$V57&lt;&gt;""),(VLOOKUP($C57,'V-LOOKUP'!$C$61:$M$120,6,FALSE)),"0")</f>
        <v>0</v>
      </c>
      <c r="GI57" s="192" t="str">
        <f>IF(AND($C57&lt;&gt;"",$V57&lt;&gt;""),(VLOOKUP($C57,'V-LOOKUP'!$C$61:$M$120,7,FALSE)),"0")</f>
        <v>0</v>
      </c>
      <c r="GJ57" s="192" t="str">
        <f>IF(AND($C57&lt;&gt;"",$V57&lt;&gt;""),(VLOOKUP($C57,'V-LOOKUP'!$C$61:$M$120,8,FALSE)),"0")</f>
        <v>0</v>
      </c>
      <c r="GK57" s="192" t="str">
        <f>IF(AND($C57&lt;&gt;"",$V57&lt;&gt;""),(VLOOKUP($C57,'V-LOOKUP'!$C$61:$M$120,9,FALSE)),"0")</f>
        <v>0</v>
      </c>
      <c r="GL57" s="192" t="str">
        <f>IF(AND($C57&lt;&gt;"",$V57&lt;&gt;""),(VLOOKUP($C57,'V-LOOKUP'!$C$61:$M$120,10,FALSE)),"0")</f>
        <v>0</v>
      </c>
      <c r="GM57" s="192" t="str">
        <f>IF(AND($C57&lt;&gt;"",$V57&lt;&gt;""),(VLOOKUP($C57,'V-LOOKUP'!$C$61:$M$120,11,FALSE)),"0")</f>
        <v>0</v>
      </c>
      <c r="GN57" s="192" t="str">
        <f>IF(AND($C57&lt;&gt;"",$V57&lt;&gt;""),(VLOOKUP($C57,'V-LOOKUP'!$C$61:$N$120,12,FALSE)),"0")</f>
        <v>0</v>
      </c>
      <c r="GO57" s="192" t="str">
        <f>IF(AND($C57&lt;&gt;"",$W57&lt;&gt;""),(VLOOKUP($C57,'V-LOOKUP'!$C$61:$M$120,4,FALSE)),"0")</f>
        <v>0</v>
      </c>
      <c r="GP57" s="192" t="str">
        <f>IF(AND($C57&lt;&gt;"",$W57&lt;&gt;""),(VLOOKUP($C57,'V-LOOKUP'!$C$61:$M$120,5,FALSE)),"0")</f>
        <v>0</v>
      </c>
      <c r="GQ57" s="192" t="str">
        <f>IF(AND($C57&lt;&gt;"",$W57&lt;&gt;""),(VLOOKUP($C57,'V-LOOKUP'!$C$61:$M$120,6,FALSE)),"0")</f>
        <v>0</v>
      </c>
      <c r="GR57" s="192" t="str">
        <f>IF(AND($C57&lt;&gt;"",$W57&lt;&gt;""),(VLOOKUP($C57,'V-LOOKUP'!$C$61:$M$120,7,FALSE)),"0")</f>
        <v>0</v>
      </c>
      <c r="GS57" s="192" t="str">
        <f>IF(AND($C57&lt;&gt;"",$W57&lt;&gt;""),(VLOOKUP($C57,'V-LOOKUP'!$C$61:$M$120,8,FALSE)),"0")</f>
        <v>0</v>
      </c>
      <c r="GT57" s="192" t="str">
        <f>IF(AND($C57&lt;&gt;"",$W57&lt;&gt;""),(VLOOKUP($C57,'V-LOOKUP'!$C$61:$M$120,9,FALSE)),"0")</f>
        <v>0</v>
      </c>
      <c r="GU57" s="192" t="str">
        <f>IF(AND($C57&lt;&gt;"",$W57&lt;&gt;""),(VLOOKUP($C57,'V-LOOKUP'!$C$61:$M$120,10,FALSE)),"0")</f>
        <v>0</v>
      </c>
      <c r="GV57" s="192" t="str">
        <f>IF(AND($C57&lt;&gt;"",$W57&lt;&gt;""),(VLOOKUP($C57,'V-LOOKUP'!$C$61:$M$120,11,FALSE)),"0")</f>
        <v>0</v>
      </c>
      <c r="GW57" s="192" t="str">
        <f>IF(AND($C57&lt;&gt;"",$W57&lt;&gt;""),(VLOOKUP($C57,'V-LOOKUP'!$C$61:$N$120,12,FALSE)),"0")</f>
        <v>0</v>
      </c>
    </row>
    <row r="58" spans="1:205" ht="14.65" hidden="1" customHeight="1">
      <c r="A58" s="193"/>
      <c r="B58" s="245"/>
      <c r="C58" s="203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Y58" s="190"/>
      <c r="Z58" s="192" t="str">
        <f>IF(AND($C58&lt;&gt;"",$D58&lt;&gt;""),(VLOOKUP($C58,'V-LOOKUP'!$C$61:$M$120,4,FALSE)),"0")</f>
        <v>0</v>
      </c>
      <c r="AA58" s="192" t="str">
        <f>IF(AND($C58&lt;&gt;"",$D58&lt;&gt;""),(VLOOKUP($C58,'V-LOOKUP'!$C$61:$M$120,5,FALSE)),"0")</f>
        <v>0</v>
      </c>
      <c r="AB58" s="192" t="str">
        <f>IF(AND($C58&lt;&gt;"",$D58&lt;&gt;""),(VLOOKUP($C58,'V-LOOKUP'!$C$61:$M$120,6,FALSE)),"0")</f>
        <v>0</v>
      </c>
      <c r="AC58" s="192" t="str">
        <f>IF(AND($C58&lt;&gt;"",$D58&lt;&gt;""),(VLOOKUP($C58,'V-LOOKUP'!$C$61:$M$120,7,FALSE)),"0")</f>
        <v>0</v>
      </c>
      <c r="AD58" s="192" t="str">
        <f>IF(AND($C58&lt;&gt;"",$D58&lt;&gt;""),(VLOOKUP($C58,'V-LOOKUP'!$C$61:$M$120,8,FALSE)),"0")</f>
        <v>0</v>
      </c>
      <c r="AE58" s="192" t="str">
        <f>IF(AND($C58&lt;&gt;"",$D58&lt;&gt;""),(VLOOKUP($C58,'V-LOOKUP'!$C$61:$M$120,9,FALSE)),"0")</f>
        <v>0</v>
      </c>
      <c r="AF58" s="192" t="str">
        <f>IF(AND($C58&lt;&gt;"",$D58&lt;&gt;""),(VLOOKUP($C58,'V-LOOKUP'!$C$61:$M$120,10,FALSE)),"0")</f>
        <v>0</v>
      </c>
      <c r="AG58" s="192" t="str">
        <f>IF(AND($C58&lt;&gt;"",$D58&lt;&gt;""),(VLOOKUP($C58,'V-LOOKUP'!$C$61:$M$120,11,FALSE)),"0")</f>
        <v>0</v>
      </c>
      <c r="AH58" s="192" t="str">
        <f>IF(AND($C58&lt;&gt;"",$D58&lt;&gt;""),(VLOOKUP($C58,'V-LOOKUP'!$C$61:$N$120,12,FALSE)),"0")</f>
        <v>0</v>
      </c>
      <c r="AI58" s="192" t="str">
        <f>IF(AND($C58&lt;&gt;"",$E58&lt;&gt;""),(VLOOKUP($C58,'V-LOOKUP'!$C$61:$M$120,4,FALSE)),"0")</f>
        <v>0</v>
      </c>
      <c r="AJ58" s="192" t="str">
        <f>IF(AND($C58&lt;&gt;"",$E58&lt;&gt;""),(VLOOKUP($C58,'V-LOOKUP'!$C$61:$M$120,5,FALSE)),"0")</f>
        <v>0</v>
      </c>
      <c r="AK58" s="192" t="str">
        <f>IF(AND($C58&lt;&gt;"",$E58&lt;&gt;""),(VLOOKUP($C58,'V-LOOKUP'!$C$61:$M$120,6,FALSE)),"0")</f>
        <v>0</v>
      </c>
      <c r="AL58" s="192" t="str">
        <f>IF(AND($C58&lt;&gt;"",$E58&lt;&gt;""),(VLOOKUP($C58,'V-LOOKUP'!$C$61:$M$120,7,FALSE)),"0")</f>
        <v>0</v>
      </c>
      <c r="AM58" s="192" t="str">
        <f>IF(AND($C58&lt;&gt;"",$E58&lt;&gt;""),(VLOOKUP($C58,'V-LOOKUP'!$C$61:$M$120,8,FALSE)),"0")</f>
        <v>0</v>
      </c>
      <c r="AN58" s="192" t="str">
        <f>IF(AND($C58&lt;&gt;"",$E58&lt;&gt;""),(VLOOKUP($C58,'V-LOOKUP'!$C$61:$M$120,9,FALSE)),"0")</f>
        <v>0</v>
      </c>
      <c r="AO58" s="192" t="str">
        <f>IF(AND($C58&lt;&gt;"",$E58&lt;&gt;""),(VLOOKUP($C58,'V-LOOKUP'!$C$61:$M$120,10,FALSE)),"0")</f>
        <v>0</v>
      </c>
      <c r="AP58" s="192" t="str">
        <f>IF(AND($C58&lt;&gt;"",$E58&lt;&gt;""),(VLOOKUP($C58,'V-LOOKUP'!$C$61:$M$120,11,FALSE)),"0")</f>
        <v>0</v>
      </c>
      <c r="AQ58" s="192" t="str">
        <f>IF(AND($C58&lt;&gt;"",$E58&lt;&gt;""),(VLOOKUP($C58,'V-LOOKUP'!$C$61:$N$120,12,FALSE)),"0")</f>
        <v>0</v>
      </c>
      <c r="AR58" s="192" t="str">
        <f>IF(AND($C58&lt;&gt;"",$F58&lt;&gt;""),(VLOOKUP($C58,'V-LOOKUP'!$C$61:$M$120,4,FALSE)),"0")</f>
        <v>0</v>
      </c>
      <c r="AS58" s="192" t="str">
        <f>IF(AND($C58&lt;&gt;"",$F58&lt;&gt;""),(VLOOKUP($C58,'V-LOOKUP'!$C$61:$M$120,5,FALSE)),"0")</f>
        <v>0</v>
      </c>
      <c r="AT58" s="192" t="str">
        <f>IF(AND($C58&lt;&gt;"",$F58&lt;&gt;""),(VLOOKUP($C58,'V-LOOKUP'!$C$61:$M$120,6,FALSE)),"0")</f>
        <v>0</v>
      </c>
      <c r="AU58" s="192" t="str">
        <f>IF(AND($C58&lt;&gt;"",$F58&lt;&gt;""),(VLOOKUP($C58,'V-LOOKUP'!$C$61:$M$120,7,FALSE)),"0")</f>
        <v>0</v>
      </c>
      <c r="AV58" s="192" t="str">
        <f>IF(AND($C58&lt;&gt;"",$F58&lt;&gt;""),(VLOOKUP($C58,'V-LOOKUP'!$C$61:$M$120,8,FALSE)),"0")</f>
        <v>0</v>
      </c>
      <c r="AW58" s="192" t="str">
        <f>IF(AND($C58&lt;&gt;"",$F58&lt;&gt;""),(VLOOKUP($C58,'V-LOOKUP'!$C$61:$M$120,9,FALSE)),"0")</f>
        <v>0</v>
      </c>
      <c r="AX58" s="192" t="str">
        <f>IF(AND($C58&lt;&gt;"",$F58&lt;&gt;""),(VLOOKUP($C58,'V-LOOKUP'!$C$61:$M$120,10,FALSE)),"0")</f>
        <v>0</v>
      </c>
      <c r="AY58" s="192" t="str">
        <f>IF(AND($C58&lt;&gt;"",$F58&lt;&gt;""),(VLOOKUP($C58,'V-LOOKUP'!$C$61:$M$120,11,FALSE)),"0")</f>
        <v>0</v>
      </c>
      <c r="AZ58" s="192" t="str">
        <f>IF(AND($C58&lt;&gt;"",$F58&lt;&gt;""),(VLOOKUP($C58,'V-LOOKUP'!$C$61:$N$120,12,FALSE)),"0")</f>
        <v>0</v>
      </c>
      <c r="BA58" s="192" t="str">
        <f>IF(AND($C58&lt;&gt;"",$G58&lt;&gt;""),(VLOOKUP($C58,'V-LOOKUP'!$C$61:$M$120,4,FALSE)),"0")</f>
        <v>0</v>
      </c>
      <c r="BB58" s="192" t="str">
        <f>IF(AND($C58&lt;&gt;"",$G58&lt;&gt;""),(VLOOKUP($C58,'V-LOOKUP'!$C$61:$M$120,5,FALSE)),"0")</f>
        <v>0</v>
      </c>
      <c r="BC58" s="192" t="str">
        <f>IF(AND($C58&lt;&gt;"",$G58&lt;&gt;""),(VLOOKUP($C58,'V-LOOKUP'!$C$61:$M$120,6,FALSE)),"0")</f>
        <v>0</v>
      </c>
      <c r="BD58" s="192" t="str">
        <f>IF(AND($C58&lt;&gt;"",$G58&lt;&gt;""),(VLOOKUP($C58,'V-LOOKUP'!$C$61:$M$120,7,FALSE)),"0")</f>
        <v>0</v>
      </c>
      <c r="BE58" s="192" t="str">
        <f>IF(AND($C58&lt;&gt;"",$G58&lt;&gt;""),(VLOOKUP($C58,'V-LOOKUP'!$C$61:$M$120,8,FALSE)),"0")</f>
        <v>0</v>
      </c>
      <c r="BF58" s="192" t="str">
        <f>IF(AND($C58&lt;&gt;"",$G58&lt;&gt;""),(VLOOKUP($C58,'V-LOOKUP'!$C$61:$M$120,9,FALSE)),"0")</f>
        <v>0</v>
      </c>
      <c r="BG58" s="192" t="str">
        <f>IF(AND($C58&lt;&gt;"",$G58&lt;&gt;""),(VLOOKUP($C58,'V-LOOKUP'!$C$61:$M$120,10,FALSE)),"0")</f>
        <v>0</v>
      </c>
      <c r="BH58" s="192" t="str">
        <f>IF(AND($C58&lt;&gt;"",$G58&lt;&gt;""),(VLOOKUP($C58,'V-LOOKUP'!$C$61:$M$120,11,FALSE)),"0")</f>
        <v>0</v>
      </c>
      <c r="BI58" s="192" t="str">
        <f>IF(AND($C58&lt;&gt;"",$G58&lt;&gt;""),(VLOOKUP($C58,'V-LOOKUP'!$C$61:$N$120,12,FALSE)),"0")</f>
        <v>0</v>
      </c>
      <c r="BJ58" s="192" t="str">
        <f>IF(AND($C58&lt;&gt;"",$H58&lt;&gt;""),(VLOOKUP($C58,'V-LOOKUP'!$C$61:$M$120,4,FALSE)),"0")</f>
        <v>0</v>
      </c>
      <c r="BK58" s="192" t="str">
        <f>IF(AND($C58&lt;&gt;"",$H58&lt;&gt;""),(VLOOKUP($C58,'V-LOOKUP'!$C$61:$M$120,5,FALSE)),"0")</f>
        <v>0</v>
      </c>
      <c r="BL58" s="192" t="str">
        <f>IF(AND($C58&lt;&gt;"",$H58&lt;&gt;""),(VLOOKUP($C58,'V-LOOKUP'!$C$61:$M$120,6,FALSE)),"0")</f>
        <v>0</v>
      </c>
      <c r="BM58" s="192" t="str">
        <f>IF(AND($C58&lt;&gt;"",$H58&lt;&gt;""),(VLOOKUP($C58,'V-LOOKUP'!$C$61:$M$120,7,FALSE)),"0")</f>
        <v>0</v>
      </c>
      <c r="BN58" s="192" t="str">
        <f>IF(AND($C58&lt;&gt;"",$H58&lt;&gt;""),(VLOOKUP($C58,'V-LOOKUP'!$C$61:$M$120,8,FALSE)),"0")</f>
        <v>0</v>
      </c>
      <c r="BO58" s="192" t="str">
        <f>IF(AND($C58&lt;&gt;"",$H58&lt;&gt;""),(VLOOKUP($C58,'V-LOOKUP'!$C$61:$M$120,9,FALSE)),"0")</f>
        <v>0</v>
      </c>
      <c r="BP58" s="192" t="str">
        <f>IF(AND($C58&lt;&gt;"",$H58&lt;&gt;""),(VLOOKUP($C58,'V-LOOKUP'!$C$61:$M$120,10,FALSE)),"0")</f>
        <v>0</v>
      </c>
      <c r="BQ58" s="192" t="str">
        <f>IF(AND($C58&lt;&gt;"",$H58&lt;&gt;""),(VLOOKUP($C58,'V-LOOKUP'!$C$61:$M$120,11,FALSE)),"0")</f>
        <v>0</v>
      </c>
      <c r="BR58" s="192" t="str">
        <f>IF(AND($C58&lt;&gt;"",$H58&lt;&gt;""),(VLOOKUP($C58,'V-LOOKUP'!$C$61:$N$120,12,FALSE)),"0")</f>
        <v>0</v>
      </c>
      <c r="BS58" s="192" t="str">
        <f>IF(AND($C58&lt;&gt;"",$I58&lt;&gt;""),(VLOOKUP($C58,'V-LOOKUP'!$C$61:$M$120,4,FALSE)),"0")</f>
        <v>0</v>
      </c>
      <c r="BT58" s="192" t="str">
        <f>IF(AND($C58&lt;&gt;"",$I58&lt;&gt;""),(VLOOKUP($C58,'V-LOOKUP'!$C$61:$M$120,5,FALSE)),"0")</f>
        <v>0</v>
      </c>
      <c r="BU58" s="192" t="str">
        <f>IF(AND($C58&lt;&gt;"",$I58&lt;&gt;""),(VLOOKUP($C58,'V-LOOKUP'!$C$61:$M$120,6,FALSE)),"0")</f>
        <v>0</v>
      </c>
      <c r="BV58" s="192" t="str">
        <f>IF(AND($C58&lt;&gt;"",$I58&lt;&gt;""),(VLOOKUP($C58,'V-LOOKUP'!$C$61:$M$120,7,FALSE)),"0")</f>
        <v>0</v>
      </c>
      <c r="BW58" s="192" t="str">
        <f>IF(AND($C58&lt;&gt;"",$I58&lt;&gt;""),(VLOOKUP($C58,'V-LOOKUP'!$C$61:$M$120,8,FALSE)),"0")</f>
        <v>0</v>
      </c>
      <c r="BX58" s="192" t="str">
        <f>IF(AND($C58&lt;&gt;"",$I58&lt;&gt;""),(VLOOKUP($C58,'V-LOOKUP'!$C$61:$M$120,9,FALSE)),"0")</f>
        <v>0</v>
      </c>
      <c r="BY58" s="192" t="str">
        <f>IF(AND($C58&lt;&gt;"",$I58&lt;&gt;""),(VLOOKUP($C58,'V-LOOKUP'!$C$61:$M$120,10,FALSE)),"0")</f>
        <v>0</v>
      </c>
      <c r="BZ58" s="192" t="str">
        <f>IF(AND($C58&lt;&gt;"",$I58&lt;&gt;""),(VLOOKUP($C58,'V-LOOKUP'!$C$61:$M$120,11,FALSE)),"0")</f>
        <v>0</v>
      </c>
      <c r="CA58" s="192" t="str">
        <f>IF(AND($C58&lt;&gt;"",$I58&lt;&gt;""),(VLOOKUP($C58,'V-LOOKUP'!$C$61:$N$120,12,FALSE)),"0")</f>
        <v>0</v>
      </c>
      <c r="CB58" s="192" t="str">
        <f>IF(AND($C58&lt;&gt;"",$J58&lt;&gt;""),(VLOOKUP($C58,'V-LOOKUP'!$C$61:$M$120,4,FALSE)),"0")</f>
        <v>0</v>
      </c>
      <c r="CC58" s="192" t="str">
        <f>IF(AND($C58&lt;&gt;"",$J58&lt;&gt;""),(VLOOKUP($C58,'V-LOOKUP'!$C$61:$M$120,5,FALSE)),"0")</f>
        <v>0</v>
      </c>
      <c r="CD58" s="192" t="str">
        <f>IF(AND($C58&lt;&gt;"",$J58&lt;&gt;""),(VLOOKUP($C58,'V-LOOKUP'!$C$61:$M$120,6,FALSE)),"0")</f>
        <v>0</v>
      </c>
      <c r="CE58" s="192" t="str">
        <f>IF(AND($C58&lt;&gt;"",$J58&lt;&gt;""),(VLOOKUP($C58,'V-LOOKUP'!$C$61:$M$120,7,FALSE)),"0")</f>
        <v>0</v>
      </c>
      <c r="CF58" s="192" t="str">
        <f>IF(AND($C58&lt;&gt;"",$J58&lt;&gt;""),(VLOOKUP($C58,'V-LOOKUP'!$C$61:$M$120,8,FALSE)),"0")</f>
        <v>0</v>
      </c>
      <c r="CG58" s="192" t="str">
        <f>IF(AND($C58&lt;&gt;"",$J58&lt;&gt;""),(VLOOKUP($C58,'V-LOOKUP'!$C$61:$M$120,9,FALSE)),"0")</f>
        <v>0</v>
      </c>
      <c r="CH58" s="192" t="str">
        <f>IF(AND($C58&lt;&gt;"",$J58&lt;&gt;""),(VLOOKUP($C58,'V-LOOKUP'!$C$61:$M$120,10,FALSE)),"0")</f>
        <v>0</v>
      </c>
      <c r="CI58" s="192" t="str">
        <f>IF(AND($C58&lt;&gt;"",$J58&lt;&gt;""),(VLOOKUP($C58,'V-LOOKUP'!$C$61:$M$120,11,FALSE)),"0")</f>
        <v>0</v>
      </c>
      <c r="CJ58" s="192" t="str">
        <f>IF(AND($C58&lt;&gt;"",$J58&lt;&gt;""),(VLOOKUP($C58,'V-LOOKUP'!$C$61:$N$120,12,FALSE)),"0")</f>
        <v>0</v>
      </c>
      <c r="CK58" s="192" t="str">
        <f>IF(AND($C58&lt;&gt;"",$K58&lt;&gt;""),(VLOOKUP($C58,'V-LOOKUP'!$C$61:$M$120,4,FALSE)),"0")</f>
        <v>0</v>
      </c>
      <c r="CL58" s="192" t="str">
        <f>IF(AND($C58&lt;&gt;"",$K58&lt;&gt;""),(VLOOKUP($C58,'V-LOOKUP'!$C$61:$M$120,5,FALSE)),"0")</f>
        <v>0</v>
      </c>
      <c r="CM58" s="192" t="str">
        <f>IF(AND($C58&lt;&gt;"",$K58&lt;&gt;""),(VLOOKUP($C58,'V-LOOKUP'!$C$61:$M$120,6,FALSE)),"0")</f>
        <v>0</v>
      </c>
      <c r="CN58" s="192" t="str">
        <f>IF(AND($C58&lt;&gt;"",$K58&lt;&gt;""),(VLOOKUP($C58,'V-LOOKUP'!$C$61:$M$120,7,FALSE)),"0")</f>
        <v>0</v>
      </c>
      <c r="CO58" s="192" t="str">
        <f>IF(AND($C58&lt;&gt;"",$K58&lt;&gt;""),(VLOOKUP($C58,'V-LOOKUP'!$C$61:$M$120,8,FALSE)),"0")</f>
        <v>0</v>
      </c>
      <c r="CP58" s="192" t="str">
        <f>IF(AND($C58&lt;&gt;"",$K58&lt;&gt;""),(VLOOKUP($C58,'V-LOOKUP'!$C$61:$M$120,9,FALSE)),"0")</f>
        <v>0</v>
      </c>
      <c r="CQ58" s="192" t="str">
        <f>IF(AND($C58&lt;&gt;"",$K58&lt;&gt;""),(VLOOKUP($C58,'V-LOOKUP'!$C$61:$M$120,10,FALSE)),"0")</f>
        <v>0</v>
      </c>
      <c r="CR58" s="192" t="str">
        <f>IF(AND($C58&lt;&gt;"",$K58&lt;&gt;""),(VLOOKUP($C58,'V-LOOKUP'!$C$61:$M$120,11,FALSE)),"0")</f>
        <v>0</v>
      </c>
      <c r="CS58" s="192" t="str">
        <f>IF(AND($C58&lt;&gt;"",$K58&lt;&gt;""),(VLOOKUP($C58,'V-LOOKUP'!$C$61:$N$120,12,FALSE)),"0")</f>
        <v>0</v>
      </c>
      <c r="CT58" s="192" t="str">
        <f>IF(AND($C58&lt;&gt;"",$L58&lt;&gt;""),(VLOOKUP($C58,'V-LOOKUP'!$C$61:$M$120,4,FALSE)),"0")</f>
        <v>0</v>
      </c>
      <c r="CU58" s="192" t="str">
        <f>IF(AND($C58&lt;&gt;"",$L58&lt;&gt;""),(VLOOKUP($C58,'V-LOOKUP'!$C$61:$M$120,5,FALSE)),"0")</f>
        <v>0</v>
      </c>
      <c r="CV58" s="192" t="str">
        <f>IF(AND($C58&lt;&gt;"",$L58&lt;&gt;""),(VLOOKUP($C58,'V-LOOKUP'!$C$61:$M$120,6,FALSE)),"0")</f>
        <v>0</v>
      </c>
      <c r="CW58" s="192" t="str">
        <f>IF(AND($C58&lt;&gt;"",$L58&lt;&gt;""),(VLOOKUP($C58,'V-LOOKUP'!$C$61:$M$120,7,FALSE)),"0")</f>
        <v>0</v>
      </c>
      <c r="CX58" s="192" t="str">
        <f>IF(AND($C58&lt;&gt;"",$L58&lt;&gt;""),(VLOOKUP($C58,'V-LOOKUP'!$C$61:$M$120,8,FALSE)),"0")</f>
        <v>0</v>
      </c>
      <c r="CY58" s="192" t="str">
        <f>IF(AND($C58&lt;&gt;"",$L58&lt;&gt;""),(VLOOKUP($C58,'V-LOOKUP'!$C$61:$M$120,9,FALSE)),"0")</f>
        <v>0</v>
      </c>
      <c r="CZ58" s="192" t="str">
        <f>IF(AND($C58&lt;&gt;"",$L58&lt;&gt;""),(VLOOKUP($C58,'V-LOOKUP'!$C$61:$M$120,10,FALSE)),"0")</f>
        <v>0</v>
      </c>
      <c r="DA58" s="192" t="str">
        <f>IF(AND($C58&lt;&gt;"",$L58&lt;&gt;""),(VLOOKUP($C58,'V-LOOKUP'!$C$61:$M$120,11,FALSE)),"0")</f>
        <v>0</v>
      </c>
      <c r="DB58" s="192" t="str">
        <f>IF(AND($C58&lt;&gt;"",$L58&lt;&gt;""),(VLOOKUP($C58,'V-LOOKUP'!$C$61:$N$120,12,FALSE)),"0")</f>
        <v>0</v>
      </c>
      <c r="DC58" s="192" t="str">
        <f>IF(AND($C58&lt;&gt;"",$M58&lt;&gt;""),(VLOOKUP($C58,'V-LOOKUP'!$C$61:$M$120,4,FALSE)),"0")</f>
        <v>0</v>
      </c>
      <c r="DD58" s="192" t="str">
        <f>IF(AND($C58&lt;&gt;"",$M58&lt;&gt;""),(VLOOKUP($C58,'V-LOOKUP'!$C$61:$M$120,5,FALSE)),"0")</f>
        <v>0</v>
      </c>
      <c r="DE58" s="192" t="str">
        <f>IF(AND($C58&lt;&gt;"",$M58&lt;&gt;""),(VLOOKUP($C58,'V-LOOKUP'!$C$61:$M$120,6,FALSE)),"0")</f>
        <v>0</v>
      </c>
      <c r="DF58" s="192" t="str">
        <f>IF(AND($C58&lt;&gt;"",$M58&lt;&gt;""),(VLOOKUP($C58,'V-LOOKUP'!$C$61:$M$120,7,FALSE)),"0")</f>
        <v>0</v>
      </c>
      <c r="DG58" s="192" t="str">
        <f>IF(AND($C58&lt;&gt;"",$M58&lt;&gt;""),(VLOOKUP($C58,'V-LOOKUP'!$C$61:$M$120,8,FALSE)),"0")</f>
        <v>0</v>
      </c>
      <c r="DH58" s="192" t="str">
        <f>IF(AND($C58&lt;&gt;"",$M58&lt;&gt;""),(VLOOKUP($C58,'V-LOOKUP'!$C$61:$M$120,9,FALSE)),"0")</f>
        <v>0</v>
      </c>
      <c r="DI58" s="192" t="str">
        <f>IF(AND($C58&lt;&gt;"",$M58&lt;&gt;""),(VLOOKUP($C58,'V-LOOKUP'!$C$61:$M$120,10,FALSE)),"0")</f>
        <v>0</v>
      </c>
      <c r="DJ58" s="192" t="str">
        <f>IF(AND($C58&lt;&gt;"",$M58&lt;&gt;""),(VLOOKUP($C58,'V-LOOKUP'!$C$61:$M$120,11,FALSE)),"0")</f>
        <v>0</v>
      </c>
      <c r="DK58" s="192" t="str">
        <f>IF(AND($C58&lt;&gt;"",$M58&lt;&gt;""),(VLOOKUP($C58,'V-LOOKUP'!$C$61:$N$120,12,FALSE)),"0")</f>
        <v>0</v>
      </c>
      <c r="DL58" s="192" t="str">
        <f>IF(AND($C58&lt;&gt;"",$N58&lt;&gt;""),(VLOOKUP($C58,'V-LOOKUP'!$C$61:$M$120,4,FALSE)),"0")</f>
        <v>0</v>
      </c>
      <c r="DM58" s="192" t="str">
        <f>IF(AND($C58&lt;&gt;"",$N58&lt;&gt;""),(VLOOKUP($C58,'V-LOOKUP'!$C$61:$M$120,5,FALSE)),"0")</f>
        <v>0</v>
      </c>
      <c r="DN58" s="192" t="str">
        <f>IF(AND($C58&lt;&gt;"",$N58&lt;&gt;""),(VLOOKUP($C58,'V-LOOKUP'!$C$61:$M$120,6,FALSE)),"0")</f>
        <v>0</v>
      </c>
      <c r="DO58" s="192" t="str">
        <f>IF(AND($C58&lt;&gt;"",$N58&lt;&gt;""),(VLOOKUP($C58,'V-LOOKUP'!$C$61:$M$120,7,FALSE)),"0")</f>
        <v>0</v>
      </c>
      <c r="DP58" s="192" t="str">
        <f>IF(AND($C58&lt;&gt;"",$N58&lt;&gt;""),(VLOOKUP($C58,'V-LOOKUP'!$C$61:$M$120,8,FALSE)),"0")</f>
        <v>0</v>
      </c>
      <c r="DQ58" s="192" t="str">
        <f>IF(AND($C58&lt;&gt;"",$N58&lt;&gt;""),(VLOOKUP($C58,'V-LOOKUP'!$C$61:$M$120,9,FALSE)),"0")</f>
        <v>0</v>
      </c>
      <c r="DR58" s="192" t="str">
        <f>IF(AND($C58&lt;&gt;"",$N58&lt;&gt;""),(VLOOKUP($C58,'V-LOOKUP'!$C$61:$M$120,10,FALSE)),"0")</f>
        <v>0</v>
      </c>
      <c r="DS58" s="192" t="str">
        <f>IF(AND($C58&lt;&gt;"",$N58&lt;&gt;""),(VLOOKUP($C58,'V-LOOKUP'!$C$61:$M$120,11,FALSE)),"0")</f>
        <v>0</v>
      </c>
      <c r="DT58" s="192" t="str">
        <f>IF(AND($C58&lt;&gt;"",$N58&lt;&gt;""),(VLOOKUP($C58,'V-LOOKUP'!$C$61:$N$120,12,FALSE)),"0")</f>
        <v>0</v>
      </c>
      <c r="DU58" s="192" t="str">
        <f>IF(AND($C58&lt;&gt;"",$O58&lt;&gt;""),(VLOOKUP($C58,'V-LOOKUP'!$C$61:$M$120,4,FALSE)),"0")</f>
        <v>0</v>
      </c>
      <c r="DV58" s="192" t="str">
        <f>IF(AND($C58&lt;&gt;"",$O58&lt;&gt;""),(VLOOKUP($C58,'V-LOOKUP'!$C$61:$M$120,5,FALSE)),"0")</f>
        <v>0</v>
      </c>
      <c r="DW58" s="192" t="str">
        <f>IF(AND($C58&lt;&gt;"",$O58&lt;&gt;""),(VLOOKUP($C58,'V-LOOKUP'!$C$61:$M$120,6,FALSE)),"0")</f>
        <v>0</v>
      </c>
      <c r="DX58" s="192" t="str">
        <f>IF(AND($C58&lt;&gt;"",$O58&lt;&gt;""),(VLOOKUP($C58,'V-LOOKUP'!$C$61:$M$120,7,FALSE)),"0")</f>
        <v>0</v>
      </c>
      <c r="DY58" s="192" t="str">
        <f>IF(AND($C58&lt;&gt;"",$O58&lt;&gt;""),(VLOOKUP($C58,'V-LOOKUP'!$C$61:$M$120,8,FALSE)),"0")</f>
        <v>0</v>
      </c>
      <c r="DZ58" s="192" t="str">
        <f>IF(AND($C58&lt;&gt;"",$O58&lt;&gt;""),(VLOOKUP($C58,'V-LOOKUP'!$C$61:$M$120,9,FALSE)),"0")</f>
        <v>0</v>
      </c>
      <c r="EA58" s="192" t="str">
        <f>IF(AND($C58&lt;&gt;"",$O58&lt;&gt;""),(VLOOKUP($C58,'V-LOOKUP'!$C$61:$M$120,10,FALSE)),"0")</f>
        <v>0</v>
      </c>
      <c r="EB58" s="192" t="str">
        <f>IF(AND($C58&lt;&gt;"",$O58&lt;&gt;""),(VLOOKUP($C58,'V-LOOKUP'!$C$61:$M$120,11,FALSE)),"0")</f>
        <v>0</v>
      </c>
      <c r="EC58" s="192" t="str">
        <f>IF(AND($C58&lt;&gt;"",$O58&lt;&gt;""),(VLOOKUP($C58,'V-LOOKUP'!$C$61:$N$120,12,FALSE)),"0")</f>
        <v>0</v>
      </c>
      <c r="ED58" s="192" t="str">
        <f>IF(AND($C58&lt;&gt;"",$P58&lt;&gt;""),(VLOOKUP($C58,'V-LOOKUP'!$C$61:$M$120,4,FALSE)),"0")</f>
        <v>0</v>
      </c>
      <c r="EE58" s="192" t="str">
        <f>IF(AND($C58&lt;&gt;"",$P58&lt;&gt;""),(VLOOKUP($C58,'V-LOOKUP'!$C$61:$M$120,5,FALSE)),"0")</f>
        <v>0</v>
      </c>
      <c r="EF58" s="192" t="str">
        <f>IF(AND($C58&lt;&gt;"",$P58&lt;&gt;""),(VLOOKUP($C58,'V-LOOKUP'!$C$61:$M$120,6,FALSE)),"0")</f>
        <v>0</v>
      </c>
      <c r="EG58" s="192" t="str">
        <f>IF(AND($C58&lt;&gt;"",$P58&lt;&gt;""),(VLOOKUP($C58,'V-LOOKUP'!$C$61:$M$120,7,FALSE)),"0")</f>
        <v>0</v>
      </c>
      <c r="EH58" s="192" t="str">
        <f>IF(AND($C58&lt;&gt;"",$P58&lt;&gt;""),(VLOOKUP($C58,'V-LOOKUP'!$C$61:$M$120,8,FALSE)),"0")</f>
        <v>0</v>
      </c>
      <c r="EI58" s="192" t="str">
        <f>IF(AND($C58&lt;&gt;"",$P58&lt;&gt;""),(VLOOKUP($C58,'V-LOOKUP'!$C$61:$M$120,9,FALSE)),"0")</f>
        <v>0</v>
      </c>
      <c r="EJ58" s="192" t="str">
        <f>IF(AND($C58&lt;&gt;"",$P58&lt;&gt;""),(VLOOKUP($C58,'V-LOOKUP'!$C$61:$M$120,10,FALSE)),"0")</f>
        <v>0</v>
      </c>
      <c r="EK58" s="192" t="str">
        <f>IF(AND($C58&lt;&gt;"",$P58&lt;&gt;""),(VLOOKUP($C58,'V-LOOKUP'!$C$61:$M$120,11,FALSE)),"0")</f>
        <v>0</v>
      </c>
      <c r="EL58" s="192" t="str">
        <f>IF(AND($C58&lt;&gt;"",$P58&lt;&gt;""),(VLOOKUP($C58,'V-LOOKUP'!$C$61:$N$120,12,FALSE)),"0")</f>
        <v>0</v>
      </c>
      <c r="EM58" s="192" t="str">
        <f>IF(AND($C58&lt;&gt;"",$Q58&lt;&gt;""),(VLOOKUP($C58,'V-LOOKUP'!$C$61:$M$120,4,FALSE)),"0")</f>
        <v>0</v>
      </c>
      <c r="EN58" s="192" t="str">
        <f>IF(AND($C58&lt;&gt;"",$Q58&lt;&gt;""),(VLOOKUP($C58,'V-LOOKUP'!$C$61:$M$120,5,FALSE)),"0")</f>
        <v>0</v>
      </c>
      <c r="EO58" s="192" t="str">
        <f>IF(AND($C58&lt;&gt;"",$Q58&lt;&gt;""),(VLOOKUP($C58,'V-LOOKUP'!$C$61:$M$120,6,FALSE)),"0")</f>
        <v>0</v>
      </c>
      <c r="EP58" s="192" t="str">
        <f>IF(AND($C58&lt;&gt;"",$Q58&lt;&gt;""),(VLOOKUP($C58,'V-LOOKUP'!$C$61:$M$120,7,FALSE)),"0")</f>
        <v>0</v>
      </c>
      <c r="EQ58" s="192" t="str">
        <f>IF(AND($C58&lt;&gt;"",$Q58&lt;&gt;""),(VLOOKUP($C58,'V-LOOKUP'!$C$61:$M$120,8,FALSE)),"0")</f>
        <v>0</v>
      </c>
      <c r="ER58" s="192" t="str">
        <f>IF(AND($C58&lt;&gt;"",$Q58&lt;&gt;""),(VLOOKUP($C58,'V-LOOKUP'!$C$61:$M$120,9,FALSE)),"0")</f>
        <v>0</v>
      </c>
      <c r="ES58" s="192" t="str">
        <f>IF(AND($C58&lt;&gt;"",$Q58&lt;&gt;""),(VLOOKUP($C58,'V-LOOKUP'!$C$61:$M$120,10,FALSE)),"0")</f>
        <v>0</v>
      </c>
      <c r="ET58" s="192" t="str">
        <f>IF(AND($C58&lt;&gt;"",$Q58&lt;&gt;""),(VLOOKUP($C58,'V-LOOKUP'!$C$61:$M$120,11,FALSE)),"0")</f>
        <v>0</v>
      </c>
      <c r="EU58" s="192" t="str">
        <f>IF(AND($C58&lt;&gt;"",$Q58&lt;&gt;""),(VLOOKUP($C58,'V-LOOKUP'!$C$61:$N$120,12,FALSE)),"0")</f>
        <v>0</v>
      </c>
      <c r="EV58" s="192" t="str">
        <f>IF(AND($C58&lt;&gt;"",$R58&lt;&gt;""),(VLOOKUP($C58,'V-LOOKUP'!$C$61:$M$120,4,FALSE)),"0")</f>
        <v>0</v>
      </c>
      <c r="EW58" s="192" t="str">
        <f>IF(AND($C58&lt;&gt;"",$R58&lt;&gt;""),(VLOOKUP($C58,'V-LOOKUP'!$C$61:$M$120,5,FALSE)),"0")</f>
        <v>0</v>
      </c>
      <c r="EX58" s="192" t="str">
        <f>IF(AND($C58&lt;&gt;"",$R58&lt;&gt;""),(VLOOKUP($C58,'V-LOOKUP'!$C$61:$M$120,6,FALSE)),"0")</f>
        <v>0</v>
      </c>
      <c r="EY58" s="192" t="str">
        <f>IF(AND($C58&lt;&gt;"",$R58&lt;&gt;""),(VLOOKUP($C58,'V-LOOKUP'!$C$61:$M$120,7,FALSE)),"0")</f>
        <v>0</v>
      </c>
      <c r="EZ58" s="192" t="str">
        <f>IF(AND($C58&lt;&gt;"",$R58&lt;&gt;""),(VLOOKUP($C58,'V-LOOKUP'!$C$61:$M$120,8,FALSE)),"0")</f>
        <v>0</v>
      </c>
      <c r="FA58" s="192" t="str">
        <f>IF(AND($C58&lt;&gt;"",$R58&lt;&gt;""),(VLOOKUP($C58,'V-LOOKUP'!$C$61:$M$120,9,FALSE)),"0")</f>
        <v>0</v>
      </c>
      <c r="FB58" s="192" t="str">
        <f>IF(AND($C58&lt;&gt;"",$R58&lt;&gt;""),(VLOOKUP($C58,'V-LOOKUP'!$C$61:$M$120,10,FALSE)),"0")</f>
        <v>0</v>
      </c>
      <c r="FC58" s="192" t="str">
        <f>IF(AND($C58&lt;&gt;"",$R58&lt;&gt;""),(VLOOKUP($C58,'V-LOOKUP'!$C$61:$M$120,11,FALSE)),"0")</f>
        <v>0</v>
      </c>
      <c r="FD58" s="192" t="str">
        <f>IF(AND($C58&lt;&gt;"",$R58&lt;&gt;""),(VLOOKUP($C58,'V-LOOKUP'!$C$61:$N$120,12,FALSE)),"0")</f>
        <v>0</v>
      </c>
      <c r="FE58" s="192" t="str">
        <f>IF(AND($C58&lt;&gt;"",$S58&lt;&gt;""),(VLOOKUP($C58,'V-LOOKUP'!$C$61:$M$120,4,FALSE)),"0")</f>
        <v>0</v>
      </c>
      <c r="FF58" s="192" t="str">
        <f>IF(AND($C58&lt;&gt;"",$S58&lt;&gt;""),(VLOOKUP($C58,'V-LOOKUP'!$C$61:$M$120,5,FALSE)),"0")</f>
        <v>0</v>
      </c>
      <c r="FG58" s="192" t="str">
        <f>IF(AND($C58&lt;&gt;"",$S58&lt;&gt;""),(VLOOKUP($C58,'V-LOOKUP'!$C$61:$M$120,6,FALSE)),"0")</f>
        <v>0</v>
      </c>
      <c r="FH58" s="192" t="str">
        <f>IF(AND($C58&lt;&gt;"",$S58&lt;&gt;""),(VLOOKUP($C58,'V-LOOKUP'!$C$61:$M$120,7,FALSE)),"0")</f>
        <v>0</v>
      </c>
      <c r="FI58" s="192" t="str">
        <f>IF(AND($C58&lt;&gt;"",$S58&lt;&gt;""),(VLOOKUP($C58,'V-LOOKUP'!$C$61:$M$120,8,FALSE)),"0")</f>
        <v>0</v>
      </c>
      <c r="FJ58" s="192" t="str">
        <f>IF(AND($C58&lt;&gt;"",$S58&lt;&gt;""),(VLOOKUP($C58,'V-LOOKUP'!$C$61:$M$120,9,FALSE)),"0")</f>
        <v>0</v>
      </c>
      <c r="FK58" s="192" t="str">
        <f>IF(AND($C58&lt;&gt;"",$S58&lt;&gt;""),(VLOOKUP($C58,'V-LOOKUP'!$C$61:$M$120,10,FALSE)),"0")</f>
        <v>0</v>
      </c>
      <c r="FL58" s="192" t="str">
        <f>IF(AND($C58&lt;&gt;"",$S58&lt;&gt;""),(VLOOKUP($C58,'V-LOOKUP'!$C$61:$M$120,11,FALSE)),"0")</f>
        <v>0</v>
      </c>
      <c r="FM58" s="192" t="str">
        <f>IF(AND($C58&lt;&gt;"",$S58&lt;&gt;""),(VLOOKUP($C58,'V-LOOKUP'!$C$61:$N$120,12,FALSE)),"0")</f>
        <v>0</v>
      </c>
      <c r="FN58" s="192" t="str">
        <f>IF(AND($C58&lt;&gt;"",$T58&lt;&gt;""),(VLOOKUP($C58,'V-LOOKUP'!$C$61:$M$120,4,FALSE)),"0")</f>
        <v>0</v>
      </c>
      <c r="FO58" s="192" t="str">
        <f>IF(AND($C58&lt;&gt;"",$T58&lt;&gt;""),(VLOOKUP($C58,'V-LOOKUP'!$C$61:$M$120,5,FALSE)),"0")</f>
        <v>0</v>
      </c>
      <c r="FP58" s="192" t="str">
        <f>IF(AND($C58&lt;&gt;"",$T58&lt;&gt;""),(VLOOKUP($C58,'V-LOOKUP'!$C$61:$M$120,6,FALSE)),"0")</f>
        <v>0</v>
      </c>
      <c r="FQ58" s="192" t="str">
        <f>IF(AND($C58&lt;&gt;"",$T58&lt;&gt;""),(VLOOKUP($C58,'V-LOOKUP'!$C$61:$M$120,7,FALSE)),"0")</f>
        <v>0</v>
      </c>
      <c r="FR58" s="192" t="str">
        <f>IF(AND($C58&lt;&gt;"",$T58&lt;&gt;""),(VLOOKUP($C58,'V-LOOKUP'!$C$61:$M$120,8,FALSE)),"0")</f>
        <v>0</v>
      </c>
      <c r="FS58" s="192" t="str">
        <f>IF(AND($C58&lt;&gt;"",$T58&lt;&gt;""),(VLOOKUP($C58,'V-LOOKUP'!$C$61:$M$120,9,FALSE)),"0")</f>
        <v>0</v>
      </c>
      <c r="FT58" s="192" t="str">
        <f>IF(AND($C58&lt;&gt;"",$T58&lt;&gt;""),(VLOOKUP($C58,'V-LOOKUP'!$C$61:$M$120,10,FALSE)),"0")</f>
        <v>0</v>
      </c>
      <c r="FU58" s="192" t="str">
        <f>IF(AND($C58&lt;&gt;"",$T58&lt;&gt;""),(VLOOKUP($C58,'V-LOOKUP'!$C$61:$M$120,11,FALSE)),"0")</f>
        <v>0</v>
      </c>
      <c r="FV58" s="192" t="str">
        <f>IF(AND($C58&lt;&gt;"",$T58&lt;&gt;""),(VLOOKUP($C58,'V-LOOKUP'!$C$61:$N$120,12,FALSE)),"0")</f>
        <v>0</v>
      </c>
      <c r="FW58" s="192" t="str">
        <f>IF(AND($C58&lt;&gt;"",$U58&lt;&gt;""),(VLOOKUP($C58,'V-LOOKUP'!$C$61:$M$120,4,FALSE)),"0")</f>
        <v>0</v>
      </c>
      <c r="FX58" s="192" t="str">
        <f>IF(AND($C58&lt;&gt;"",$U58&lt;&gt;""),(VLOOKUP($C58,'V-LOOKUP'!$C$61:$M$120,5,FALSE)),"0")</f>
        <v>0</v>
      </c>
      <c r="FY58" s="192" t="str">
        <f>IF(AND($C58&lt;&gt;"",$U58&lt;&gt;""),(VLOOKUP($C58,'V-LOOKUP'!$C$61:$M$120,6,FALSE)),"0")</f>
        <v>0</v>
      </c>
      <c r="FZ58" s="192" t="str">
        <f>IF(AND($C58&lt;&gt;"",$U58&lt;&gt;""),(VLOOKUP($C58,'V-LOOKUP'!$C$61:$M$120,7,FALSE)),"0")</f>
        <v>0</v>
      </c>
      <c r="GA58" s="192" t="str">
        <f>IF(AND($C58&lt;&gt;"",$U58&lt;&gt;""),(VLOOKUP($C58,'V-LOOKUP'!$C$61:$M$120,8,FALSE)),"0")</f>
        <v>0</v>
      </c>
      <c r="GB58" s="192" t="str">
        <f>IF(AND($C58&lt;&gt;"",$U58&lt;&gt;""),(VLOOKUP($C58,'V-LOOKUP'!$C$61:$M$120,9,FALSE)),"0")</f>
        <v>0</v>
      </c>
      <c r="GC58" s="192" t="str">
        <f>IF(AND($C58&lt;&gt;"",$U58&lt;&gt;""),(VLOOKUP($C58,'V-LOOKUP'!$C$61:$M$120,10,FALSE)),"0")</f>
        <v>0</v>
      </c>
      <c r="GD58" s="192" t="str">
        <f>IF(AND($C58&lt;&gt;"",$U58&lt;&gt;""),(VLOOKUP($C58,'V-LOOKUP'!$C$61:$M$120,11,FALSE)),"0")</f>
        <v>0</v>
      </c>
      <c r="GE58" s="192" t="str">
        <f>IF(AND($C58&lt;&gt;"",$U58&lt;&gt;""),(VLOOKUP($C58,'V-LOOKUP'!$C$61:$N$120,12,FALSE)),"0")</f>
        <v>0</v>
      </c>
      <c r="GF58" s="192" t="str">
        <f>IF(AND($C58&lt;&gt;"",$V58&lt;&gt;""),(VLOOKUP($C58,'V-LOOKUP'!$C$61:$M$120,4,FALSE)),"0")</f>
        <v>0</v>
      </c>
      <c r="GG58" s="192" t="str">
        <f>IF(AND($C58&lt;&gt;"",V58&lt;&gt;""),(VLOOKUP($C58,'V-LOOKUP'!$C$61:$M$120,5,FALSE)),"0")</f>
        <v>0</v>
      </c>
      <c r="GH58" s="192" t="str">
        <f>IF(AND($C58&lt;&gt;"",$V58&lt;&gt;""),(VLOOKUP($C58,'V-LOOKUP'!$C$61:$M$120,6,FALSE)),"0")</f>
        <v>0</v>
      </c>
      <c r="GI58" s="192" t="str">
        <f>IF(AND($C58&lt;&gt;"",$V58&lt;&gt;""),(VLOOKUP($C58,'V-LOOKUP'!$C$61:$M$120,7,FALSE)),"0")</f>
        <v>0</v>
      </c>
      <c r="GJ58" s="192" t="str">
        <f>IF(AND($C58&lt;&gt;"",$V58&lt;&gt;""),(VLOOKUP($C58,'V-LOOKUP'!$C$61:$M$120,8,FALSE)),"0")</f>
        <v>0</v>
      </c>
      <c r="GK58" s="192" t="str">
        <f>IF(AND($C58&lt;&gt;"",$V58&lt;&gt;""),(VLOOKUP($C58,'V-LOOKUP'!$C$61:$M$120,9,FALSE)),"0")</f>
        <v>0</v>
      </c>
      <c r="GL58" s="192" t="str">
        <f>IF(AND($C58&lt;&gt;"",$V58&lt;&gt;""),(VLOOKUP($C58,'V-LOOKUP'!$C$61:$M$120,10,FALSE)),"0")</f>
        <v>0</v>
      </c>
      <c r="GM58" s="192" t="str">
        <f>IF(AND($C58&lt;&gt;"",$V58&lt;&gt;""),(VLOOKUP($C58,'V-LOOKUP'!$C$61:$M$120,11,FALSE)),"0")</f>
        <v>0</v>
      </c>
      <c r="GN58" s="192" t="str">
        <f>IF(AND($C58&lt;&gt;"",$V58&lt;&gt;""),(VLOOKUP($C58,'V-LOOKUP'!$C$61:$N$120,12,FALSE)),"0")</f>
        <v>0</v>
      </c>
      <c r="GO58" s="192" t="str">
        <f>IF(AND($C58&lt;&gt;"",$W58&lt;&gt;""),(VLOOKUP($C58,'V-LOOKUP'!$C$61:$M$120,4,FALSE)),"0")</f>
        <v>0</v>
      </c>
      <c r="GP58" s="192" t="str">
        <f>IF(AND($C58&lt;&gt;"",$W58&lt;&gt;""),(VLOOKUP($C58,'V-LOOKUP'!$C$61:$M$120,5,FALSE)),"0")</f>
        <v>0</v>
      </c>
      <c r="GQ58" s="192" t="str">
        <f>IF(AND($C58&lt;&gt;"",$W58&lt;&gt;""),(VLOOKUP($C58,'V-LOOKUP'!$C$61:$M$120,6,FALSE)),"0")</f>
        <v>0</v>
      </c>
      <c r="GR58" s="192" t="str">
        <f>IF(AND($C58&lt;&gt;"",$W58&lt;&gt;""),(VLOOKUP($C58,'V-LOOKUP'!$C$61:$M$120,7,FALSE)),"0")</f>
        <v>0</v>
      </c>
      <c r="GS58" s="192" t="str">
        <f>IF(AND($C58&lt;&gt;"",$W58&lt;&gt;""),(VLOOKUP($C58,'V-LOOKUP'!$C$61:$M$120,8,FALSE)),"0")</f>
        <v>0</v>
      </c>
      <c r="GT58" s="192" t="str">
        <f>IF(AND($C58&lt;&gt;"",$W58&lt;&gt;""),(VLOOKUP($C58,'V-LOOKUP'!$C$61:$M$120,9,FALSE)),"0")</f>
        <v>0</v>
      </c>
      <c r="GU58" s="192" t="str">
        <f>IF(AND($C58&lt;&gt;"",$W58&lt;&gt;""),(VLOOKUP($C58,'V-LOOKUP'!$C$61:$M$120,10,FALSE)),"0")</f>
        <v>0</v>
      </c>
      <c r="GV58" s="192" t="str">
        <f>IF(AND($C58&lt;&gt;"",$W58&lt;&gt;""),(VLOOKUP($C58,'V-LOOKUP'!$C$61:$M$120,11,FALSE)),"0")</f>
        <v>0</v>
      </c>
      <c r="GW58" s="192" t="str">
        <f>IF(AND($C58&lt;&gt;"",$W58&lt;&gt;""),(VLOOKUP($C58,'V-LOOKUP'!$C$61:$N$120,12,FALSE)),"0")</f>
        <v>0</v>
      </c>
    </row>
    <row r="59" spans="1:205" ht="14.65" hidden="1" customHeight="1">
      <c r="A59" s="193"/>
      <c r="B59" s="245"/>
      <c r="C59" s="203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Y59" s="190"/>
      <c r="Z59" s="192" t="str">
        <f>IF(AND($C59&lt;&gt;"",$D59&lt;&gt;""),(VLOOKUP($C59,'V-LOOKUP'!$C$61:$M$120,4,FALSE)),"0")</f>
        <v>0</v>
      </c>
      <c r="AA59" s="192" t="str">
        <f>IF(AND($C59&lt;&gt;"",$D59&lt;&gt;""),(VLOOKUP($C59,'V-LOOKUP'!$C$61:$M$120,5,FALSE)),"0")</f>
        <v>0</v>
      </c>
      <c r="AB59" s="192" t="str">
        <f>IF(AND($C59&lt;&gt;"",$D59&lt;&gt;""),(VLOOKUP($C59,'V-LOOKUP'!$C$61:$M$120,6,FALSE)),"0")</f>
        <v>0</v>
      </c>
      <c r="AC59" s="192" t="str">
        <f>IF(AND($C59&lt;&gt;"",$D59&lt;&gt;""),(VLOOKUP($C59,'V-LOOKUP'!$C$61:$M$120,7,FALSE)),"0")</f>
        <v>0</v>
      </c>
      <c r="AD59" s="192" t="str">
        <f>IF(AND($C59&lt;&gt;"",$D59&lt;&gt;""),(VLOOKUP($C59,'V-LOOKUP'!$C$61:$M$120,8,FALSE)),"0")</f>
        <v>0</v>
      </c>
      <c r="AE59" s="192" t="str">
        <f>IF(AND($C59&lt;&gt;"",$D59&lt;&gt;""),(VLOOKUP($C59,'V-LOOKUP'!$C$61:$M$120,9,FALSE)),"0")</f>
        <v>0</v>
      </c>
      <c r="AF59" s="192" t="str">
        <f>IF(AND($C59&lt;&gt;"",$D59&lt;&gt;""),(VLOOKUP($C59,'V-LOOKUP'!$C$61:$M$120,10,FALSE)),"0")</f>
        <v>0</v>
      </c>
      <c r="AG59" s="192" t="str">
        <f>IF(AND($C59&lt;&gt;"",$D59&lt;&gt;""),(VLOOKUP($C59,'V-LOOKUP'!$C$61:$M$120,11,FALSE)),"0")</f>
        <v>0</v>
      </c>
      <c r="AH59" s="192" t="str">
        <f>IF(AND($C59&lt;&gt;"",$D59&lt;&gt;""),(VLOOKUP($C59,'V-LOOKUP'!$C$61:$N$120,12,FALSE)),"0")</f>
        <v>0</v>
      </c>
      <c r="AI59" s="192" t="str">
        <f>IF(AND($C59&lt;&gt;"",$E59&lt;&gt;""),(VLOOKUP($C59,'V-LOOKUP'!$C$61:$M$120,4,FALSE)),"0")</f>
        <v>0</v>
      </c>
      <c r="AJ59" s="192" t="str">
        <f>IF(AND($C59&lt;&gt;"",$E59&lt;&gt;""),(VLOOKUP($C59,'V-LOOKUP'!$C$61:$M$120,5,FALSE)),"0")</f>
        <v>0</v>
      </c>
      <c r="AK59" s="192" t="str">
        <f>IF(AND($C59&lt;&gt;"",$E59&lt;&gt;""),(VLOOKUP($C59,'V-LOOKUP'!$C$61:$M$120,6,FALSE)),"0")</f>
        <v>0</v>
      </c>
      <c r="AL59" s="192" t="str">
        <f>IF(AND($C59&lt;&gt;"",$E59&lt;&gt;""),(VLOOKUP($C59,'V-LOOKUP'!$C$61:$M$120,7,FALSE)),"0")</f>
        <v>0</v>
      </c>
      <c r="AM59" s="192" t="str">
        <f>IF(AND($C59&lt;&gt;"",$E59&lt;&gt;""),(VLOOKUP($C59,'V-LOOKUP'!$C$61:$M$120,8,FALSE)),"0")</f>
        <v>0</v>
      </c>
      <c r="AN59" s="192" t="str">
        <f>IF(AND($C59&lt;&gt;"",$E59&lt;&gt;""),(VLOOKUP($C59,'V-LOOKUP'!$C$61:$M$120,9,FALSE)),"0")</f>
        <v>0</v>
      </c>
      <c r="AO59" s="192" t="str">
        <f>IF(AND($C59&lt;&gt;"",$E59&lt;&gt;""),(VLOOKUP($C59,'V-LOOKUP'!$C$61:$M$120,10,FALSE)),"0")</f>
        <v>0</v>
      </c>
      <c r="AP59" s="192" t="str">
        <f>IF(AND($C59&lt;&gt;"",$E59&lt;&gt;""),(VLOOKUP($C59,'V-LOOKUP'!$C$61:$M$120,11,FALSE)),"0")</f>
        <v>0</v>
      </c>
      <c r="AQ59" s="192" t="str">
        <f>IF(AND($C59&lt;&gt;"",$E59&lt;&gt;""),(VLOOKUP($C59,'V-LOOKUP'!$C$61:$N$120,12,FALSE)),"0")</f>
        <v>0</v>
      </c>
      <c r="AR59" s="192" t="str">
        <f>IF(AND($C59&lt;&gt;"",$F59&lt;&gt;""),(VLOOKUP($C59,'V-LOOKUP'!$C$61:$M$120,4,FALSE)),"0")</f>
        <v>0</v>
      </c>
      <c r="AS59" s="192" t="str">
        <f>IF(AND($C59&lt;&gt;"",$F59&lt;&gt;""),(VLOOKUP($C59,'V-LOOKUP'!$C$61:$M$120,5,FALSE)),"0")</f>
        <v>0</v>
      </c>
      <c r="AT59" s="192" t="str">
        <f>IF(AND($C59&lt;&gt;"",$F59&lt;&gt;""),(VLOOKUP($C59,'V-LOOKUP'!$C$61:$M$120,6,FALSE)),"0")</f>
        <v>0</v>
      </c>
      <c r="AU59" s="192" t="str">
        <f>IF(AND($C59&lt;&gt;"",$F59&lt;&gt;""),(VLOOKUP($C59,'V-LOOKUP'!$C$61:$M$120,7,FALSE)),"0")</f>
        <v>0</v>
      </c>
      <c r="AV59" s="192" t="str">
        <f>IF(AND($C59&lt;&gt;"",$F59&lt;&gt;""),(VLOOKUP($C59,'V-LOOKUP'!$C$61:$M$120,8,FALSE)),"0")</f>
        <v>0</v>
      </c>
      <c r="AW59" s="192" t="str">
        <f>IF(AND($C59&lt;&gt;"",$F59&lt;&gt;""),(VLOOKUP($C59,'V-LOOKUP'!$C$61:$M$120,9,FALSE)),"0")</f>
        <v>0</v>
      </c>
      <c r="AX59" s="192" t="str">
        <f>IF(AND($C59&lt;&gt;"",$F59&lt;&gt;""),(VLOOKUP($C59,'V-LOOKUP'!$C$61:$M$120,10,FALSE)),"0")</f>
        <v>0</v>
      </c>
      <c r="AY59" s="192" t="str">
        <f>IF(AND($C59&lt;&gt;"",$F59&lt;&gt;""),(VLOOKUP($C59,'V-LOOKUP'!$C$61:$M$120,11,FALSE)),"0")</f>
        <v>0</v>
      </c>
      <c r="AZ59" s="192" t="str">
        <f>IF(AND($C59&lt;&gt;"",$F59&lt;&gt;""),(VLOOKUP($C59,'V-LOOKUP'!$C$61:$N$120,12,FALSE)),"0")</f>
        <v>0</v>
      </c>
      <c r="BA59" s="192" t="str">
        <f>IF(AND($C59&lt;&gt;"",$G59&lt;&gt;""),(VLOOKUP($C59,'V-LOOKUP'!$C$61:$M$120,4,FALSE)),"0")</f>
        <v>0</v>
      </c>
      <c r="BB59" s="192" t="str">
        <f>IF(AND($C59&lt;&gt;"",$G59&lt;&gt;""),(VLOOKUP($C59,'V-LOOKUP'!$C$61:$M$120,5,FALSE)),"0")</f>
        <v>0</v>
      </c>
      <c r="BC59" s="192" t="str">
        <f>IF(AND($C59&lt;&gt;"",$G59&lt;&gt;""),(VLOOKUP($C59,'V-LOOKUP'!$C$61:$M$120,6,FALSE)),"0")</f>
        <v>0</v>
      </c>
      <c r="BD59" s="192" t="str">
        <f>IF(AND($C59&lt;&gt;"",$G59&lt;&gt;""),(VLOOKUP($C59,'V-LOOKUP'!$C$61:$M$120,7,FALSE)),"0")</f>
        <v>0</v>
      </c>
      <c r="BE59" s="192" t="str">
        <f>IF(AND($C59&lt;&gt;"",$G59&lt;&gt;""),(VLOOKUP($C59,'V-LOOKUP'!$C$61:$M$120,8,FALSE)),"0")</f>
        <v>0</v>
      </c>
      <c r="BF59" s="192" t="str">
        <f>IF(AND($C59&lt;&gt;"",$G59&lt;&gt;""),(VLOOKUP($C59,'V-LOOKUP'!$C$61:$M$120,9,FALSE)),"0")</f>
        <v>0</v>
      </c>
      <c r="BG59" s="192" t="str">
        <f>IF(AND($C59&lt;&gt;"",$G59&lt;&gt;""),(VLOOKUP($C59,'V-LOOKUP'!$C$61:$M$120,10,FALSE)),"0")</f>
        <v>0</v>
      </c>
      <c r="BH59" s="192" t="str">
        <f>IF(AND($C59&lt;&gt;"",$G59&lt;&gt;""),(VLOOKUP($C59,'V-LOOKUP'!$C$61:$M$120,11,FALSE)),"0")</f>
        <v>0</v>
      </c>
      <c r="BI59" s="192" t="str">
        <f>IF(AND($C59&lt;&gt;"",$G59&lt;&gt;""),(VLOOKUP($C59,'V-LOOKUP'!$C$61:$N$120,12,FALSE)),"0")</f>
        <v>0</v>
      </c>
      <c r="BJ59" s="192" t="str">
        <f>IF(AND($C59&lt;&gt;"",$H59&lt;&gt;""),(VLOOKUP($C59,'V-LOOKUP'!$C$61:$M$120,4,FALSE)),"0")</f>
        <v>0</v>
      </c>
      <c r="BK59" s="192" t="str">
        <f>IF(AND($C59&lt;&gt;"",$H59&lt;&gt;""),(VLOOKUP($C59,'V-LOOKUP'!$C$61:$M$120,5,FALSE)),"0")</f>
        <v>0</v>
      </c>
      <c r="BL59" s="192" t="str">
        <f>IF(AND($C59&lt;&gt;"",$H59&lt;&gt;""),(VLOOKUP($C59,'V-LOOKUP'!$C$61:$M$120,6,FALSE)),"0")</f>
        <v>0</v>
      </c>
      <c r="BM59" s="192" t="str">
        <f>IF(AND($C59&lt;&gt;"",$H59&lt;&gt;""),(VLOOKUP($C59,'V-LOOKUP'!$C$61:$M$120,7,FALSE)),"0")</f>
        <v>0</v>
      </c>
      <c r="BN59" s="192" t="str">
        <f>IF(AND($C59&lt;&gt;"",$H59&lt;&gt;""),(VLOOKUP($C59,'V-LOOKUP'!$C$61:$M$120,8,FALSE)),"0")</f>
        <v>0</v>
      </c>
      <c r="BO59" s="192" t="str">
        <f>IF(AND($C59&lt;&gt;"",$H59&lt;&gt;""),(VLOOKUP($C59,'V-LOOKUP'!$C$61:$M$120,9,FALSE)),"0")</f>
        <v>0</v>
      </c>
      <c r="BP59" s="192" t="str">
        <f>IF(AND($C59&lt;&gt;"",$H59&lt;&gt;""),(VLOOKUP($C59,'V-LOOKUP'!$C$61:$M$120,10,FALSE)),"0")</f>
        <v>0</v>
      </c>
      <c r="BQ59" s="192" t="str">
        <f>IF(AND($C59&lt;&gt;"",$H59&lt;&gt;""),(VLOOKUP($C59,'V-LOOKUP'!$C$61:$M$120,11,FALSE)),"0")</f>
        <v>0</v>
      </c>
      <c r="BR59" s="192" t="str">
        <f>IF(AND($C59&lt;&gt;"",$H59&lt;&gt;""),(VLOOKUP($C59,'V-LOOKUP'!$C$61:$N$120,12,FALSE)),"0")</f>
        <v>0</v>
      </c>
      <c r="BS59" s="192" t="str">
        <f>IF(AND($C59&lt;&gt;"",$I59&lt;&gt;""),(VLOOKUP($C59,'V-LOOKUP'!$C$61:$M$120,4,FALSE)),"0")</f>
        <v>0</v>
      </c>
      <c r="BT59" s="192" t="str">
        <f>IF(AND($C59&lt;&gt;"",$I59&lt;&gt;""),(VLOOKUP($C59,'V-LOOKUP'!$C$61:$M$120,5,FALSE)),"0")</f>
        <v>0</v>
      </c>
      <c r="BU59" s="192" t="str">
        <f>IF(AND($C59&lt;&gt;"",$I59&lt;&gt;""),(VLOOKUP($C59,'V-LOOKUP'!$C$61:$M$120,6,FALSE)),"0")</f>
        <v>0</v>
      </c>
      <c r="BV59" s="192" t="str">
        <f>IF(AND($C59&lt;&gt;"",$I59&lt;&gt;""),(VLOOKUP($C59,'V-LOOKUP'!$C$61:$M$120,7,FALSE)),"0")</f>
        <v>0</v>
      </c>
      <c r="BW59" s="192" t="str">
        <f>IF(AND($C59&lt;&gt;"",$I59&lt;&gt;""),(VLOOKUP($C59,'V-LOOKUP'!$C$61:$M$120,8,FALSE)),"0")</f>
        <v>0</v>
      </c>
      <c r="BX59" s="192" t="str">
        <f>IF(AND($C59&lt;&gt;"",$I59&lt;&gt;""),(VLOOKUP($C59,'V-LOOKUP'!$C$61:$M$120,9,FALSE)),"0")</f>
        <v>0</v>
      </c>
      <c r="BY59" s="192" t="str">
        <f>IF(AND($C59&lt;&gt;"",$I59&lt;&gt;""),(VLOOKUP($C59,'V-LOOKUP'!$C$61:$M$120,10,FALSE)),"0")</f>
        <v>0</v>
      </c>
      <c r="BZ59" s="192" t="str">
        <f>IF(AND($C59&lt;&gt;"",$I59&lt;&gt;""),(VLOOKUP($C59,'V-LOOKUP'!$C$61:$M$120,11,FALSE)),"0")</f>
        <v>0</v>
      </c>
      <c r="CA59" s="192" t="str">
        <f>IF(AND($C59&lt;&gt;"",$I59&lt;&gt;""),(VLOOKUP($C59,'V-LOOKUP'!$C$61:$N$120,12,FALSE)),"0")</f>
        <v>0</v>
      </c>
      <c r="CB59" s="192" t="str">
        <f>IF(AND($C59&lt;&gt;"",$J59&lt;&gt;""),(VLOOKUP($C59,'V-LOOKUP'!$C$61:$M$120,4,FALSE)),"0")</f>
        <v>0</v>
      </c>
      <c r="CC59" s="192" t="str">
        <f>IF(AND($C59&lt;&gt;"",$J59&lt;&gt;""),(VLOOKUP($C59,'V-LOOKUP'!$C$61:$M$120,5,FALSE)),"0")</f>
        <v>0</v>
      </c>
      <c r="CD59" s="192" t="str">
        <f>IF(AND($C59&lt;&gt;"",$J59&lt;&gt;""),(VLOOKUP($C59,'V-LOOKUP'!$C$61:$M$120,6,FALSE)),"0")</f>
        <v>0</v>
      </c>
      <c r="CE59" s="192" t="str">
        <f>IF(AND($C59&lt;&gt;"",$J59&lt;&gt;""),(VLOOKUP($C59,'V-LOOKUP'!$C$61:$M$120,7,FALSE)),"0")</f>
        <v>0</v>
      </c>
      <c r="CF59" s="192" t="str">
        <f>IF(AND($C59&lt;&gt;"",$J59&lt;&gt;""),(VLOOKUP($C59,'V-LOOKUP'!$C$61:$M$120,8,FALSE)),"0")</f>
        <v>0</v>
      </c>
      <c r="CG59" s="192" t="str">
        <f>IF(AND($C59&lt;&gt;"",$J59&lt;&gt;""),(VLOOKUP($C59,'V-LOOKUP'!$C$61:$M$120,9,FALSE)),"0")</f>
        <v>0</v>
      </c>
      <c r="CH59" s="192" t="str">
        <f>IF(AND($C59&lt;&gt;"",$J59&lt;&gt;""),(VLOOKUP($C59,'V-LOOKUP'!$C$61:$M$120,10,FALSE)),"0")</f>
        <v>0</v>
      </c>
      <c r="CI59" s="192" t="str">
        <f>IF(AND($C59&lt;&gt;"",$J59&lt;&gt;""),(VLOOKUP($C59,'V-LOOKUP'!$C$61:$M$120,11,FALSE)),"0")</f>
        <v>0</v>
      </c>
      <c r="CJ59" s="192" t="str">
        <f>IF(AND($C59&lt;&gt;"",$J59&lt;&gt;""),(VLOOKUP($C59,'V-LOOKUP'!$C$61:$N$120,12,FALSE)),"0")</f>
        <v>0</v>
      </c>
      <c r="CK59" s="192" t="str">
        <f>IF(AND($C59&lt;&gt;"",$K59&lt;&gt;""),(VLOOKUP($C59,'V-LOOKUP'!$C$61:$M$120,4,FALSE)),"0")</f>
        <v>0</v>
      </c>
      <c r="CL59" s="192" t="str">
        <f>IF(AND($C59&lt;&gt;"",$K59&lt;&gt;""),(VLOOKUP($C59,'V-LOOKUP'!$C$61:$M$120,5,FALSE)),"0")</f>
        <v>0</v>
      </c>
      <c r="CM59" s="192" t="str">
        <f>IF(AND($C59&lt;&gt;"",$K59&lt;&gt;""),(VLOOKUP($C59,'V-LOOKUP'!$C$61:$M$120,6,FALSE)),"0")</f>
        <v>0</v>
      </c>
      <c r="CN59" s="192" t="str">
        <f>IF(AND($C59&lt;&gt;"",$K59&lt;&gt;""),(VLOOKUP($C59,'V-LOOKUP'!$C$61:$M$120,7,FALSE)),"0")</f>
        <v>0</v>
      </c>
      <c r="CO59" s="192" t="str">
        <f>IF(AND($C59&lt;&gt;"",$K59&lt;&gt;""),(VLOOKUP($C59,'V-LOOKUP'!$C$61:$M$120,8,FALSE)),"0")</f>
        <v>0</v>
      </c>
      <c r="CP59" s="192" t="str">
        <f>IF(AND($C59&lt;&gt;"",$K59&lt;&gt;""),(VLOOKUP($C59,'V-LOOKUP'!$C$61:$M$120,9,FALSE)),"0")</f>
        <v>0</v>
      </c>
      <c r="CQ59" s="192" t="str">
        <f>IF(AND($C59&lt;&gt;"",$K59&lt;&gt;""),(VLOOKUP($C59,'V-LOOKUP'!$C$61:$M$120,10,FALSE)),"0")</f>
        <v>0</v>
      </c>
      <c r="CR59" s="192" t="str">
        <f>IF(AND($C59&lt;&gt;"",$K59&lt;&gt;""),(VLOOKUP($C59,'V-LOOKUP'!$C$61:$M$120,11,FALSE)),"0")</f>
        <v>0</v>
      </c>
      <c r="CS59" s="192" t="str">
        <f>IF(AND($C59&lt;&gt;"",$K59&lt;&gt;""),(VLOOKUP($C59,'V-LOOKUP'!$C$61:$N$120,12,FALSE)),"0")</f>
        <v>0</v>
      </c>
      <c r="CT59" s="192" t="str">
        <f>IF(AND($C59&lt;&gt;"",$L59&lt;&gt;""),(VLOOKUP($C59,'V-LOOKUP'!$C$61:$M$120,4,FALSE)),"0")</f>
        <v>0</v>
      </c>
      <c r="CU59" s="192" t="str">
        <f>IF(AND($C59&lt;&gt;"",$L59&lt;&gt;""),(VLOOKUP($C59,'V-LOOKUP'!$C$61:$M$120,5,FALSE)),"0")</f>
        <v>0</v>
      </c>
      <c r="CV59" s="192" t="str">
        <f>IF(AND($C59&lt;&gt;"",$L59&lt;&gt;""),(VLOOKUP($C59,'V-LOOKUP'!$C$61:$M$120,6,FALSE)),"0")</f>
        <v>0</v>
      </c>
      <c r="CW59" s="192" t="str">
        <f>IF(AND($C59&lt;&gt;"",$L59&lt;&gt;""),(VLOOKUP($C59,'V-LOOKUP'!$C$61:$M$120,7,FALSE)),"0")</f>
        <v>0</v>
      </c>
      <c r="CX59" s="192" t="str">
        <f>IF(AND($C59&lt;&gt;"",$L59&lt;&gt;""),(VLOOKUP($C59,'V-LOOKUP'!$C$61:$M$120,8,FALSE)),"0")</f>
        <v>0</v>
      </c>
      <c r="CY59" s="192" t="str">
        <f>IF(AND($C59&lt;&gt;"",$L59&lt;&gt;""),(VLOOKUP($C59,'V-LOOKUP'!$C$61:$M$120,9,FALSE)),"0")</f>
        <v>0</v>
      </c>
      <c r="CZ59" s="192" t="str">
        <f>IF(AND($C59&lt;&gt;"",$L59&lt;&gt;""),(VLOOKUP($C59,'V-LOOKUP'!$C$61:$M$120,10,FALSE)),"0")</f>
        <v>0</v>
      </c>
      <c r="DA59" s="192" t="str">
        <f>IF(AND($C59&lt;&gt;"",$L59&lt;&gt;""),(VLOOKUP($C59,'V-LOOKUP'!$C$61:$M$120,11,FALSE)),"0")</f>
        <v>0</v>
      </c>
      <c r="DB59" s="192" t="str">
        <f>IF(AND($C59&lt;&gt;"",$L59&lt;&gt;""),(VLOOKUP($C59,'V-LOOKUP'!$C$61:$N$120,12,FALSE)),"0")</f>
        <v>0</v>
      </c>
      <c r="DC59" s="192" t="str">
        <f>IF(AND($C59&lt;&gt;"",$M59&lt;&gt;""),(VLOOKUP($C59,'V-LOOKUP'!$C$61:$M$120,4,FALSE)),"0")</f>
        <v>0</v>
      </c>
      <c r="DD59" s="192" t="str">
        <f>IF(AND($C59&lt;&gt;"",$M59&lt;&gt;""),(VLOOKUP($C59,'V-LOOKUP'!$C$61:$M$120,5,FALSE)),"0")</f>
        <v>0</v>
      </c>
      <c r="DE59" s="192" t="str">
        <f>IF(AND($C59&lt;&gt;"",$M59&lt;&gt;""),(VLOOKUP($C59,'V-LOOKUP'!$C$61:$M$120,6,FALSE)),"0")</f>
        <v>0</v>
      </c>
      <c r="DF59" s="192" t="str">
        <f>IF(AND($C59&lt;&gt;"",$M59&lt;&gt;""),(VLOOKUP($C59,'V-LOOKUP'!$C$61:$M$120,7,FALSE)),"0")</f>
        <v>0</v>
      </c>
      <c r="DG59" s="192" t="str">
        <f>IF(AND($C59&lt;&gt;"",$M59&lt;&gt;""),(VLOOKUP($C59,'V-LOOKUP'!$C$61:$M$120,8,FALSE)),"0")</f>
        <v>0</v>
      </c>
      <c r="DH59" s="192" t="str">
        <f>IF(AND($C59&lt;&gt;"",$M59&lt;&gt;""),(VLOOKUP($C59,'V-LOOKUP'!$C$61:$M$120,9,FALSE)),"0")</f>
        <v>0</v>
      </c>
      <c r="DI59" s="192" t="str">
        <f>IF(AND($C59&lt;&gt;"",$M59&lt;&gt;""),(VLOOKUP($C59,'V-LOOKUP'!$C$61:$M$120,10,FALSE)),"0")</f>
        <v>0</v>
      </c>
      <c r="DJ59" s="192" t="str">
        <f>IF(AND($C59&lt;&gt;"",$M59&lt;&gt;""),(VLOOKUP($C59,'V-LOOKUP'!$C$61:$M$120,11,FALSE)),"0")</f>
        <v>0</v>
      </c>
      <c r="DK59" s="192" t="str">
        <f>IF(AND($C59&lt;&gt;"",$M59&lt;&gt;""),(VLOOKUP($C59,'V-LOOKUP'!$C$61:$N$120,12,FALSE)),"0")</f>
        <v>0</v>
      </c>
      <c r="DL59" s="192" t="str">
        <f>IF(AND($C59&lt;&gt;"",$N59&lt;&gt;""),(VLOOKUP($C59,'V-LOOKUP'!$C$61:$M$120,4,FALSE)),"0")</f>
        <v>0</v>
      </c>
      <c r="DM59" s="192" t="str">
        <f>IF(AND($C59&lt;&gt;"",$N59&lt;&gt;""),(VLOOKUP($C59,'V-LOOKUP'!$C$61:$M$120,5,FALSE)),"0")</f>
        <v>0</v>
      </c>
      <c r="DN59" s="192" t="str">
        <f>IF(AND($C59&lt;&gt;"",$N59&lt;&gt;""),(VLOOKUP($C59,'V-LOOKUP'!$C$61:$M$120,6,FALSE)),"0")</f>
        <v>0</v>
      </c>
      <c r="DO59" s="192" t="str">
        <f>IF(AND($C59&lt;&gt;"",$N59&lt;&gt;""),(VLOOKUP($C59,'V-LOOKUP'!$C$61:$M$120,7,FALSE)),"0")</f>
        <v>0</v>
      </c>
      <c r="DP59" s="192" t="str">
        <f>IF(AND($C59&lt;&gt;"",$N59&lt;&gt;""),(VLOOKUP($C59,'V-LOOKUP'!$C$61:$M$120,8,FALSE)),"0")</f>
        <v>0</v>
      </c>
      <c r="DQ59" s="192" t="str">
        <f>IF(AND($C59&lt;&gt;"",$N59&lt;&gt;""),(VLOOKUP($C59,'V-LOOKUP'!$C$61:$M$120,9,FALSE)),"0")</f>
        <v>0</v>
      </c>
      <c r="DR59" s="192" t="str">
        <f>IF(AND($C59&lt;&gt;"",$N59&lt;&gt;""),(VLOOKUP($C59,'V-LOOKUP'!$C$61:$M$120,10,FALSE)),"0")</f>
        <v>0</v>
      </c>
      <c r="DS59" s="192" t="str">
        <f>IF(AND($C59&lt;&gt;"",$N59&lt;&gt;""),(VLOOKUP($C59,'V-LOOKUP'!$C$61:$M$120,11,FALSE)),"0")</f>
        <v>0</v>
      </c>
      <c r="DT59" s="192" t="str">
        <f>IF(AND($C59&lt;&gt;"",$N59&lt;&gt;""),(VLOOKUP($C59,'V-LOOKUP'!$C$61:$N$120,12,FALSE)),"0")</f>
        <v>0</v>
      </c>
      <c r="DU59" s="192" t="str">
        <f>IF(AND($C59&lt;&gt;"",$O59&lt;&gt;""),(VLOOKUP($C59,'V-LOOKUP'!$C$61:$M$120,4,FALSE)),"0")</f>
        <v>0</v>
      </c>
      <c r="DV59" s="192" t="str">
        <f>IF(AND($C59&lt;&gt;"",$O59&lt;&gt;""),(VLOOKUP($C59,'V-LOOKUP'!$C$61:$M$120,5,FALSE)),"0")</f>
        <v>0</v>
      </c>
      <c r="DW59" s="192" t="str">
        <f>IF(AND($C59&lt;&gt;"",$O59&lt;&gt;""),(VLOOKUP($C59,'V-LOOKUP'!$C$61:$M$120,6,FALSE)),"0")</f>
        <v>0</v>
      </c>
      <c r="DX59" s="192" t="str">
        <f>IF(AND($C59&lt;&gt;"",$O59&lt;&gt;""),(VLOOKUP($C59,'V-LOOKUP'!$C$61:$M$120,7,FALSE)),"0")</f>
        <v>0</v>
      </c>
      <c r="DY59" s="192" t="str">
        <f>IF(AND($C59&lt;&gt;"",$O59&lt;&gt;""),(VLOOKUP($C59,'V-LOOKUP'!$C$61:$M$120,8,FALSE)),"0")</f>
        <v>0</v>
      </c>
      <c r="DZ59" s="192" t="str">
        <f>IF(AND($C59&lt;&gt;"",$O59&lt;&gt;""),(VLOOKUP($C59,'V-LOOKUP'!$C$61:$M$120,9,FALSE)),"0")</f>
        <v>0</v>
      </c>
      <c r="EA59" s="192" t="str">
        <f>IF(AND($C59&lt;&gt;"",$O59&lt;&gt;""),(VLOOKUP($C59,'V-LOOKUP'!$C$61:$M$120,10,FALSE)),"0")</f>
        <v>0</v>
      </c>
      <c r="EB59" s="192" t="str">
        <f>IF(AND($C59&lt;&gt;"",$O59&lt;&gt;""),(VLOOKUP($C59,'V-LOOKUP'!$C$61:$M$120,11,FALSE)),"0")</f>
        <v>0</v>
      </c>
      <c r="EC59" s="192" t="str">
        <f>IF(AND($C59&lt;&gt;"",$O59&lt;&gt;""),(VLOOKUP($C59,'V-LOOKUP'!$C$61:$N$120,12,FALSE)),"0")</f>
        <v>0</v>
      </c>
      <c r="ED59" s="192" t="str">
        <f>IF(AND($C59&lt;&gt;"",$P59&lt;&gt;""),(VLOOKUP($C59,'V-LOOKUP'!$C$61:$M$120,4,FALSE)),"0")</f>
        <v>0</v>
      </c>
      <c r="EE59" s="192" t="str">
        <f>IF(AND($C59&lt;&gt;"",$P59&lt;&gt;""),(VLOOKUP($C59,'V-LOOKUP'!$C$61:$M$120,5,FALSE)),"0")</f>
        <v>0</v>
      </c>
      <c r="EF59" s="192" t="str">
        <f>IF(AND($C59&lt;&gt;"",$P59&lt;&gt;""),(VLOOKUP($C59,'V-LOOKUP'!$C$61:$M$120,6,FALSE)),"0")</f>
        <v>0</v>
      </c>
      <c r="EG59" s="192" t="str">
        <f>IF(AND($C59&lt;&gt;"",$P59&lt;&gt;""),(VLOOKUP($C59,'V-LOOKUP'!$C$61:$M$120,7,FALSE)),"0")</f>
        <v>0</v>
      </c>
      <c r="EH59" s="192" t="str">
        <f>IF(AND($C59&lt;&gt;"",$P59&lt;&gt;""),(VLOOKUP($C59,'V-LOOKUP'!$C$61:$M$120,8,FALSE)),"0")</f>
        <v>0</v>
      </c>
      <c r="EI59" s="192" t="str">
        <f>IF(AND($C59&lt;&gt;"",$P59&lt;&gt;""),(VLOOKUP($C59,'V-LOOKUP'!$C$61:$M$120,9,FALSE)),"0")</f>
        <v>0</v>
      </c>
      <c r="EJ59" s="192" t="str">
        <f>IF(AND($C59&lt;&gt;"",$P59&lt;&gt;""),(VLOOKUP($C59,'V-LOOKUP'!$C$61:$M$120,10,FALSE)),"0")</f>
        <v>0</v>
      </c>
      <c r="EK59" s="192" t="str">
        <f>IF(AND($C59&lt;&gt;"",$P59&lt;&gt;""),(VLOOKUP($C59,'V-LOOKUP'!$C$61:$M$120,11,FALSE)),"0")</f>
        <v>0</v>
      </c>
      <c r="EL59" s="192" t="str">
        <f>IF(AND($C59&lt;&gt;"",$P59&lt;&gt;""),(VLOOKUP($C59,'V-LOOKUP'!$C$61:$N$120,12,FALSE)),"0")</f>
        <v>0</v>
      </c>
      <c r="EM59" s="192" t="str">
        <f>IF(AND($C59&lt;&gt;"",$Q59&lt;&gt;""),(VLOOKUP($C59,'V-LOOKUP'!$C$61:$M$120,4,FALSE)),"0")</f>
        <v>0</v>
      </c>
      <c r="EN59" s="192" t="str">
        <f>IF(AND($C59&lt;&gt;"",$Q59&lt;&gt;""),(VLOOKUP($C59,'V-LOOKUP'!$C$61:$M$120,5,FALSE)),"0")</f>
        <v>0</v>
      </c>
      <c r="EO59" s="192" t="str">
        <f>IF(AND($C59&lt;&gt;"",$Q59&lt;&gt;""),(VLOOKUP($C59,'V-LOOKUP'!$C$61:$M$120,6,FALSE)),"0")</f>
        <v>0</v>
      </c>
      <c r="EP59" s="192" t="str">
        <f>IF(AND($C59&lt;&gt;"",$Q59&lt;&gt;""),(VLOOKUP($C59,'V-LOOKUP'!$C$61:$M$120,7,FALSE)),"0")</f>
        <v>0</v>
      </c>
      <c r="EQ59" s="192" t="str">
        <f>IF(AND($C59&lt;&gt;"",$Q59&lt;&gt;""),(VLOOKUP($C59,'V-LOOKUP'!$C$61:$M$120,8,FALSE)),"0")</f>
        <v>0</v>
      </c>
      <c r="ER59" s="192" t="str">
        <f>IF(AND($C59&lt;&gt;"",$Q59&lt;&gt;""),(VLOOKUP($C59,'V-LOOKUP'!$C$61:$M$120,9,FALSE)),"0")</f>
        <v>0</v>
      </c>
      <c r="ES59" s="192" t="str">
        <f>IF(AND($C59&lt;&gt;"",$Q59&lt;&gt;""),(VLOOKUP($C59,'V-LOOKUP'!$C$61:$M$120,10,FALSE)),"0")</f>
        <v>0</v>
      </c>
      <c r="ET59" s="192" t="str">
        <f>IF(AND($C59&lt;&gt;"",$Q59&lt;&gt;""),(VLOOKUP($C59,'V-LOOKUP'!$C$61:$M$120,11,FALSE)),"0")</f>
        <v>0</v>
      </c>
      <c r="EU59" s="192" t="str">
        <f>IF(AND($C59&lt;&gt;"",$Q59&lt;&gt;""),(VLOOKUP($C59,'V-LOOKUP'!$C$61:$N$120,12,FALSE)),"0")</f>
        <v>0</v>
      </c>
      <c r="EV59" s="192" t="str">
        <f>IF(AND($C59&lt;&gt;"",$R59&lt;&gt;""),(VLOOKUP($C59,'V-LOOKUP'!$C$61:$M$120,4,FALSE)),"0")</f>
        <v>0</v>
      </c>
      <c r="EW59" s="192" t="str">
        <f>IF(AND($C59&lt;&gt;"",$R59&lt;&gt;""),(VLOOKUP($C59,'V-LOOKUP'!$C$61:$M$120,5,FALSE)),"0")</f>
        <v>0</v>
      </c>
      <c r="EX59" s="192" t="str">
        <f>IF(AND($C59&lt;&gt;"",$R59&lt;&gt;""),(VLOOKUP($C59,'V-LOOKUP'!$C$61:$M$120,6,FALSE)),"0")</f>
        <v>0</v>
      </c>
      <c r="EY59" s="192" t="str">
        <f>IF(AND($C59&lt;&gt;"",$R59&lt;&gt;""),(VLOOKUP($C59,'V-LOOKUP'!$C$61:$M$120,7,FALSE)),"0")</f>
        <v>0</v>
      </c>
      <c r="EZ59" s="192" t="str">
        <f>IF(AND($C59&lt;&gt;"",$R59&lt;&gt;""),(VLOOKUP($C59,'V-LOOKUP'!$C$61:$M$120,8,FALSE)),"0")</f>
        <v>0</v>
      </c>
      <c r="FA59" s="192" t="str">
        <f>IF(AND($C59&lt;&gt;"",$R59&lt;&gt;""),(VLOOKUP($C59,'V-LOOKUP'!$C$61:$M$120,9,FALSE)),"0")</f>
        <v>0</v>
      </c>
      <c r="FB59" s="192" t="str">
        <f>IF(AND($C59&lt;&gt;"",$R59&lt;&gt;""),(VLOOKUP($C59,'V-LOOKUP'!$C$61:$M$120,10,FALSE)),"0")</f>
        <v>0</v>
      </c>
      <c r="FC59" s="192" t="str">
        <f>IF(AND($C59&lt;&gt;"",$R59&lt;&gt;""),(VLOOKUP($C59,'V-LOOKUP'!$C$61:$M$120,11,FALSE)),"0")</f>
        <v>0</v>
      </c>
      <c r="FD59" s="192" t="str">
        <f>IF(AND($C59&lt;&gt;"",$R59&lt;&gt;""),(VLOOKUP($C59,'V-LOOKUP'!$C$61:$N$120,12,FALSE)),"0")</f>
        <v>0</v>
      </c>
      <c r="FE59" s="192" t="str">
        <f>IF(AND($C59&lt;&gt;"",$S59&lt;&gt;""),(VLOOKUP($C59,'V-LOOKUP'!$C$61:$M$120,4,FALSE)),"0")</f>
        <v>0</v>
      </c>
      <c r="FF59" s="192" t="str">
        <f>IF(AND($C59&lt;&gt;"",$S59&lt;&gt;""),(VLOOKUP($C59,'V-LOOKUP'!$C$61:$M$120,5,FALSE)),"0")</f>
        <v>0</v>
      </c>
      <c r="FG59" s="192" t="str">
        <f>IF(AND($C59&lt;&gt;"",$S59&lt;&gt;""),(VLOOKUP($C59,'V-LOOKUP'!$C$61:$M$120,6,FALSE)),"0")</f>
        <v>0</v>
      </c>
      <c r="FH59" s="192" t="str">
        <f>IF(AND($C59&lt;&gt;"",$S59&lt;&gt;""),(VLOOKUP($C59,'V-LOOKUP'!$C$61:$M$120,7,FALSE)),"0")</f>
        <v>0</v>
      </c>
      <c r="FI59" s="192" t="str">
        <f>IF(AND($C59&lt;&gt;"",$S59&lt;&gt;""),(VLOOKUP($C59,'V-LOOKUP'!$C$61:$M$120,8,FALSE)),"0")</f>
        <v>0</v>
      </c>
      <c r="FJ59" s="192" t="str">
        <f>IF(AND($C59&lt;&gt;"",$S59&lt;&gt;""),(VLOOKUP($C59,'V-LOOKUP'!$C$61:$M$120,9,FALSE)),"0")</f>
        <v>0</v>
      </c>
      <c r="FK59" s="192" t="str">
        <f>IF(AND($C59&lt;&gt;"",$S59&lt;&gt;""),(VLOOKUP($C59,'V-LOOKUP'!$C$61:$M$120,10,FALSE)),"0")</f>
        <v>0</v>
      </c>
      <c r="FL59" s="192" t="str">
        <f>IF(AND($C59&lt;&gt;"",$S59&lt;&gt;""),(VLOOKUP($C59,'V-LOOKUP'!$C$61:$M$120,11,FALSE)),"0")</f>
        <v>0</v>
      </c>
      <c r="FM59" s="192" t="str">
        <f>IF(AND($C59&lt;&gt;"",$S59&lt;&gt;""),(VLOOKUP($C59,'V-LOOKUP'!$C$61:$N$120,12,FALSE)),"0")</f>
        <v>0</v>
      </c>
      <c r="FN59" s="192" t="str">
        <f>IF(AND($C59&lt;&gt;"",$T59&lt;&gt;""),(VLOOKUP($C59,'V-LOOKUP'!$C$61:$M$120,4,FALSE)),"0")</f>
        <v>0</v>
      </c>
      <c r="FO59" s="192" t="str">
        <f>IF(AND($C59&lt;&gt;"",$T59&lt;&gt;""),(VLOOKUP($C59,'V-LOOKUP'!$C$61:$M$120,5,FALSE)),"0")</f>
        <v>0</v>
      </c>
      <c r="FP59" s="192" t="str">
        <f>IF(AND($C59&lt;&gt;"",$T59&lt;&gt;""),(VLOOKUP($C59,'V-LOOKUP'!$C$61:$M$120,6,FALSE)),"0")</f>
        <v>0</v>
      </c>
      <c r="FQ59" s="192" t="str">
        <f>IF(AND($C59&lt;&gt;"",$T59&lt;&gt;""),(VLOOKUP($C59,'V-LOOKUP'!$C$61:$M$120,7,FALSE)),"0")</f>
        <v>0</v>
      </c>
      <c r="FR59" s="192" t="str">
        <f>IF(AND($C59&lt;&gt;"",$T59&lt;&gt;""),(VLOOKUP($C59,'V-LOOKUP'!$C$61:$M$120,8,FALSE)),"0")</f>
        <v>0</v>
      </c>
      <c r="FS59" s="192" t="str">
        <f>IF(AND($C59&lt;&gt;"",$T59&lt;&gt;""),(VLOOKUP($C59,'V-LOOKUP'!$C$61:$M$120,9,FALSE)),"0")</f>
        <v>0</v>
      </c>
      <c r="FT59" s="192" t="str">
        <f>IF(AND($C59&lt;&gt;"",$T59&lt;&gt;""),(VLOOKUP($C59,'V-LOOKUP'!$C$61:$M$120,10,FALSE)),"0")</f>
        <v>0</v>
      </c>
      <c r="FU59" s="192" t="str">
        <f>IF(AND($C59&lt;&gt;"",$T59&lt;&gt;""),(VLOOKUP($C59,'V-LOOKUP'!$C$61:$M$120,11,FALSE)),"0")</f>
        <v>0</v>
      </c>
      <c r="FV59" s="192" t="str">
        <f>IF(AND($C59&lt;&gt;"",$T59&lt;&gt;""),(VLOOKUP($C59,'V-LOOKUP'!$C$61:$N$120,12,FALSE)),"0")</f>
        <v>0</v>
      </c>
      <c r="FW59" s="192" t="str">
        <f>IF(AND($C59&lt;&gt;"",$U59&lt;&gt;""),(VLOOKUP($C59,'V-LOOKUP'!$C$61:$M$120,4,FALSE)),"0")</f>
        <v>0</v>
      </c>
      <c r="FX59" s="192" t="str">
        <f>IF(AND($C59&lt;&gt;"",$U59&lt;&gt;""),(VLOOKUP($C59,'V-LOOKUP'!$C$61:$M$120,5,FALSE)),"0")</f>
        <v>0</v>
      </c>
      <c r="FY59" s="192" t="str">
        <f>IF(AND($C59&lt;&gt;"",$U59&lt;&gt;""),(VLOOKUP($C59,'V-LOOKUP'!$C$61:$M$120,6,FALSE)),"0")</f>
        <v>0</v>
      </c>
      <c r="FZ59" s="192" t="str">
        <f>IF(AND($C59&lt;&gt;"",$U59&lt;&gt;""),(VLOOKUP($C59,'V-LOOKUP'!$C$61:$M$120,7,FALSE)),"0")</f>
        <v>0</v>
      </c>
      <c r="GA59" s="192" t="str">
        <f>IF(AND($C59&lt;&gt;"",$U59&lt;&gt;""),(VLOOKUP($C59,'V-LOOKUP'!$C$61:$M$120,8,FALSE)),"0")</f>
        <v>0</v>
      </c>
      <c r="GB59" s="192" t="str">
        <f>IF(AND($C59&lt;&gt;"",$U59&lt;&gt;""),(VLOOKUP($C59,'V-LOOKUP'!$C$61:$M$120,9,FALSE)),"0")</f>
        <v>0</v>
      </c>
      <c r="GC59" s="192" t="str">
        <f>IF(AND($C59&lt;&gt;"",$U59&lt;&gt;""),(VLOOKUP($C59,'V-LOOKUP'!$C$61:$M$120,10,FALSE)),"0")</f>
        <v>0</v>
      </c>
      <c r="GD59" s="192" t="str">
        <f>IF(AND($C59&lt;&gt;"",$U59&lt;&gt;""),(VLOOKUP($C59,'V-LOOKUP'!$C$61:$M$120,11,FALSE)),"0")</f>
        <v>0</v>
      </c>
      <c r="GE59" s="192" t="str">
        <f>IF(AND($C59&lt;&gt;"",$U59&lt;&gt;""),(VLOOKUP($C59,'V-LOOKUP'!$C$61:$N$120,12,FALSE)),"0")</f>
        <v>0</v>
      </c>
      <c r="GF59" s="192" t="str">
        <f>IF(AND($C59&lt;&gt;"",$V59&lt;&gt;""),(VLOOKUP($C59,'V-LOOKUP'!$C$61:$M$120,4,FALSE)),"0")</f>
        <v>0</v>
      </c>
      <c r="GG59" s="192" t="str">
        <f>IF(AND($C59&lt;&gt;"",V59&lt;&gt;""),(VLOOKUP($C59,'V-LOOKUP'!$C$61:$M$120,5,FALSE)),"0")</f>
        <v>0</v>
      </c>
      <c r="GH59" s="192" t="str">
        <f>IF(AND($C59&lt;&gt;"",$V59&lt;&gt;""),(VLOOKUP($C59,'V-LOOKUP'!$C$61:$M$120,6,FALSE)),"0")</f>
        <v>0</v>
      </c>
      <c r="GI59" s="192" t="str">
        <f>IF(AND($C59&lt;&gt;"",$V59&lt;&gt;""),(VLOOKUP($C59,'V-LOOKUP'!$C$61:$M$120,7,FALSE)),"0")</f>
        <v>0</v>
      </c>
      <c r="GJ59" s="192" t="str">
        <f>IF(AND($C59&lt;&gt;"",$V59&lt;&gt;""),(VLOOKUP($C59,'V-LOOKUP'!$C$61:$M$120,8,FALSE)),"0")</f>
        <v>0</v>
      </c>
      <c r="GK59" s="192" t="str">
        <f>IF(AND($C59&lt;&gt;"",$V59&lt;&gt;""),(VLOOKUP($C59,'V-LOOKUP'!$C$61:$M$120,9,FALSE)),"0")</f>
        <v>0</v>
      </c>
      <c r="GL59" s="192" t="str">
        <f>IF(AND($C59&lt;&gt;"",$V59&lt;&gt;""),(VLOOKUP($C59,'V-LOOKUP'!$C$61:$M$120,10,FALSE)),"0")</f>
        <v>0</v>
      </c>
      <c r="GM59" s="192" t="str">
        <f>IF(AND($C59&lt;&gt;"",$V59&lt;&gt;""),(VLOOKUP($C59,'V-LOOKUP'!$C$61:$M$120,11,FALSE)),"0")</f>
        <v>0</v>
      </c>
      <c r="GN59" s="192" t="str">
        <f>IF(AND($C59&lt;&gt;"",$V59&lt;&gt;""),(VLOOKUP($C59,'V-LOOKUP'!$C$61:$N$120,12,FALSE)),"0")</f>
        <v>0</v>
      </c>
      <c r="GO59" s="192" t="str">
        <f>IF(AND($C59&lt;&gt;"",$W59&lt;&gt;""),(VLOOKUP($C59,'V-LOOKUP'!$C$61:$M$120,4,FALSE)),"0")</f>
        <v>0</v>
      </c>
      <c r="GP59" s="192" t="str">
        <f>IF(AND($C59&lt;&gt;"",$W59&lt;&gt;""),(VLOOKUP($C59,'V-LOOKUP'!$C$61:$M$120,5,FALSE)),"0")</f>
        <v>0</v>
      </c>
      <c r="GQ59" s="192" t="str">
        <f>IF(AND($C59&lt;&gt;"",$W59&lt;&gt;""),(VLOOKUP($C59,'V-LOOKUP'!$C$61:$M$120,6,FALSE)),"0")</f>
        <v>0</v>
      </c>
      <c r="GR59" s="192" t="str">
        <f>IF(AND($C59&lt;&gt;"",$W59&lt;&gt;""),(VLOOKUP($C59,'V-LOOKUP'!$C$61:$M$120,7,FALSE)),"0")</f>
        <v>0</v>
      </c>
      <c r="GS59" s="192" t="str">
        <f>IF(AND($C59&lt;&gt;"",$W59&lt;&gt;""),(VLOOKUP($C59,'V-LOOKUP'!$C$61:$M$120,8,FALSE)),"0")</f>
        <v>0</v>
      </c>
      <c r="GT59" s="192" t="str">
        <f>IF(AND($C59&lt;&gt;"",$W59&lt;&gt;""),(VLOOKUP($C59,'V-LOOKUP'!$C$61:$M$120,9,FALSE)),"0")</f>
        <v>0</v>
      </c>
      <c r="GU59" s="192" t="str">
        <f>IF(AND($C59&lt;&gt;"",$W59&lt;&gt;""),(VLOOKUP($C59,'V-LOOKUP'!$C$61:$M$120,10,FALSE)),"0")</f>
        <v>0</v>
      </c>
      <c r="GV59" s="192" t="str">
        <f>IF(AND($C59&lt;&gt;"",$W59&lt;&gt;""),(VLOOKUP($C59,'V-LOOKUP'!$C$61:$M$120,11,FALSE)),"0")</f>
        <v>0</v>
      </c>
      <c r="GW59" s="192" t="str">
        <f>IF(AND($C59&lt;&gt;"",$W59&lt;&gt;""),(VLOOKUP($C59,'V-LOOKUP'!$C$61:$N$120,12,FALSE)),"0")</f>
        <v>0</v>
      </c>
    </row>
    <row r="60" spans="1:205" ht="14.65" hidden="1" customHeight="1">
      <c r="A60" s="193"/>
      <c r="B60" s="245"/>
      <c r="C60" s="203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Y60" s="190"/>
      <c r="Z60" s="192" t="str">
        <f>IF(AND($C60&lt;&gt;"",$D60&lt;&gt;""),(VLOOKUP($C60,'V-LOOKUP'!$C$61:$M$120,4,FALSE)),"0")</f>
        <v>0</v>
      </c>
      <c r="AA60" s="192" t="str">
        <f>IF(AND($C60&lt;&gt;"",$D60&lt;&gt;""),(VLOOKUP($C60,'V-LOOKUP'!$C$61:$M$120,5,FALSE)),"0")</f>
        <v>0</v>
      </c>
      <c r="AB60" s="192" t="str">
        <f>IF(AND($C60&lt;&gt;"",$D60&lt;&gt;""),(VLOOKUP($C60,'V-LOOKUP'!$C$61:$M$120,6,FALSE)),"0")</f>
        <v>0</v>
      </c>
      <c r="AC60" s="192" t="str">
        <f>IF(AND($C60&lt;&gt;"",$D60&lt;&gt;""),(VLOOKUP($C60,'V-LOOKUP'!$C$61:$M$120,7,FALSE)),"0")</f>
        <v>0</v>
      </c>
      <c r="AD60" s="192" t="str">
        <f>IF(AND($C60&lt;&gt;"",$D60&lt;&gt;""),(VLOOKUP($C60,'V-LOOKUP'!$C$61:$M$120,8,FALSE)),"0")</f>
        <v>0</v>
      </c>
      <c r="AE60" s="192" t="str">
        <f>IF(AND($C60&lt;&gt;"",$D60&lt;&gt;""),(VLOOKUP($C60,'V-LOOKUP'!$C$61:$M$120,9,FALSE)),"0")</f>
        <v>0</v>
      </c>
      <c r="AF60" s="192" t="str">
        <f>IF(AND($C60&lt;&gt;"",$D60&lt;&gt;""),(VLOOKUP($C60,'V-LOOKUP'!$C$61:$M$120,10,FALSE)),"0")</f>
        <v>0</v>
      </c>
      <c r="AG60" s="192" t="str">
        <f>IF(AND($C60&lt;&gt;"",$D60&lt;&gt;""),(VLOOKUP($C60,'V-LOOKUP'!$C$61:$M$120,11,FALSE)),"0")</f>
        <v>0</v>
      </c>
      <c r="AH60" s="192" t="str">
        <f>IF(AND($C60&lt;&gt;"",$D60&lt;&gt;""),(VLOOKUP($C60,'V-LOOKUP'!$C$61:$N$120,12,FALSE)),"0")</f>
        <v>0</v>
      </c>
      <c r="AI60" s="192" t="str">
        <f>IF(AND($C60&lt;&gt;"",$E60&lt;&gt;""),(VLOOKUP($C60,'V-LOOKUP'!$C$61:$M$120,4,FALSE)),"0")</f>
        <v>0</v>
      </c>
      <c r="AJ60" s="192" t="str">
        <f>IF(AND($C60&lt;&gt;"",$E60&lt;&gt;""),(VLOOKUP($C60,'V-LOOKUP'!$C$61:$M$120,5,FALSE)),"0")</f>
        <v>0</v>
      </c>
      <c r="AK60" s="192" t="str">
        <f>IF(AND($C60&lt;&gt;"",$E60&lt;&gt;""),(VLOOKUP($C60,'V-LOOKUP'!$C$61:$M$120,6,FALSE)),"0")</f>
        <v>0</v>
      </c>
      <c r="AL60" s="192" t="str">
        <f>IF(AND($C60&lt;&gt;"",$E60&lt;&gt;""),(VLOOKUP($C60,'V-LOOKUP'!$C$61:$M$120,7,FALSE)),"0")</f>
        <v>0</v>
      </c>
      <c r="AM60" s="192" t="str">
        <f>IF(AND($C60&lt;&gt;"",$E60&lt;&gt;""),(VLOOKUP($C60,'V-LOOKUP'!$C$61:$M$120,8,FALSE)),"0")</f>
        <v>0</v>
      </c>
      <c r="AN60" s="192" t="str">
        <f>IF(AND($C60&lt;&gt;"",$E60&lt;&gt;""),(VLOOKUP($C60,'V-LOOKUP'!$C$61:$M$120,9,FALSE)),"0")</f>
        <v>0</v>
      </c>
      <c r="AO60" s="192" t="str">
        <f>IF(AND($C60&lt;&gt;"",$E60&lt;&gt;""),(VLOOKUP($C60,'V-LOOKUP'!$C$61:$M$120,10,FALSE)),"0")</f>
        <v>0</v>
      </c>
      <c r="AP60" s="192" t="str">
        <f>IF(AND($C60&lt;&gt;"",$E60&lt;&gt;""),(VLOOKUP($C60,'V-LOOKUP'!$C$61:$M$120,11,FALSE)),"0")</f>
        <v>0</v>
      </c>
      <c r="AQ60" s="192" t="str">
        <f>IF(AND($C60&lt;&gt;"",$E60&lt;&gt;""),(VLOOKUP($C60,'V-LOOKUP'!$C$61:$N$120,12,FALSE)),"0")</f>
        <v>0</v>
      </c>
      <c r="AR60" s="192" t="str">
        <f>IF(AND($C60&lt;&gt;"",$F60&lt;&gt;""),(VLOOKUP($C60,'V-LOOKUP'!$C$61:$M$120,4,FALSE)),"0")</f>
        <v>0</v>
      </c>
      <c r="AS60" s="192" t="str">
        <f>IF(AND($C60&lt;&gt;"",$F60&lt;&gt;""),(VLOOKUP($C60,'V-LOOKUP'!$C$61:$M$120,5,FALSE)),"0")</f>
        <v>0</v>
      </c>
      <c r="AT60" s="192" t="str">
        <f>IF(AND($C60&lt;&gt;"",$F60&lt;&gt;""),(VLOOKUP($C60,'V-LOOKUP'!$C$61:$M$120,6,FALSE)),"0")</f>
        <v>0</v>
      </c>
      <c r="AU60" s="192" t="str">
        <f>IF(AND($C60&lt;&gt;"",$F60&lt;&gt;""),(VLOOKUP($C60,'V-LOOKUP'!$C$61:$M$120,7,FALSE)),"0")</f>
        <v>0</v>
      </c>
      <c r="AV60" s="192" t="str">
        <f>IF(AND($C60&lt;&gt;"",$F60&lt;&gt;""),(VLOOKUP($C60,'V-LOOKUP'!$C$61:$M$120,8,FALSE)),"0")</f>
        <v>0</v>
      </c>
      <c r="AW60" s="192" t="str">
        <f>IF(AND($C60&lt;&gt;"",$F60&lt;&gt;""),(VLOOKUP($C60,'V-LOOKUP'!$C$61:$M$120,9,FALSE)),"0")</f>
        <v>0</v>
      </c>
      <c r="AX60" s="192" t="str">
        <f>IF(AND($C60&lt;&gt;"",$F60&lt;&gt;""),(VLOOKUP($C60,'V-LOOKUP'!$C$61:$M$120,10,FALSE)),"0")</f>
        <v>0</v>
      </c>
      <c r="AY60" s="192" t="str">
        <f>IF(AND($C60&lt;&gt;"",$F60&lt;&gt;""),(VLOOKUP($C60,'V-LOOKUP'!$C$61:$M$120,11,FALSE)),"0")</f>
        <v>0</v>
      </c>
      <c r="AZ60" s="192" t="str">
        <f>IF(AND($C60&lt;&gt;"",$F60&lt;&gt;""),(VLOOKUP($C60,'V-LOOKUP'!$C$61:$N$120,12,FALSE)),"0")</f>
        <v>0</v>
      </c>
      <c r="BA60" s="192" t="str">
        <f>IF(AND($C60&lt;&gt;"",$G60&lt;&gt;""),(VLOOKUP($C60,'V-LOOKUP'!$C$61:$M$120,4,FALSE)),"0")</f>
        <v>0</v>
      </c>
      <c r="BB60" s="192" t="str">
        <f>IF(AND($C60&lt;&gt;"",$G60&lt;&gt;""),(VLOOKUP($C60,'V-LOOKUP'!$C$61:$M$120,5,FALSE)),"0")</f>
        <v>0</v>
      </c>
      <c r="BC60" s="192" t="str">
        <f>IF(AND($C60&lt;&gt;"",$G60&lt;&gt;""),(VLOOKUP($C60,'V-LOOKUP'!$C$61:$M$120,6,FALSE)),"0")</f>
        <v>0</v>
      </c>
      <c r="BD60" s="192" t="str">
        <f>IF(AND($C60&lt;&gt;"",$G60&lt;&gt;""),(VLOOKUP($C60,'V-LOOKUP'!$C$61:$M$120,7,FALSE)),"0")</f>
        <v>0</v>
      </c>
      <c r="BE60" s="192" t="str">
        <f>IF(AND($C60&lt;&gt;"",$G60&lt;&gt;""),(VLOOKUP($C60,'V-LOOKUP'!$C$61:$M$120,8,FALSE)),"0")</f>
        <v>0</v>
      </c>
      <c r="BF60" s="192" t="str">
        <f>IF(AND($C60&lt;&gt;"",$G60&lt;&gt;""),(VLOOKUP($C60,'V-LOOKUP'!$C$61:$M$120,9,FALSE)),"0")</f>
        <v>0</v>
      </c>
      <c r="BG60" s="192" t="str">
        <f>IF(AND($C60&lt;&gt;"",$G60&lt;&gt;""),(VLOOKUP($C60,'V-LOOKUP'!$C$61:$M$120,10,FALSE)),"0")</f>
        <v>0</v>
      </c>
      <c r="BH60" s="192" t="str">
        <f>IF(AND($C60&lt;&gt;"",$G60&lt;&gt;""),(VLOOKUP($C60,'V-LOOKUP'!$C$61:$M$120,11,FALSE)),"0")</f>
        <v>0</v>
      </c>
      <c r="BI60" s="192" t="str">
        <f>IF(AND($C60&lt;&gt;"",$G60&lt;&gt;""),(VLOOKUP($C60,'V-LOOKUP'!$C$61:$N$120,12,FALSE)),"0")</f>
        <v>0</v>
      </c>
      <c r="BJ60" s="192" t="str">
        <f>IF(AND($C60&lt;&gt;"",$H60&lt;&gt;""),(VLOOKUP($C60,'V-LOOKUP'!$C$61:$M$120,4,FALSE)),"0")</f>
        <v>0</v>
      </c>
      <c r="BK60" s="192" t="str">
        <f>IF(AND($C60&lt;&gt;"",$H60&lt;&gt;""),(VLOOKUP($C60,'V-LOOKUP'!$C$61:$M$120,5,FALSE)),"0")</f>
        <v>0</v>
      </c>
      <c r="BL60" s="192" t="str">
        <f>IF(AND($C60&lt;&gt;"",$H60&lt;&gt;""),(VLOOKUP($C60,'V-LOOKUP'!$C$61:$M$120,6,FALSE)),"0")</f>
        <v>0</v>
      </c>
      <c r="BM60" s="192" t="str">
        <f>IF(AND($C60&lt;&gt;"",$H60&lt;&gt;""),(VLOOKUP($C60,'V-LOOKUP'!$C$61:$M$120,7,FALSE)),"0")</f>
        <v>0</v>
      </c>
      <c r="BN60" s="192" t="str">
        <f>IF(AND($C60&lt;&gt;"",$H60&lt;&gt;""),(VLOOKUP($C60,'V-LOOKUP'!$C$61:$M$120,8,FALSE)),"0")</f>
        <v>0</v>
      </c>
      <c r="BO60" s="192" t="str">
        <f>IF(AND($C60&lt;&gt;"",$H60&lt;&gt;""),(VLOOKUP($C60,'V-LOOKUP'!$C$61:$M$120,9,FALSE)),"0")</f>
        <v>0</v>
      </c>
      <c r="BP60" s="192" t="str">
        <f>IF(AND($C60&lt;&gt;"",$H60&lt;&gt;""),(VLOOKUP($C60,'V-LOOKUP'!$C$61:$M$120,10,FALSE)),"0")</f>
        <v>0</v>
      </c>
      <c r="BQ60" s="192" t="str">
        <f>IF(AND($C60&lt;&gt;"",$H60&lt;&gt;""),(VLOOKUP($C60,'V-LOOKUP'!$C$61:$M$120,11,FALSE)),"0")</f>
        <v>0</v>
      </c>
      <c r="BR60" s="192" t="str">
        <f>IF(AND($C60&lt;&gt;"",$H60&lt;&gt;""),(VLOOKUP($C60,'V-LOOKUP'!$C$61:$N$120,12,FALSE)),"0")</f>
        <v>0</v>
      </c>
      <c r="BS60" s="192" t="str">
        <f>IF(AND($C60&lt;&gt;"",$I60&lt;&gt;""),(VLOOKUP($C60,'V-LOOKUP'!$C$61:$M$120,4,FALSE)),"0")</f>
        <v>0</v>
      </c>
      <c r="BT60" s="192" t="str">
        <f>IF(AND($C60&lt;&gt;"",$I60&lt;&gt;""),(VLOOKUP($C60,'V-LOOKUP'!$C$61:$M$120,5,FALSE)),"0")</f>
        <v>0</v>
      </c>
      <c r="BU60" s="192" t="str">
        <f>IF(AND($C60&lt;&gt;"",$I60&lt;&gt;""),(VLOOKUP($C60,'V-LOOKUP'!$C$61:$M$120,6,FALSE)),"0")</f>
        <v>0</v>
      </c>
      <c r="BV60" s="192" t="str">
        <f>IF(AND($C60&lt;&gt;"",$I60&lt;&gt;""),(VLOOKUP($C60,'V-LOOKUP'!$C$61:$M$120,7,FALSE)),"0")</f>
        <v>0</v>
      </c>
      <c r="BW60" s="192" t="str">
        <f>IF(AND($C60&lt;&gt;"",$I60&lt;&gt;""),(VLOOKUP($C60,'V-LOOKUP'!$C$61:$M$120,8,FALSE)),"0")</f>
        <v>0</v>
      </c>
      <c r="BX60" s="192" t="str">
        <f>IF(AND($C60&lt;&gt;"",$I60&lt;&gt;""),(VLOOKUP($C60,'V-LOOKUP'!$C$61:$M$120,9,FALSE)),"0")</f>
        <v>0</v>
      </c>
      <c r="BY60" s="192" t="str">
        <f>IF(AND($C60&lt;&gt;"",$I60&lt;&gt;""),(VLOOKUP($C60,'V-LOOKUP'!$C$61:$M$120,10,FALSE)),"0")</f>
        <v>0</v>
      </c>
      <c r="BZ60" s="192" t="str">
        <f>IF(AND($C60&lt;&gt;"",$I60&lt;&gt;""),(VLOOKUP($C60,'V-LOOKUP'!$C$61:$M$120,11,FALSE)),"0")</f>
        <v>0</v>
      </c>
      <c r="CA60" s="192" t="str">
        <f>IF(AND($C60&lt;&gt;"",$I60&lt;&gt;""),(VLOOKUP($C60,'V-LOOKUP'!$C$61:$N$120,12,FALSE)),"0")</f>
        <v>0</v>
      </c>
      <c r="CB60" s="192" t="str">
        <f>IF(AND($C60&lt;&gt;"",$J60&lt;&gt;""),(VLOOKUP($C60,'V-LOOKUP'!$C$61:$M$120,4,FALSE)),"0")</f>
        <v>0</v>
      </c>
      <c r="CC60" s="192" t="str">
        <f>IF(AND($C60&lt;&gt;"",$J60&lt;&gt;""),(VLOOKUP($C60,'V-LOOKUP'!$C$61:$M$120,5,FALSE)),"0")</f>
        <v>0</v>
      </c>
      <c r="CD60" s="192" t="str">
        <f>IF(AND($C60&lt;&gt;"",$J60&lt;&gt;""),(VLOOKUP($C60,'V-LOOKUP'!$C$61:$M$120,6,FALSE)),"0")</f>
        <v>0</v>
      </c>
      <c r="CE60" s="192" t="str">
        <f>IF(AND($C60&lt;&gt;"",$J60&lt;&gt;""),(VLOOKUP($C60,'V-LOOKUP'!$C$61:$M$120,7,FALSE)),"0")</f>
        <v>0</v>
      </c>
      <c r="CF60" s="192" t="str">
        <f>IF(AND($C60&lt;&gt;"",$J60&lt;&gt;""),(VLOOKUP($C60,'V-LOOKUP'!$C$61:$M$120,8,FALSE)),"0")</f>
        <v>0</v>
      </c>
      <c r="CG60" s="192" t="str">
        <f>IF(AND($C60&lt;&gt;"",$J60&lt;&gt;""),(VLOOKUP($C60,'V-LOOKUP'!$C$61:$M$120,9,FALSE)),"0")</f>
        <v>0</v>
      </c>
      <c r="CH60" s="192" t="str">
        <f>IF(AND($C60&lt;&gt;"",$J60&lt;&gt;""),(VLOOKUP($C60,'V-LOOKUP'!$C$61:$M$120,10,FALSE)),"0")</f>
        <v>0</v>
      </c>
      <c r="CI60" s="192" t="str">
        <f>IF(AND($C60&lt;&gt;"",$J60&lt;&gt;""),(VLOOKUP($C60,'V-LOOKUP'!$C$61:$M$120,11,FALSE)),"0")</f>
        <v>0</v>
      </c>
      <c r="CJ60" s="192" t="str">
        <f>IF(AND($C60&lt;&gt;"",$J60&lt;&gt;""),(VLOOKUP($C60,'V-LOOKUP'!$C$61:$N$120,12,FALSE)),"0")</f>
        <v>0</v>
      </c>
      <c r="CK60" s="192" t="str">
        <f>IF(AND($C60&lt;&gt;"",$K60&lt;&gt;""),(VLOOKUP($C60,'V-LOOKUP'!$C$61:$M$120,4,FALSE)),"0")</f>
        <v>0</v>
      </c>
      <c r="CL60" s="192" t="str">
        <f>IF(AND($C60&lt;&gt;"",$K60&lt;&gt;""),(VLOOKUP($C60,'V-LOOKUP'!$C$61:$M$120,5,FALSE)),"0")</f>
        <v>0</v>
      </c>
      <c r="CM60" s="192" t="str">
        <f>IF(AND($C60&lt;&gt;"",$K60&lt;&gt;""),(VLOOKUP($C60,'V-LOOKUP'!$C$61:$M$120,6,FALSE)),"0")</f>
        <v>0</v>
      </c>
      <c r="CN60" s="192" t="str">
        <f>IF(AND($C60&lt;&gt;"",$K60&lt;&gt;""),(VLOOKUP($C60,'V-LOOKUP'!$C$61:$M$120,7,FALSE)),"0")</f>
        <v>0</v>
      </c>
      <c r="CO60" s="192" t="str">
        <f>IF(AND($C60&lt;&gt;"",$K60&lt;&gt;""),(VLOOKUP($C60,'V-LOOKUP'!$C$61:$M$120,8,FALSE)),"0")</f>
        <v>0</v>
      </c>
      <c r="CP60" s="192" t="str">
        <f>IF(AND($C60&lt;&gt;"",$K60&lt;&gt;""),(VLOOKUP($C60,'V-LOOKUP'!$C$61:$M$120,9,FALSE)),"0")</f>
        <v>0</v>
      </c>
      <c r="CQ60" s="192" t="str">
        <f>IF(AND($C60&lt;&gt;"",$K60&lt;&gt;""),(VLOOKUP($C60,'V-LOOKUP'!$C$61:$M$120,10,FALSE)),"0")</f>
        <v>0</v>
      </c>
      <c r="CR60" s="192" t="str">
        <f>IF(AND($C60&lt;&gt;"",$K60&lt;&gt;""),(VLOOKUP($C60,'V-LOOKUP'!$C$61:$M$120,11,FALSE)),"0")</f>
        <v>0</v>
      </c>
      <c r="CS60" s="192" t="str">
        <f>IF(AND($C60&lt;&gt;"",$K60&lt;&gt;""),(VLOOKUP($C60,'V-LOOKUP'!$C$61:$N$120,12,FALSE)),"0")</f>
        <v>0</v>
      </c>
      <c r="CT60" s="192" t="str">
        <f>IF(AND($C60&lt;&gt;"",$L60&lt;&gt;""),(VLOOKUP($C60,'V-LOOKUP'!$C$61:$M$120,4,FALSE)),"0")</f>
        <v>0</v>
      </c>
      <c r="CU60" s="192" t="str">
        <f>IF(AND($C60&lt;&gt;"",$L60&lt;&gt;""),(VLOOKUP($C60,'V-LOOKUP'!$C$61:$M$120,5,FALSE)),"0")</f>
        <v>0</v>
      </c>
      <c r="CV60" s="192" t="str">
        <f>IF(AND($C60&lt;&gt;"",$L60&lt;&gt;""),(VLOOKUP($C60,'V-LOOKUP'!$C$61:$M$120,6,FALSE)),"0")</f>
        <v>0</v>
      </c>
      <c r="CW60" s="192" t="str">
        <f>IF(AND($C60&lt;&gt;"",$L60&lt;&gt;""),(VLOOKUP($C60,'V-LOOKUP'!$C$61:$M$120,7,FALSE)),"0")</f>
        <v>0</v>
      </c>
      <c r="CX60" s="192" t="str">
        <f>IF(AND($C60&lt;&gt;"",$L60&lt;&gt;""),(VLOOKUP($C60,'V-LOOKUP'!$C$61:$M$120,8,FALSE)),"0")</f>
        <v>0</v>
      </c>
      <c r="CY60" s="192" t="str">
        <f>IF(AND($C60&lt;&gt;"",$L60&lt;&gt;""),(VLOOKUP($C60,'V-LOOKUP'!$C$61:$M$120,9,FALSE)),"0")</f>
        <v>0</v>
      </c>
      <c r="CZ60" s="192" t="str">
        <f>IF(AND($C60&lt;&gt;"",$L60&lt;&gt;""),(VLOOKUP($C60,'V-LOOKUP'!$C$61:$M$120,10,FALSE)),"0")</f>
        <v>0</v>
      </c>
      <c r="DA60" s="192" t="str">
        <f>IF(AND($C60&lt;&gt;"",$L60&lt;&gt;""),(VLOOKUP($C60,'V-LOOKUP'!$C$61:$M$120,11,FALSE)),"0")</f>
        <v>0</v>
      </c>
      <c r="DB60" s="192" t="str">
        <f>IF(AND($C60&lt;&gt;"",$L60&lt;&gt;""),(VLOOKUP($C60,'V-LOOKUP'!$C$61:$N$120,12,FALSE)),"0")</f>
        <v>0</v>
      </c>
      <c r="DC60" s="192" t="str">
        <f>IF(AND($C60&lt;&gt;"",$M60&lt;&gt;""),(VLOOKUP($C60,'V-LOOKUP'!$C$61:$M$120,4,FALSE)),"0")</f>
        <v>0</v>
      </c>
      <c r="DD60" s="192" t="str">
        <f>IF(AND($C60&lt;&gt;"",$M60&lt;&gt;""),(VLOOKUP($C60,'V-LOOKUP'!$C$61:$M$120,5,FALSE)),"0")</f>
        <v>0</v>
      </c>
      <c r="DE60" s="192" t="str">
        <f>IF(AND($C60&lt;&gt;"",$M60&lt;&gt;""),(VLOOKUP($C60,'V-LOOKUP'!$C$61:$M$120,6,FALSE)),"0")</f>
        <v>0</v>
      </c>
      <c r="DF60" s="192" t="str">
        <f>IF(AND($C60&lt;&gt;"",$M60&lt;&gt;""),(VLOOKUP($C60,'V-LOOKUP'!$C$61:$M$120,7,FALSE)),"0")</f>
        <v>0</v>
      </c>
      <c r="DG60" s="192" t="str">
        <f>IF(AND($C60&lt;&gt;"",$M60&lt;&gt;""),(VLOOKUP($C60,'V-LOOKUP'!$C$61:$M$120,8,FALSE)),"0")</f>
        <v>0</v>
      </c>
      <c r="DH60" s="192" t="str">
        <f>IF(AND($C60&lt;&gt;"",$M60&lt;&gt;""),(VLOOKUP($C60,'V-LOOKUP'!$C$61:$M$120,9,FALSE)),"0")</f>
        <v>0</v>
      </c>
      <c r="DI60" s="192" t="str">
        <f>IF(AND($C60&lt;&gt;"",$M60&lt;&gt;""),(VLOOKUP($C60,'V-LOOKUP'!$C$61:$M$120,10,FALSE)),"0")</f>
        <v>0</v>
      </c>
      <c r="DJ60" s="192" t="str">
        <f>IF(AND($C60&lt;&gt;"",$M60&lt;&gt;""),(VLOOKUP($C60,'V-LOOKUP'!$C$61:$M$120,11,FALSE)),"0")</f>
        <v>0</v>
      </c>
      <c r="DK60" s="192" t="str">
        <f>IF(AND($C60&lt;&gt;"",$M60&lt;&gt;""),(VLOOKUP($C60,'V-LOOKUP'!$C$61:$N$120,12,FALSE)),"0")</f>
        <v>0</v>
      </c>
      <c r="DL60" s="192" t="str">
        <f>IF(AND($C60&lt;&gt;"",$N60&lt;&gt;""),(VLOOKUP($C60,'V-LOOKUP'!$C$61:$M$120,4,FALSE)),"0")</f>
        <v>0</v>
      </c>
      <c r="DM60" s="192" t="str">
        <f>IF(AND($C60&lt;&gt;"",$N60&lt;&gt;""),(VLOOKUP($C60,'V-LOOKUP'!$C$61:$M$120,5,FALSE)),"0")</f>
        <v>0</v>
      </c>
      <c r="DN60" s="192" t="str">
        <f>IF(AND($C60&lt;&gt;"",$N60&lt;&gt;""),(VLOOKUP($C60,'V-LOOKUP'!$C$61:$M$120,6,FALSE)),"0")</f>
        <v>0</v>
      </c>
      <c r="DO60" s="192" t="str">
        <f>IF(AND($C60&lt;&gt;"",$N60&lt;&gt;""),(VLOOKUP($C60,'V-LOOKUP'!$C$61:$M$120,7,FALSE)),"0")</f>
        <v>0</v>
      </c>
      <c r="DP60" s="192" t="str">
        <f>IF(AND($C60&lt;&gt;"",$N60&lt;&gt;""),(VLOOKUP($C60,'V-LOOKUP'!$C$61:$M$120,8,FALSE)),"0")</f>
        <v>0</v>
      </c>
      <c r="DQ60" s="192" t="str">
        <f>IF(AND($C60&lt;&gt;"",$N60&lt;&gt;""),(VLOOKUP($C60,'V-LOOKUP'!$C$61:$M$120,9,FALSE)),"0")</f>
        <v>0</v>
      </c>
      <c r="DR60" s="192" t="str">
        <f>IF(AND($C60&lt;&gt;"",$N60&lt;&gt;""),(VLOOKUP($C60,'V-LOOKUP'!$C$61:$M$120,10,FALSE)),"0")</f>
        <v>0</v>
      </c>
      <c r="DS60" s="192" t="str">
        <f>IF(AND($C60&lt;&gt;"",$N60&lt;&gt;""),(VLOOKUP($C60,'V-LOOKUP'!$C$61:$M$120,11,FALSE)),"0")</f>
        <v>0</v>
      </c>
      <c r="DT60" s="192" t="str">
        <f>IF(AND($C60&lt;&gt;"",$N60&lt;&gt;""),(VLOOKUP($C60,'V-LOOKUP'!$C$61:$N$120,12,FALSE)),"0")</f>
        <v>0</v>
      </c>
      <c r="DU60" s="192" t="str">
        <f>IF(AND($C60&lt;&gt;"",$O60&lt;&gt;""),(VLOOKUP($C60,'V-LOOKUP'!$C$61:$M$120,4,FALSE)),"0")</f>
        <v>0</v>
      </c>
      <c r="DV60" s="192" t="str">
        <f>IF(AND($C60&lt;&gt;"",$O60&lt;&gt;""),(VLOOKUP($C60,'V-LOOKUP'!$C$61:$M$120,5,FALSE)),"0")</f>
        <v>0</v>
      </c>
      <c r="DW60" s="192" t="str">
        <f>IF(AND($C60&lt;&gt;"",$O60&lt;&gt;""),(VLOOKUP($C60,'V-LOOKUP'!$C$61:$M$120,6,FALSE)),"0")</f>
        <v>0</v>
      </c>
      <c r="DX60" s="192" t="str">
        <f>IF(AND($C60&lt;&gt;"",$O60&lt;&gt;""),(VLOOKUP($C60,'V-LOOKUP'!$C$61:$M$120,7,FALSE)),"0")</f>
        <v>0</v>
      </c>
      <c r="DY60" s="192" t="str">
        <f>IF(AND($C60&lt;&gt;"",$O60&lt;&gt;""),(VLOOKUP($C60,'V-LOOKUP'!$C$61:$M$120,8,FALSE)),"0")</f>
        <v>0</v>
      </c>
      <c r="DZ60" s="192" t="str">
        <f>IF(AND($C60&lt;&gt;"",$O60&lt;&gt;""),(VLOOKUP($C60,'V-LOOKUP'!$C$61:$M$120,9,FALSE)),"0")</f>
        <v>0</v>
      </c>
      <c r="EA60" s="192" t="str">
        <f>IF(AND($C60&lt;&gt;"",$O60&lt;&gt;""),(VLOOKUP($C60,'V-LOOKUP'!$C$61:$M$120,10,FALSE)),"0")</f>
        <v>0</v>
      </c>
      <c r="EB60" s="192" t="str">
        <f>IF(AND($C60&lt;&gt;"",$O60&lt;&gt;""),(VLOOKUP($C60,'V-LOOKUP'!$C$61:$M$120,11,FALSE)),"0")</f>
        <v>0</v>
      </c>
      <c r="EC60" s="192" t="str">
        <f>IF(AND($C60&lt;&gt;"",$O60&lt;&gt;""),(VLOOKUP($C60,'V-LOOKUP'!$C$61:$N$120,12,FALSE)),"0")</f>
        <v>0</v>
      </c>
      <c r="ED60" s="192" t="str">
        <f>IF(AND($C60&lt;&gt;"",$P60&lt;&gt;""),(VLOOKUP($C60,'V-LOOKUP'!$C$61:$M$120,4,FALSE)),"0")</f>
        <v>0</v>
      </c>
      <c r="EE60" s="192" t="str">
        <f>IF(AND($C60&lt;&gt;"",$P60&lt;&gt;""),(VLOOKUP($C60,'V-LOOKUP'!$C$61:$M$120,5,FALSE)),"0")</f>
        <v>0</v>
      </c>
      <c r="EF60" s="192" t="str">
        <f>IF(AND($C60&lt;&gt;"",$P60&lt;&gt;""),(VLOOKUP($C60,'V-LOOKUP'!$C$61:$M$120,6,FALSE)),"0")</f>
        <v>0</v>
      </c>
      <c r="EG60" s="192" t="str">
        <f>IF(AND($C60&lt;&gt;"",$P60&lt;&gt;""),(VLOOKUP($C60,'V-LOOKUP'!$C$61:$M$120,7,FALSE)),"0")</f>
        <v>0</v>
      </c>
      <c r="EH60" s="192" t="str">
        <f>IF(AND($C60&lt;&gt;"",$P60&lt;&gt;""),(VLOOKUP($C60,'V-LOOKUP'!$C$61:$M$120,8,FALSE)),"0")</f>
        <v>0</v>
      </c>
      <c r="EI60" s="192" t="str">
        <f>IF(AND($C60&lt;&gt;"",$P60&lt;&gt;""),(VLOOKUP($C60,'V-LOOKUP'!$C$61:$M$120,9,FALSE)),"0")</f>
        <v>0</v>
      </c>
      <c r="EJ60" s="192" t="str">
        <f>IF(AND($C60&lt;&gt;"",$P60&lt;&gt;""),(VLOOKUP($C60,'V-LOOKUP'!$C$61:$M$120,10,FALSE)),"0")</f>
        <v>0</v>
      </c>
      <c r="EK60" s="192" t="str">
        <f>IF(AND($C60&lt;&gt;"",$P60&lt;&gt;""),(VLOOKUP($C60,'V-LOOKUP'!$C$61:$M$120,11,FALSE)),"0")</f>
        <v>0</v>
      </c>
      <c r="EL60" s="192" t="str">
        <f>IF(AND($C60&lt;&gt;"",$P60&lt;&gt;""),(VLOOKUP($C60,'V-LOOKUP'!$C$61:$N$120,12,FALSE)),"0")</f>
        <v>0</v>
      </c>
      <c r="EM60" s="192" t="str">
        <f>IF(AND($C60&lt;&gt;"",$Q60&lt;&gt;""),(VLOOKUP($C60,'V-LOOKUP'!$C$61:$M$120,4,FALSE)),"0")</f>
        <v>0</v>
      </c>
      <c r="EN60" s="192" t="str">
        <f>IF(AND($C60&lt;&gt;"",$Q60&lt;&gt;""),(VLOOKUP($C60,'V-LOOKUP'!$C$61:$M$120,5,FALSE)),"0")</f>
        <v>0</v>
      </c>
      <c r="EO60" s="192" t="str">
        <f>IF(AND($C60&lt;&gt;"",$Q60&lt;&gt;""),(VLOOKUP($C60,'V-LOOKUP'!$C$61:$M$120,6,FALSE)),"0")</f>
        <v>0</v>
      </c>
      <c r="EP60" s="192" t="str">
        <f>IF(AND($C60&lt;&gt;"",$Q60&lt;&gt;""),(VLOOKUP($C60,'V-LOOKUP'!$C$61:$M$120,7,FALSE)),"0")</f>
        <v>0</v>
      </c>
      <c r="EQ60" s="192" t="str">
        <f>IF(AND($C60&lt;&gt;"",$Q60&lt;&gt;""),(VLOOKUP($C60,'V-LOOKUP'!$C$61:$M$120,8,FALSE)),"0")</f>
        <v>0</v>
      </c>
      <c r="ER60" s="192" t="str">
        <f>IF(AND($C60&lt;&gt;"",$Q60&lt;&gt;""),(VLOOKUP($C60,'V-LOOKUP'!$C$61:$M$120,9,FALSE)),"0")</f>
        <v>0</v>
      </c>
      <c r="ES60" s="192" t="str">
        <f>IF(AND($C60&lt;&gt;"",$Q60&lt;&gt;""),(VLOOKUP($C60,'V-LOOKUP'!$C$61:$M$120,10,FALSE)),"0")</f>
        <v>0</v>
      </c>
      <c r="ET60" s="192" t="str">
        <f>IF(AND($C60&lt;&gt;"",$Q60&lt;&gt;""),(VLOOKUP($C60,'V-LOOKUP'!$C$61:$M$120,11,FALSE)),"0")</f>
        <v>0</v>
      </c>
      <c r="EU60" s="192" t="str">
        <f>IF(AND($C60&lt;&gt;"",$Q60&lt;&gt;""),(VLOOKUP($C60,'V-LOOKUP'!$C$61:$N$120,12,FALSE)),"0")</f>
        <v>0</v>
      </c>
      <c r="EV60" s="192" t="str">
        <f>IF(AND($C60&lt;&gt;"",$R60&lt;&gt;""),(VLOOKUP($C60,'V-LOOKUP'!$C$61:$M$120,4,FALSE)),"0")</f>
        <v>0</v>
      </c>
      <c r="EW60" s="192" t="str">
        <f>IF(AND($C60&lt;&gt;"",$R60&lt;&gt;""),(VLOOKUP($C60,'V-LOOKUP'!$C$61:$M$120,5,FALSE)),"0")</f>
        <v>0</v>
      </c>
      <c r="EX60" s="192" t="str">
        <f>IF(AND($C60&lt;&gt;"",$R60&lt;&gt;""),(VLOOKUP($C60,'V-LOOKUP'!$C$61:$M$120,6,FALSE)),"0")</f>
        <v>0</v>
      </c>
      <c r="EY60" s="192" t="str">
        <f>IF(AND($C60&lt;&gt;"",$R60&lt;&gt;""),(VLOOKUP($C60,'V-LOOKUP'!$C$61:$M$120,7,FALSE)),"0")</f>
        <v>0</v>
      </c>
      <c r="EZ60" s="192" t="str">
        <f>IF(AND($C60&lt;&gt;"",$R60&lt;&gt;""),(VLOOKUP($C60,'V-LOOKUP'!$C$61:$M$120,8,FALSE)),"0")</f>
        <v>0</v>
      </c>
      <c r="FA60" s="192" t="str">
        <f>IF(AND($C60&lt;&gt;"",$R60&lt;&gt;""),(VLOOKUP($C60,'V-LOOKUP'!$C$61:$M$120,9,FALSE)),"0")</f>
        <v>0</v>
      </c>
      <c r="FB60" s="192" t="str">
        <f>IF(AND($C60&lt;&gt;"",$R60&lt;&gt;""),(VLOOKUP($C60,'V-LOOKUP'!$C$61:$M$120,10,FALSE)),"0")</f>
        <v>0</v>
      </c>
      <c r="FC60" s="192" t="str">
        <f>IF(AND($C60&lt;&gt;"",$R60&lt;&gt;""),(VLOOKUP($C60,'V-LOOKUP'!$C$61:$M$120,11,FALSE)),"0")</f>
        <v>0</v>
      </c>
      <c r="FD60" s="192" t="str">
        <f>IF(AND($C60&lt;&gt;"",$R60&lt;&gt;""),(VLOOKUP($C60,'V-LOOKUP'!$C$61:$N$120,12,FALSE)),"0")</f>
        <v>0</v>
      </c>
      <c r="FE60" s="192" t="str">
        <f>IF(AND($C60&lt;&gt;"",$S60&lt;&gt;""),(VLOOKUP($C60,'V-LOOKUP'!$C$61:$M$120,4,FALSE)),"0")</f>
        <v>0</v>
      </c>
      <c r="FF60" s="192" t="str">
        <f>IF(AND($C60&lt;&gt;"",$S60&lt;&gt;""),(VLOOKUP($C60,'V-LOOKUP'!$C$61:$M$120,5,FALSE)),"0")</f>
        <v>0</v>
      </c>
      <c r="FG60" s="192" t="str">
        <f>IF(AND($C60&lt;&gt;"",$S60&lt;&gt;""),(VLOOKUP($C60,'V-LOOKUP'!$C$61:$M$120,6,FALSE)),"0")</f>
        <v>0</v>
      </c>
      <c r="FH60" s="192" t="str">
        <f>IF(AND($C60&lt;&gt;"",$S60&lt;&gt;""),(VLOOKUP($C60,'V-LOOKUP'!$C$61:$M$120,7,FALSE)),"0")</f>
        <v>0</v>
      </c>
      <c r="FI60" s="192" t="str">
        <f>IF(AND($C60&lt;&gt;"",$S60&lt;&gt;""),(VLOOKUP($C60,'V-LOOKUP'!$C$61:$M$120,8,FALSE)),"0")</f>
        <v>0</v>
      </c>
      <c r="FJ60" s="192" t="str">
        <f>IF(AND($C60&lt;&gt;"",$S60&lt;&gt;""),(VLOOKUP($C60,'V-LOOKUP'!$C$61:$M$120,9,FALSE)),"0")</f>
        <v>0</v>
      </c>
      <c r="FK60" s="192" t="str">
        <f>IF(AND($C60&lt;&gt;"",$S60&lt;&gt;""),(VLOOKUP($C60,'V-LOOKUP'!$C$61:$M$120,10,FALSE)),"0")</f>
        <v>0</v>
      </c>
      <c r="FL60" s="192" t="str">
        <f>IF(AND($C60&lt;&gt;"",$S60&lt;&gt;""),(VLOOKUP($C60,'V-LOOKUP'!$C$61:$M$120,11,FALSE)),"0")</f>
        <v>0</v>
      </c>
      <c r="FM60" s="192" t="str">
        <f>IF(AND($C60&lt;&gt;"",$S60&lt;&gt;""),(VLOOKUP($C60,'V-LOOKUP'!$C$61:$N$120,12,FALSE)),"0")</f>
        <v>0</v>
      </c>
      <c r="FN60" s="192" t="str">
        <f>IF(AND($C60&lt;&gt;"",$T60&lt;&gt;""),(VLOOKUP($C60,'V-LOOKUP'!$C$61:$M$120,4,FALSE)),"0")</f>
        <v>0</v>
      </c>
      <c r="FO60" s="192" t="str">
        <f>IF(AND($C60&lt;&gt;"",$T60&lt;&gt;""),(VLOOKUP($C60,'V-LOOKUP'!$C$61:$M$120,5,FALSE)),"0")</f>
        <v>0</v>
      </c>
      <c r="FP60" s="192" t="str">
        <f>IF(AND($C60&lt;&gt;"",$T60&lt;&gt;""),(VLOOKUP($C60,'V-LOOKUP'!$C$61:$M$120,6,FALSE)),"0")</f>
        <v>0</v>
      </c>
      <c r="FQ60" s="192" t="str">
        <f>IF(AND($C60&lt;&gt;"",$T60&lt;&gt;""),(VLOOKUP($C60,'V-LOOKUP'!$C$61:$M$120,7,FALSE)),"0")</f>
        <v>0</v>
      </c>
      <c r="FR60" s="192" t="str">
        <f>IF(AND($C60&lt;&gt;"",$T60&lt;&gt;""),(VLOOKUP($C60,'V-LOOKUP'!$C$61:$M$120,8,FALSE)),"0")</f>
        <v>0</v>
      </c>
      <c r="FS60" s="192" t="str">
        <f>IF(AND($C60&lt;&gt;"",$T60&lt;&gt;""),(VLOOKUP($C60,'V-LOOKUP'!$C$61:$M$120,9,FALSE)),"0")</f>
        <v>0</v>
      </c>
      <c r="FT60" s="192" t="str">
        <f>IF(AND($C60&lt;&gt;"",$T60&lt;&gt;""),(VLOOKUP($C60,'V-LOOKUP'!$C$61:$M$120,10,FALSE)),"0")</f>
        <v>0</v>
      </c>
      <c r="FU60" s="192" t="str">
        <f>IF(AND($C60&lt;&gt;"",$T60&lt;&gt;""),(VLOOKUP($C60,'V-LOOKUP'!$C$61:$M$120,11,FALSE)),"0")</f>
        <v>0</v>
      </c>
      <c r="FV60" s="192" t="str">
        <f>IF(AND($C60&lt;&gt;"",$T60&lt;&gt;""),(VLOOKUP($C60,'V-LOOKUP'!$C$61:$N$120,12,FALSE)),"0")</f>
        <v>0</v>
      </c>
      <c r="FW60" s="192" t="str">
        <f>IF(AND($C60&lt;&gt;"",$U60&lt;&gt;""),(VLOOKUP($C60,'V-LOOKUP'!$C$61:$M$120,4,FALSE)),"0")</f>
        <v>0</v>
      </c>
      <c r="FX60" s="192" t="str">
        <f>IF(AND($C60&lt;&gt;"",$U60&lt;&gt;""),(VLOOKUP($C60,'V-LOOKUP'!$C$61:$M$120,5,FALSE)),"0")</f>
        <v>0</v>
      </c>
      <c r="FY60" s="192" t="str">
        <f>IF(AND($C60&lt;&gt;"",$U60&lt;&gt;""),(VLOOKUP($C60,'V-LOOKUP'!$C$61:$M$120,6,FALSE)),"0")</f>
        <v>0</v>
      </c>
      <c r="FZ60" s="192" t="str">
        <f>IF(AND($C60&lt;&gt;"",$U60&lt;&gt;""),(VLOOKUP($C60,'V-LOOKUP'!$C$61:$M$120,7,FALSE)),"0")</f>
        <v>0</v>
      </c>
      <c r="GA60" s="192" t="str">
        <f>IF(AND($C60&lt;&gt;"",$U60&lt;&gt;""),(VLOOKUP($C60,'V-LOOKUP'!$C$61:$M$120,8,FALSE)),"0")</f>
        <v>0</v>
      </c>
      <c r="GB60" s="192" t="str">
        <f>IF(AND($C60&lt;&gt;"",$U60&lt;&gt;""),(VLOOKUP($C60,'V-LOOKUP'!$C$61:$M$120,9,FALSE)),"0")</f>
        <v>0</v>
      </c>
      <c r="GC60" s="192" t="str">
        <f>IF(AND($C60&lt;&gt;"",$U60&lt;&gt;""),(VLOOKUP($C60,'V-LOOKUP'!$C$61:$M$120,10,FALSE)),"0")</f>
        <v>0</v>
      </c>
      <c r="GD60" s="192" t="str">
        <f>IF(AND($C60&lt;&gt;"",$U60&lt;&gt;""),(VLOOKUP($C60,'V-LOOKUP'!$C$61:$M$120,11,FALSE)),"0")</f>
        <v>0</v>
      </c>
      <c r="GE60" s="192" t="str">
        <f>IF(AND($C60&lt;&gt;"",$U60&lt;&gt;""),(VLOOKUP($C60,'V-LOOKUP'!$C$61:$N$120,12,FALSE)),"0")</f>
        <v>0</v>
      </c>
      <c r="GF60" s="192" t="str">
        <f>IF(AND($C60&lt;&gt;"",$V60&lt;&gt;""),(VLOOKUP($C60,'V-LOOKUP'!$C$61:$M$120,4,FALSE)),"0")</f>
        <v>0</v>
      </c>
      <c r="GG60" s="192" t="str">
        <f>IF(AND($C60&lt;&gt;"",V60&lt;&gt;""),(VLOOKUP($C60,'V-LOOKUP'!$C$61:$M$120,5,FALSE)),"0")</f>
        <v>0</v>
      </c>
      <c r="GH60" s="192" t="str">
        <f>IF(AND($C60&lt;&gt;"",$V60&lt;&gt;""),(VLOOKUP($C60,'V-LOOKUP'!$C$61:$M$120,6,FALSE)),"0")</f>
        <v>0</v>
      </c>
      <c r="GI60" s="192" t="str">
        <f>IF(AND($C60&lt;&gt;"",$V60&lt;&gt;""),(VLOOKUP($C60,'V-LOOKUP'!$C$61:$M$120,7,FALSE)),"0")</f>
        <v>0</v>
      </c>
      <c r="GJ60" s="192" t="str">
        <f>IF(AND($C60&lt;&gt;"",$V60&lt;&gt;""),(VLOOKUP($C60,'V-LOOKUP'!$C$61:$M$120,8,FALSE)),"0")</f>
        <v>0</v>
      </c>
      <c r="GK60" s="192" t="str">
        <f>IF(AND($C60&lt;&gt;"",$V60&lt;&gt;""),(VLOOKUP($C60,'V-LOOKUP'!$C$61:$M$120,9,FALSE)),"0")</f>
        <v>0</v>
      </c>
      <c r="GL60" s="192" t="str">
        <f>IF(AND($C60&lt;&gt;"",$V60&lt;&gt;""),(VLOOKUP($C60,'V-LOOKUP'!$C$61:$M$120,10,FALSE)),"0")</f>
        <v>0</v>
      </c>
      <c r="GM60" s="192" t="str">
        <f>IF(AND($C60&lt;&gt;"",$V60&lt;&gt;""),(VLOOKUP($C60,'V-LOOKUP'!$C$61:$M$120,11,FALSE)),"0")</f>
        <v>0</v>
      </c>
      <c r="GN60" s="192" t="str">
        <f>IF(AND($C60&lt;&gt;"",$V60&lt;&gt;""),(VLOOKUP($C60,'V-LOOKUP'!$C$61:$N$120,12,FALSE)),"0")</f>
        <v>0</v>
      </c>
      <c r="GO60" s="192" t="str">
        <f>IF(AND($C60&lt;&gt;"",$W60&lt;&gt;""),(VLOOKUP($C60,'V-LOOKUP'!$C$61:$M$120,4,FALSE)),"0")</f>
        <v>0</v>
      </c>
      <c r="GP60" s="192" t="str">
        <f>IF(AND($C60&lt;&gt;"",$W60&lt;&gt;""),(VLOOKUP($C60,'V-LOOKUP'!$C$61:$M$120,5,FALSE)),"0")</f>
        <v>0</v>
      </c>
      <c r="GQ60" s="192" t="str">
        <f>IF(AND($C60&lt;&gt;"",$W60&lt;&gt;""),(VLOOKUP($C60,'V-LOOKUP'!$C$61:$M$120,6,FALSE)),"0")</f>
        <v>0</v>
      </c>
      <c r="GR60" s="192" t="str">
        <f>IF(AND($C60&lt;&gt;"",$W60&lt;&gt;""),(VLOOKUP($C60,'V-LOOKUP'!$C$61:$M$120,7,FALSE)),"0")</f>
        <v>0</v>
      </c>
      <c r="GS60" s="192" t="str">
        <f>IF(AND($C60&lt;&gt;"",$W60&lt;&gt;""),(VLOOKUP($C60,'V-LOOKUP'!$C$61:$M$120,8,FALSE)),"0")</f>
        <v>0</v>
      </c>
      <c r="GT60" s="192" t="str">
        <f>IF(AND($C60&lt;&gt;"",$W60&lt;&gt;""),(VLOOKUP($C60,'V-LOOKUP'!$C$61:$M$120,9,FALSE)),"0")</f>
        <v>0</v>
      </c>
      <c r="GU60" s="192" t="str">
        <f>IF(AND($C60&lt;&gt;"",$W60&lt;&gt;""),(VLOOKUP($C60,'V-LOOKUP'!$C$61:$M$120,10,FALSE)),"0")</f>
        <v>0</v>
      </c>
      <c r="GV60" s="192" t="str">
        <f>IF(AND($C60&lt;&gt;"",$W60&lt;&gt;""),(VLOOKUP($C60,'V-LOOKUP'!$C$61:$M$120,11,FALSE)),"0")</f>
        <v>0</v>
      </c>
      <c r="GW60" s="192" t="str">
        <f>IF(AND($C60&lt;&gt;"",$W60&lt;&gt;""),(VLOOKUP($C60,'V-LOOKUP'!$C$61:$N$120,12,FALSE)),"0")</f>
        <v>0</v>
      </c>
    </row>
    <row r="61" spans="1:205" ht="14.65" hidden="1" customHeight="1">
      <c r="A61" s="193"/>
      <c r="B61" s="245"/>
      <c r="C61" s="203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Y61" s="190"/>
      <c r="Z61" s="192" t="str">
        <f>IF(AND($C61&lt;&gt;"",$D61&lt;&gt;""),(VLOOKUP($C61,'V-LOOKUP'!$C$61:$M$120,4,FALSE)),"0")</f>
        <v>0</v>
      </c>
      <c r="AA61" s="192" t="str">
        <f>IF(AND($C61&lt;&gt;"",$D61&lt;&gt;""),(VLOOKUP($C61,'V-LOOKUP'!$C$61:$M$120,5,FALSE)),"0")</f>
        <v>0</v>
      </c>
      <c r="AB61" s="192" t="str">
        <f>IF(AND($C61&lt;&gt;"",$D61&lt;&gt;""),(VLOOKUP($C61,'V-LOOKUP'!$C$61:$M$120,6,FALSE)),"0")</f>
        <v>0</v>
      </c>
      <c r="AC61" s="192" t="str">
        <f>IF(AND($C61&lt;&gt;"",$D61&lt;&gt;""),(VLOOKUP($C61,'V-LOOKUP'!$C$61:$M$120,7,FALSE)),"0")</f>
        <v>0</v>
      </c>
      <c r="AD61" s="192" t="str">
        <f>IF(AND($C61&lt;&gt;"",$D61&lt;&gt;""),(VLOOKUP($C61,'V-LOOKUP'!$C$61:$M$120,8,FALSE)),"0")</f>
        <v>0</v>
      </c>
      <c r="AE61" s="192" t="str">
        <f>IF(AND($C61&lt;&gt;"",$D61&lt;&gt;""),(VLOOKUP($C61,'V-LOOKUP'!$C$61:$M$120,9,FALSE)),"0")</f>
        <v>0</v>
      </c>
      <c r="AF61" s="192" t="str">
        <f>IF(AND($C61&lt;&gt;"",$D61&lt;&gt;""),(VLOOKUP($C61,'V-LOOKUP'!$C$61:$M$120,10,FALSE)),"0")</f>
        <v>0</v>
      </c>
      <c r="AG61" s="192" t="str">
        <f>IF(AND($C61&lt;&gt;"",$D61&lt;&gt;""),(VLOOKUP($C61,'V-LOOKUP'!$C$61:$M$120,11,FALSE)),"0")</f>
        <v>0</v>
      </c>
      <c r="AH61" s="192" t="str">
        <f>IF(AND($C61&lt;&gt;"",$D61&lt;&gt;""),(VLOOKUP($C61,'V-LOOKUP'!$C$61:$N$120,12,FALSE)),"0")</f>
        <v>0</v>
      </c>
      <c r="AI61" s="192" t="str">
        <f>IF(AND($C61&lt;&gt;"",$E61&lt;&gt;""),(VLOOKUP($C61,'V-LOOKUP'!$C$61:$M$120,4,FALSE)),"0")</f>
        <v>0</v>
      </c>
      <c r="AJ61" s="192" t="str">
        <f>IF(AND($C61&lt;&gt;"",$E61&lt;&gt;""),(VLOOKUP($C61,'V-LOOKUP'!$C$61:$M$120,5,FALSE)),"0")</f>
        <v>0</v>
      </c>
      <c r="AK61" s="192" t="str">
        <f>IF(AND($C61&lt;&gt;"",$E61&lt;&gt;""),(VLOOKUP($C61,'V-LOOKUP'!$C$61:$M$120,6,FALSE)),"0")</f>
        <v>0</v>
      </c>
      <c r="AL61" s="192" t="str">
        <f>IF(AND($C61&lt;&gt;"",$E61&lt;&gt;""),(VLOOKUP($C61,'V-LOOKUP'!$C$61:$M$120,7,FALSE)),"0")</f>
        <v>0</v>
      </c>
      <c r="AM61" s="192" t="str">
        <f>IF(AND($C61&lt;&gt;"",$E61&lt;&gt;""),(VLOOKUP($C61,'V-LOOKUP'!$C$61:$M$120,8,FALSE)),"0")</f>
        <v>0</v>
      </c>
      <c r="AN61" s="192" t="str">
        <f>IF(AND($C61&lt;&gt;"",$E61&lt;&gt;""),(VLOOKUP($C61,'V-LOOKUP'!$C$61:$M$120,9,FALSE)),"0")</f>
        <v>0</v>
      </c>
      <c r="AO61" s="192" t="str">
        <f>IF(AND($C61&lt;&gt;"",$E61&lt;&gt;""),(VLOOKUP($C61,'V-LOOKUP'!$C$61:$M$120,10,FALSE)),"0")</f>
        <v>0</v>
      </c>
      <c r="AP61" s="192" t="str">
        <f>IF(AND($C61&lt;&gt;"",$E61&lt;&gt;""),(VLOOKUP($C61,'V-LOOKUP'!$C$61:$M$120,11,FALSE)),"0")</f>
        <v>0</v>
      </c>
      <c r="AQ61" s="192" t="str">
        <f>IF(AND($C61&lt;&gt;"",$E61&lt;&gt;""),(VLOOKUP($C61,'V-LOOKUP'!$C$61:$N$120,12,FALSE)),"0")</f>
        <v>0</v>
      </c>
      <c r="AR61" s="192" t="str">
        <f>IF(AND($C61&lt;&gt;"",$F61&lt;&gt;""),(VLOOKUP($C61,'V-LOOKUP'!$C$61:$M$120,4,FALSE)),"0")</f>
        <v>0</v>
      </c>
      <c r="AS61" s="192" t="str">
        <f>IF(AND($C61&lt;&gt;"",$F61&lt;&gt;""),(VLOOKUP($C61,'V-LOOKUP'!$C$61:$M$120,5,FALSE)),"0")</f>
        <v>0</v>
      </c>
      <c r="AT61" s="192" t="str">
        <f>IF(AND($C61&lt;&gt;"",$F61&lt;&gt;""),(VLOOKUP($C61,'V-LOOKUP'!$C$61:$M$120,6,FALSE)),"0")</f>
        <v>0</v>
      </c>
      <c r="AU61" s="192" t="str">
        <f>IF(AND($C61&lt;&gt;"",$F61&lt;&gt;""),(VLOOKUP($C61,'V-LOOKUP'!$C$61:$M$120,7,FALSE)),"0")</f>
        <v>0</v>
      </c>
      <c r="AV61" s="192" t="str">
        <f>IF(AND($C61&lt;&gt;"",$F61&lt;&gt;""),(VLOOKUP($C61,'V-LOOKUP'!$C$61:$M$120,8,FALSE)),"0")</f>
        <v>0</v>
      </c>
      <c r="AW61" s="192" t="str">
        <f>IF(AND($C61&lt;&gt;"",$F61&lt;&gt;""),(VLOOKUP($C61,'V-LOOKUP'!$C$61:$M$120,9,FALSE)),"0")</f>
        <v>0</v>
      </c>
      <c r="AX61" s="192" t="str">
        <f>IF(AND($C61&lt;&gt;"",$F61&lt;&gt;""),(VLOOKUP($C61,'V-LOOKUP'!$C$61:$M$120,10,FALSE)),"0")</f>
        <v>0</v>
      </c>
      <c r="AY61" s="192" t="str">
        <f>IF(AND($C61&lt;&gt;"",$F61&lt;&gt;""),(VLOOKUP($C61,'V-LOOKUP'!$C$61:$M$120,11,FALSE)),"0")</f>
        <v>0</v>
      </c>
      <c r="AZ61" s="192" t="str">
        <f>IF(AND($C61&lt;&gt;"",$F61&lt;&gt;""),(VLOOKUP($C61,'V-LOOKUP'!$C$61:$N$120,12,FALSE)),"0")</f>
        <v>0</v>
      </c>
      <c r="BA61" s="192" t="str">
        <f>IF(AND($C61&lt;&gt;"",$G61&lt;&gt;""),(VLOOKUP($C61,'V-LOOKUP'!$C$61:$M$120,4,FALSE)),"0")</f>
        <v>0</v>
      </c>
      <c r="BB61" s="192" t="str">
        <f>IF(AND($C61&lt;&gt;"",$G61&lt;&gt;""),(VLOOKUP($C61,'V-LOOKUP'!$C$61:$M$120,5,FALSE)),"0")</f>
        <v>0</v>
      </c>
      <c r="BC61" s="192" t="str">
        <f>IF(AND($C61&lt;&gt;"",$G61&lt;&gt;""),(VLOOKUP($C61,'V-LOOKUP'!$C$61:$M$120,6,FALSE)),"0")</f>
        <v>0</v>
      </c>
      <c r="BD61" s="192" t="str">
        <f>IF(AND($C61&lt;&gt;"",$G61&lt;&gt;""),(VLOOKUP($C61,'V-LOOKUP'!$C$61:$M$120,7,FALSE)),"0")</f>
        <v>0</v>
      </c>
      <c r="BE61" s="192" t="str">
        <f>IF(AND($C61&lt;&gt;"",$G61&lt;&gt;""),(VLOOKUP($C61,'V-LOOKUP'!$C$61:$M$120,8,FALSE)),"0")</f>
        <v>0</v>
      </c>
      <c r="BF61" s="192" t="str">
        <f>IF(AND($C61&lt;&gt;"",$G61&lt;&gt;""),(VLOOKUP($C61,'V-LOOKUP'!$C$61:$M$120,9,FALSE)),"0")</f>
        <v>0</v>
      </c>
      <c r="BG61" s="192" t="str">
        <f>IF(AND($C61&lt;&gt;"",$G61&lt;&gt;""),(VLOOKUP($C61,'V-LOOKUP'!$C$61:$M$120,10,FALSE)),"0")</f>
        <v>0</v>
      </c>
      <c r="BH61" s="192" t="str">
        <f>IF(AND($C61&lt;&gt;"",$G61&lt;&gt;""),(VLOOKUP($C61,'V-LOOKUP'!$C$61:$M$120,11,FALSE)),"0")</f>
        <v>0</v>
      </c>
      <c r="BI61" s="192" t="str">
        <f>IF(AND($C61&lt;&gt;"",$G61&lt;&gt;""),(VLOOKUP($C61,'V-LOOKUP'!$C$61:$N$120,12,FALSE)),"0")</f>
        <v>0</v>
      </c>
      <c r="BJ61" s="192" t="str">
        <f>IF(AND($C61&lt;&gt;"",$H61&lt;&gt;""),(VLOOKUP($C61,'V-LOOKUP'!$C$61:$M$120,4,FALSE)),"0")</f>
        <v>0</v>
      </c>
      <c r="BK61" s="192" t="str">
        <f>IF(AND($C61&lt;&gt;"",$H61&lt;&gt;""),(VLOOKUP($C61,'V-LOOKUP'!$C$61:$M$120,5,FALSE)),"0")</f>
        <v>0</v>
      </c>
      <c r="BL61" s="192" t="str">
        <f>IF(AND($C61&lt;&gt;"",$H61&lt;&gt;""),(VLOOKUP($C61,'V-LOOKUP'!$C$61:$M$120,6,FALSE)),"0")</f>
        <v>0</v>
      </c>
      <c r="BM61" s="192" t="str">
        <f>IF(AND($C61&lt;&gt;"",$H61&lt;&gt;""),(VLOOKUP($C61,'V-LOOKUP'!$C$61:$M$120,7,FALSE)),"0")</f>
        <v>0</v>
      </c>
      <c r="BN61" s="192" t="str">
        <f>IF(AND($C61&lt;&gt;"",$H61&lt;&gt;""),(VLOOKUP($C61,'V-LOOKUP'!$C$61:$M$120,8,FALSE)),"0")</f>
        <v>0</v>
      </c>
      <c r="BO61" s="192" t="str">
        <f>IF(AND($C61&lt;&gt;"",$H61&lt;&gt;""),(VLOOKUP($C61,'V-LOOKUP'!$C$61:$M$120,9,FALSE)),"0")</f>
        <v>0</v>
      </c>
      <c r="BP61" s="192" t="str">
        <f>IF(AND($C61&lt;&gt;"",$H61&lt;&gt;""),(VLOOKUP($C61,'V-LOOKUP'!$C$61:$M$120,10,FALSE)),"0")</f>
        <v>0</v>
      </c>
      <c r="BQ61" s="192" t="str">
        <f>IF(AND($C61&lt;&gt;"",$H61&lt;&gt;""),(VLOOKUP($C61,'V-LOOKUP'!$C$61:$M$120,11,FALSE)),"0")</f>
        <v>0</v>
      </c>
      <c r="BR61" s="192" t="str">
        <f>IF(AND($C61&lt;&gt;"",$H61&lt;&gt;""),(VLOOKUP($C61,'V-LOOKUP'!$C$61:$N$120,12,FALSE)),"0")</f>
        <v>0</v>
      </c>
      <c r="BS61" s="192" t="str">
        <f>IF(AND($C61&lt;&gt;"",$I61&lt;&gt;""),(VLOOKUP($C61,'V-LOOKUP'!$C$61:$M$120,4,FALSE)),"0")</f>
        <v>0</v>
      </c>
      <c r="BT61" s="192" t="str">
        <f>IF(AND($C61&lt;&gt;"",$I61&lt;&gt;""),(VLOOKUP($C61,'V-LOOKUP'!$C$61:$M$120,5,FALSE)),"0")</f>
        <v>0</v>
      </c>
      <c r="BU61" s="192" t="str">
        <f>IF(AND($C61&lt;&gt;"",$I61&lt;&gt;""),(VLOOKUP($C61,'V-LOOKUP'!$C$61:$M$120,6,FALSE)),"0")</f>
        <v>0</v>
      </c>
      <c r="BV61" s="192" t="str">
        <f>IF(AND($C61&lt;&gt;"",$I61&lt;&gt;""),(VLOOKUP($C61,'V-LOOKUP'!$C$61:$M$120,7,FALSE)),"0")</f>
        <v>0</v>
      </c>
      <c r="BW61" s="192" t="str">
        <f>IF(AND($C61&lt;&gt;"",$I61&lt;&gt;""),(VLOOKUP($C61,'V-LOOKUP'!$C$61:$M$120,8,FALSE)),"0")</f>
        <v>0</v>
      </c>
      <c r="BX61" s="192" t="str">
        <f>IF(AND($C61&lt;&gt;"",$I61&lt;&gt;""),(VLOOKUP($C61,'V-LOOKUP'!$C$61:$M$120,9,FALSE)),"0")</f>
        <v>0</v>
      </c>
      <c r="BY61" s="192" t="str">
        <f>IF(AND($C61&lt;&gt;"",$I61&lt;&gt;""),(VLOOKUP($C61,'V-LOOKUP'!$C$61:$M$120,10,FALSE)),"0")</f>
        <v>0</v>
      </c>
      <c r="BZ61" s="192" t="str">
        <f>IF(AND($C61&lt;&gt;"",$I61&lt;&gt;""),(VLOOKUP($C61,'V-LOOKUP'!$C$61:$M$120,11,FALSE)),"0")</f>
        <v>0</v>
      </c>
      <c r="CA61" s="192" t="str">
        <f>IF(AND($C61&lt;&gt;"",$I61&lt;&gt;""),(VLOOKUP($C61,'V-LOOKUP'!$C$61:$N$120,12,FALSE)),"0")</f>
        <v>0</v>
      </c>
      <c r="CB61" s="192" t="str">
        <f>IF(AND($C61&lt;&gt;"",$J61&lt;&gt;""),(VLOOKUP($C61,'V-LOOKUP'!$C$61:$M$120,4,FALSE)),"0")</f>
        <v>0</v>
      </c>
      <c r="CC61" s="192" t="str">
        <f>IF(AND($C61&lt;&gt;"",$J61&lt;&gt;""),(VLOOKUP($C61,'V-LOOKUP'!$C$61:$M$120,5,FALSE)),"0")</f>
        <v>0</v>
      </c>
      <c r="CD61" s="192" t="str">
        <f>IF(AND($C61&lt;&gt;"",$J61&lt;&gt;""),(VLOOKUP($C61,'V-LOOKUP'!$C$61:$M$120,6,FALSE)),"0")</f>
        <v>0</v>
      </c>
      <c r="CE61" s="192" t="str">
        <f>IF(AND($C61&lt;&gt;"",$J61&lt;&gt;""),(VLOOKUP($C61,'V-LOOKUP'!$C$61:$M$120,7,FALSE)),"0")</f>
        <v>0</v>
      </c>
      <c r="CF61" s="192" t="str">
        <f>IF(AND($C61&lt;&gt;"",$J61&lt;&gt;""),(VLOOKUP($C61,'V-LOOKUP'!$C$61:$M$120,8,FALSE)),"0")</f>
        <v>0</v>
      </c>
      <c r="CG61" s="192" t="str">
        <f>IF(AND($C61&lt;&gt;"",$J61&lt;&gt;""),(VLOOKUP($C61,'V-LOOKUP'!$C$61:$M$120,9,FALSE)),"0")</f>
        <v>0</v>
      </c>
      <c r="CH61" s="192" t="str">
        <f>IF(AND($C61&lt;&gt;"",$J61&lt;&gt;""),(VLOOKUP($C61,'V-LOOKUP'!$C$61:$M$120,10,FALSE)),"0")</f>
        <v>0</v>
      </c>
      <c r="CI61" s="192" t="str">
        <f>IF(AND($C61&lt;&gt;"",$J61&lt;&gt;""),(VLOOKUP($C61,'V-LOOKUP'!$C$61:$M$120,11,FALSE)),"0")</f>
        <v>0</v>
      </c>
      <c r="CJ61" s="192" t="str">
        <f>IF(AND($C61&lt;&gt;"",$J61&lt;&gt;""),(VLOOKUP($C61,'V-LOOKUP'!$C$61:$N$120,12,FALSE)),"0")</f>
        <v>0</v>
      </c>
      <c r="CK61" s="192" t="str">
        <f>IF(AND($C61&lt;&gt;"",$K61&lt;&gt;""),(VLOOKUP($C61,'V-LOOKUP'!$C$61:$M$120,4,FALSE)),"0")</f>
        <v>0</v>
      </c>
      <c r="CL61" s="192" t="str">
        <f>IF(AND($C61&lt;&gt;"",$K61&lt;&gt;""),(VLOOKUP($C61,'V-LOOKUP'!$C$61:$M$120,5,FALSE)),"0")</f>
        <v>0</v>
      </c>
      <c r="CM61" s="192" t="str">
        <f>IF(AND($C61&lt;&gt;"",$K61&lt;&gt;""),(VLOOKUP($C61,'V-LOOKUP'!$C$61:$M$120,6,FALSE)),"0")</f>
        <v>0</v>
      </c>
      <c r="CN61" s="192" t="str">
        <f>IF(AND($C61&lt;&gt;"",$K61&lt;&gt;""),(VLOOKUP($C61,'V-LOOKUP'!$C$61:$M$120,7,FALSE)),"0")</f>
        <v>0</v>
      </c>
      <c r="CO61" s="192" t="str">
        <f>IF(AND($C61&lt;&gt;"",$K61&lt;&gt;""),(VLOOKUP($C61,'V-LOOKUP'!$C$61:$M$120,8,FALSE)),"0")</f>
        <v>0</v>
      </c>
      <c r="CP61" s="192" t="str">
        <f>IF(AND($C61&lt;&gt;"",$K61&lt;&gt;""),(VLOOKUP($C61,'V-LOOKUP'!$C$61:$M$120,9,FALSE)),"0")</f>
        <v>0</v>
      </c>
      <c r="CQ61" s="192" t="str">
        <f>IF(AND($C61&lt;&gt;"",$K61&lt;&gt;""),(VLOOKUP($C61,'V-LOOKUP'!$C$61:$M$120,10,FALSE)),"0")</f>
        <v>0</v>
      </c>
      <c r="CR61" s="192" t="str">
        <f>IF(AND($C61&lt;&gt;"",$K61&lt;&gt;""),(VLOOKUP($C61,'V-LOOKUP'!$C$61:$M$120,11,FALSE)),"0")</f>
        <v>0</v>
      </c>
      <c r="CS61" s="192" t="str">
        <f>IF(AND($C61&lt;&gt;"",$K61&lt;&gt;""),(VLOOKUP($C61,'V-LOOKUP'!$C$61:$N$120,12,FALSE)),"0")</f>
        <v>0</v>
      </c>
      <c r="CT61" s="192" t="str">
        <f>IF(AND($C61&lt;&gt;"",$L61&lt;&gt;""),(VLOOKUP($C61,'V-LOOKUP'!$C$61:$M$120,4,FALSE)),"0")</f>
        <v>0</v>
      </c>
      <c r="CU61" s="192" t="str">
        <f>IF(AND($C61&lt;&gt;"",$L61&lt;&gt;""),(VLOOKUP($C61,'V-LOOKUP'!$C$61:$M$120,5,FALSE)),"0")</f>
        <v>0</v>
      </c>
      <c r="CV61" s="192" t="str">
        <f>IF(AND($C61&lt;&gt;"",$L61&lt;&gt;""),(VLOOKUP($C61,'V-LOOKUP'!$C$61:$M$120,6,FALSE)),"0")</f>
        <v>0</v>
      </c>
      <c r="CW61" s="192" t="str">
        <f>IF(AND($C61&lt;&gt;"",$L61&lt;&gt;""),(VLOOKUP($C61,'V-LOOKUP'!$C$61:$M$120,7,FALSE)),"0")</f>
        <v>0</v>
      </c>
      <c r="CX61" s="192" t="str">
        <f>IF(AND($C61&lt;&gt;"",$L61&lt;&gt;""),(VLOOKUP($C61,'V-LOOKUP'!$C$61:$M$120,8,FALSE)),"0")</f>
        <v>0</v>
      </c>
      <c r="CY61" s="192" t="str">
        <f>IF(AND($C61&lt;&gt;"",$L61&lt;&gt;""),(VLOOKUP($C61,'V-LOOKUP'!$C$61:$M$120,9,FALSE)),"0")</f>
        <v>0</v>
      </c>
      <c r="CZ61" s="192" t="str">
        <f>IF(AND($C61&lt;&gt;"",$L61&lt;&gt;""),(VLOOKUP($C61,'V-LOOKUP'!$C$61:$M$120,10,FALSE)),"0")</f>
        <v>0</v>
      </c>
      <c r="DA61" s="192" t="str">
        <f>IF(AND($C61&lt;&gt;"",$L61&lt;&gt;""),(VLOOKUP($C61,'V-LOOKUP'!$C$61:$M$120,11,FALSE)),"0")</f>
        <v>0</v>
      </c>
      <c r="DB61" s="192" t="str">
        <f>IF(AND($C61&lt;&gt;"",$L61&lt;&gt;""),(VLOOKUP($C61,'V-LOOKUP'!$C$61:$N$120,12,FALSE)),"0")</f>
        <v>0</v>
      </c>
      <c r="DC61" s="192" t="str">
        <f>IF(AND($C61&lt;&gt;"",$M61&lt;&gt;""),(VLOOKUP($C61,'V-LOOKUP'!$C$61:$M$120,4,FALSE)),"0")</f>
        <v>0</v>
      </c>
      <c r="DD61" s="192" t="str">
        <f>IF(AND($C61&lt;&gt;"",$M61&lt;&gt;""),(VLOOKUP($C61,'V-LOOKUP'!$C$61:$M$120,5,FALSE)),"0")</f>
        <v>0</v>
      </c>
      <c r="DE61" s="192" t="str">
        <f>IF(AND($C61&lt;&gt;"",$M61&lt;&gt;""),(VLOOKUP($C61,'V-LOOKUP'!$C$61:$M$120,6,FALSE)),"0")</f>
        <v>0</v>
      </c>
      <c r="DF61" s="192" t="str">
        <f>IF(AND($C61&lt;&gt;"",$M61&lt;&gt;""),(VLOOKUP($C61,'V-LOOKUP'!$C$61:$M$120,7,FALSE)),"0")</f>
        <v>0</v>
      </c>
      <c r="DG61" s="192" t="str">
        <f>IF(AND($C61&lt;&gt;"",$M61&lt;&gt;""),(VLOOKUP($C61,'V-LOOKUP'!$C$61:$M$120,8,FALSE)),"0")</f>
        <v>0</v>
      </c>
      <c r="DH61" s="192" t="str">
        <f>IF(AND($C61&lt;&gt;"",$M61&lt;&gt;""),(VLOOKUP($C61,'V-LOOKUP'!$C$61:$M$120,9,FALSE)),"0")</f>
        <v>0</v>
      </c>
      <c r="DI61" s="192" t="str">
        <f>IF(AND($C61&lt;&gt;"",$M61&lt;&gt;""),(VLOOKUP($C61,'V-LOOKUP'!$C$61:$M$120,10,FALSE)),"0")</f>
        <v>0</v>
      </c>
      <c r="DJ61" s="192" t="str">
        <f>IF(AND($C61&lt;&gt;"",$M61&lt;&gt;""),(VLOOKUP($C61,'V-LOOKUP'!$C$61:$M$120,11,FALSE)),"0")</f>
        <v>0</v>
      </c>
      <c r="DK61" s="192" t="str">
        <f>IF(AND($C61&lt;&gt;"",$M61&lt;&gt;""),(VLOOKUP($C61,'V-LOOKUP'!$C$61:$N$120,12,FALSE)),"0")</f>
        <v>0</v>
      </c>
      <c r="DL61" s="192" t="str">
        <f>IF(AND($C61&lt;&gt;"",$N61&lt;&gt;""),(VLOOKUP($C61,'V-LOOKUP'!$C$61:$M$120,4,FALSE)),"0")</f>
        <v>0</v>
      </c>
      <c r="DM61" s="192" t="str">
        <f>IF(AND($C61&lt;&gt;"",$N61&lt;&gt;""),(VLOOKUP($C61,'V-LOOKUP'!$C$61:$M$120,5,FALSE)),"0")</f>
        <v>0</v>
      </c>
      <c r="DN61" s="192" t="str">
        <f>IF(AND($C61&lt;&gt;"",$N61&lt;&gt;""),(VLOOKUP($C61,'V-LOOKUP'!$C$61:$M$120,6,FALSE)),"0")</f>
        <v>0</v>
      </c>
      <c r="DO61" s="192" t="str">
        <f>IF(AND($C61&lt;&gt;"",$N61&lt;&gt;""),(VLOOKUP($C61,'V-LOOKUP'!$C$61:$M$120,7,FALSE)),"0")</f>
        <v>0</v>
      </c>
      <c r="DP61" s="192" t="str">
        <f>IF(AND($C61&lt;&gt;"",$N61&lt;&gt;""),(VLOOKUP($C61,'V-LOOKUP'!$C$61:$M$120,8,FALSE)),"0")</f>
        <v>0</v>
      </c>
      <c r="DQ61" s="192" t="str">
        <f>IF(AND($C61&lt;&gt;"",$N61&lt;&gt;""),(VLOOKUP($C61,'V-LOOKUP'!$C$61:$M$120,9,FALSE)),"0")</f>
        <v>0</v>
      </c>
      <c r="DR61" s="192" t="str">
        <f>IF(AND($C61&lt;&gt;"",$N61&lt;&gt;""),(VLOOKUP($C61,'V-LOOKUP'!$C$61:$M$120,10,FALSE)),"0")</f>
        <v>0</v>
      </c>
      <c r="DS61" s="192" t="str">
        <f>IF(AND($C61&lt;&gt;"",$N61&lt;&gt;""),(VLOOKUP($C61,'V-LOOKUP'!$C$61:$M$120,11,FALSE)),"0")</f>
        <v>0</v>
      </c>
      <c r="DT61" s="192" t="str">
        <f>IF(AND($C61&lt;&gt;"",$N61&lt;&gt;""),(VLOOKUP($C61,'V-LOOKUP'!$C$61:$N$120,12,FALSE)),"0")</f>
        <v>0</v>
      </c>
      <c r="DU61" s="192" t="str">
        <f>IF(AND($C61&lt;&gt;"",$O61&lt;&gt;""),(VLOOKUP($C61,'V-LOOKUP'!$C$61:$M$120,4,FALSE)),"0")</f>
        <v>0</v>
      </c>
      <c r="DV61" s="192" t="str">
        <f>IF(AND($C61&lt;&gt;"",$O61&lt;&gt;""),(VLOOKUP($C61,'V-LOOKUP'!$C$61:$M$120,5,FALSE)),"0")</f>
        <v>0</v>
      </c>
      <c r="DW61" s="192" t="str">
        <f>IF(AND($C61&lt;&gt;"",$O61&lt;&gt;""),(VLOOKUP($C61,'V-LOOKUP'!$C$61:$M$120,6,FALSE)),"0")</f>
        <v>0</v>
      </c>
      <c r="DX61" s="192" t="str">
        <f>IF(AND($C61&lt;&gt;"",$O61&lt;&gt;""),(VLOOKUP($C61,'V-LOOKUP'!$C$61:$M$120,7,FALSE)),"0")</f>
        <v>0</v>
      </c>
      <c r="DY61" s="192" t="str">
        <f>IF(AND($C61&lt;&gt;"",$O61&lt;&gt;""),(VLOOKUP($C61,'V-LOOKUP'!$C$61:$M$120,8,FALSE)),"0")</f>
        <v>0</v>
      </c>
      <c r="DZ61" s="192" t="str">
        <f>IF(AND($C61&lt;&gt;"",$O61&lt;&gt;""),(VLOOKUP($C61,'V-LOOKUP'!$C$61:$M$120,9,FALSE)),"0")</f>
        <v>0</v>
      </c>
      <c r="EA61" s="192" t="str">
        <f>IF(AND($C61&lt;&gt;"",$O61&lt;&gt;""),(VLOOKUP($C61,'V-LOOKUP'!$C$61:$M$120,10,FALSE)),"0")</f>
        <v>0</v>
      </c>
      <c r="EB61" s="192" t="str">
        <f>IF(AND($C61&lt;&gt;"",$O61&lt;&gt;""),(VLOOKUP($C61,'V-LOOKUP'!$C$61:$M$120,11,FALSE)),"0")</f>
        <v>0</v>
      </c>
      <c r="EC61" s="192" t="str">
        <f>IF(AND($C61&lt;&gt;"",$O61&lt;&gt;""),(VLOOKUP($C61,'V-LOOKUP'!$C$61:$N$120,12,FALSE)),"0")</f>
        <v>0</v>
      </c>
      <c r="ED61" s="192" t="str">
        <f>IF(AND($C61&lt;&gt;"",$P61&lt;&gt;""),(VLOOKUP($C61,'V-LOOKUP'!$C$61:$M$120,4,FALSE)),"0")</f>
        <v>0</v>
      </c>
      <c r="EE61" s="192" t="str">
        <f>IF(AND($C61&lt;&gt;"",$P61&lt;&gt;""),(VLOOKUP($C61,'V-LOOKUP'!$C$61:$M$120,5,FALSE)),"0")</f>
        <v>0</v>
      </c>
      <c r="EF61" s="192" t="str">
        <f>IF(AND($C61&lt;&gt;"",$P61&lt;&gt;""),(VLOOKUP($C61,'V-LOOKUP'!$C$61:$M$120,6,FALSE)),"0")</f>
        <v>0</v>
      </c>
      <c r="EG61" s="192" t="str">
        <f>IF(AND($C61&lt;&gt;"",$P61&lt;&gt;""),(VLOOKUP($C61,'V-LOOKUP'!$C$61:$M$120,7,FALSE)),"0")</f>
        <v>0</v>
      </c>
      <c r="EH61" s="192" t="str">
        <f>IF(AND($C61&lt;&gt;"",$P61&lt;&gt;""),(VLOOKUP($C61,'V-LOOKUP'!$C$61:$M$120,8,FALSE)),"0")</f>
        <v>0</v>
      </c>
      <c r="EI61" s="192" t="str">
        <f>IF(AND($C61&lt;&gt;"",$P61&lt;&gt;""),(VLOOKUP($C61,'V-LOOKUP'!$C$61:$M$120,9,FALSE)),"0")</f>
        <v>0</v>
      </c>
      <c r="EJ61" s="192" t="str">
        <f>IF(AND($C61&lt;&gt;"",$P61&lt;&gt;""),(VLOOKUP($C61,'V-LOOKUP'!$C$61:$M$120,10,FALSE)),"0")</f>
        <v>0</v>
      </c>
      <c r="EK61" s="192" t="str">
        <f>IF(AND($C61&lt;&gt;"",$P61&lt;&gt;""),(VLOOKUP($C61,'V-LOOKUP'!$C$61:$M$120,11,FALSE)),"0")</f>
        <v>0</v>
      </c>
      <c r="EL61" s="192" t="str">
        <f>IF(AND($C61&lt;&gt;"",$P61&lt;&gt;""),(VLOOKUP($C61,'V-LOOKUP'!$C$61:$N$120,12,FALSE)),"0")</f>
        <v>0</v>
      </c>
      <c r="EM61" s="192" t="str">
        <f>IF(AND($C61&lt;&gt;"",$Q61&lt;&gt;""),(VLOOKUP($C61,'V-LOOKUP'!$C$61:$M$120,4,FALSE)),"0")</f>
        <v>0</v>
      </c>
      <c r="EN61" s="192" t="str">
        <f>IF(AND($C61&lt;&gt;"",$Q61&lt;&gt;""),(VLOOKUP($C61,'V-LOOKUP'!$C$61:$M$120,5,FALSE)),"0")</f>
        <v>0</v>
      </c>
      <c r="EO61" s="192" t="str">
        <f>IF(AND($C61&lt;&gt;"",$Q61&lt;&gt;""),(VLOOKUP($C61,'V-LOOKUP'!$C$61:$M$120,6,FALSE)),"0")</f>
        <v>0</v>
      </c>
      <c r="EP61" s="192" t="str">
        <f>IF(AND($C61&lt;&gt;"",$Q61&lt;&gt;""),(VLOOKUP($C61,'V-LOOKUP'!$C$61:$M$120,7,FALSE)),"0")</f>
        <v>0</v>
      </c>
      <c r="EQ61" s="192" t="str">
        <f>IF(AND($C61&lt;&gt;"",$Q61&lt;&gt;""),(VLOOKUP($C61,'V-LOOKUP'!$C$61:$M$120,8,FALSE)),"0")</f>
        <v>0</v>
      </c>
      <c r="ER61" s="192" t="str">
        <f>IF(AND($C61&lt;&gt;"",$Q61&lt;&gt;""),(VLOOKUP($C61,'V-LOOKUP'!$C$61:$M$120,9,FALSE)),"0")</f>
        <v>0</v>
      </c>
      <c r="ES61" s="192" t="str">
        <f>IF(AND($C61&lt;&gt;"",$Q61&lt;&gt;""),(VLOOKUP($C61,'V-LOOKUP'!$C$61:$M$120,10,FALSE)),"0")</f>
        <v>0</v>
      </c>
      <c r="ET61" s="192" t="str">
        <f>IF(AND($C61&lt;&gt;"",$Q61&lt;&gt;""),(VLOOKUP($C61,'V-LOOKUP'!$C$61:$M$120,11,FALSE)),"0")</f>
        <v>0</v>
      </c>
      <c r="EU61" s="192" t="str">
        <f>IF(AND($C61&lt;&gt;"",$Q61&lt;&gt;""),(VLOOKUP($C61,'V-LOOKUP'!$C$61:$N$120,12,FALSE)),"0")</f>
        <v>0</v>
      </c>
      <c r="EV61" s="192" t="str">
        <f>IF(AND($C61&lt;&gt;"",$R61&lt;&gt;""),(VLOOKUP($C61,'V-LOOKUP'!$C$61:$M$120,4,FALSE)),"0")</f>
        <v>0</v>
      </c>
      <c r="EW61" s="192" t="str">
        <f>IF(AND($C61&lt;&gt;"",$R61&lt;&gt;""),(VLOOKUP($C61,'V-LOOKUP'!$C$61:$M$120,5,FALSE)),"0")</f>
        <v>0</v>
      </c>
      <c r="EX61" s="192" t="str">
        <f>IF(AND($C61&lt;&gt;"",$R61&lt;&gt;""),(VLOOKUP($C61,'V-LOOKUP'!$C$61:$M$120,6,FALSE)),"0")</f>
        <v>0</v>
      </c>
      <c r="EY61" s="192" t="str">
        <f>IF(AND($C61&lt;&gt;"",$R61&lt;&gt;""),(VLOOKUP($C61,'V-LOOKUP'!$C$61:$M$120,7,FALSE)),"0")</f>
        <v>0</v>
      </c>
      <c r="EZ61" s="192" t="str">
        <f>IF(AND($C61&lt;&gt;"",$R61&lt;&gt;""),(VLOOKUP($C61,'V-LOOKUP'!$C$61:$M$120,8,FALSE)),"0")</f>
        <v>0</v>
      </c>
      <c r="FA61" s="192" t="str">
        <f>IF(AND($C61&lt;&gt;"",$R61&lt;&gt;""),(VLOOKUP($C61,'V-LOOKUP'!$C$61:$M$120,9,FALSE)),"0")</f>
        <v>0</v>
      </c>
      <c r="FB61" s="192" t="str">
        <f>IF(AND($C61&lt;&gt;"",$R61&lt;&gt;""),(VLOOKUP($C61,'V-LOOKUP'!$C$61:$M$120,10,FALSE)),"0")</f>
        <v>0</v>
      </c>
      <c r="FC61" s="192" t="str">
        <f>IF(AND($C61&lt;&gt;"",$R61&lt;&gt;""),(VLOOKUP($C61,'V-LOOKUP'!$C$61:$M$120,11,FALSE)),"0")</f>
        <v>0</v>
      </c>
      <c r="FD61" s="192" t="str">
        <f>IF(AND($C61&lt;&gt;"",$R61&lt;&gt;""),(VLOOKUP($C61,'V-LOOKUP'!$C$61:$N$120,12,FALSE)),"0")</f>
        <v>0</v>
      </c>
      <c r="FE61" s="192" t="str">
        <f>IF(AND($C61&lt;&gt;"",$S61&lt;&gt;""),(VLOOKUP($C61,'V-LOOKUP'!$C$61:$M$120,4,FALSE)),"0")</f>
        <v>0</v>
      </c>
      <c r="FF61" s="192" t="str">
        <f>IF(AND($C61&lt;&gt;"",$S61&lt;&gt;""),(VLOOKUP($C61,'V-LOOKUP'!$C$61:$M$120,5,FALSE)),"0")</f>
        <v>0</v>
      </c>
      <c r="FG61" s="192" t="str">
        <f>IF(AND($C61&lt;&gt;"",$S61&lt;&gt;""),(VLOOKUP($C61,'V-LOOKUP'!$C$61:$M$120,6,FALSE)),"0")</f>
        <v>0</v>
      </c>
      <c r="FH61" s="192" t="str">
        <f>IF(AND($C61&lt;&gt;"",$S61&lt;&gt;""),(VLOOKUP($C61,'V-LOOKUP'!$C$61:$M$120,7,FALSE)),"0")</f>
        <v>0</v>
      </c>
      <c r="FI61" s="192" t="str">
        <f>IF(AND($C61&lt;&gt;"",$S61&lt;&gt;""),(VLOOKUP($C61,'V-LOOKUP'!$C$61:$M$120,8,FALSE)),"0")</f>
        <v>0</v>
      </c>
      <c r="FJ61" s="192" t="str">
        <f>IF(AND($C61&lt;&gt;"",$S61&lt;&gt;""),(VLOOKUP($C61,'V-LOOKUP'!$C$61:$M$120,9,FALSE)),"0")</f>
        <v>0</v>
      </c>
      <c r="FK61" s="192" t="str">
        <f>IF(AND($C61&lt;&gt;"",$S61&lt;&gt;""),(VLOOKUP($C61,'V-LOOKUP'!$C$61:$M$120,10,FALSE)),"0")</f>
        <v>0</v>
      </c>
      <c r="FL61" s="192" t="str">
        <f>IF(AND($C61&lt;&gt;"",$S61&lt;&gt;""),(VLOOKUP($C61,'V-LOOKUP'!$C$61:$M$120,11,FALSE)),"0")</f>
        <v>0</v>
      </c>
      <c r="FM61" s="192" t="str">
        <f>IF(AND($C61&lt;&gt;"",$S61&lt;&gt;""),(VLOOKUP($C61,'V-LOOKUP'!$C$61:$N$120,12,FALSE)),"0")</f>
        <v>0</v>
      </c>
      <c r="FN61" s="192" t="str">
        <f>IF(AND($C61&lt;&gt;"",$T61&lt;&gt;""),(VLOOKUP($C61,'V-LOOKUP'!$C$61:$M$120,4,FALSE)),"0")</f>
        <v>0</v>
      </c>
      <c r="FO61" s="192" t="str">
        <f>IF(AND($C61&lt;&gt;"",$T61&lt;&gt;""),(VLOOKUP($C61,'V-LOOKUP'!$C$61:$M$120,5,FALSE)),"0")</f>
        <v>0</v>
      </c>
      <c r="FP61" s="192" t="str">
        <f>IF(AND($C61&lt;&gt;"",$T61&lt;&gt;""),(VLOOKUP($C61,'V-LOOKUP'!$C$61:$M$120,6,FALSE)),"0")</f>
        <v>0</v>
      </c>
      <c r="FQ61" s="192" t="str">
        <f>IF(AND($C61&lt;&gt;"",$T61&lt;&gt;""),(VLOOKUP($C61,'V-LOOKUP'!$C$61:$M$120,7,FALSE)),"0")</f>
        <v>0</v>
      </c>
      <c r="FR61" s="192" t="str">
        <f>IF(AND($C61&lt;&gt;"",$T61&lt;&gt;""),(VLOOKUP($C61,'V-LOOKUP'!$C$61:$M$120,8,FALSE)),"0")</f>
        <v>0</v>
      </c>
      <c r="FS61" s="192" t="str">
        <f>IF(AND($C61&lt;&gt;"",$T61&lt;&gt;""),(VLOOKUP($C61,'V-LOOKUP'!$C$61:$M$120,9,FALSE)),"0")</f>
        <v>0</v>
      </c>
      <c r="FT61" s="192" t="str">
        <f>IF(AND($C61&lt;&gt;"",$T61&lt;&gt;""),(VLOOKUP($C61,'V-LOOKUP'!$C$61:$M$120,10,FALSE)),"0")</f>
        <v>0</v>
      </c>
      <c r="FU61" s="192" t="str">
        <f>IF(AND($C61&lt;&gt;"",$T61&lt;&gt;""),(VLOOKUP($C61,'V-LOOKUP'!$C$61:$M$120,11,FALSE)),"0")</f>
        <v>0</v>
      </c>
      <c r="FV61" s="192" t="str">
        <f>IF(AND($C61&lt;&gt;"",$T61&lt;&gt;""),(VLOOKUP($C61,'V-LOOKUP'!$C$61:$N$120,12,FALSE)),"0")</f>
        <v>0</v>
      </c>
      <c r="FW61" s="192" t="str">
        <f>IF(AND($C61&lt;&gt;"",$U61&lt;&gt;""),(VLOOKUP($C61,'V-LOOKUP'!$C$61:$M$120,4,FALSE)),"0")</f>
        <v>0</v>
      </c>
      <c r="FX61" s="192" t="str">
        <f>IF(AND($C61&lt;&gt;"",$U61&lt;&gt;""),(VLOOKUP($C61,'V-LOOKUP'!$C$61:$M$120,5,FALSE)),"0")</f>
        <v>0</v>
      </c>
      <c r="FY61" s="192" t="str">
        <f>IF(AND($C61&lt;&gt;"",$U61&lt;&gt;""),(VLOOKUP($C61,'V-LOOKUP'!$C$61:$M$120,6,FALSE)),"0")</f>
        <v>0</v>
      </c>
      <c r="FZ61" s="192" t="str">
        <f>IF(AND($C61&lt;&gt;"",$U61&lt;&gt;""),(VLOOKUP($C61,'V-LOOKUP'!$C$61:$M$120,7,FALSE)),"0")</f>
        <v>0</v>
      </c>
      <c r="GA61" s="192" t="str">
        <f>IF(AND($C61&lt;&gt;"",$U61&lt;&gt;""),(VLOOKUP($C61,'V-LOOKUP'!$C$61:$M$120,8,FALSE)),"0")</f>
        <v>0</v>
      </c>
      <c r="GB61" s="192" t="str">
        <f>IF(AND($C61&lt;&gt;"",$U61&lt;&gt;""),(VLOOKUP($C61,'V-LOOKUP'!$C$61:$M$120,9,FALSE)),"0")</f>
        <v>0</v>
      </c>
      <c r="GC61" s="192" t="str">
        <f>IF(AND($C61&lt;&gt;"",$U61&lt;&gt;""),(VLOOKUP($C61,'V-LOOKUP'!$C$61:$M$120,10,FALSE)),"0")</f>
        <v>0</v>
      </c>
      <c r="GD61" s="192" t="str">
        <f>IF(AND($C61&lt;&gt;"",$U61&lt;&gt;""),(VLOOKUP($C61,'V-LOOKUP'!$C$61:$M$120,11,FALSE)),"0")</f>
        <v>0</v>
      </c>
      <c r="GE61" s="192" t="str">
        <f>IF(AND($C61&lt;&gt;"",$U61&lt;&gt;""),(VLOOKUP($C61,'V-LOOKUP'!$C$61:$N$120,12,FALSE)),"0")</f>
        <v>0</v>
      </c>
      <c r="GF61" s="192" t="str">
        <f>IF(AND($C61&lt;&gt;"",$V61&lt;&gt;""),(VLOOKUP($C61,'V-LOOKUP'!$C$61:$M$120,4,FALSE)),"0")</f>
        <v>0</v>
      </c>
      <c r="GG61" s="192" t="str">
        <f>IF(AND($C61&lt;&gt;"",V61&lt;&gt;""),(VLOOKUP($C61,'V-LOOKUP'!$C$61:$M$120,5,FALSE)),"0")</f>
        <v>0</v>
      </c>
      <c r="GH61" s="192" t="str">
        <f>IF(AND($C61&lt;&gt;"",$V61&lt;&gt;""),(VLOOKUP($C61,'V-LOOKUP'!$C$61:$M$120,6,FALSE)),"0")</f>
        <v>0</v>
      </c>
      <c r="GI61" s="192" t="str">
        <f>IF(AND($C61&lt;&gt;"",$V61&lt;&gt;""),(VLOOKUP($C61,'V-LOOKUP'!$C$61:$M$120,7,FALSE)),"0")</f>
        <v>0</v>
      </c>
      <c r="GJ61" s="192" t="str">
        <f>IF(AND($C61&lt;&gt;"",$V61&lt;&gt;""),(VLOOKUP($C61,'V-LOOKUP'!$C$61:$M$120,8,FALSE)),"0")</f>
        <v>0</v>
      </c>
      <c r="GK61" s="192" t="str">
        <f>IF(AND($C61&lt;&gt;"",$V61&lt;&gt;""),(VLOOKUP($C61,'V-LOOKUP'!$C$61:$M$120,9,FALSE)),"0")</f>
        <v>0</v>
      </c>
      <c r="GL61" s="192" t="str">
        <f>IF(AND($C61&lt;&gt;"",$V61&lt;&gt;""),(VLOOKUP($C61,'V-LOOKUP'!$C$61:$M$120,10,FALSE)),"0")</f>
        <v>0</v>
      </c>
      <c r="GM61" s="192" t="str">
        <f>IF(AND($C61&lt;&gt;"",$V61&lt;&gt;""),(VLOOKUP($C61,'V-LOOKUP'!$C$61:$M$120,11,FALSE)),"0")</f>
        <v>0</v>
      </c>
      <c r="GN61" s="192" t="str">
        <f>IF(AND($C61&lt;&gt;"",$V61&lt;&gt;""),(VLOOKUP($C61,'V-LOOKUP'!$C$61:$N$120,12,FALSE)),"0")</f>
        <v>0</v>
      </c>
      <c r="GO61" s="192" t="str">
        <f>IF(AND($C61&lt;&gt;"",$W61&lt;&gt;""),(VLOOKUP($C61,'V-LOOKUP'!$C$61:$M$120,4,FALSE)),"0")</f>
        <v>0</v>
      </c>
      <c r="GP61" s="192" t="str">
        <f>IF(AND($C61&lt;&gt;"",$W61&lt;&gt;""),(VLOOKUP($C61,'V-LOOKUP'!$C$61:$M$120,5,FALSE)),"0")</f>
        <v>0</v>
      </c>
      <c r="GQ61" s="192" t="str">
        <f>IF(AND($C61&lt;&gt;"",$W61&lt;&gt;""),(VLOOKUP($C61,'V-LOOKUP'!$C$61:$M$120,6,FALSE)),"0")</f>
        <v>0</v>
      </c>
      <c r="GR61" s="192" t="str">
        <f>IF(AND($C61&lt;&gt;"",$W61&lt;&gt;""),(VLOOKUP($C61,'V-LOOKUP'!$C$61:$M$120,7,FALSE)),"0")</f>
        <v>0</v>
      </c>
      <c r="GS61" s="192" t="str">
        <f>IF(AND($C61&lt;&gt;"",$W61&lt;&gt;""),(VLOOKUP($C61,'V-LOOKUP'!$C$61:$M$120,8,FALSE)),"0")</f>
        <v>0</v>
      </c>
      <c r="GT61" s="192" t="str">
        <f>IF(AND($C61&lt;&gt;"",$W61&lt;&gt;""),(VLOOKUP($C61,'V-LOOKUP'!$C$61:$M$120,9,FALSE)),"0")</f>
        <v>0</v>
      </c>
      <c r="GU61" s="192" t="str">
        <f>IF(AND($C61&lt;&gt;"",$W61&lt;&gt;""),(VLOOKUP($C61,'V-LOOKUP'!$C$61:$M$120,10,FALSE)),"0")</f>
        <v>0</v>
      </c>
      <c r="GV61" s="192" t="str">
        <f>IF(AND($C61&lt;&gt;"",$W61&lt;&gt;""),(VLOOKUP($C61,'V-LOOKUP'!$C$61:$M$120,11,FALSE)),"0")</f>
        <v>0</v>
      </c>
      <c r="GW61" s="192" t="str">
        <f>IF(AND($C61&lt;&gt;"",$W61&lt;&gt;""),(VLOOKUP($C61,'V-LOOKUP'!$C$61:$N$120,12,FALSE)),"0")</f>
        <v>0</v>
      </c>
    </row>
    <row r="62" spans="1:205" ht="14.65" hidden="1" customHeight="1">
      <c r="A62" s="193"/>
      <c r="B62" s="245"/>
      <c r="C62" s="203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Y62" s="190"/>
      <c r="Z62" s="192" t="str">
        <f>IF(AND($C62&lt;&gt;"",$D62&lt;&gt;""),(VLOOKUP($C62,'V-LOOKUP'!$C$61:$M$120,4,FALSE)),"0")</f>
        <v>0</v>
      </c>
      <c r="AA62" s="192" t="str">
        <f>IF(AND($C62&lt;&gt;"",$D62&lt;&gt;""),(VLOOKUP($C62,'V-LOOKUP'!$C$61:$M$120,5,FALSE)),"0")</f>
        <v>0</v>
      </c>
      <c r="AB62" s="192" t="str">
        <f>IF(AND($C62&lt;&gt;"",$D62&lt;&gt;""),(VLOOKUP($C62,'V-LOOKUP'!$C$61:$M$120,6,FALSE)),"0")</f>
        <v>0</v>
      </c>
      <c r="AC62" s="192" t="str">
        <f>IF(AND($C62&lt;&gt;"",$D62&lt;&gt;""),(VLOOKUP($C62,'V-LOOKUP'!$C$61:$M$120,7,FALSE)),"0")</f>
        <v>0</v>
      </c>
      <c r="AD62" s="192" t="str">
        <f>IF(AND($C62&lt;&gt;"",$D62&lt;&gt;""),(VLOOKUP($C62,'V-LOOKUP'!$C$61:$M$120,8,FALSE)),"0")</f>
        <v>0</v>
      </c>
      <c r="AE62" s="192" t="str">
        <f>IF(AND($C62&lt;&gt;"",$D62&lt;&gt;""),(VLOOKUP($C62,'V-LOOKUP'!$C$61:$M$120,9,FALSE)),"0")</f>
        <v>0</v>
      </c>
      <c r="AF62" s="192" t="str">
        <f>IF(AND($C62&lt;&gt;"",$D62&lt;&gt;""),(VLOOKUP($C62,'V-LOOKUP'!$C$61:$M$120,10,FALSE)),"0")</f>
        <v>0</v>
      </c>
      <c r="AG62" s="192" t="str">
        <f>IF(AND($C62&lt;&gt;"",$D62&lt;&gt;""),(VLOOKUP($C62,'V-LOOKUP'!$C$61:$M$120,11,FALSE)),"0")</f>
        <v>0</v>
      </c>
      <c r="AH62" s="192" t="str">
        <f>IF(AND($C62&lt;&gt;"",$D62&lt;&gt;""),(VLOOKUP($C62,'V-LOOKUP'!$C$61:$N$120,12,FALSE)),"0")</f>
        <v>0</v>
      </c>
      <c r="AI62" s="192" t="str">
        <f>IF(AND($C62&lt;&gt;"",$E62&lt;&gt;""),(VLOOKUP($C62,'V-LOOKUP'!$C$61:$M$120,4,FALSE)),"0")</f>
        <v>0</v>
      </c>
      <c r="AJ62" s="192" t="str">
        <f>IF(AND($C62&lt;&gt;"",$E62&lt;&gt;""),(VLOOKUP($C62,'V-LOOKUP'!$C$61:$M$120,5,FALSE)),"0")</f>
        <v>0</v>
      </c>
      <c r="AK62" s="192" t="str">
        <f>IF(AND($C62&lt;&gt;"",$E62&lt;&gt;""),(VLOOKUP($C62,'V-LOOKUP'!$C$61:$M$120,6,FALSE)),"0")</f>
        <v>0</v>
      </c>
      <c r="AL62" s="192" t="str">
        <f>IF(AND($C62&lt;&gt;"",$E62&lt;&gt;""),(VLOOKUP($C62,'V-LOOKUP'!$C$61:$M$120,7,FALSE)),"0")</f>
        <v>0</v>
      </c>
      <c r="AM62" s="192" t="str">
        <f>IF(AND($C62&lt;&gt;"",$E62&lt;&gt;""),(VLOOKUP($C62,'V-LOOKUP'!$C$61:$M$120,8,FALSE)),"0")</f>
        <v>0</v>
      </c>
      <c r="AN62" s="192" t="str">
        <f>IF(AND($C62&lt;&gt;"",$E62&lt;&gt;""),(VLOOKUP($C62,'V-LOOKUP'!$C$61:$M$120,9,FALSE)),"0")</f>
        <v>0</v>
      </c>
      <c r="AO62" s="192" t="str">
        <f>IF(AND($C62&lt;&gt;"",$E62&lt;&gt;""),(VLOOKUP($C62,'V-LOOKUP'!$C$61:$M$120,10,FALSE)),"0")</f>
        <v>0</v>
      </c>
      <c r="AP62" s="192" t="str">
        <f>IF(AND($C62&lt;&gt;"",$E62&lt;&gt;""),(VLOOKUP($C62,'V-LOOKUP'!$C$61:$M$120,11,FALSE)),"0")</f>
        <v>0</v>
      </c>
      <c r="AQ62" s="192" t="str">
        <f>IF(AND($C62&lt;&gt;"",$E62&lt;&gt;""),(VLOOKUP($C62,'V-LOOKUP'!$C$61:$N$120,12,FALSE)),"0")</f>
        <v>0</v>
      </c>
      <c r="AR62" s="192" t="str">
        <f>IF(AND($C62&lt;&gt;"",$F62&lt;&gt;""),(VLOOKUP($C62,'V-LOOKUP'!$C$61:$M$120,4,FALSE)),"0")</f>
        <v>0</v>
      </c>
      <c r="AS62" s="192" t="str">
        <f>IF(AND($C62&lt;&gt;"",$F62&lt;&gt;""),(VLOOKUP($C62,'V-LOOKUP'!$C$61:$M$120,5,FALSE)),"0")</f>
        <v>0</v>
      </c>
      <c r="AT62" s="192" t="str">
        <f>IF(AND($C62&lt;&gt;"",$F62&lt;&gt;""),(VLOOKUP($C62,'V-LOOKUP'!$C$61:$M$120,6,FALSE)),"0")</f>
        <v>0</v>
      </c>
      <c r="AU62" s="192" t="str">
        <f>IF(AND($C62&lt;&gt;"",$F62&lt;&gt;""),(VLOOKUP($C62,'V-LOOKUP'!$C$61:$M$120,7,FALSE)),"0")</f>
        <v>0</v>
      </c>
      <c r="AV62" s="192" t="str">
        <f>IF(AND($C62&lt;&gt;"",$F62&lt;&gt;""),(VLOOKUP($C62,'V-LOOKUP'!$C$61:$M$120,8,FALSE)),"0")</f>
        <v>0</v>
      </c>
      <c r="AW62" s="192" t="str">
        <f>IF(AND($C62&lt;&gt;"",$F62&lt;&gt;""),(VLOOKUP($C62,'V-LOOKUP'!$C$61:$M$120,9,FALSE)),"0")</f>
        <v>0</v>
      </c>
      <c r="AX62" s="192" t="str">
        <f>IF(AND($C62&lt;&gt;"",$F62&lt;&gt;""),(VLOOKUP($C62,'V-LOOKUP'!$C$61:$M$120,10,FALSE)),"0")</f>
        <v>0</v>
      </c>
      <c r="AY62" s="192" t="str">
        <f>IF(AND($C62&lt;&gt;"",$F62&lt;&gt;""),(VLOOKUP($C62,'V-LOOKUP'!$C$61:$M$120,11,FALSE)),"0")</f>
        <v>0</v>
      </c>
      <c r="AZ62" s="192" t="str">
        <f>IF(AND($C62&lt;&gt;"",$F62&lt;&gt;""),(VLOOKUP($C62,'V-LOOKUP'!$C$61:$N$120,12,FALSE)),"0")</f>
        <v>0</v>
      </c>
      <c r="BA62" s="192" t="str">
        <f>IF(AND($C62&lt;&gt;"",$G62&lt;&gt;""),(VLOOKUP($C62,'V-LOOKUP'!$C$61:$M$120,4,FALSE)),"0")</f>
        <v>0</v>
      </c>
      <c r="BB62" s="192" t="str">
        <f>IF(AND($C62&lt;&gt;"",$G62&lt;&gt;""),(VLOOKUP($C62,'V-LOOKUP'!$C$61:$M$120,5,FALSE)),"0")</f>
        <v>0</v>
      </c>
      <c r="BC62" s="192" t="str">
        <f>IF(AND($C62&lt;&gt;"",$G62&lt;&gt;""),(VLOOKUP($C62,'V-LOOKUP'!$C$61:$M$120,6,FALSE)),"0")</f>
        <v>0</v>
      </c>
      <c r="BD62" s="192" t="str">
        <f>IF(AND($C62&lt;&gt;"",$G62&lt;&gt;""),(VLOOKUP($C62,'V-LOOKUP'!$C$61:$M$120,7,FALSE)),"0")</f>
        <v>0</v>
      </c>
      <c r="BE62" s="192" t="str">
        <f>IF(AND($C62&lt;&gt;"",$G62&lt;&gt;""),(VLOOKUP($C62,'V-LOOKUP'!$C$61:$M$120,8,FALSE)),"0")</f>
        <v>0</v>
      </c>
      <c r="BF62" s="192" t="str">
        <f>IF(AND($C62&lt;&gt;"",$G62&lt;&gt;""),(VLOOKUP($C62,'V-LOOKUP'!$C$61:$M$120,9,FALSE)),"0")</f>
        <v>0</v>
      </c>
      <c r="BG62" s="192" t="str">
        <f>IF(AND($C62&lt;&gt;"",$G62&lt;&gt;""),(VLOOKUP($C62,'V-LOOKUP'!$C$61:$M$120,10,FALSE)),"0")</f>
        <v>0</v>
      </c>
      <c r="BH62" s="192" t="str">
        <f>IF(AND($C62&lt;&gt;"",$G62&lt;&gt;""),(VLOOKUP($C62,'V-LOOKUP'!$C$61:$M$120,11,FALSE)),"0")</f>
        <v>0</v>
      </c>
      <c r="BI62" s="192" t="str">
        <f>IF(AND($C62&lt;&gt;"",$G62&lt;&gt;""),(VLOOKUP($C62,'V-LOOKUP'!$C$61:$N$120,12,FALSE)),"0")</f>
        <v>0</v>
      </c>
      <c r="BJ62" s="192" t="str">
        <f>IF(AND($C62&lt;&gt;"",$H62&lt;&gt;""),(VLOOKUP($C62,'V-LOOKUP'!$C$61:$M$120,4,FALSE)),"0")</f>
        <v>0</v>
      </c>
      <c r="BK62" s="192" t="str">
        <f>IF(AND($C62&lt;&gt;"",$H62&lt;&gt;""),(VLOOKUP($C62,'V-LOOKUP'!$C$61:$M$120,5,FALSE)),"0")</f>
        <v>0</v>
      </c>
      <c r="BL62" s="192" t="str">
        <f>IF(AND($C62&lt;&gt;"",$H62&lt;&gt;""),(VLOOKUP($C62,'V-LOOKUP'!$C$61:$M$120,6,FALSE)),"0")</f>
        <v>0</v>
      </c>
      <c r="BM62" s="192" t="str">
        <f>IF(AND($C62&lt;&gt;"",$H62&lt;&gt;""),(VLOOKUP($C62,'V-LOOKUP'!$C$61:$M$120,7,FALSE)),"0")</f>
        <v>0</v>
      </c>
      <c r="BN62" s="192" t="str">
        <f>IF(AND($C62&lt;&gt;"",$H62&lt;&gt;""),(VLOOKUP($C62,'V-LOOKUP'!$C$61:$M$120,8,FALSE)),"0")</f>
        <v>0</v>
      </c>
      <c r="BO62" s="192" t="str">
        <f>IF(AND($C62&lt;&gt;"",$H62&lt;&gt;""),(VLOOKUP($C62,'V-LOOKUP'!$C$61:$M$120,9,FALSE)),"0")</f>
        <v>0</v>
      </c>
      <c r="BP62" s="192" t="str">
        <f>IF(AND($C62&lt;&gt;"",$H62&lt;&gt;""),(VLOOKUP($C62,'V-LOOKUP'!$C$61:$M$120,10,FALSE)),"0")</f>
        <v>0</v>
      </c>
      <c r="BQ62" s="192" t="str">
        <f>IF(AND($C62&lt;&gt;"",$H62&lt;&gt;""),(VLOOKUP($C62,'V-LOOKUP'!$C$61:$M$120,11,FALSE)),"0")</f>
        <v>0</v>
      </c>
      <c r="BR62" s="192" t="str">
        <f>IF(AND($C62&lt;&gt;"",$H62&lt;&gt;""),(VLOOKUP($C62,'V-LOOKUP'!$C$61:$N$120,12,FALSE)),"0")</f>
        <v>0</v>
      </c>
      <c r="BS62" s="192" t="str">
        <f>IF(AND($C62&lt;&gt;"",$I62&lt;&gt;""),(VLOOKUP($C62,'V-LOOKUP'!$C$61:$M$120,4,FALSE)),"0")</f>
        <v>0</v>
      </c>
      <c r="BT62" s="192" t="str">
        <f>IF(AND($C62&lt;&gt;"",$I62&lt;&gt;""),(VLOOKUP($C62,'V-LOOKUP'!$C$61:$M$120,5,FALSE)),"0")</f>
        <v>0</v>
      </c>
      <c r="BU62" s="192" t="str">
        <f>IF(AND($C62&lt;&gt;"",$I62&lt;&gt;""),(VLOOKUP($C62,'V-LOOKUP'!$C$61:$M$120,6,FALSE)),"0")</f>
        <v>0</v>
      </c>
      <c r="BV62" s="192" t="str">
        <f>IF(AND($C62&lt;&gt;"",$I62&lt;&gt;""),(VLOOKUP($C62,'V-LOOKUP'!$C$61:$M$120,7,FALSE)),"0")</f>
        <v>0</v>
      </c>
      <c r="BW62" s="192" t="str">
        <f>IF(AND($C62&lt;&gt;"",$I62&lt;&gt;""),(VLOOKUP($C62,'V-LOOKUP'!$C$61:$M$120,8,FALSE)),"0")</f>
        <v>0</v>
      </c>
      <c r="BX62" s="192" t="str">
        <f>IF(AND($C62&lt;&gt;"",$I62&lt;&gt;""),(VLOOKUP($C62,'V-LOOKUP'!$C$61:$M$120,9,FALSE)),"0")</f>
        <v>0</v>
      </c>
      <c r="BY62" s="192" t="str">
        <f>IF(AND($C62&lt;&gt;"",$I62&lt;&gt;""),(VLOOKUP($C62,'V-LOOKUP'!$C$61:$M$120,10,FALSE)),"0")</f>
        <v>0</v>
      </c>
      <c r="BZ62" s="192" t="str">
        <f>IF(AND($C62&lt;&gt;"",$I62&lt;&gt;""),(VLOOKUP($C62,'V-LOOKUP'!$C$61:$M$120,11,FALSE)),"0")</f>
        <v>0</v>
      </c>
      <c r="CA62" s="192" t="str">
        <f>IF(AND($C62&lt;&gt;"",$I62&lt;&gt;""),(VLOOKUP($C62,'V-LOOKUP'!$C$61:$N$120,12,FALSE)),"0")</f>
        <v>0</v>
      </c>
      <c r="CB62" s="192" t="str">
        <f>IF(AND($C62&lt;&gt;"",$J62&lt;&gt;""),(VLOOKUP($C62,'V-LOOKUP'!$C$61:$M$120,4,FALSE)),"0")</f>
        <v>0</v>
      </c>
      <c r="CC62" s="192" t="str">
        <f>IF(AND($C62&lt;&gt;"",$J62&lt;&gt;""),(VLOOKUP($C62,'V-LOOKUP'!$C$61:$M$120,5,FALSE)),"0")</f>
        <v>0</v>
      </c>
      <c r="CD62" s="192" t="str">
        <f>IF(AND($C62&lt;&gt;"",$J62&lt;&gt;""),(VLOOKUP($C62,'V-LOOKUP'!$C$61:$M$120,6,FALSE)),"0")</f>
        <v>0</v>
      </c>
      <c r="CE62" s="192" t="str">
        <f>IF(AND($C62&lt;&gt;"",$J62&lt;&gt;""),(VLOOKUP($C62,'V-LOOKUP'!$C$61:$M$120,7,FALSE)),"0")</f>
        <v>0</v>
      </c>
      <c r="CF62" s="192" t="str">
        <f>IF(AND($C62&lt;&gt;"",$J62&lt;&gt;""),(VLOOKUP($C62,'V-LOOKUP'!$C$61:$M$120,8,FALSE)),"0")</f>
        <v>0</v>
      </c>
      <c r="CG62" s="192" t="str">
        <f>IF(AND($C62&lt;&gt;"",$J62&lt;&gt;""),(VLOOKUP($C62,'V-LOOKUP'!$C$61:$M$120,9,FALSE)),"0")</f>
        <v>0</v>
      </c>
      <c r="CH62" s="192" t="str">
        <f>IF(AND($C62&lt;&gt;"",$J62&lt;&gt;""),(VLOOKUP($C62,'V-LOOKUP'!$C$61:$M$120,10,FALSE)),"0")</f>
        <v>0</v>
      </c>
      <c r="CI62" s="192" t="str">
        <f>IF(AND($C62&lt;&gt;"",$J62&lt;&gt;""),(VLOOKUP($C62,'V-LOOKUP'!$C$61:$M$120,11,FALSE)),"0")</f>
        <v>0</v>
      </c>
      <c r="CJ62" s="192" t="str">
        <f>IF(AND($C62&lt;&gt;"",$J62&lt;&gt;""),(VLOOKUP($C62,'V-LOOKUP'!$C$61:$N$120,12,FALSE)),"0")</f>
        <v>0</v>
      </c>
      <c r="CK62" s="192" t="str">
        <f>IF(AND($C62&lt;&gt;"",$K62&lt;&gt;""),(VLOOKUP($C62,'V-LOOKUP'!$C$61:$M$120,4,FALSE)),"0")</f>
        <v>0</v>
      </c>
      <c r="CL62" s="192" t="str">
        <f>IF(AND($C62&lt;&gt;"",$K62&lt;&gt;""),(VLOOKUP($C62,'V-LOOKUP'!$C$61:$M$120,5,FALSE)),"0")</f>
        <v>0</v>
      </c>
      <c r="CM62" s="192" t="str">
        <f>IF(AND($C62&lt;&gt;"",$K62&lt;&gt;""),(VLOOKUP($C62,'V-LOOKUP'!$C$61:$M$120,6,FALSE)),"0")</f>
        <v>0</v>
      </c>
      <c r="CN62" s="192" t="str">
        <f>IF(AND($C62&lt;&gt;"",$K62&lt;&gt;""),(VLOOKUP($C62,'V-LOOKUP'!$C$61:$M$120,7,FALSE)),"0")</f>
        <v>0</v>
      </c>
      <c r="CO62" s="192" t="str">
        <f>IF(AND($C62&lt;&gt;"",$K62&lt;&gt;""),(VLOOKUP($C62,'V-LOOKUP'!$C$61:$M$120,8,FALSE)),"0")</f>
        <v>0</v>
      </c>
      <c r="CP62" s="192" t="str">
        <f>IF(AND($C62&lt;&gt;"",$K62&lt;&gt;""),(VLOOKUP($C62,'V-LOOKUP'!$C$61:$M$120,9,FALSE)),"0")</f>
        <v>0</v>
      </c>
      <c r="CQ62" s="192" t="str">
        <f>IF(AND($C62&lt;&gt;"",$K62&lt;&gt;""),(VLOOKUP($C62,'V-LOOKUP'!$C$61:$M$120,10,FALSE)),"0")</f>
        <v>0</v>
      </c>
      <c r="CR62" s="192" t="str">
        <f>IF(AND($C62&lt;&gt;"",$K62&lt;&gt;""),(VLOOKUP($C62,'V-LOOKUP'!$C$61:$M$120,11,FALSE)),"0")</f>
        <v>0</v>
      </c>
      <c r="CS62" s="192" t="str">
        <f>IF(AND($C62&lt;&gt;"",$K62&lt;&gt;""),(VLOOKUP($C62,'V-LOOKUP'!$C$61:$N$120,12,FALSE)),"0")</f>
        <v>0</v>
      </c>
      <c r="CT62" s="192" t="str">
        <f>IF(AND($C62&lt;&gt;"",$L62&lt;&gt;""),(VLOOKUP($C62,'V-LOOKUP'!$C$61:$M$120,4,FALSE)),"0")</f>
        <v>0</v>
      </c>
      <c r="CU62" s="192" t="str">
        <f>IF(AND($C62&lt;&gt;"",$L62&lt;&gt;""),(VLOOKUP($C62,'V-LOOKUP'!$C$61:$M$120,5,FALSE)),"0")</f>
        <v>0</v>
      </c>
      <c r="CV62" s="192" t="str">
        <f>IF(AND($C62&lt;&gt;"",$L62&lt;&gt;""),(VLOOKUP($C62,'V-LOOKUP'!$C$61:$M$120,6,FALSE)),"0")</f>
        <v>0</v>
      </c>
      <c r="CW62" s="192" t="str">
        <f>IF(AND($C62&lt;&gt;"",$L62&lt;&gt;""),(VLOOKUP($C62,'V-LOOKUP'!$C$61:$M$120,7,FALSE)),"0")</f>
        <v>0</v>
      </c>
      <c r="CX62" s="192" t="str">
        <f>IF(AND($C62&lt;&gt;"",$L62&lt;&gt;""),(VLOOKUP($C62,'V-LOOKUP'!$C$61:$M$120,8,FALSE)),"0")</f>
        <v>0</v>
      </c>
      <c r="CY62" s="192" t="str">
        <f>IF(AND($C62&lt;&gt;"",$L62&lt;&gt;""),(VLOOKUP($C62,'V-LOOKUP'!$C$61:$M$120,9,FALSE)),"0")</f>
        <v>0</v>
      </c>
      <c r="CZ62" s="192" t="str">
        <f>IF(AND($C62&lt;&gt;"",$L62&lt;&gt;""),(VLOOKUP($C62,'V-LOOKUP'!$C$61:$M$120,10,FALSE)),"0")</f>
        <v>0</v>
      </c>
      <c r="DA62" s="192" t="str">
        <f>IF(AND($C62&lt;&gt;"",$L62&lt;&gt;""),(VLOOKUP($C62,'V-LOOKUP'!$C$61:$M$120,11,FALSE)),"0")</f>
        <v>0</v>
      </c>
      <c r="DB62" s="192" t="str">
        <f>IF(AND($C62&lt;&gt;"",$L62&lt;&gt;""),(VLOOKUP($C62,'V-LOOKUP'!$C$61:$N$120,12,FALSE)),"0")</f>
        <v>0</v>
      </c>
      <c r="DC62" s="192" t="str">
        <f>IF(AND($C62&lt;&gt;"",$M62&lt;&gt;""),(VLOOKUP($C62,'V-LOOKUP'!$C$61:$M$120,4,FALSE)),"0")</f>
        <v>0</v>
      </c>
      <c r="DD62" s="192" t="str">
        <f>IF(AND($C62&lt;&gt;"",$M62&lt;&gt;""),(VLOOKUP($C62,'V-LOOKUP'!$C$61:$M$120,5,FALSE)),"0")</f>
        <v>0</v>
      </c>
      <c r="DE62" s="192" t="str">
        <f>IF(AND($C62&lt;&gt;"",$M62&lt;&gt;""),(VLOOKUP($C62,'V-LOOKUP'!$C$61:$M$120,6,FALSE)),"0")</f>
        <v>0</v>
      </c>
      <c r="DF62" s="192" t="str">
        <f>IF(AND($C62&lt;&gt;"",$M62&lt;&gt;""),(VLOOKUP($C62,'V-LOOKUP'!$C$61:$M$120,7,FALSE)),"0")</f>
        <v>0</v>
      </c>
      <c r="DG62" s="192" t="str">
        <f>IF(AND($C62&lt;&gt;"",$M62&lt;&gt;""),(VLOOKUP($C62,'V-LOOKUP'!$C$61:$M$120,8,FALSE)),"0")</f>
        <v>0</v>
      </c>
      <c r="DH62" s="192" t="str">
        <f>IF(AND($C62&lt;&gt;"",$M62&lt;&gt;""),(VLOOKUP($C62,'V-LOOKUP'!$C$61:$M$120,9,FALSE)),"0")</f>
        <v>0</v>
      </c>
      <c r="DI62" s="192" t="str">
        <f>IF(AND($C62&lt;&gt;"",$M62&lt;&gt;""),(VLOOKUP($C62,'V-LOOKUP'!$C$61:$M$120,10,FALSE)),"0")</f>
        <v>0</v>
      </c>
      <c r="DJ62" s="192" t="str">
        <f>IF(AND($C62&lt;&gt;"",$M62&lt;&gt;""),(VLOOKUP($C62,'V-LOOKUP'!$C$61:$M$120,11,FALSE)),"0")</f>
        <v>0</v>
      </c>
      <c r="DK62" s="192" t="str">
        <f>IF(AND($C62&lt;&gt;"",$M62&lt;&gt;""),(VLOOKUP($C62,'V-LOOKUP'!$C$61:$N$120,12,FALSE)),"0")</f>
        <v>0</v>
      </c>
      <c r="DL62" s="192" t="str">
        <f>IF(AND($C62&lt;&gt;"",$N62&lt;&gt;""),(VLOOKUP($C62,'V-LOOKUP'!$C$61:$M$120,4,FALSE)),"0")</f>
        <v>0</v>
      </c>
      <c r="DM62" s="192" t="str">
        <f>IF(AND($C62&lt;&gt;"",$N62&lt;&gt;""),(VLOOKUP($C62,'V-LOOKUP'!$C$61:$M$120,5,FALSE)),"0")</f>
        <v>0</v>
      </c>
      <c r="DN62" s="192" t="str">
        <f>IF(AND($C62&lt;&gt;"",$N62&lt;&gt;""),(VLOOKUP($C62,'V-LOOKUP'!$C$61:$M$120,6,FALSE)),"0")</f>
        <v>0</v>
      </c>
      <c r="DO62" s="192" t="str">
        <f>IF(AND($C62&lt;&gt;"",$N62&lt;&gt;""),(VLOOKUP($C62,'V-LOOKUP'!$C$61:$M$120,7,FALSE)),"0")</f>
        <v>0</v>
      </c>
      <c r="DP62" s="192" t="str">
        <f>IF(AND($C62&lt;&gt;"",$N62&lt;&gt;""),(VLOOKUP($C62,'V-LOOKUP'!$C$61:$M$120,8,FALSE)),"0")</f>
        <v>0</v>
      </c>
      <c r="DQ62" s="192" t="str">
        <f>IF(AND($C62&lt;&gt;"",$N62&lt;&gt;""),(VLOOKUP($C62,'V-LOOKUP'!$C$61:$M$120,9,FALSE)),"0")</f>
        <v>0</v>
      </c>
      <c r="DR62" s="192" t="str">
        <f>IF(AND($C62&lt;&gt;"",$N62&lt;&gt;""),(VLOOKUP($C62,'V-LOOKUP'!$C$61:$M$120,10,FALSE)),"0")</f>
        <v>0</v>
      </c>
      <c r="DS62" s="192" t="str">
        <f>IF(AND($C62&lt;&gt;"",$N62&lt;&gt;""),(VLOOKUP($C62,'V-LOOKUP'!$C$61:$M$120,11,FALSE)),"0")</f>
        <v>0</v>
      </c>
      <c r="DT62" s="192" t="str">
        <f>IF(AND($C62&lt;&gt;"",$N62&lt;&gt;""),(VLOOKUP($C62,'V-LOOKUP'!$C$61:$N$120,12,FALSE)),"0")</f>
        <v>0</v>
      </c>
      <c r="DU62" s="192" t="str">
        <f>IF(AND($C62&lt;&gt;"",$O62&lt;&gt;""),(VLOOKUP($C62,'V-LOOKUP'!$C$61:$M$120,4,FALSE)),"0")</f>
        <v>0</v>
      </c>
      <c r="DV62" s="192" t="str">
        <f>IF(AND($C62&lt;&gt;"",$O62&lt;&gt;""),(VLOOKUP($C62,'V-LOOKUP'!$C$61:$M$120,5,FALSE)),"0")</f>
        <v>0</v>
      </c>
      <c r="DW62" s="192" t="str">
        <f>IF(AND($C62&lt;&gt;"",$O62&lt;&gt;""),(VLOOKUP($C62,'V-LOOKUP'!$C$61:$M$120,6,FALSE)),"0")</f>
        <v>0</v>
      </c>
      <c r="DX62" s="192" t="str">
        <f>IF(AND($C62&lt;&gt;"",$O62&lt;&gt;""),(VLOOKUP($C62,'V-LOOKUP'!$C$61:$M$120,7,FALSE)),"0")</f>
        <v>0</v>
      </c>
      <c r="DY62" s="192" t="str">
        <f>IF(AND($C62&lt;&gt;"",$O62&lt;&gt;""),(VLOOKUP($C62,'V-LOOKUP'!$C$61:$M$120,8,FALSE)),"0")</f>
        <v>0</v>
      </c>
      <c r="DZ62" s="192" t="str">
        <f>IF(AND($C62&lt;&gt;"",$O62&lt;&gt;""),(VLOOKUP($C62,'V-LOOKUP'!$C$61:$M$120,9,FALSE)),"0")</f>
        <v>0</v>
      </c>
      <c r="EA62" s="192" t="str">
        <f>IF(AND($C62&lt;&gt;"",$O62&lt;&gt;""),(VLOOKUP($C62,'V-LOOKUP'!$C$61:$M$120,10,FALSE)),"0")</f>
        <v>0</v>
      </c>
      <c r="EB62" s="192" t="str">
        <f>IF(AND($C62&lt;&gt;"",$O62&lt;&gt;""),(VLOOKUP($C62,'V-LOOKUP'!$C$61:$M$120,11,FALSE)),"0")</f>
        <v>0</v>
      </c>
      <c r="EC62" s="192" t="str">
        <f>IF(AND($C62&lt;&gt;"",$O62&lt;&gt;""),(VLOOKUP($C62,'V-LOOKUP'!$C$61:$N$120,12,FALSE)),"0")</f>
        <v>0</v>
      </c>
      <c r="ED62" s="192" t="str">
        <f>IF(AND($C62&lt;&gt;"",$P62&lt;&gt;""),(VLOOKUP($C62,'V-LOOKUP'!$C$61:$M$120,4,FALSE)),"0")</f>
        <v>0</v>
      </c>
      <c r="EE62" s="192" t="str">
        <f>IF(AND($C62&lt;&gt;"",$P62&lt;&gt;""),(VLOOKUP($C62,'V-LOOKUP'!$C$61:$M$120,5,FALSE)),"0")</f>
        <v>0</v>
      </c>
      <c r="EF62" s="192" t="str">
        <f>IF(AND($C62&lt;&gt;"",$P62&lt;&gt;""),(VLOOKUP($C62,'V-LOOKUP'!$C$61:$M$120,6,FALSE)),"0")</f>
        <v>0</v>
      </c>
      <c r="EG62" s="192" t="str">
        <f>IF(AND($C62&lt;&gt;"",$P62&lt;&gt;""),(VLOOKUP($C62,'V-LOOKUP'!$C$61:$M$120,7,FALSE)),"0")</f>
        <v>0</v>
      </c>
      <c r="EH62" s="192" t="str">
        <f>IF(AND($C62&lt;&gt;"",$P62&lt;&gt;""),(VLOOKUP($C62,'V-LOOKUP'!$C$61:$M$120,8,FALSE)),"0")</f>
        <v>0</v>
      </c>
      <c r="EI62" s="192" t="str">
        <f>IF(AND($C62&lt;&gt;"",$P62&lt;&gt;""),(VLOOKUP($C62,'V-LOOKUP'!$C$61:$M$120,9,FALSE)),"0")</f>
        <v>0</v>
      </c>
      <c r="EJ62" s="192" t="str">
        <f>IF(AND($C62&lt;&gt;"",$P62&lt;&gt;""),(VLOOKUP($C62,'V-LOOKUP'!$C$61:$M$120,10,FALSE)),"0")</f>
        <v>0</v>
      </c>
      <c r="EK62" s="192" t="str">
        <f>IF(AND($C62&lt;&gt;"",$P62&lt;&gt;""),(VLOOKUP($C62,'V-LOOKUP'!$C$61:$M$120,11,FALSE)),"0")</f>
        <v>0</v>
      </c>
      <c r="EL62" s="192" t="str">
        <f>IF(AND($C62&lt;&gt;"",$P62&lt;&gt;""),(VLOOKUP($C62,'V-LOOKUP'!$C$61:$N$120,12,FALSE)),"0")</f>
        <v>0</v>
      </c>
      <c r="EM62" s="192" t="str">
        <f>IF(AND($C62&lt;&gt;"",$Q62&lt;&gt;""),(VLOOKUP($C62,'V-LOOKUP'!$C$61:$M$120,4,FALSE)),"0")</f>
        <v>0</v>
      </c>
      <c r="EN62" s="192" t="str">
        <f>IF(AND($C62&lt;&gt;"",$Q62&lt;&gt;""),(VLOOKUP($C62,'V-LOOKUP'!$C$61:$M$120,5,FALSE)),"0")</f>
        <v>0</v>
      </c>
      <c r="EO62" s="192" t="str">
        <f>IF(AND($C62&lt;&gt;"",$Q62&lt;&gt;""),(VLOOKUP($C62,'V-LOOKUP'!$C$61:$M$120,6,FALSE)),"0")</f>
        <v>0</v>
      </c>
      <c r="EP62" s="192" t="str">
        <f>IF(AND($C62&lt;&gt;"",$Q62&lt;&gt;""),(VLOOKUP($C62,'V-LOOKUP'!$C$61:$M$120,7,FALSE)),"0")</f>
        <v>0</v>
      </c>
      <c r="EQ62" s="192" t="str">
        <f>IF(AND($C62&lt;&gt;"",$Q62&lt;&gt;""),(VLOOKUP($C62,'V-LOOKUP'!$C$61:$M$120,8,FALSE)),"0")</f>
        <v>0</v>
      </c>
      <c r="ER62" s="192" t="str">
        <f>IF(AND($C62&lt;&gt;"",$Q62&lt;&gt;""),(VLOOKUP($C62,'V-LOOKUP'!$C$61:$M$120,9,FALSE)),"0")</f>
        <v>0</v>
      </c>
      <c r="ES62" s="192" t="str">
        <f>IF(AND($C62&lt;&gt;"",$Q62&lt;&gt;""),(VLOOKUP($C62,'V-LOOKUP'!$C$61:$M$120,10,FALSE)),"0")</f>
        <v>0</v>
      </c>
      <c r="ET62" s="192" t="str">
        <f>IF(AND($C62&lt;&gt;"",$Q62&lt;&gt;""),(VLOOKUP($C62,'V-LOOKUP'!$C$61:$M$120,11,FALSE)),"0")</f>
        <v>0</v>
      </c>
      <c r="EU62" s="192" t="str">
        <f>IF(AND($C62&lt;&gt;"",$Q62&lt;&gt;""),(VLOOKUP($C62,'V-LOOKUP'!$C$61:$N$120,12,FALSE)),"0")</f>
        <v>0</v>
      </c>
      <c r="EV62" s="192" t="str">
        <f>IF(AND($C62&lt;&gt;"",$R62&lt;&gt;""),(VLOOKUP($C62,'V-LOOKUP'!$C$61:$M$120,4,FALSE)),"0")</f>
        <v>0</v>
      </c>
      <c r="EW62" s="192" t="str">
        <f>IF(AND($C62&lt;&gt;"",$R62&lt;&gt;""),(VLOOKUP($C62,'V-LOOKUP'!$C$61:$M$120,5,FALSE)),"0")</f>
        <v>0</v>
      </c>
      <c r="EX62" s="192" t="str">
        <f>IF(AND($C62&lt;&gt;"",$R62&lt;&gt;""),(VLOOKUP($C62,'V-LOOKUP'!$C$61:$M$120,6,FALSE)),"0")</f>
        <v>0</v>
      </c>
      <c r="EY62" s="192" t="str">
        <f>IF(AND($C62&lt;&gt;"",$R62&lt;&gt;""),(VLOOKUP($C62,'V-LOOKUP'!$C$61:$M$120,7,FALSE)),"0")</f>
        <v>0</v>
      </c>
      <c r="EZ62" s="192" t="str">
        <f>IF(AND($C62&lt;&gt;"",$R62&lt;&gt;""),(VLOOKUP($C62,'V-LOOKUP'!$C$61:$M$120,8,FALSE)),"0")</f>
        <v>0</v>
      </c>
      <c r="FA62" s="192" t="str">
        <f>IF(AND($C62&lt;&gt;"",$R62&lt;&gt;""),(VLOOKUP($C62,'V-LOOKUP'!$C$61:$M$120,9,FALSE)),"0")</f>
        <v>0</v>
      </c>
      <c r="FB62" s="192" t="str">
        <f>IF(AND($C62&lt;&gt;"",$R62&lt;&gt;""),(VLOOKUP($C62,'V-LOOKUP'!$C$61:$M$120,10,FALSE)),"0")</f>
        <v>0</v>
      </c>
      <c r="FC62" s="192" t="str">
        <f>IF(AND($C62&lt;&gt;"",$R62&lt;&gt;""),(VLOOKUP($C62,'V-LOOKUP'!$C$61:$M$120,11,FALSE)),"0")</f>
        <v>0</v>
      </c>
      <c r="FD62" s="192" t="str">
        <f>IF(AND($C62&lt;&gt;"",$R62&lt;&gt;""),(VLOOKUP($C62,'V-LOOKUP'!$C$61:$N$120,12,FALSE)),"0")</f>
        <v>0</v>
      </c>
      <c r="FE62" s="192" t="str">
        <f>IF(AND($C62&lt;&gt;"",$S62&lt;&gt;""),(VLOOKUP($C62,'V-LOOKUP'!$C$61:$M$120,4,FALSE)),"0")</f>
        <v>0</v>
      </c>
      <c r="FF62" s="192" t="str">
        <f>IF(AND($C62&lt;&gt;"",$S62&lt;&gt;""),(VLOOKUP($C62,'V-LOOKUP'!$C$61:$M$120,5,FALSE)),"0")</f>
        <v>0</v>
      </c>
      <c r="FG62" s="192" t="str">
        <f>IF(AND($C62&lt;&gt;"",$S62&lt;&gt;""),(VLOOKUP($C62,'V-LOOKUP'!$C$61:$M$120,6,FALSE)),"0")</f>
        <v>0</v>
      </c>
      <c r="FH62" s="192" t="str">
        <f>IF(AND($C62&lt;&gt;"",$S62&lt;&gt;""),(VLOOKUP($C62,'V-LOOKUP'!$C$61:$M$120,7,FALSE)),"0")</f>
        <v>0</v>
      </c>
      <c r="FI62" s="192" t="str">
        <f>IF(AND($C62&lt;&gt;"",$S62&lt;&gt;""),(VLOOKUP($C62,'V-LOOKUP'!$C$61:$M$120,8,FALSE)),"0")</f>
        <v>0</v>
      </c>
      <c r="FJ62" s="192" t="str">
        <f>IF(AND($C62&lt;&gt;"",$S62&lt;&gt;""),(VLOOKUP($C62,'V-LOOKUP'!$C$61:$M$120,9,FALSE)),"0")</f>
        <v>0</v>
      </c>
      <c r="FK62" s="192" t="str">
        <f>IF(AND($C62&lt;&gt;"",$S62&lt;&gt;""),(VLOOKUP($C62,'V-LOOKUP'!$C$61:$M$120,10,FALSE)),"0")</f>
        <v>0</v>
      </c>
      <c r="FL62" s="192" t="str">
        <f>IF(AND($C62&lt;&gt;"",$S62&lt;&gt;""),(VLOOKUP($C62,'V-LOOKUP'!$C$61:$M$120,11,FALSE)),"0")</f>
        <v>0</v>
      </c>
      <c r="FM62" s="192" t="str">
        <f>IF(AND($C62&lt;&gt;"",$S62&lt;&gt;""),(VLOOKUP($C62,'V-LOOKUP'!$C$61:$N$120,12,FALSE)),"0")</f>
        <v>0</v>
      </c>
      <c r="FN62" s="192" t="str">
        <f>IF(AND($C62&lt;&gt;"",$T62&lt;&gt;""),(VLOOKUP($C62,'V-LOOKUP'!$C$61:$M$120,4,FALSE)),"0")</f>
        <v>0</v>
      </c>
      <c r="FO62" s="192" t="str">
        <f>IF(AND($C62&lt;&gt;"",$T62&lt;&gt;""),(VLOOKUP($C62,'V-LOOKUP'!$C$61:$M$120,5,FALSE)),"0")</f>
        <v>0</v>
      </c>
      <c r="FP62" s="192" t="str">
        <f>IF(AND($C62&lt;&gt;"",$T62&lt;&gt;""),(VLOOKUP($C62,'V-LOOKUP'!$C$61:$M$120,6,FALSE)),"0")</f>
        <v>0</v>
      </c>
      <c r="FQ62" s="192" t="str">
        <f>IF(AND($C62&lt;&gt;"",$T62&lt;&gt;""),(VLOOKUP($C62,'V-LOOKUP'!$C$61:$M$120,7,FALSE)),"0")</f>
        <v>0</v>
      </c>
      <c r="FR62" s="192" t="str">
        <f>IF(AND($C62&lt;&gt;"",$T62&lt;&gt;""),(VLOOKUP($C62,'V-LOOKUP'!$C$61:$M$120,8,FALSE)),"0")</f>
        <v>0</v>
      </c>
      <c r="FS62" s="192" t="str">
        <f>IF(AND($C62&lt;&gt;"",$T62&lt;&gt;""),(VLOOKUP($C62,'V-LOOKUP'!$C$61:$M$120,9,FALSE)),"0")</f>
        <v>0</v>
      </c>
      <c r="FT62" s="192" t="str">
        <f>IF(AND($C62&lt;&gt;"",$T62&lt;&gt;""),(VLOOKUP($C62,'V-LOOKUP'!$C$61:$M$120,10,FALSE)),"0")</f>
        <v>0</v>
      </c>
      <c r="FU62" s="192" t="str">
        <f>IF(AND($C62&lt;&gt;"",$T62&lt;&gt;""),(VLOOKUP($C62,'V-LOOKUP'!$C$61:$M$120,11,FALSE)),"0")</f>
        <v>0</v>
      </c>
      <c r="FV62" s="192" t="str">
        <f>IF(AND($C62&lt;&gt;"",$T62&lt;&gt;""),(VLOOKUP($C62,'V-LOOKUP'!$C$61:$N$120,12,FALSE)),"0")</f>
        <v>0</v>
      </c>
      <c r="FW62" s="192" t="str">
        <f>IF(AND($C62&lt;&gt;"",$U62&lt;&gt;""),(VLOOKUP($C62,'V-LOOKUP'!$C$61:$M$120,4,FALSE)),"0")</f>
        <v>0</v>
      </c>
      <c r="FX62" s="192" t="str">
        <f>IF(AND($C62&lt;&gt;"",$U62&lt;&gt;""),(VLOOKUP($C62,'V-LOOKUP'!$C$61:$M$120,5,FALSE)),"0")</f>
        <v>0</v>
      </c>
      <c r="FY62" s="192" t="str">
        <f>IF(AND($C62&lt;&gt;"",$U62&lt;&gt;""),(VLOOKUP($C62,'V-LOOKUP'!$C$61:$M$120,6,FALSE)),"0")</f>
        <v>0</v>
      </c>
      <c r="FZ62" s="192" t="str">
        <f>IF(AND($C62&lt;&gt;"",$U62&lt;&gt;""),(VLOOKUP($C62,'V-LOOKUP'!$C$61:$M$120,7,FALSE)),"0")</f>
        <v>0</v>
      </c>
      <c r="GA62" s="192" t="str">
        <f>IF(AND($C62&lt;&gt;"",$U62&lt;&gt;""),(VLOOKUP($C62,'V-LOOKUP'!$C$61:$M$120,8,FALSE)),"0")</f>
        <v>0</v>
      </c>
      <c r="GB62" s="192" t="str">
        <f>IF(AND($C62&lt;&gt;"",$U62&lt;&gt;""),(VLOOKUP($C62,'V-LOOKUP'!$C$61:$M$120,9,FALSE)),"0")</f>
        <v>0</v>
      </c>
      <c r="GC62" s="192" t="str">
        <f>IF(AND($C62&lt;&gt;"",$U62&lt;&gt;""),(VLOOKUP($C62,'V-LOOKUP'!$C$61:$M$120,10,FALSE)),"0")</f>
        <v>0</v>
      </c>
      <c r="GD62" s="192" t="str">
        <f>IF(AND($C62&lt;&gt;"",$U62&lt;&gt;""),(VLOOKUP($C62,'V-LOOKUP'!$C$61:$M$120,11,FALSE)),"0")</f>
        <v>0</v>
      </c>
      <c r="GE62" s="192" t="str">
        <f>IF(AND($C62&lt;&gt;"",$U62&lt;&gt;""),(VLOOKUP($C62,'V-LOOKUP'!$C$61:$N$120,12,FALSE)),"0")</f>
        <v>0</v>
      </c>
      <c r="GF62" s="192" t="str">
        <f>IF(AND($C62&lt;&gt;"",$V62&lt;&gt;""),(VLOOKUP($C62,'V-LOOKUP'!$C$61:$M$120,4,FALSE)),"0")</f>
        <v>0</v>
      </c>
      <c r="GG62" s="192" t="str">
        <f>IF(AND($C62&lt;&gt;"",V62&lt;&gt;""),(VLOOKUP($C62,'V-LOOKUP'!$C$61:$M$120,5,FALSE)),"0")</f>
        <v>0</v>
      </c>
      <c r="GH62" s="192" t="str">
        <f>IF(AND($C62&lt;&gt;"",$V62&lt;&gt;""),(VLOOKUP($C62,'V-LOOKUP'!$C$61:$M$120,6,FALSE)),"0")</f>
        <v>0</v>
      </c>
      <c r="GI62" s="192" t="str">
        <f>IF(AND($C62&lt;&gt;"",$V62&lt;&gt;""),(VLOOKUP($C62,'V-LOOKUP'!$C$61:$M$120,7,FALSE)),"0")</f>
        <v>0</v>
      </c>
      <c r="GJ62" s="192" t="str">
        <f>IF(AND($C62&lt;&gt;"",$V62&lt;&gt;""),(VLOOKUP($C62,'V-LOOKUP'!$C$61:$M$120,8,FALSE)),"0")</f>
        <v>0</v>
      </c>
      <c r="GK62" s="192" t="str">
        <f>IF(AND($C62&lt;&gt;"",$V62&lt;&gt;""),(VLOOKUP($C62,'V-LOOKUP'!$C$61:$M$120,9,FALSE)),"0")</f>
        <v>0</v>
      </c>
      <c r="GL62" s="192" t="str">
        <f>IF(AND($C62&lt;&gt;"",$V62&lt;&gt;""),(VLOOKUP($C62,'V-LOOKUP'!$C$61:$M$120,10,FALSE)),"0")</f>
        <v>0</v>
      </c>
      <c r="GM62" s="192" t="str">
        <f>IF(AND($C62&lt;&gt;"",$V62&lt;&gt;""),(VLOOKUP($C62,'V-LOOKUP'!$C$61:$M$120,11,FALSE)),"0")</f>
        <v>0</v>
      </c>
      <c r="GN62" s="192" t="str">
        <f>IF(AND($C62&lt;&gt;"",$V62&lt;&gt;""),(VLOOKUP($C62,'V-LOOKUP'!$C$61:$N$120,12,FALSE)),"0")</f>
        <v>0</v>
      </c>
      <c r="GO62" s="192" t="str">
        <f>IF(AND($C62&lt;&gt;"",$W62&lt;&gt;""),(VLOOKUP($C62,'V-LOOKUP'!$C$61:$M$120,4,FALSE)),"0")</f>
        <v>0</v>
      </c>
      <c r="GP62" s="192" t="str">
        <f>IF(AND($C62&lt;&gt;"",$W62&lt;&gt;""),(VLOOKUP($C62,'V-LOOKUP'!$C$61:$M$120,5,FALSE)),"0")</f>
        <v>0</v>
      </c>
      <c r="GQ62" s="192" t="str">
        <f>IF(AND($C62&lt;&gt;"",$W62&lt;&gt;""),(VLOOKUP($C62,'V-LOOKUP'!$C$61:$M$120,6,FALSE)),"0")</f>
        <v>0</v>
      </c>
      <c r="GR62" s="192" t="str">
        <f>IF(AND($C62&lt;&gt;"",$W62&lt;&gt;""),(VLOOKUP($C62,'V-LOOKUP'!$C$61:$M$120,7,FALSE)),"0")</f>
        <v>0</v>
      </c>
      <c r="GS62" s="192" t="str">
        <f>IF(AND($C62&lt;&gt;"",$W62&lt;&gt;""),(VLOOKUP($C62,'V-LOOKUP'!$C$61:$M$120,8,FALSE)),"0")</f>
        <v>0</v>
      </c>
      <c r="GT62" s="192" t="str">
        <f>IF(AND($C62&lt;&gt;"",$W62&lt;&gt;""),(VLOOKUP($C62,'V-LOOKUP'!$C$61:$M$120,9,FALSE)),"0")</f>
        <v>0</v>
      </c>
      <c r="GU62" s="192" t="str">
        <f>IF(AND($C62&lt;&gt;"",$W62&lt;&gt;""),(VLOOKUP($C62,'V-LOOKUP'!$C$61:$M$120,10,FALSE)),"0")</f>
        <v>0</v>
      </c>
      <c r="GV62" s="192" t="str">
        <f>IF(AND($C62&lt;&gt;"",$W62&lt;&gt;""),(VLOOKUP($C62,'V-LOOKUP'!$C$61:$M$120,11,FALSE)),"0")</f>
        <v>0</v>
      </c>
      <c r="GW62" s="192" t="str">
        <f>IF(AND($C62&lt;&gt;"",$W62&lt;&gt;""),(VLOOKUP($C62,'V-LOOKUP'!$C$61:$N$120,12,FALSE)),"0")</f>
        <v>0</v>
      </c>
    </row>
    <row r="63" spans="1:205" ht="14.65" hidden="1" customHeight="1">
      <c r="A63" s="193"/>
      <c r="B63" s="245"/>
      <c r="C63" s="203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Y63" s="190"/>
      <c r="Z63" s="192" t="str">
        <f>IF(AND($C63&lt;&gt;"",$D63&lt;&gt;""),(VLOOKUP($C63,'V-LOOKUP'!$C$61:$M$120,4,FALSE)),"0")</f>
        <v>0</v>
      </c>
      <c r="AA63" s="192" t="str">
        <f>IF(AND($C63&lt;&gt;"",$D63&lt;&gt;""),(VLOOKUP($C63,'V-LOOKUP'!$C$61:$M$120,5,FALSE)),"0")</f>
        <v>0</v>
      </c>
      <c r="AB63" s="192" t="str">
        <f>IF(AND($C63&lt;&gt;"",$D63&lt;&gt;""),(VLOOKUP($C63,'V-LOOKUP'!$C$61:$M$120,6,FALSE)),"0")</f>
        <v>0</v>
      </c>
      <c r="AC63" s="192" t="str">
        <f>IF(AND($C63&lt;&gt;"",$D63&lt;&gt;""),(VLOOKUP($C63,'V-LOOKUP'!$C$61:$M$120,7,FALSE)),"0")</f>
        <v>0</v>
      </c>
      <c r="AD63" s="192" t="str">
        <f>IF(AND($C63&lt;&gt;"",$D63&lt;&gt;""),(VLOOKUP($C63,'V-LOOKUP'!$C$61:$M$120,8,FALSE)),"0")</f>
        <v>0</v>
      </c>
      <c r="AE63" s="192" t="str">
        <f>IF(AND($C63&lt;&gt;"",$D63&lt;&gt;""),(VLOOKUP($C63,'V-LOOKUP'!$C$61:$M$120,9,FALSE)),"0")</f>
        <v>0</v>
      </c>
      <c r="AF63" s="192" t="str">
        <f>IF(AND($C63&lt;&gt;"",$D63&lt;&gt;""),(VLOOKUP($C63,'V-LOOKUP'!$C$61:$M$120,10,FALSE)),"0")</f>
        <v>0</v>
      </c>
      <c r="AG63" s="192" t="str">
        <f>IF(AND($C63&lt;&gt;"",$D63&lt;&gt;""),(VLOOKUP($C63,'V-LOOKUP'!$C$61:$M$120,11,FALSE)),"0")</f>
        <v>0</v>
      </c>
      <c r="AH63" s="192" t="str">
        <f>IF(AND($C63&lt;&gt;"",$D63&lt;&gt;""),(VLOOKUP($C63,'V-LOOKUP'!$C$61:$N$120,12,FALSE)),"0")</f>
        <v>0</v>
      </c>
      <c r="AI63" s="192" t="str">
        <f>IF(AND($C63&lt;&gt;"",$E63&lt;&gt;""),(VLOOKUP($C63,'V-LOOKUP'!$C$61:$M$120,4,FALSE)),"0")</f>
        <v>0</v>
      </c>
      <c r="AJ63" s="192" t="str">
        <f>IF(AND($C63&lt;&gt;"",$E63&lt;&gt;""),(VLOOKUP($C63,'V-LOOKUP'!$C$61:$M$120,5,FALSE)),"0")</f>
        <v>0</v>
      </c>
      <c r="AK63" s="192" t="str">
        <f>IF(AND($C63&lt;&gt;"",$E63&lt;&gt;""),(VLOOKUP($C63,'V-LOOKUP'!$C$61:$M$120,6,FALSE)),"0")</f>
        <v>0</v>
      </c>
      <c r="AL63" s="192" t="str">
        <f>IF(AND($C63&lt;&gt;"",$E63&lt;&gt;""),(VLOOKUP($C63,'V-LOOKUP'!$C$61:$M$120,7,FALSE)),"0")</f>
        <v>0</v>
      </c>
      <c r="AM63" s="192" t="str">
        <f>IF(AND($C63&lt;&gt;"",$E63&lt;&gt;""),(VLOOKUP($C63,'V-LOOKUP'!$C$61:$M$120,8,FALSE)),"0")</f>
        <v>0</v>
      </c>
      <c r="AN63" s="192" t="str">
        <f>IF(AND($C63&lt;&gt;"",$E63&lt;&gt;""),(VLOOKUP($C63,'V-LOOKUP'!$C$61:$M$120,9,FALSE)),"0")</f>
        <v>0</v>
      </c>
      <c r="AO63" s="192" t="str">
        <f>IF(AND($C63&lt;&gt;"",$E63&lt;&gt;""),(VLOOKUP($C63,'V-LOOKUP'!$C$61:$M$120,10,FALSE)),"0")</f>
        <v>0</v>
      </c>
      <c r="AP63" s="192" t="str">
        <f>IF(AND($C63&lt;&gt;"",$E63&lt;&gt;""),(VLOOKUP($C63,'V-LOOKUP'!$C$61:$M$120,11,FALSE)),"0")</f>
        <v>0</v>
      </c>
      <c r="AQ63" s="192" t="str">
        <f>IF(AND($C63&lt;&gt;"",$E63&lt;&gt;""),(VLOOKUP($C63,'V-LOOKUP'!$C$61:$N$120,12,FALSE)),"0")</f>
        <v>0</v>
      </c>
      <c r="AR63" s="192" t="str">
        <f>IF(AND($C63&lt;&gt;"",$F63&lt;&gt;""),(VLOOKUP($C63,'V-LOOKUP'!$C$61:$M$120,4,FALSE)),"0")</f>
        <v>0</v>
      </c>
      <c r="AS63" s="192" t="str">
        <f>IF(AND($C63&lt;&gt;"",$F63&lt;&gt;""),(VLOOKUP($C63,'V-LOOKUP'!$C$61:$M$120,5,FALSE)),"0")</f>
        <v>0</v>
      </c>
      <c r="AT63" s="192" t="str">
        <f>IF(AND($C63&lt;&gt;"",$F63&lt;&gt;""),(VLOOKUP($C63,'V-LOOKUP'!$C$61:$M$120,6,FALSE)),"0")</f>
        <v>0</v>
      </c>
      <c r="AU63" s="192" t="str">
        <f>IF(AND($C63&lt;&gt;"",$F63&lt;&gt;""),(VLOOKUP($C63,'V-LOOKUP'!$C$61:$M$120,7,FALSE)),"0")</f>
        <v>0</v>
      </c>
      <c r="AV63" s="192" t="str">
        <f>IF(AND($C63&lt;&gt;"",$F63&lt;&gt;""),(VLOOKUP($C63,'V-LOOKUP'!$C$61:$M$120,8,FALSE)),"0")</f>
        <v>0</v>
      </c>
      <c r="AW63" s="192" t="str">
        <f>IF(AND($C63&lt;&gt;"",$F63&lt;&gt;""),(VLOOKUP($C63,'V-LOOKUP'!$C$61:$M$120,9,FALSE)),"0")</f>
        <v>0</v>
      </c>
      <c r="AX63" s="192" t="str">
        <f>IF(AND($C63&lt;&gt;"",$F63&lt;&gt;""),(VLOOKUP($C63,'V-LOOKUP'!$C$61:$M$120,10,FALSE)),"0")</f>
        <v>0</v>
      </c>
      <c r="AY63" s="192" t="str">
        <f>IF(AND($C63&lt;&gt;"",$F63&lt;&gt;""),(VLOOKUP($C63,'V-LOOKUP'!$C$61:$M$120,11,FALSE)),"0")</f>
        <v>0</v>
      </c>
      <c r="AZ63" s="192" t="str">
        <f>IF(AND($C63&lt;&gt;"",$F63&lt;&gt;""),(VLOOKUP($C63,'V-LOOKUP'!$C$61:$N$120,12,FALSE)),"0")</f>
        <v>0</v>
      </c>
      <c r="BA63" s="192" t="str">
        <f>IF(AND($C63&lt;&gt;"",$G63&lt;&gt;""),(VLOOKUP($C63,'V-LOOKUP'!$C$61:$M$120,4,FALSE)),"0")</f>
        <v>0</v>
      </c>
      <c r="BB63" s="192" t="str">
        <f>IF(AND($C63&lt;&gt;"",$G63&lt;&gt;""),(VLOOKUP($C63,'V-LOOKUP'!$C$61:$M$120,5,FALSE)),"0")</f>
        <v>0</v>
      </c>
      <c r="BC63" s="192" t="str">
        <f>IF(AND($C63&lt;&gt;"",$G63&lt;&gt;""),(VLOOKUP($C63,'V-LOOKUP'!$C$61:$M$120,6,FALSE)),"0")</f>
        <v>0</v>
      </c>
      <c r="BD63" s="192" t="str">
        <f>IF(AND($C63&lt;&gt;"",$G63&lt;&gt;""),(VLOOKUP($C63,'V-LOOKUP'!$C$61:$M$120,7,FALSE)),"0")</f>
        <v>0</v>
      </c>
      <c r="BE63" s="192" t="str">
        <f>IF(AND($C63&lt;&gt;"",$G63&lt;&gt;""),(VLOOKUP($C63,'V-LOOKUP'!$C$61:$M$120,8,FALSE)),"0")</f>
        <v>0</v>
      </c>
      <c r="BF63" s="192" t="str">
        <f>IF(AND($C63&lt;&gt;"",$G63&lt;&gt;""),(VLOOKUP($C63,'V-LOOKUP'!$C$61:$M$120,9,FALSE)),"0")</f>
        <v>0</v>
      </c>
      <c r="BG63" s="192" t="str">
        <f>IF(AND($C63&lt;&gt;"",$G63&lt;&gt;""),(VLOOKUP($C63,'V-LOOKUP'!$C$61:$M$120,10,FALSE)),"0")</f>
        <v>0</v>
      </c>
      <c r="BH63" s="192" t="str">
        <f>IF(AND($C63&lt;&gt;"",$G63&lt;&gt;""),(VLOOKUP($C63,'V-LOOKUP'!$C$61:$M$120,11,FALSE)),"0")</f>
        <v>0</v>
      </c>
      <c r="BI63" s="192" t="str">
        <f>IF(AND($C63&lt;&gt;"",$G63&lt;&gt;""),(VLOOKUP($C63,'V-LOOKUP'!$C$61:$N$120,12,FALSE)),"0")</f>
        <v>0</v>
      </c>
      <c r="BJ63" s="192" t="str">
        <f>IF(AND($C63&lt;&gt;"",$H63&lt;&gt;""),(VLOOKUP($C63,'V-LOOKUP'!$C$61:$M$120,4,FALSE)),"0")</f>
        <v>0</v>
      </c>
      <c r="BK63" s="192" t="str">
        <f>IF(AND($C63&lt;&gt;"",$H63&lt;&gt;""),(VLOOKUP($C63,'V-LOOKUP'!$C$61:$M$120,5,FALSE)),"0")</f>
        <v>0</v>
      </c>
      <c r="BL63" s="192" t="str">
        <f>IF(AND($C63&lt;&gt;"",$H63&lt;&gt;""),(VLOOKUP($C63,'V-LOOKUP'!$C$61:$M$120,6,FALSE)),"0")</f>
        <v>0</v>
      </c>
      <c r="BM63" s="192" t="str">
        <f>IF(AND($C63&lt;&gt;"",$H63&lt;&gt;""),(VLOOKUP($C63,'V-LOOKUP'!$C$61:$M$120,7,FALSE)),"0")</f>
        <v>0</v>
      </c>
      <c r="BN63" s="192" t="str">
        <f>IF(AND($C63&lt;&gt;"",$H63&lt;&gt;""),(VLOOKUP($C63,'V-LOOKUP'!$C$61:$M$120,8,FALSE)),"0")</f>
        <v>0</v>
      </c>
      <c r="BO63" s="192" t="str">
        <f>IF(AND($C63&lt;&gt;"",$H63&lt;&gt;""),(VLOOKUP($C63,'V-LOOKUP'!$C$61:$M$120,9,FALSE)),"0")</f>
        <v>0</v>
      </c>
      <c r="BP63" s="192" t="str">
        <f>IF(AND($C63&lt;&gt;"",$H63&lt;&gt;""),(VLOOKUP($C63,'V-LOOKUP'!$C$61:$M$120,10,FALSE)),"0")</f>
        <v>0</v>
      </c>
      <c r="BQ63" s="192" t="str">
        <f>IF(AND($C63&lt;&gt;"",$H63&lt;&gt;""),(VLOOKUP($C63,'V-LOOKUP'!$C$61:$M$120,11,FALSE)),"0")</f>
        <v>0</v>
      </c>
      <c r="BR63" s="192" t="str">
        <f>IF(AND($C63&lt;&gt;"",$H63&lt;&gt;""),(VLOOKUP($C63,'V-LOOKUP'!$C$61:$N$120,12,FALSE)),"0")</f>
        <v>0</v>
      </c>
      <c r="BS63" s="192" t="str">
        <f>IF(AND($C63&lt;&gt;"",$I63&lt;&gt;""),(VLOOKUP($C63,'V-LOOKUP'!$C$61:$M$120,4,FALSE)),"0")</f>
        <v>0</v>
      </c>
      <c r="BT63" s="192" t="str">
        <f>IF(AND($C63&lt;&gt;"",$I63&lt;&gt;""),(VLOOKUP($C63,'V-LOOKUP'!$C$61:$M$120,5,FALSE)),"0")</f>
        <v>0</v>
      </c>
      <c r="BU63" s="192" t="str">
        <f>IF(AND($C63&lt;&gt;"",$I63&lt;&gt;""),(VLOOKUP($C63,'V-LOOKUP'!$C$61:$M$120,6,FALSE)),"0")</f>
        <v>0</v>
      </c>
      <c r="BV63" s="192" t="str">
        <f>IF(AND($C63&lt;&gt;"",$I63&lt;&gt;""),(VLOOKUP($C63,'V-LOOKUP'!$C$61:$M$120,7,FALSE)),"0")</f>
        <v>0</v>
      </c>
      <c r="BW63" s="192" t="str">
        <f>IF(AND($C63&lt;&gt;"",$I63&lt;&gt;""),(VLOOKUP($C63,'V-LOOKUP'!$C$61:$M$120,8,FALSE)),"0")</f>
        <v>0</v>
      </c>
      <c r="BX63" s="192" t="str">
        <f>IF(AND($C63&lt;&gt;"",$I63&lt;&gt;""),(VLOOKUP($C63,'V-LOOKUP'!$C$61:$M$120,9,FALSE)),"0")</f>
        <v>0</v>
      </c>
      <c r="BY63" s="192" t="str">
        <f>IF(AND($C63&lt;&gt;"",$I63&lt;&gt;""),(VLOOKUP($C63,'V-LOOKUP'!$C$61:$M$120,10,FALSE)),"0")</f>
        <v>0</v>
      </c>
      <c r="BZ63" s="192" t="str">
        <f>IF(AND($C63&lt;&gt;"",$I63&lt;&gt;""),(VLOOKUP($C63,'V-LOOKUP'!$C$61:$M$120,11,FALSE)),"0")</f>
        <v>0</v>
      </c>
      <c r="CA63" s="192" t="str">
        <f>IF(AND($C63&lt;&gt;"",$I63&lt;&gt;""),(VLOOKUP($C63,'V-LOOKUP'!$C$61:$N$120,12,FALSE)),"0")</f>
        <v>0</v>
      </c>
      <c r="CB63" s="192" t="str">
        <f>IF(AND($C63&lt;&gt;"",$J63&lt;&gt;""),(VLOOKUP($C63,'V-LOOKUP'!$C$61:$M$120,4,FALSE)),"0")</f>
        <v>0</v>
      </c>
      <c r="CC63" s="192" t="str">
        <f>IF(AND($C63&lt;&gt;"",$J63&lt;&gt;""),(VLOOKUP($C63,'V-LOOKUP'!$C$61:$M$120,5,FALSE)),"0")</f>
        <v>0</v>
      </c>
      <c r="CD63" s="192" t="str">
        <f>IF(AND($C63&lt;&gt;"",$J63&lt;&gt;""),(VLOOKUP($C63,'V-LOOKUP'!$C$61:$M$120,6,FALSE)),"0")</f>
        <v>0</v>
      </c>
      <c r="CE63" s="192" t="str">
        <f>IF(AND($C63&lt;&gt;"",$J63&lt;&gt;""),(VLOOKUP($C63,'V-LOOKUP'!$C$61:$M$120,7,FALSE)),"0")</f>
        <v>0</v>
      </c>
      <c r="CF63" s="192" t="str">
        <f>IF(AND($C63&lt;&gt;"",$J63&lt;&gt;""),(VLOOKUP($C63,'V-LOOKUP'!$C$61:$M$120,8,FALSE)),"0")</f>
        <v>0</v>
      </c>
      <c r="CG63" s="192" t="str">
        <f>IF(AND($C63&lt;&gt;"",$J63&lt;&gt;""),(VLOOKUP($C63,'V-LOOKUP'!$C$61:$M$120,9,FALSE)),"0")</f>
        <v>0</v>
      </c>
      <c r="CH63" s="192" t="str">
        <f>IF(AND($C63&lt;&gt;"",$J63&lt;&gt;""),(VLOOKUP($C63,'V-LOOKUP'!$C$61:$M$120,10,FALSE)),"0")</f>
        <v>0</v>
      </c>
      <c r="CI63" s="192" t="str">
        <f>IF(AND($C63&lt;&gt;"",$J63&lt;&gt;""),(VLOOKUP($C63,'V-LOOKUP'!$C$61:$M$120,11,FALSE)),"0")</f>
        <v>0</v>
      </c>
      <c r="CJ63" s="192" t="str">
        <f>IF(AND($C63&lt;&gt;"",$J63&lt;&gt;""),(VLOOKUP($C63,'V-LOOKUP'!$C$61:$N$120,12,FALSE)),"0")</f>
        <v>0</v>
      </c>
      <c r="CK63" s="192" t="str">
        <f>IF(AND($C63&lt;&gt;"",$K63&lt;&gt;""),(VLOOKUP($C63,'V-LOOKUP'!$C$61:$M$120,4,FALSE)),"0")</f>
        <v>0</v>
      </c>
      <c r="CL63" s="192" t="str">
        <f>IF(AND($C63&lt;&gt;"",$K63&lt;&gt;""),(VLOOKUP($C63,'V-LOOKUP'!$C$61:$M$120,5,FALSE)),"0")</f>
        <v>0</v>
      </c>
      <c r="CM63" s="192" t="str">
        <f>IF(AND($C63&lt;&gt;"",$K63&lt;&gt;""),(VLOOKUP($C63,'V-LOOKUP'!$C$61:$M$120,6,FALSE)),"0")</f>
        <v>0</v>
      </c>
      <c r="CN63" s="192" t="str">
        <f>IF(AND($C63&lt;&gt;"",$K63&lt;&gt;""),(VLOOKUP($C63,'V-LOOKUP'!$C$61:$M$120,7,FALSE)),"0")</f>
        <v>0</v>
      </c>
      <c r="CO63" s="192" t="str">
        <f>IF(AND($C63&lt;&gt;"",$K63&lt;&gt;""),(VLOOKUP($C63,'V-LOOKUP'!$C$61:$M$120,8,FALSE)),"0")</f>
        <v>0</v>
      </c>
      <c r="CP63" s="192" t="str">
        <f>IF(AND($C63&lt;&gt;"",$K63&lt;&gt;""),(VLOOKUP($C63,'V-LOOKUP'!$C$61:$M$120,9,FALSE)),"0")</f>
        <v>0</v>
      </c>
      <c r="CQ63" s="192" t="str">
        <f>IF(AND($C63&lt;&gt;"",$K63&lt;&gt;""),(VLOOKUP($C63,'V-LOOKUP'!$C$61:$M$120,10,FALSE)),"0")</f>
        <v>0</v>
      </c>
      <c r="CR63" s="192" t="str">
        <f>IF(AND($C63&lt;&gt;"",$K63&lt;&gt;""),(VLOOKUP($C63,'V-LOOKUP'!$C$61:$M$120,11,FALSE)),"0")</f>
        <v>0</v>
      </c>
      <c r="CS63" s="192" t="str">
        <f>IF(AND($C63&lt;&gt;"",$K63&lt;&gt;""),(VLOOKUP($C63,'V-LOOKUP'!$C$61:$N$120,12,FALSE)),"0")</f>
        <v>0</v>
      </c>
      <c r="CT63" s="192" t="str">
        <f>IF(AND($C63&lt;&gt;"",$L63&lt;&gt;""),(VLOOKUP($C63,'V-LOOKUP'!$C$61:$M$120,4,FALSE)),"0")</f>
        <v>0</v>
      </c>
      <c r="CU63" s="192" t="str">
        <f>IF(AND($C63&lt;&gt;"",$L63&lt;&gt;""),(VLOOKUP($C63,'V-LOOKUP'!$C$61:$M$120,5,FALSE)),"0")</f>
        <v>0</v>
      </c>
      <c r="CV63" s="192" t="str">
        <f>IF(AND($C63&lt;&gt;"",$L63&lt;&gt;""),(VLOOKUP($C63,'V-LOOKUP'!$C$61:$M$120,6,FALSE)),"0")</f>
        <v>0</v>
      </c>
      <c r="CW63" s="192" t="str">
        <f>IF(AND($C63&lt;&gt;"",$L63&lt;&gt;""),(VLOOKUP($C63,'V-LOOKUP'!$C$61:$M$120,7,FALSE)),"0")</f>
        <v>0</v>
      </c>
      <c r="CX63" s="192" t="str">
        <f>IF(AND($C63&lt;&gt;"",$L63&lt;&gt;""),(VLOOKUP($C63,'V-LOOKUP'!$C$61:$M$120,8,FALSE)),"0")</f>
        <v>0</v>
      </c>
      <c r="CY63" s="192" t="str">
        <f>IF(AND($C63&lt;&gt;"",$L63&lt;&gt;""),(VLOOKUP($C63,'V-LOOKUP'!$C$61:$M$120,9,FALSE)),"0")</f>
        <v>0</v>
      </c>
      <c r="CZ63" s="192" t="str">
        <f>IF(AND($C63&lt;&gt;"",$L63&lt;&gt;""),(VLOOKUP($C63,'V-LOOKUP'!$C$61:$M$120,10,FALSE)),"0")</f>
        <v>0</v>
      </c>
      <c r="DA63" s="192" t="str">
        <f>IF(AND($C63&lt;&gt;"",$L63&lt;&gt;""),(VLOOKUP($C63,'V-LOOKUP'!$C$61:$M$120,11,FALSE)),"0")</f>
        <v>0</v>
      </c>
      <c r="DB63" s="192" t="str">
        <f>IF(AND($C63&lt;&gt;"",$L63&lt;&gt;""),(VLOOKUP($C63,'V-LOOKUP'!$C$61:$N$120,12,FALSE)),"0")</f>
        <v>0</v>
      </c>
      <c r="DC63" s="192" t="str">
        <f>IF(AND($C63&lt;&gt;"",$M63&lt;&gt;""),(VLOOKUP($C63,'V-LOOKUP'!$C$61:$M$120,4,FALSE)),"0")</f>
        <v>0</v>
      </c>
      <c r="DD63" s="192" t="str">
        <f>IF(AND($C63&lt;&gt;"",$M63&lt;&gt;""),(VLOOKUP($C63,'V-LOOKUP'!$C$61:$M$120,5,FALSE)),"0")</f>
        <v>0</v>
      </c>
      <c r="DE63" s="192" t="str">
        <f>IF(AND($C63&lt;&gt;"",$M63&lt;&gt;""),(VLOOKUP($C63,'V-LOOKUP'!$C$61:$M$120,6,FALSE)),"0")</f>
        <v>0</v>
      </c>
      <c r="DF63" s="192" t="str">
        <f>IF(AND($C63&lt;&gt;"",$M63&lt;&gt;""),(VLOOKUP($C63,'V-LOOKUP'!$C$61:$M$120,7,FALSE)),"0")</f>
        <v>0</v>
      </c>
      <c r="DG63" s="192" t="str">
        <f>IF(AND($C63&lt;&gt;"",$M63&lt;&gt;""),(VLOOKUP($C63,'V-LOOKUP'!$C$61:$M$120,8,FALSE)),"0")</f>
        <v>0</v>
      </c>
      <c r="DH63" s="192" t="str">
        <f>IF(AND($C63&lt;&gt;"",$M63&lt;&gt;""),(VLOOKUP($C63,'V-LOOKUP'!$C$61:$M$120,9,FALSE)),"0")</f>
        <v>0</v>
      </c>
      <c r="DI63" s="192" t="str">
        <f>IF(AND($C63&lt;&gt;"",$M63&lt;&gt;""),(VLOOKUP($C63,'V-LOOKUP'!$C$61:$M$120,10,FALSE)),"0")</f>
        <v>0</v>
      </c>
      <c r="DJ63" s="192" t="str">
        <f>IF(AND($C63&lt;&gt;"",$M63&lt;&gt;""),(VLOOKUP($C63,'V-LOOKUP'!$C$61:$M$120,11,FALSE)),"0")</f>
        <v>0</v>
      </c>
      <c r="DK63" s="192" t="str">
        <f>IF(AND($C63&lt;&gt;"",$M63&lt;&gt;""),(VLOOKUP($C63,'V-LOOKUP'!$C$61:$N$120,12,FALSE)),"0")</f>
        <v>0</v>
      </c>
      <c r="DL63" s="192" t="str">
        <f>IF(AND($C63&lt;&gt;"",$N63&lt;&gt;""),(VLOOKUP($C63,'V-LOOKUP'!$C$61:$M$120,4,FALSE)),"0")</f>
        <v>0</v>
      </c>
      <c r="DM63" s="192" t="str">
        <f>IF(AND($C63&lt;&gt;"",$N63&lt;&gt;""),(VLOOKUP($C63,'V-LOOKUP'!$C$61:$M$120,5,FALSE)),"0")</f>
        <v>0</v>
      </c>
      <c r="DN63" s="192" t="str">
        <f>IF(AND($C63&lt;&gt;"",$N63&lt;&gt;""),(VLOOKUP($C63,'V-LOOKUP'!$C$61:$M$120,6,FALSE)),"0")</f>
        <v>0</v>
      </c>
      <c r="DO63" s="192" t="str">
        <f>IF(AND($C63&lt;&gt;"",$N63&lt;&gt;""),(VLOOKUP($C63,'V-LOOKUP'!$C$61:$M$120,7,FALSE)),"0")</f>
        <v>0</v>
      </c>
      <c r="DP63" s="192" t="str">
        <f>IF(AND($C63&lt;&gt;"",$N63&lt;&gt;""),(VLOOKUP($C63,'V-LOOKUP'!$C$61:$M$120,8,FALSE)),"0")</f>
        <v>0</v>
      </c>
      <c r="DQ63" s="192" t="str">
        <f>IF(AND($C63&lt;&gt;"",$N63&lt;&gt;""),(VLOOKUP($C63,'V-LOOKUP'!$C$61:$M$120,9,FALSE)),"0")</f>
        <v>0</v>
      </c>
      <c r="DR63" s="192" t="str">
        <f>IF(AND($C63&lt;&gt;"",$N63&lt;&gt;""),(VLOOKUP($C63,'V-LOOKUP'!$C$61:$M$120,10,FALSE)),"0")</f>
        <v>0</v>
      </c>
      <c r="DS63" s="192" t="str">
        <f>IF(AND($C63&lt;&gt;"",$N63&lt;&gt;""),(VLOOKUP($C63,'V-LOOKUP'!$C$61:$M$120,11,FALSE)),"0")</f>
        <v>0</v>
      </c>
      <c r="DT63" s="192" t="str">
        <f>IF(AND($C63&lt;&gt;"",$N63&lt;&gt;""),(VLOOKUP($C63,'V-LOOKUP'!$C$61:$N$120,12,FALSE)),"0")</f>
        <v>0</v>
      </c>
      <c r="DU63" s="192" t="str">
        <f>IF(AND($C63&lt;&gt;"",$O63&lt;&gt;""),(VLOOKUP($C63,'V-LOOKUP'!$C$61:$M$120,4,FALSE)),"0")</f>
        <v>0</v>
      </c>
      <c r="DV63" s="192" t="str">
        <f>IF(AND($C63&lt;&gt;"",$O63&lt;&gt;""),(VLOOKUP($C63,'V-LOOKUP'!$C$61:$M$120,5,FALSE)),"0")</f>
        <v>0</v>
      </c>
      <c r="DW63" s="192" t="str">
        <f>IF(AND($C63&lt;&gt;"",$O63&lt;&gt;""),(VLOOKUP($C63,'V-LOOKUP'!$C$61:$M$120,6,FALSE)),"0")</f>
        <v>0</v>
      </c>
      <c r="DX63" s="192" t="str">
        <f>IF(AND($C63&lt;&gt;"",$O63&lt;&gt;""),(VLOOKUP($C63,'V-LOOKUP'!$C$61:$M$120,7,FALSE)),"0")</f>
        <v>0</v>
      </c>
      <c r="DY63" s="192" t="str">
        <f>IF(AND($C63&lt;&gt;"",$O63&lt;&gt;""),(VLOOKUP($C63,'V-LOOKUP'!$C$61:$M$120,8,FALSE)),"0")</f>
        <v>0</v>
      </c>
      <c r="DZ63" s="192" t="str">
        <f>IF(AND($C63&lt;&gt;"",$O63&lt;&gt;""),(VLOOKUP($C63,'V-LOOKUP'!$C$61:$M$120,9,FALSE)),"0")</f>
        <v>0</v>
      </c>
      <c r="EA63" s="192" t="str">
        <f>IF(AND($C63&lt;&gt;"",$O63&lt;&gt;""),(VLOOKUP($C63,'V-LOOKUP'!$C$61:$M$120,10,FALSE)),"0")</f>
        <v>0</v>
      </c>
      <c r="EB63" s="192" t="str">
        <f>IF(AND($C63&lt;&gt;"",$O63&lt;&gt;""),(VLOOKUP($C63,'V-LOOKUP'!$C$61:$M$120,11,FALSE)),"0")</f>
        <v>0</v>
      </c>
      <c r="EC63" s="192" t="str">
        <f>IF(AND($C63&lt;&gt;"",$O63&lt;&gt;""),(VLOOKUP($C63,'V-LOOKUP'!$C$61:$N$120,12,FALSE)),"0")</f>
        <v>0</v>
      </c>
      <c r="ED63" s="192" t="str">
        <f>IF(AND($C63&lt;&gt;"",$P63&lt;&gt;""),(VLOOKUP($C63,'V-LOOKUP'!$C$61:$M$120,4,FALSE)),"0")</f>
        <v>0</v>
      </c>
      <c r="EE63" s="192" t="str">
        <f>IF(AND($C63&lt;&gt;"",$P63&lt;&gt;""),(VLOOKUP($C63,'V-LOOKUP'!$C$61:$M$120,5,FALSE)),"0")</f>
        <v>0</v>
      </c>
      <c r="EF63" s="192" t="str">
        <f>IF(AND($C63&lt;&gt;"",$P63&lt;&gt;""),(VLOOKUP($C63,'V-LOOKUP'!$C$61:$M$120,6,FALSE)),"0")</f>
        <v>0</v>
      </c>
      <c r="EG63" s="192" t="str">
        <f>IF(AND($C63&lt;&gt;"",$P63&lt;&gt;""),(VLOOKUP($C63,'V-LOOKUP'!$C$61:$M$120,7,FALSE)),"0")</f>
        <v>0</v>
      </c>
      <c r="EH63" s="192" t="str">
        <f>IF(AND($C63&lt;&gt;"",$P63&lt;&gt;""),(VLOOKUP($C63,'V-LOOKUP'!$C$61:$M$120,8,FALSE)),"0")</f>
        <v>0</v>
      </c>
      <c r="EI63" s="192" t="str">
        <f>IF(AND($C63&lt;&gt;"",$P63&lt;&gt;""),(VLOOKUP($C63,'V-LOOKUP'!$C$61:$M$120,9,FALSE)),"0")</f>
        <v>0</v>
      </c>
      <c r="EJ63" s="192" t="str">
        <f>IF(AND($C63&lt;&gt;"",$P63&lt;&gt;""),(VLOOKUP($C63,'V-LOOKUP'!$C$61:$M$120,10,FALSE)),"0")</f>
        <v>0</v>
      </c>
      <c r="EK63" s="192" t="str">
        <f>IF(AND($C63&lt;&gt;"",$P63&lt;&gt;""),(VLOOKUP($C63,'V-LOOKUP'!$C$61:$M$120,11,FALSE)),"0")</f>
        <v>0</v>
      </c>
      <c r="EL63" s="192" t="str">
        <f>IF(AND($C63&lt;&gt;"",$P63&lt;&gt;""),(VLOOKUP($C63,'V-LOOKUP'!$C$61:$N$120,12,FALSE)),"0")</f>
        <v>0</v>
      </c>
      <c r="EM63" s="192" t="str">
        <f>IF(AND($C63&lt;&gt;"",$Q63&lt;&gt;""),(VLOOKUP($C63,'V-LOOKUP'!$C$61:$M$120,4,FALSE)),"0")</f>
        <v>0</v>
      </c>
      <c r="EN63" s="192" t="str">
        <f>IF(AND($C63&lt;&gt;"",$Q63&lt;&gt;""),(VLOOKUP($C63,'V-LOOKUP'!$C$61:$M$120,5,FALSE)),"0")</f>
        <v>0</v>
      </c>
      <c r="EO63" s="192" t="str">
        <f>IF(AND($C63&lt;&gt;"",$Q63&lt;&gt;""),(VLOOKUP($C63,'V-LOOKUP'!$C$61:$M$120,6,FALSE)),"0")</f>
        <v>0</v>
      </c>
      <c r="EP63" s="192" t="str">
        <f>IF(AND($C63&lt;&gt;"",$Q63&lt;&gt;""),(VLOOKUP($C63,'V-LOOKUP'!$C$61:$M$120,7,FALSE)),"0")</f>
        <v>0</v>
      </c>
      <c r="EQ63" s="192" t="str">
        <f>IF(AND($C63&lt;&gt;"",$Q63&lt;&gt;""),(VLOOKUP($C63,'V-LOOKUP'!$C$61:$M$120,8,FALSE)),"0")</f>
        <v>0</v>
      </c>
      <c r="ER63" s="192" t="str">
        <f>IF(AND($C63&lt;&gt;"",$Q63&lt;&gt;""),(VLOOKUP($C63,'V-LOOKUP'!$C$61:$M$120,9,FALSE)),"0")</f>
        <v>0</v>
      </c>
      <c r="ES63" s="192" t="str">
        <f>IF(AND($C63&lt;&gt;"",$Q63&lt;&gt;""),(VLOOKUP($C63,'V-LOOKUP'!$C$61:$M$120,10,FALSE)),"0")</f>
        <v>0</v>
      </c>
      <c r="ET63" s="192" t="str">
        <f>IF(AND($C63&lt;&gt;"",$Q63&lt;&gt;""),(VLOOKUP($C63,'V-LOOKUP'!$C$61:$M$120,11,FALSE)),"0")</f>
        <v>0</v>
      </c>
      <c r="EU63" s="192" t="str">
        <f>IF(AND($C63&lt;&gt;"",$Q63&lt;&gt;""),(VLOOKUP($C63,'V-LOOKUP'!$C$61:$N$120,12,FALSE)),"0")</f>
        <v>0</v>
      </c>
      <c r="EV63" s="192" t="str">
        <f>IF(AND($C63&lt;&gt;"",$R63&lt;&gt;""),(VLOOKUP($C63,'V-LOOKUP'!$C$61:$M$120,4,FALSE)),"0")</f>
        <v>0</v>
      </c>
      <c r="EW63" s="192" t="str">
        <f>IF(AND($C63&lt;&gt;"",$R63&lt;&gt;""),(VLOOKUP($C63,'V-LOOKUP'!$C$61:$M$120,5,FALSE)),"0")</f>
        <v>0</v>
      </c>
      <c r="EX63" s="192" t="str">
        <f>IF(AND($C63&lt;&gt;"",$R63&lt;&gt;""),(VLOOKUP($C63,'V-LOOKUP'!$C$61:$M$120,6,FALSE)),"0")</f>
        <v>0</v>
      </c>
      <c r="EY63" s="192" t="str">
        <f>IF(AND($C63&lt;&gt;"",$R63&lt;&gt;""),(VLOOKUP($C63,'V-LOOKUP'!$C$61:$M$120,7,FALSE)),"0")</f>
        <v>0</v>
      </c>
      <c r="EZ63" s="192" t="str">
        <f>IF(AND($C63&lt;&gt;"",$R63&lt;&gt;""),(VLOOKUP($C63,'V-LOOKUP'!$C$61:$M$120,8,FALSE)),"0")</f>
        <v>0</v>
      </c>
      <c r="FA63" s="192" t="str">
        <f>IF(AND($C63&lt;&gt;"",$R63&lt;&gt;""),(VLOOKUP($C63,'V-LOOKUP'!$C$61:$M$120,9,FALSE)),"0")</f>
        <v>0</v>
      </c>
      <c r="FB63" s="192" t="str">
        <f>IF(AND($C63&lt;&gt;"",$R63&lt;&gt;""),(VLOOKUP($C63,'V-LOOKUP'!$C$61:$M$120,10,FALSE)),"0")</f>
        <v>0</v>
      </c>
      <c r="FC63" s="192" t="str">
        <f>IF(AND($C63&lt;&gt;"",$R63&lt;&gt;""),(VLOOKUP($C63,'V-LOOKUP'!$C$61:$M$120,11,FALSE)),"0")</f>
        <v>0</v>
      </c>
      <c r="FD63" s="192" t="str">
        <f>IF(AND($C63&lt;&gt;"",$R63&lt;&gt;""),(VLOOKUP($C63,'V-LOOKUP'!$C$61:$N$120,12,FALSE)),"0")</f>
        <v>0</v>
      </c>
      <c r="FE63" s="192" t="str">
        <f>IF(AND($C63&lt;&gt;"",$S63&lt;&gt;""),(VLOOKUP($C63,'V-LOOKUP'!$C$61:$M$120,4,FALSE)),"0")</f>
        <v>0</v>
      </c>
      <c r="FF63" s="192" t="str">
        <f>IF(AND($C63&lt;&gt;"",$S63&lt;&gt;""),(VLOOKUP($C63,'V-LOOKUP'!$C$61:$M$120,5,FALSE)),"0")</f>
        <v>0</v>
      </c>
      <c r="FG63" s="192" t="str">
        <f>IF(AND($C63&lt;&gt;"",$S63&lt;&gt;""),(VLOOKUP($C63,'V-LOOKUP'!$C$61:$M$120,6,FALSE)),"0")</f>
        <v>0</v>
      </c>
      <c r="FH63" s="192" t="str">
        <f>IF(AND($C63&lt;&gt;"",$S63&lt;&gt;""),(VLOOKUP($C63,'V-LOOKUP'!$C$61:$M$120,7,FALSE)),"0")</f>
        <v>0</v>
      </c>
      <c r="FI63" s="192" t="str">
        <f>IF(AND($C63&lt;&gt;"",$S63&lt;&gt;""),(VLOOKUP($C63,'V-LOOKUP'!$C$61:$M$120,8,FALSE)),"0")</f>
        <v>0</v>
      </c>
      <c r="FJ63" s="192" t="str">
        <f>IF(AND($C63&lt;&gt;"",$S63&lt;&gt;""),(VLOOKUP($C63,'V-LOOKUP'!$C$61:$M$120,9,FALSE)),"0")</f>
        <v>0</v>
      </c>
      <c r="FK63" s="192" t="str">
        <f>IF(AND($C63&lt;&gt;"",$S63&lt;&gt;""),(VLOOKUP($C63,'V-LOOKUP'!$C$61:$M$120,10,FALSE)),"0")</f>
        <v>0</v>
      </c>
      <c r="FL63" s="192" t="str">
        <f>IF(AND($C63&lt;&gt;"",$S63&lt;&gt;""),(VLOOKUP($C63,'V-LOOKUP'!$C$61:$M$120,11,FALSE)),"0")</f>
        <v>0</v>
      </c>
      <c r="FM63" s="192" t="str">
        <f>IF(AND($C63&lt;&gt;"",$S63&lt;&gt;""),(VLOOKUP($C63,'V-LOOKUP'!$C$61:$N$120,12,FALSE)),"0")</f>
        <v>0</v>
      </c>
      <c r="FN63" s="192" t="str">
        <f>IF(AND($C63&lt;&gt;"",$T63&lt;&gt;""),(VLOOKUP($C63,'V-LOOKUP'!$C$61:$M$120,4,FALSE)),"0")</f>
        <v>0</v>
      </c>
      <c r="FO63" s="192" t="str">
        <f>IF(AND($C63&lt;&gt;"",$T63&lt;&gt;""),(VLOOKUP($C63,'V-LOOKUP'!$C$61:$M$120,5,FALSE)),"0")</f>
        <v>0</v>
      </c>
      <c r="FP63" s="192" t="str">
        <f>IF(AND($C63&lt;&gt;"",$T63&lt;&gt;""),(VLOOKUP($C63,'V-LOOKUP'!$C$61:$M$120,6,FALSE)),"0")</f>
        <v>0</v>
      </c>
      <c r="FQ63" s="192" t="str">
        <f>IF(AND($C63&lt;&gt;"",$T63&lt;&gt;""),(VLOOKUP($C63,'V-LOOKUP'!$C$61:$M$120,7,FALSE)),"0")</f>
        <v>0</v>
      </c>
      <c r="FR63" s="192" t="str">
        <f>IF(AND($C63&lt;&gt;"",$T63&lt;&gt;""),(VLOOKUP($C63,'V-LOOKUP'!$C$61:$M$120,8,FALSE)),"0")</f>
        <v>0</v>
      </c>
      <c r="FS63" s="192" t="str">
        <f>IF(AND($C63&lt;&gt;"",$T63&lt;&gt;""),(VLOOKUP($C63,'V-LOOKUP'!$C$61:$M$120,9,FALSE)),"0")</f>
        <v>0</v>
      </c>
      <c r="FT63" s="192" t="str">
        <f>IF(AND($C63&lt;&gt;"",$T63&lt;&gt;""),(VLOOKUP($C63,'V-LOOKUP'!$C$61:$M$120,10,FALSE)),"0")</f>
        <v>0</v>
      </c>
      <c r="FU63" s="192" t="str">
        <f>IF(AND($C63&lt;&gt;"",$T63&lt;&gt;""),(VLOOKUP($C63,'V-LOOKUP'!$C$61:$M$120,11,FALSE)),"0")</f>
        <v>0</v>
      </c>
      <c r="FV63" s="192" t="str">
        <f>IF(AND($C63&lt;&gt;"",$T63&lt;&gt;""),(VLOOKUP($C63,'V-LOOKUP'!$C$61:$N$120,12,FALSE)),"0")</f>
        <v>0</v>
      </c>
      <c r="FW63" s="192" t="str">
        <f>IF(AND($C63&lt;&gt;"",$U63&lt;&gt;""),(VLOOKUP($C63,'V-LOOKUP'!$C$61:$M$120,4,FALSE)),"0")</f>
        <v>0</v>
      </c>
      <c r="FX63" s="192" t="str">
        <f>IF(AND($C63&lt;&gt;"",$U63&lt;&gt;""),(VLOOKUP($C63,'V-LOOKUP'!$C$61:$M$120,5,FALSE)),"0")</f>
        <v>0</v>
      </c>
      <c r="FY63" s="192" t="str">
        <f>IF(AND($C63&lt;&gt;"",$U63&lt;&gt;""),(VLOOKUP($C63,'V-LOOKUP'!$C$61:$M$120,6,FALSE)),"0")</f>
        <v>0</v>
      </c>
      <c r="FZ63" s="192" t="str">
        <f>IF(AND($C63&lt;&gt;"",$U63&lt;&gt;""),(VLOOKUP($C63,'V-LOOKUP'!$C$61:$M$120,7,FALSE)),"0")</f>
        <v>0</v>
      </c>
      <c r="GA63" s="192" t="str">
        <f>IF(AND($C63&lt;&gt;"",$U63&lt;&gt;""),(VLOOKUP($C63,'V-LOOKUP'!$C$61:$M$120,8,FALSE)),"0")</f>
        <v>0</v>
      </c>
      <c r="GB63" s="192" t="str">
        <f>IF(AND($C63&lt;&gt;"",$U63&lt;&gt;""),(VLOOKUP($C63,'V-LOOKUP'!$C$61:$M$120,9,FALSE)),"0")</f>
        <v>0</v>
      </c>
      <c r="GC63" s="192" t="str">
        <f>IF(AND($C63&lt;&gt;"",$U63&lt;&gt;""),(VLOOKUP($C63,'V-LOOKUP'!$C$61:$M$120,10,FALSE)),"0")</f>
        <v>0</v>
      </c>
      <c r="GD63" s="192" t="str">
        <f>IF(AND($C63&lt;&gt;"",$U63&lt;&gt;""),(VLOOKUP($C63,'V-LOOKUP'!$C$61:$M$120,11,FALSE)),"0")</f>
        <v>0</v>
      </c>
      <c r="GE63" s="192" t="str">
        <f>IF(AND($C63&lt;&gt;"",$U63&lt;&gt;""),(VLOOKUP($C63,'V-LOOKUP'!$C$61:$N$120,12,FALSE)),"0")</f>
        <v>0</v>
      </c>
      <c r="GF63" s="192" t="str">
        <f>IF(AND($C63&lt;&gt;"",$V63&lt;&gt;""),(VLOOKUP($C63,'V-LOOKUP'!$C$61:$M$120,4,FALSE)),"0")</f>
        <v>0</v>
      </c>
      <c r="GG63" s="192" t="str">
        <f>IF(AND($C63&lt;&gt;"",V63&lt;&gt;""),(VLOOKUP($C63,'V-LOOKUP'!$C$61:$M$120,5,FALSE)),"0")</f>
        <v>0</v>
      </c>
      <c r="GH63" s="192" t="str">
        <f>IF(AND($C63&lt;&gt;"",$V63&lt;&gt;""),(VLOOKUP($C63,'V-LOOKUP'!$C$61:$M$120,6,FALSE)),"0")</f>
        <v>0</v>
      </c>
      <c r="GI63" s="192" t="str">
        <f>IF(AND($C63&lt;&gt;"",$V63&lt;&gt;""),(VLOOKUP($C63,'V-LOOKUP'!$C$61:$M$120,7,FALSE)),"0")</f>
        <v>0</v>
      </c>
      <c r="GJ63" s="192" t="str">
        <f>IF(AND($C63&lt;&gt;"",$V63&lt;&gt;""),(VLOOKUP($C63,'V-LOOKUP'!$C$61:$M$120,8,FALSE)),"0")</f>
        <v>0</v>
      </c>
      <c r="GK63" s="192" t="str">
        <f>IF(AND($C63&lt;&gt;"",$V63&lt;&gt;""),(VLOOKUP($C63,'V-LOOKUP'!$C$61:$M$120,9,FALSE)),"0")</f>
        <v>0</v>
      </c>
      <c r="GL63" s="192" t="str">
        <f>IF(AND($C63&lt;&gt;"",$V63&lt;&gt;""),(VLOOKUP($C63,'V-LOOKUP'!$C$61:$M$120,10,FALSE)),"0")</f>
        <v>0</v>
      </c>
      <c r="GM63" s="192" t="str">
        <f>IF(AND($C63&lt;&gt;"",$V63&lt;&gt;""),(VLOOKUP($C63,'V-LOOKUP'!$C$61:$M$120,11,FALSE)),"0")</f>
        <v>0</v>
      </c>
      <c r="GN63" s="192" t="str">
        <f>IF(AND($C63&lt;&gt;"",$V63&lt;&gt;""),(VLOOKUP($C63,'V-LOOKUP'!$C$61:$N$120,12,FALSE)),"0")</f>
        <v>0</v>
      </c>
      <c r="GO63" s="192" t="str">
        <f>IF(AND($C63&lt;&gt;"",$W63&lt;&gt;""),(VLOOKUP($C63,'V-LOOKUP'!$C$61:$M$120,4,FALSE)),"0")</f>
        <v>0</v>
      </c>
      <c r="GP63" s="192" t="str">
        <f>IF(AND($C63&lt;&gt;"",$W63&lt;&gt;""),(VLOOKUP($C63,'V-LOOKUP'!$C$61:$M$120,5,FALSE)),"0")</f>
        <v>0</v>
      </c>
      <c r="GQ63" s="192" t="str">
        <f>IF(AND($C63&lt;&gt;"",$W63&lt;&gt;""),(VLOOKUP($C63,'V-LOOKUP'!$C$61:$M$120,6,FALSE)),"0")</f>
        <v>0</v>
      </c>
      <c r="GR63" s="192" t="str">
        <f>IF(AND($C63&lt;&gt;"",$W63&lt;&gt;""),(VLOOKUP($C63,'V-LOOKUP'!$C$61:$M$120,7,FALSE)),"0")</f>
        <v>0</v>
      </c>
      <c r="GS63" s="192" t="str">
        <f>IF(AND($C63&lt;&gt;"",$W63&lt;&gt;""),(VLOOKUP($C63,'V-LOOKUP'!$C$61:$M$120,8,FALSE)),"0")</f>
        <v>0</v>
      </c>
      <c r="GT63" s="192" t="str">
        <f>IF(AND($C63&lt;&gt;"",$W63&lt;&gt;""),(VLOOKUP($C63,'V-LOOKUP'!$C$61:$M$120,9,FALSE)),"0")</f>
        <v>0</v>
      </c>
      <c r="GU63" s="192" t="str">
        <f>IF(AND($C63&lt;&gt;"",$W63&lt;&gt;""),(VLOOKUP($C63,'V-LOOKUP'!$C$61:$M$120,10,FALSE)),"0")</f>
        <v>0</v>
      </c>
      <c r="GV63" s="192" t="str">
        <f>IF(AND($C63&lt;&gt;"",$W63&lt;&gt;""),(VLOOKUP($C63,'V-LOOKUP'!$C$61:$M$120,11,FALSE)),"0")</f>
        <v>0</v>
      </c>
      <c r="GW63" s="192" t="str">
        <f>IF(AND($C63&lt;&gt;"",$W63&lt;&gt;""),(VLOOKUP($C63,'V-LOOKUP'!$C$61:$N$120,12,FALSE)),"0")</f>
        <v>0</v>
      </c>
    </row>
    <row r="64" spans="1:205" ht="14.65" hidden="1" customHeight="1">
      <c r="A64" s="193"/>
      <c r="B64" s="245"/>
      <c r="C64" s="203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Y64" s="190"/>
      <c r="Z64" s="192" t="str">
        <f>IF(AND($C64&lt;&gt;"",$D64&lt;&gt;""),(VLOOKUP($C64,'V-LOOKUP'!$C$61:$M$120,4,FALSE)),"0")</f>
        <v>0</v>
      </c>
      <c r="AA64" s="192" t="str">
        <f>IF(AND($C64&lt;&gt;"",$D64&lt;&gt;""),(VLOOKUP($C64,'V-LOOKUP'!$C$61:$M$120,5,FALSE)),"0")</f>
        <v>0</v>
      </c>
      <c r="AB64" s="192" t="str">
        <f>IF(AND($C64&lt;&gt;"",$D64&lt;&gt;""),(VLOOKUP($C64,'V-LOOKUP'!$C$61:$M$120,6,FALSE)),"0")</f>
        <v>0</v>
      </c>
      <c r="AC64" s="192" t="str">
        <f>IF(AND($C64&lt;&gt;"",$D64&lt;&gt;""),(VLOOKUP($C64,'V-LOOKUP'!$C$61:$M$120,7,FALSE)),"0")</f>
        <v>0</v>
      </c>
      <c r="AD64" s="192" t="str">
        <f>IF(AND($C64&lt;&gt;"",$D64&lt;&gt;""),(VLOOKUP($C64,'V-LOOKUP'!$C$61:$M$120,8,FALSE)),"0")</f>
        <v>0</v>
      </c>
      <c r="AE64" s="192" t="str">
        <f>IF(AND($C64&lt;&gt;"",$D64&lt;&gt;""),(VLOOKUP($C64,'V-LOOKUP'!$C$61:$M$120,9,FALSE)),"0")</f>
        <v>0</v>
      </c>
      <c r="AF64" s="192" t="str">
        <f>IF(AND($C64&lt;&gt;"",$D64&lt;&gt;""),(VLOOKUP($C64,'V-LOOKUP'!$C$61:$M$120,10,FALSE)),"0")</f>
        <v>0</v>
      </c>
      <c r="AG64" s="192" t="str">
        <f>IF(AND($C64&lt;&gt;"",$D64&lt;&gt;""),(VLOOKUP($C64,'V-LOOKUP'!$C$61:$M$120,11,FALSE)),"0")</f>
        <v>0</v>
      </c>
      <c r="AH64" s="192" t="str">
        <f>IF(AND($C64&lt;&gt;"",$D64&lt;&gt;""),(VLOOKUP($C64,'V-LOOKUP'!$C$61:$N$120,12,FALSE)),"0")</f>
        <v>0</v>
      </c>
      <c r="AI64" s="192" t="str">
        <f>IF(AND($C64&lt;&gt;"",$E64&lt;&gt;""),(VLOOKUP($C64,'V-LOOKUP'!$C$61:$M$120,4,FALSE)),"0")</f>
        <v>0</v>
      </c>
      <c r="AJ64" s="192" t="str">
        <f>IF(AND($C64&lt;&gt;"",$E64&lt;&gt;""),(VLOOKUP($C64,'V-LOOKUP'!$C$61:$M$120,5,FALSE)),"0")</f>
        <v>0</v>
      </c>
      <c r="AK64" s="192" t="str">
        <f>IF(AND($C64&lt;&gt;"",$E64&lt;&gt;""),(VLOOKUP($C64,'V-LOOKUP'!$C$61:$M$120,6,FALSE)),"0")</f>
        <v>0</v>
      </c>
      <c r="AL64" s="192" t="str">
        <f>IF(AND($C64&lt;&gt;"",$E64&lt;&gt;""),(VLOOKUP($C64,'V-LOOKUP'!$C$61:$M$120,7,FALSE)),"0")</f>
        <v>0</v>
      </c>
      <c r="AM64" s="192" t="str">
        <f>IF(AND($C64&lt;&gt;"",$E64&lt;&gt;""),(VLOOKUP($C64,'V-LOOKUP'!$C$61:$M$120,8,FALSE)),"0")</f>
        <v>0</v>
      </c>
      <c r="AN64" s="192" t="str">
        <f>IF(AND($C64&lt;&gt;"",$E64&lt;&gt;""),(VLOOKUP($C64,'V-LOOKUP'!$C$61:$M$120,9,FALSE)),"0")</f>
        <v>0</v>
      </c>
      <c r="AO64" s="192" t="str">
        <f>IF(AND($C64&lt;&gt;"",$E64&lt;&gt;""),(VLOOKUP($C64,'V-LOOKUP'!$C$61:$M$120,10,FALSE)),"0")</f>
        <v>0</v>
      </c>
      <c r="AP64" s="192" t="str">
        <f>IF(AND($C64&lt;&gt;"",$E64&lt;&gt;""),(VLOOKUP($C64,'V-LOOKUP'!$C$61:$M$120,11,FALSE)),"0")</f>
        <v>0</v>
      </c>
      <c r="AQ64" s="192" t="str">
        <f>IF(AND($C64&lt;&gt;"",$E64&lt;&gt;""),(VLOOKUP($C64,'V-LOOKUP'!$C$61:$N$120,12,FALSE)),"0")</f>
        <v>0</v>
      </c>
      <c r="AR64" s="192" t="str">
        <f>IF(AND($C64&lt;&gt;"",$F64&lt;&gt;""),(VLOOKUP($C64,'V-LOOKUP'!$C$61:$M$120,4,FALSE)),"0")</f>
        <v>0</v>
      </c>
      <c r="AS64" s="192" t="str">
        <f>IF(AND($C64&lt;&gt;"",$F64&lt;&gt;""),(VLOOKUP($C64,'V-LOOKUP'!$C$61:$M$120,5,FALSE)),"0")</f>
        <v>0</v>
      </c>
      <c r="AT64" s="192" t="str">
        <f>IF(AND($C64&lt;&gt;"",$F64&lt;&gt;""),(VLOOKUP($C64,'V-LOOKUP'!$C$61:$M$120,6,FALSE)),"0")</f>
        <v>0</v>
      </c>
      <c r="AU64" s="192" t="str">
        <f>IF(AND($C64&lt;&gt;"",$F64&lt;&gt;""),(VLOOKUP($C64,'V-LOOKUP'!$C$61:$M$120,7,FALSE)),"0")</f>
        <v>0</v>
      </c>
      <c r="AV64" s="192" t="str">
        <f>IF(AND($C64&lt;&gt;"",$F64&lt;&gt;""),(VLOOKUP($C64,'V-LOOKUP'!$C$61:$M$120,8,FALSE)),"0")</f>
        <v>0</v>
      </c>
      <c r="AW64" s="192" t="str">
        <f>IF(AND($C64&lt;&gt;"",$F64&lt;&gt;""),(VLOOKUP($C64,'V-LOOKUP'!$C$61:$M$120,9,FALSE)),"0")</f>
        <v>0</v>
      </c>
      <c r="AX64" s="192" t="str">
        <f>IF(AND($C64&lt;&gt;"",$F64&lt;&gt;""),(VLOOKUP($C64,'V-LOOKUP'!$C$61:$M$120,10,FALSE)),"0")</f>
        <v>0</v>
      </c>
      <c r="AY64" s="192" t="str">
        <f>IF(AND($C64&lt;&gt;"",$F64&lt;&gt;""),(VLOOKUP($C64,'V-LOOKUP'!$C$61:$M$120,11,FALSE)),"0")</f>
        <v>0</v>
      </c>
      <c r="AZ64" s="192" t="str">
        <f>IF(AND($C64&lt;&gt;"",$F64&lt;&gt;""),(VLOOKUP($C64,'V-LOOKUP'!$C$61:$N$120,12,FALSE)),"0")</f>
        <v>0</v>
      </c>
      <c r="BA64" s="192" t="str">
        <f>IF(AND($C64&lt;&gt;"",$G64&lt;&gt;""),(VLOOKUP($C64,'V-LOOKUP'!$C$61:$M$120,4,FALSE)),"0")</f>
        <v>0</v>
      </c>
      <c r="BB64" s="192" t="str">
        <f>IF(AND($C64&lt;&gt;"",$G64&lt;&gt;""),(VLOOKUP($C64,'V-LOOKUP'!$C$61:$M$120,5,FALSE)),"0")</f>
        <v>0</v>
      </c>
      <c r="BC64" s="192" t="str">
        <f>IF(AND($C64&lt;&gt;"",$G64&lt;&gt;""),(VLOOKUP($C64,'V-LOOKUP'!$C$61:$M$120,6,FALSE)),"0")</f>
        <v>0</v>
      </c>
      <c r="BD64" s="192" t="str">
        <f>IF(AND($C64&lt;&gt;"",$G64&lt;&gt;""),(VLOOKUP($C64,'V-LOOKUP'!$C$61:$M$120,7,FALSE)),"0")</f>
        <v>0</v>
      </c>
      <c r="BE64" s="192" t="str">
        <f>IF(AND($C64&lt;&gt;"",$G64&lt;&gt;""),(VLOOKUP($C64,'V-LOOKUP'!$C$61:$M$120,8,FALSE)),"0")</f>
        <v>0</v>
      </c>
      <c r="BF64" s="192" t="str">
        <f>IF(AND($C64&lt;&gt;"",$G64&lt;&gt;""),(VLOOKUP($C64,'V-LOOKUP'!$C$61:$M$120,9,FALSE)),"0")</f>
        <v>0</v>
      </c>
      <c r="BG64" s="192" t="str">
        <f>IF(AND($C64&lt;&gt;"",$G64&lt;&gt;""),(VLOOKUP($C64,'V-LOOKUP'!$C$61:$M$120,10,FALSE)),"0")</f>
        <v>0</v>
      </c>
      <c r="BH64" s="192" t="str">
        <f>IF(AND($C64&lt;&gt;"",$G64&lt;&gt;""),(VLOOKUP($C64,'V-LOOKUP'!$C$61:$M$120,11,FALSE)),"0")</f>
        <v>0</v>
      </c>
      <c r="BI64" s="192" t="str">
        <f>IF(AND($C64&lt;&gt;"",$G64&lt;&gt;""),(VLOOKUP($C64,'V-LOOKUP'!$C$61:$N$120,12,FALSE)),"0")</f>
        <v>0</v>
      </c>
      <c r="BJ64" s="192" t="str">
        <f>IF(AND($C64&lt;&gt;"",$H64&lt;&gt;""),(VLOOKUP($C64,'V-LOOKUP'!$C$61:$M$120,4,FALSE)),"0")</f>
        <v>0</v>
      </c>
      <c r="BK64" s="192" t="str">
        <f>IF(AND($C64&lt;&gt;"",$H64&lt;&gt;""),(VLOOKUP($C64,'V-LOOKUP'!$C$61:$M$120,5,FALSE)),"0")</f>
        <v>0</v>
      </c>
      <c r="BL64" s="192" t="str">
        <f>IF(AND($C64&lt;&gt;"",$H64&lt;&gt;""),(VLOOKUP($C64,'V-LOOKUP'!$C$61:$M$120,6,FALSE)),"0")</f>
        <v>0</v>
      </c>
      <c r="BM64" s="192" t="str">
        <f>IF(AND($C64&lt;&gt;"",$H64&lt;&gt;""),(VLOOKUP($C64,'V-LOOKUP'!$C$61:$M$120,7,FALSE)),"0")</f>
        <v>0</v>
      </c>
      <c r="BN64" s="192" t="str">
        <f>IF(AND($C64&lt;&gt;"",$H64&lt;&gt;""),(VLOOKUP($C64,'V-LOOKUP'!$C$61:$M$120,8,FALSE)),"0")</f>
        <v>0</v>
      </c>
      <c r="BO64" s="192" t="str">
        <f>IF(AND($C64&lt;&gt;"",$H64&lt;&gt;""),(VLOOKUP($C64,'V-LOOKUP'!$C$61:$M$120,9,FALSE)),"0")</f>
        <v>0</v>
      </c>
      <c r="BP64" s="192" t="str">
        <f>IF(AND($C64&lt;&gt;"",$H64&lt;&gt;""),(VLOOKUP($C64,'V-LOOKUP'!$C$61:$M$120,10,FALSE)),"0")</f>
        <v>0</v>
      </c>
      <c r="BQ64" s="192" t="str">
        <f>IF(AND($C64&lt;&gt;"",$H64&lt;&gt;""),(VLOOKUP($C64,'V-LOOKUP'!$C$61:$M$120,11,FALSE)),"0")</f>
        <v>0</v>
      </c>
      <c r="BR64" s="192" t="str">
        <f>IF(AND($C64&lt;&gt;"",$H64&lt;&gt;""),(VLOOKUP($C64,'V-LOOKUP'!$C$61:$N$120,12,FALSE)),"0")</f>
        <v>0</v>
      </c>
      <c r="BS64" s="192" t="str">
        <f>IF(AND($C64&lt;&gt;"",$I64&lt;&gt;""),(VLOOKUP($C64,'V-LOOKUP'!$C$61:$M$120,4,FALSE)),"0")</f>
        <v>0</v>
      </c>
      <c r="BT64" s="192" t="str">
        <f>IF(AND($C64&lt;&gt;"",$I64&lt;&gt;""),(VLOOKUP($C64,'V-LOOKUP'!$C$61:$M$120,5,FALSE)),"0")</f>
        <v>0</v>
      </c>
      <c r="BU64" s="192" t="str">
        <f>IF(AND($C64&lt;&gt;"",$I64&lt;&gt;""),(VLOOKUP($C64,'V-LOOKUP'!$C$61:$M$120,6,FALSE)),"0")</f>
        <v>0</v>
      </c>
      <c r="BV64" s="192" t="str">
        <f>IF(AND($C64&lt;&gt;"",$I64&lt;&gt;""),(VLOOKUP($C64,'V-LOOKUP'!$C$61:$M$120,7,FALSE)),"0")</f>
        <v>0</v>
      </c>
      <c r="BW64" s="192" t="str">
        <f>IF(AND($C64&lt;&gt;"",$I64&lt;&gt;""),(VLOOKUP($C64,'V-LOOKUP'!$C$61:$M$120,8,FALSE)),"0")</f>
        <v>0</v>
      </c>
      <c r="BX64" s="192" t="str">
        <f>IF(AND($C64&lt;&gt;"",$I64&lt;&gt;""),(VLOOKUP($C64,'V-LOOKUP'!$C$61:$M$120,9,FALSE)),"0")</f>
        <v>0</v>
      </c>
      <c r="BY64" s="192" t="str">
        <f>IF(AND($C64&lt;&gt;"",$I64&lt;&gt;""),(VLOOKUP($C64,'V-LOOKUP'!$C$61:$M$120,10,FALSE)),"0")</f>
        <v>0</v>
      </c>
      <c r="BZ64" s="192" t="str">
        <f>IF(AND($C64&lt;&gt;"",$I64&lt;&gt;""),(VLOOKUP($C64,'V-LOOKUP'!$C$61:$M$120,11,FALSE)),"0")</f>
        <v>0</v>
      </c>
      <c r="CA64" s="192" t="str">
        <f>IF(AND($C64&lt;&gt;"",$I64&lt;&gt;""),(VLOOKUP($C64,'V-LOOKUP'!$C$61:$N$120,12,FALSE)),"0")</f>
        <v>0</v>
      </c>
      <c r="CB64" s="192" t="str">
        <f>IF(AND($C64&lt;&gt;"",$J64&lt;&gt;""),(VLOOKUP($C64,'V-LOOKUP'!$C$61:$M$120,4,FALSE)),"0")</f>
        <v>0</v>
      </c>
      <c r="CC64" s="192" t="str">
        <f>IF(AND($C64&lt;&gt;"",$J64&lt;&gt;""),(VLOOKUP($C64,'V-LOOKUP'!$C$61:$M$120,5,FALSE)),"0")</f>
        <v>0</v>
      </c>
      <c r="CD64" s="192" t="str">
        <f>IF(AND($C64&lt;&gt;"",$J64&lt;&gt;""),(VLOOKUP($C64,'V-LOOKUP'!$C$61:$M$120,6,FALSE)),"0")</f>
        <v>0</v>
      </c>
      <c r="CE64" s="192" t="str">
        <f>IF(AND($C64&lt;&gt;"",$J64&lt;&gt;""),(VLOOKUP($C64,'V-LOOKUP'!$C$61:$M$120,7,FALSE)),"0")</f>
        <v>0</v>
      </c>
      <c r="CF64" s="192" t="str">
        <f>IF(AND($C64&lt;&gt;"",$J64&lt;&gt;""),(VLOOKUP($C64,'V-LOOKUP'!$C$61:$M$120,8,FALSE)),"0")</f>
        <v>0</v>
      </c>
      <c r="CG64" s="192" t="str">
        <f>IF(AND($C64&lt;&gt;"",$J64&lt;&gt;""),(VLOOKUP($C64,'V-LOOKUP'!$C$61:$M$120,9,FALSE)),"0")</f>
        <v>0</v>
      </c>
      <c r="CH64" s="192" t="str">
        <f>IF(AND($C64&lt;&gt;"",$J64&lt;&gt;""),(VLOOKUP($C64,'V-LOOKUP'!$C$61:$M$120,10,FALSE)),"0")</f>
        <v>0</v>
      </c>
      <c r="CI64" s="192" t="str">
        <f>IF(AND($C64&lt;&gt;"",$J64&lt;&gt;""),(VLOOKUP($C64,'V-LOOKUP'!$C$61:$M$120,11,FALSE)),"0")</f>
        <v>0</v>
      </c>
      <c r="CJ64" s="192" t="str">
        <f>IF(AND($C64&lt;&gt;"",$J64&lt;&gt;""),(VLOOKUP($C64,'V-LOOKUP'!$C$61:$N$120,12,FALSE)),"0")</f>
        <v>0</v>
      </c>
      <c r="CK64" s="192" t="str">
        <f>IF(AND($C64&lt;&gt;"",$K64&lt;&gt;""),(VLOOKUP($C64,'V-LOOKUP'!$C$61:$M$120,4,FALSE)),"0")</f>
        <v>0</v>
      </c>
      <c r="CL64" s="192" t="str">
        <f>IF(AND($C64&lt;&gt;"",$K64&lt;&gt;""),(VLOOKUP($C64,'V-LOOKUP'!$C$61:$M$120,5,FALSE)),"0")</f>
        <v>0</v>
      </c>
      <c r="CM64" s="192" t="str">
        <f>IF(AND($C64&lt;&gt;"",$K64&lt;&gt;""),(VLOOKUP($C64,'V-LOOKUP'!$C$61:$M$120,6,FALSE)),"0")</f>
        <v>0</v>
      </c>
      <c r="CN64" s="192" t="str">
        <f>IF(AND($C64&lt;&gt;"",$K64&lt;&gt;""),(VLOOKUP($C64,'V-LOOKUP'!$C$61:$M$120,7,FALSE)),"0")</f>
        <v>0</v>
      </c>
      <c r="CO64" s="192" t="str">
        <f>IF(AND($C64&lt;&gt;"",$K64&lt;&gt;""),(VLOOKUP($C64,'V-LOOKUP'!$C$61:$M$120,8,FALSE)),"0")</f>
        <v>0</v>
      </c>
      <c r="CP64" s="192" t="str">
        <f>IF(AND($C64&lt;&gt;"",$K64&lt;&gt;""),(VLOOKUP($C64,'V-LOOKUP'!$C$61:$M$120,9,FALSE)),"0")</f>
        <v>0</v>
      </c>
      <c r="CQ64" s="192" t="str">
        <f>IF(AND($C64&lt;&gt;"",$K64&lt;&gt;""),(VLOOKUP($C64,'V-LOOKUP'!$C$61:$M$120,10,FALSE)),"0")</f>
        <v>0</v>
      </c>
      <c r="CR64" s="192" t="str">
        <f>IF(AND($C64&lt;&gt;"",$K64&lt;&gt;""),(VLOOKUP($C64,'V-LOOKUP'!$C$61:$M$120,11,FALSE)),"0")</f>
        <v>0</v>
      </c>
      <c r="CS64" s="192" t="str">
        <f>IF(AND($C64&lt;&gt;"",$K64&lt;&gt;""),(VLOOKUP($C64,'V-LOOKUP'!$C$61:$N$120,12,FALSE)),"0")</f>
        <v>0</v>
      </c>
      <c r="CT64" s="192" t="str">
        <f>IF(AND($C64&lt;&gt;"",$L64&lt;&gt;""),(VLOOKUP($C64,'V-LOOKUP'!$C$61:$M$120,4,FALSE)),"0")</f>
        <v>0</v>
      </c>
      <c r="CU64" s="192" t="str">
        <f>IF(AND($C64&lt;&gt;"",$L64&lt;&gt;""),(VLOOKUP($C64,'V-LOOKUP'!$C$61:$M$120,5,FALSE)),"0")</f>
        <v>0</v>
      </c>
      <c r="CV64" s="192" t="str">
        <f>IF(AND($C64&lt;&gt;"",$L64&lt;&gt;""),(VLOOKUP($C64,'V-LOOKUP'!$C$61:$M$120,6,FALSE)),"0")</f>
        <v>0</v>
      </c>
      <c r="CW64" s="192" t="str">
        <f>IF(AND($C64&lt;&gt;"",$L64&lt;&gt;""),(VLOOKUP($C64,'V-LOOKUP'!$C$61:$M$120,7,FALSE)),"0")</f>
        <v>0</v>
      </c>
      <c r="CX64" s="192" t="str">
        <f>IF(AND($C64&lt;&gt;"",$L64&lt;&gt;""),(VLOOKUP($C64,'V-LOOKUP'!$C$61:$M$120,8,FALSE)),"0")</f>
        <v>0</v>
      </c>
      <c r="CY64" s="192" t="str">
        <f>IF(AND($C64&lt;&gt;"",$L64&lt;&gt;""),(VLOOKUP($C64,'V-LOOKUP'!$C$61:$M$120,9,FALSE)),"0")</f>
        <v>0</v>
      </c>
      <c r="CZ64" s="192" t="str">
        <f>IF(AND($C64&lt;&gt;"",$L64&lt;&gt;""),(VLOOKUP($C64,'V-LOOKUP'!$C$61:$M$120,10,FALSE)),"0")</f>
        <v>0</v>
      </c>
      <c r="DA64" s="192" t="str">
        <f>IF(AND($C64&lt;&gt;"",$L64&lt;&gt;""),(VLOOKUP($C64,'V-LOOKUP'!$C$61:$M$120,11,FALSE)),"0")</f>
        <v>0</v>
      </c>
      <c r="DB64" s="192" t="str">
        <f>IF(AND($C64&lt;&gt;"",$L64&lt;&gt;""),(VLOOKUP($C64,'V-LOOKUP'!$C$61:$N$120,12,FALSE)),"0")</f>
        <v>0</v>
      </c>
      <c r="DC64" s="192" t="str">
        <f>IF(AND($C64&lt;&gt;"",$M64&lt;&gt;""),(VLOOKUP($C64,'V-LOOKUP'!$C$61:$M$120,4,FALSE)),"0")</f>
        <v>0</v>
      </c>
      <c r="DD64" s="192" t="str">
        <f>IF(AND($C64&lt;&gt;"",$M64&lt;&gt;""),(VLOOKUP($C64,'V-LOOKUP'!$C$61:$M$120,5,FALSE)),"0")</f>
        <v>0</v>
      </c>
      <c r="DE64" s="192" t="str">
        <f>IF(AND($C64&lt;&gt;"",$M64&lt;&gt;""),(VLOOKUP($C64,'V-LOOKUP'!$C$61:$M$120,6,FALSE)),"0")</f>
        <v>0</v>
      </c>
      <c r="DF64" s="192" t="str">
        <f>IF(AND($C64&lt;&gt;"",$M64&lt;&gt;""),(VLOOKUP($C64,'V-LOOKUP'!$C$61:$M$120,7,FALSE)),"0")</f>
        <v>0</v>
      </c>
      <c r="DG64" s="192" t="str">
        <f>IF(AND($C64&lt;&gt;"",$M64&lt;&gt;""),(VLOOKUP($C64,'V-LOOKUP'!$C$61:$M$120,8,FALSE)),"0")</f>
        <v>0</v>
      </c>
      <c r="DH64" s="192" t="str">
        <f>IF(AND($C64&lt;&gt;"",$M64&lt;&gt;""),(VLOOKUP($C64,'V-LOOKUP'!$C$61:$M$120,9,FALSE)),"0")</f>
        <v>0</v>
      </c>
      <c r="DI64" s="192" t="str">
        <f>IF(AND($C64&lt;&gt;"",$M64&lt;&gt;""),(VLOOKUP($C64,'V-LOOKUP'!$C$61:$M$120,10,FALSE)),"0")</f>
        <v>0</v>
      </c>
      <c r="DJ64" s="192" t="str">
        <f>IF(AND($C64&lt;&gt;"",$M64&lt;&gt;""),(VLOOKUP($C64,'V-LOOKUP'!$C$61:$M$120,11,FALSE)),"0")</f>
        <v>0</v>
      </c>
      <c r="DK64" s="192" t="str">
        <f>IF(AND($C64&lt;&gt;"",$M64&lt;&gt;""),(VLOOKUP($C64,'V-LOOKUP'!$C$61:$N$120,12,FALSE)),"0")</f>
        <v>0</v>
      </c>
      <c r="DL64" s="192" t="str">
        <f>IF(AND($C64&lt;&gt;"",$N64&lt;&gt;""),(VLOOKUP($C64,'V-LOOKUP'!$C$61:$M$120,4,FALSE)),"0")</f>
        <v>0</v>
      </c>
      <c r="DM64" s="192" t="str">
        <f>IF(AND($C64&lt;&gt;"",$N64&lt;&gt;""),(VLOOKUP($C64,'V-LOOKUP'!$C$61:$M$120,5,FALSE)),"0")</f>
        <v>0</v>
      </c>
      <c r="DN64" s="192" t="str">
        <f>IF(AND($C64&lt;&gt;"",$N64&lt;&gt;""),(VLOOKUP($C64,'V-LOOKUP'!$C$61:$M$120,6,FALSE)),"0")</f>
        <v>0</v>
      </c>
      <c r="DO64" s="192" t="str">
        <f>IF(AND($C64&lt;&gt;"",$N64&lt;&gt;""),(VLOOKUP($C64,'V-LOOKUP'!$C$61:$M$120,7,FALSE)),"0")</f>
        <v>0</v>
      </c>
      <c r="DP64" s="192" t="str">
        <f>IF(AND($C64&lt;&gt;"",$N64&lt;&gt;""),(VLOOKUP($C64,'V-LOOKUP'!$C$61:$M$120,8,FALSE)),"0")</f>
        <v>0</v>
      </c>
      <c r="DQ64" s="192" t="str">
        <f>IF(AND($C64&lt;&gt;"",$N64&lt;&gt;""),(VLOOKUP($C64,'V-LOOKUP'!$C$61:$M$120,9,FALSE)),"0")</f>
        <v>0</v>
      </c>
      <c r="DR64" s="192" t="str">
        <f>IF(AND($C64&lt;&gt;"",$N64&lt;&gt;""),(VLOOKUP($C64,'V-LOOKUP'!$C$61:$M$120,10,FALSE)),"0")</f>
        <v>0</v>
      </c>
      <c r="DS64" s="192" t="str">
        <f>IF(AND($C64&lt;&gt;"",$N64&lt;&gt;""),(VLOOKUP($C64,'V-LOOKUP'!$C$61:$M$120,11,FALSE)),"0")</f>
        <v>0</v>
      </c>
      <c r="DT64" s="192" t="str">
        <f>IF(AND($C64&lt;&gt;"",$N64&lt;&gt;""),(VLOOKUP($C64,'V-LOOKUP'!$C$61:$N$120,12,FALSE)),"0")</f>
        <v>0</v>
      </c>
      <c r="DU64" s="192" t="str">
        <f>IF(AND($C64&lt;&gt;"",$O64&lt;&gt;""),(VLOOKUP($C64,'V-LOOKUP'!$C$61:$M$120,4,FALSE)),"0")</f>
        <v>0</v>
      </c>
      <c r="DV64" s="192" t="str">
        <f>IF(AND($C64&lt;&gt;"",$O64&lt;&gt;""),(VLOOKUP($C64,'V-LOOKUP'!$C$61:$M$120,5,FALSE)),"0")</f>
        <v>0</v>
      </c>
      <c r="DW64" s="192" t="str">
        <f>IF(AND($C64&lt;&gt;"",$O64&lt;&gt;""),(VLOOKUP($C64,'V-LOOKUP'!$C$61:$M$120,6,FALSE)),"0")</f>
        <v>0</v>
      </c>
      <c r="DX64" s="192" t="str">
        <f>IF(AND($C64&lt;&gt;"",$O64&lt;&gt;""),(VLOOKUP($C64,'V-LOOKUP'!$C$61:$M$120,7,FALSE)),"0")</f>
        <v>0</v>
      </c>
      <c r="DY64" s="192" t="str">
        <f>IF(AND($C64&lt;&gt;"",$O64&lt;&gt;""),(VLOOKUP($C64,'V-LOOKUP'!$C$61:$M$120,8,FALSE)),"0")</f>
        <v>0</v>
      </c>
      <c r="DZ64" s="192" t="str">
        <f>IF(AND($C64&lt;&gt;"",$O64&lt;&gt;""),(VLOOKUP($C64,'V-LOOKUP'!$C$61:$M$120,9,FALSE)),"0")</f>
        <v>0</v>
      </c>
      <c r="EA64" s="192" t="str">
        <f>IF(AND($C64&lt;&gt;"",$O64&lt;&gt;""),(VLOOKUP($C64,'V-LOOKUP'!$C$61:$M$120,10,FALSE)),"0")</f>
        <v>0</v>
      </c>
      <c r="EB64" s="192" t="str">
        <f>IF(AND($C64&lt;&gt;"",$O64&lt;&gt;""),(VLOOKUP($C64,'V-LOOKUP'!$C$61:$M$120,11,FALSE)),"0")</f>
        <v>0</v>
      </c>
      <c r="EC64" s="192" t="str">
        <f>IF(AND($C64&lt;&gt;"",$O64&lt;&gt;""),(VLOOKUP($C64,'V-LOOKUP'!$C$61:$N$120,12,FALSE)),"0")</f>
        <v>0</v>
      </c>
      <c r="ED64" s="192" t="str">
        <f>IF(AND($C64&lt;&gt;"",$P64&lt;&gt;""),(VLOOKUP($C64,'V-LOOKUP'!$C$61:$M$120,4,FALSE)),"0")</f>
        <v>0</v>
      </c>
      <c r="EE64" s="192" t="str">
        <f>IF(AND($C64&lt;&gt;"",$P64&lt;&gt;""),(VLOOKUP($C64,'V-LOOKUP'!$C$61:$M$120,5,FALSE)),"0")</f>
        <v>0</v>
      </c>
      <c r="EF64" s="192" t="str">
        <f>IF(AND($C64&lt;&gt;"",$P64&lt;&gt;""),(VLOOKUP($C64,'V-LOOKUP'!$C$61:$M$120,6,FALSE)),"0")</f>
        <v>0</v>
      </c>
      <c r="EG64" s="192" t="str">
        <f>IF(AND($C64&lt;&gt;"",$P64&lt;&gt;""),(VLOOKUP($C64,'V-LOOKUP'!$C$61:$M$120,7,FALSE)),"0")</f>
        <v>0</v>
      </c>
      <c r="EH64" s="192" t="str">
        <f>IF(AND($C64&lt;&gt;"",$P64&lt;&gt;""),(VLOOKUP($C64,'V-LOOKUP'!$C$61:$M$120,8,FALSE)),"0")</f>
        <v>0</v>
      </c>
      <c r="EI64" s="192" t="str">
        <f>IF(AND($C64&lt;&gt;"",$P64&lt;&gt;""),(VLOOKUP($C64,'V-LOOKUP'!$C$61:$M$120,9,FALSE)),"0")</f>
        <v>0</v>
      </c>
      <c r="EJ64" s="192" t="str">
        <f>IF(AND($C64&lt;&gt;"",$P64&lt;&gt;""),(VLOOKUP($C64,'V-LOOKUP'!$C$61:$M$120,10,FALSE)),"0")</f>
        <v>0</v>
      </c>
      <c r="EK64" s="192" t="str">
        <f>IF(AND($C64&lt;&gt;"",$P64&lt;&gt;""),(VLOOKUP($C64,'V-LOOKUP'!$C$61:$M$120,11,FALSE)),"0")</f>
        <v>0</v>
      </c>
      <c r="EL64" s="192" t="str">
        <f>IF(AND($C64&lt;&gt;"",$P64&lt;&gt;""),(VLOOKUP($C64,'V-LOOKUP'!$C$61:$N$120,12,FALSE)),"0")</f>
        <v>0</v>
      </c>
      <c r="EM64" s="192" t="str">
        <f>IF(AND($C64&lt;&gt;"",$Q64&lt;&gt;""),(VLOOKUP($C64,'V-LOOKUP'!$C$61:$M$120,4,FALSE)),"0")</f>
        <v>0</v>
      </c>
      <c r="EN64" s="192" t="str">
        <f>IF(AND($C64&lt;&gt;"",$Q64&lt;&gt;""),(VLOOKUP($C64,'V-LOOKUP'!$C$61:$M$120,5,FALSE)),"0")</f>
        <v>0</v>
      </c>
      <c r="EO64" s="192" t="str">
        <f>IF(AND($C64&lt;&gt;"",$Q64&lt;&gt;""),(VLOOKUP($C64,'V-LOOKUP'!$C$61:$M$120,6,FALSE)),"0")</f>
        <v>0</v>
      </c>
      <c r="EP64" s="192" t="str">
        <f>IF(AND($C64&lt;&gt;"",$Q64&lt;&gt;""),(VLOOKUP($C64,'V-LOOKUP'!$C$61:$M$120,7,FALSE)),"0")</f>
        <v>0</v>
      </c>
      <c r="EQ64" s="192" t="str">
        <f>IF(AND($C64&lt;&gt;"",$Q64&lt;&gt;""),(VLOOKUP($C64,'V-LOOKUP'!$C$61:$M$120,8,FALSE)),"0")</f>
        <v>0</v>
      </c>
      <c r="ER64" s="192" t="str">
        <f>IF(AND($C64&lt;&gt;"",$Q64&lt;&gt;""),(VLOOKUP($C64,'V-LOOKUP'!$C$61:$M$120,9,FALSE)),"0")</f>
        <v>0</v>
      </c>
      <c r="ES64" s="192" t="str">
        <f>IF(AND($C64&lt;&gt;"",$Q64&lt;&gt;""),(VLOOKUP($C64,'V-LOOKUP'!$C$61:$M$120,10,FALSE)),"0")</f>
        <v>0</v>
      </c>
      <c r="ET64" s="192" t="str">
        <f>IF(AND($C64&lt;&gt;"",$Q64&lt;&gt;""),(VLOOKUP($C64,'V-LOOKUP'!$C$61:$M$120,11,FALSE)),"0")</f>
        <v>0</v>
      </c>
      <c r="EU64" s="192" t="str">
        <f>IF(AND($C64&lt;&gt;"",$Q64&lt;&gt;""),(VLOOKUP($C64,'V-LOOKUP'!$C$61:$N$120,12,FALSE)),"0")</f>
        <v>0</v>
      </c>
      <c r="EV64" s="192" t="str">
        <f>IF(AND($C64&lt;&gt;"",$R64&lt;&gt;""),(VLOOKUP($C64,'V-LOOKUP'!$C$61:$M$120,4,FALSE)),"0")</f>
        <v>0</v>
      </c>
      <c r="EW64" s="192" t="str">
        <f>IF(AND($C64&lt;&gt;"",$R64&lt;&gt;""),(VLOOKUP($C64,'V-LOOKUP'!$C$61:$M$120,5,FALSE)),"0")</f>
        <v>0</v>
      </c>
      <c r="EX64" s="192" t="str">
        <f>IF(AND($C64&lt;&gt;"",$R64&lt;&gt;""),(VLOOKUP($C64,'V-LOOKUP'!$C$61:$M$120,6,FALSE)),"0")</f>
        <v>0</v>
      </c>
      <c r="EY64" s="192" t="str">
        <f>IF(AND($C64&lt;&gt;"",$R64&lt;&gt;""),(VLOOKUP($C64,'V-LOOKUP'!$C$61:$M$120,7,FALSE)),"0")</f>
        <v>0</v>
      </c>
      <c r="EZ64" s="192" t="str">
        <f>IF(AND($C64&lt;&gt;"",$R64&lt;&gt;""),(VLOOKUP($C64,'V-LOOKUP'!$C$61:$M$120,8,FALSE)),"0")</f>
        <v>0</v>
      </c>
      <c r="FA64" s="192" t="str">
        <f>IF(AND($C64&lt;&gt;"",$R64&lt;&gt;""),(VLOOKUP($C64,'V-LOOKUP'!$C$61:$M$120,9,FALSE)),"0")</f>
        <v>0</v>
      </c>
      <c r="FB64" s="192" t="str">
        <f>IF(AND($C64&lt;&gt;"",$R64&lt;&gt;""),(VLOOKUP($C64,'V-LOOKUP'!$C$61:$M$120,10,FALSE)),"0")</f>
        <v>0</v>
      </c>
      <c r="FC64" s="192" t="str">
        <f>IF(AND($C64&lt;&gt;"",$R64&lt;&gt;""),(VLOOKUP($C64,'V-LOOKUP'!$C$61:$M$120,11,FALSE)),"0")</f>
        <v>0</v>
      </c>
      <c r="FD64" s="192" t="str">
        <f>IF(AND($C64&lt;&gt;"",$R64&lt;&gt;""),(VLOOKUP($C64,'V-LOOKUP'!$C$61:$N$120,12,FALSE)),"0")</f>
        <v>0</v>
      </c>
      <c r="FE64" s="192" t="str">
        <f>IF(AND($C64&lt;&gt;"",$S64&lt;&gt;""),(VLOOKUP($C64,'V-LOOKUP'!$C$61:$M$120,4,FALSE)),"0")</f>
        <v>0</v>
      </c>
      <c r="FF64" s="192" t="str">
        <f>IF(AND($C64&lt;&gt;"",$S64&lt;&gt;""),(VLOOKUP($C64,'V-LOOKUP'!$C$61:$M$120,5,FALSE)),"0")</f>
        <v>0</v>
      </c>
      <c r="FG64" s="192" t="str">
        <f>IF(AND($C64&lt;&gt;"",$S64&lt;&gt;""),(VLOOKUP($C64,'V-LOOKUP'!$C$61:$M$120,6,FALSE)),"0")</f>
        <v>0</v>
      </c>
      <c r="FH64" s="192" t="str">
        <f>IF(AND($C64&lt;&gt;"",$S64&lt;&gt;""),(VLOOKUP($C64,'V-LOOKUP'!$C$61:$M$120,7,FALSE)),"0")</f>
        <v>0</v>
      </c>
      <c r="FI64" s="192" t="str">
        <f>IF(AND($C64&lt;&gt;"",$S64&lt;&gt;""),(VLOOKUP($C64,'V-LOOKUP'!$C$61:$M$120,8,FALSE)),"0")</f>
        <v>0</v>
      </c>
      <c r="FJ64" s="192" t="str">
        <f>IF(AND($C64&lt;&gt;"",$S64&lt;&gt;""),(VLOOKUP($C64,'V-LOOKUP'!$C$61:$M$120,9,FALSE)),"0")</f>
        <v>0</v>
      </c>
      <c r="FK64" s="192" t="str">
        <f>IF(AND($C64&lt;&gt;"",$S64&lt;&gt;""),(VLOOKUP($C64,'V-LOOKUP'!$C$61:$M$120,10,FALSE)),"0")</f>
        <v>0</v>
      </c>
      <c r="FL64" s="192" t="str">
        <f>IF(AND($C64&lt;&gt;"",$S64&lt;&gt;""),(VLOOKUP($C64,'V-LOOKUP'!$C$61:$M$120,11,FALSE)),"0")</f>
        <v>0</v>
      </c>
      <c r="FM64" s="192" t="str">
        <f>IF(AND($C64&lt;&gt;"",$S64&lt;&gt;""),(VLOOKUP($C64,'V-LOOKUP'!$C$61:$N$120,12,FALSE)),"0")</f>
        <v>0</v>
      </c>
      <c r="FN64" s="192" t="str">
        <f>IF(AND($C64&lt;&gt;"",$T64&lt;&gt;""),(VLOOKUP($C64,'V-LOOKUP'!$C$61:$M$120,4,FALSE)),"0")</f>
        <v>0</v>
      </c>
      <c r="FO64" s="192" t="str">
        <f>IF(AND($C64&lt;&gt;"",$T64&lt;&gt;""),(VLOOKUP($C64,'V-LOOKUP'!$C$61:$M$120,5,FALSE)),"0")</f>
        <v>0</v>
      </c>
      <c r="FP64" s="192" t="str">
        <f>IF(AND($C64&lt;&gt;"",$T64&lt;&gt;""),(VLOOKUP($C64,'V-LOOKUP'!$C$61:$M$120,6,FALSE)),"0")</f>
        <v>0</v>
      </c>
      <c r="FQ64" s="192" t="str">
        <f>IF(AND($C64&lt;&gt;"",$T64&lt;&gt;""),(VLOOKUP($C64,'V-LOOKUP'!$C$61:$M$120,7,FALSE)),"0")</f>
        <v>0</v>
      </c>
      <c r="FR64" s="192" t="str">
        <f>IF(AND($C64&lt;&gt;"",$T64&lt;&gt;""),(VLOOKUP($C64,'V-LOOKUP'!$C$61:$M$120,8,FALSE)),"0")</f>
        <v>0</v>
      </c>
      <c r="FS64" s="192" t="str">
        <f>IF(AND($C64&lt;&gt;"",$T64&lt;&gt;""),(VLOOKUP($C64,'V-LOOKUP'!$C$61:$M$120,9,FALSE)),"0")</f>
        <v>0</v>
      </c>
      <c r="FT64" s="192" t="str">
        <f>IF(AND($C64&lt;&gt;"",$T64&lt;&gt;""),(VLOOKUP($C64,'V-LOOKUP'!$C$61:$M$120,10,FALSE)),"0")</f>
        <v>0</v>
      </c>
      <c r="FU64" s="192" t="str">
        <f>IF(AND($C64&lt;&gt;"",$T64&lt;&gt;""),(VLOOKUP($C64,'V-LOOKUP'!$C$61:$M$120,11,FALSE)),"0")</f>
        <v>0</v>
      </c>
      <c r="FV64" s="192" t="str">
        <f>IF(AND($C64&lt;&gt;"",$T64&lt;&gt;""),(VLOOKUP($C64,'V-LOOKUP'!$C$61:$N$120,12,FALSE)),"0")</f>
        <v>0</v>
      </c>
      <c r="FW64" s="192" t="str">
        <f>IF(AND($C64&lt;&gt;"",$U64&lt;&gt;""),(VLOOKUP($C64,'V-LOOKUP'!$C$61:$M$120,4,FALSE)),"0")</f>
        <v>0</v>
      </c>
      <c r="FX64" s="192" t="str">
        <f>IF(AND($C64&lt;&gt;"",$U64&lt;&gt;""),(VLOOKUP($C64,'V-LOOKUP'!$C$61:$M$120,5,FALSE)),"0")</f>
        <v>0</v>
      </c>
      <c r="FY64" s="192" t="str">
        <f>IF(AND($C64&lt;&gt;"",$U64&lt;&gt;""),(VLOOKUP($C64,'V-LOOKUP'!$C$61:$M$120,6,FALSE)),"0")</f>
        <v>0</v>
      </c>
      <c r="FZ64" s="192" t="str">
        <f>IF(AND($C64&lt;&gt;"",$U64&lt;&gt;""),(VLOOKUP($C64,'V-LOOKUP'!$C$61:$M$120,7,FALSE)),"0")</f>
        <v>0</v>
      </c>
      <c r="GA64" s="192" t="str">
        <f>IF(AND($C64&lt;&gt;"",$U64&lt;&gt;""),(VLOOKUP($C64,'V-LOOKUP'!$C$61:$M$120,8,FALSE)),"0")</f>
        <v>0</v>
      </c>
      <c r="GB64" s="192" t="str">
        <f>IF(AND($C64&lt;&gt;"",$U64&lt;&gt;""),(VLOOKUP($C64,'V-LOOKUP'!$C$61:$M$120,9,FALSE)),"0")</f>
        <v>0</v>
      </c>
      <c r="GC64" s="192" t="str">
        <f>IF(AND($C64&lt;&gt;"",$U64&lt;&gt;""),(VLOOKUP($C64,'V-LOOKUP'!$C$61:$M$120,10,FALSE)),"0")</f>
        <v>0</v>
      </c>
      <c r="GD64" s="192" t="str">
        <f>IF(AND($C64&lt;&gt;"",$U64&lt;&gt;""),(VLOOKUP($C64,'V-LOOKUP'!$C$61:$M$120,11,FALSE)),"0")</f>
        <v>0</v>
      </c>
      <c r="GE64" s="192" t="str">
        <f>IF(AND($C64&lt;&gt;"",$U64&lt;&gt;""),(VLOOKUP($C64,'V-LOOKUP'!$C$61:$N$120,12,FALSE)),"0")</f>
        <v>0</v>
      </c>
      <c r="GF64" s="192" t="str">
        <f>IF(AND($C64&lt;&gt;"",$V64&lt;&gt;""),(VLOOKUP($C64,'V-LOOKUP'!$C$61:$M$120,4,FALSE)),"0")</f>
        <v>0</v>
      </c>
      <c r="GG64" s="192" t="str">
        <f>IF(AND($C64&lt;&gt;"",V64&lt;&gt;""),(VLOOKUP($C64,'V-LOOKUP'!$C$61:$M$120,5,FALSE)),"0")</f>
        <v>0</v>
      </c>
      <c r="GH64" s="192" t="str">
        <f>IF(AND($C64&lt;&gt;"",$V64&lt;&gt;""),(VLOOKUP($C64,'V-LOOKUP'!$C$61:$M$120,6,FALSE)),"0")</f>
        <v>0</v>
      </c>
      <c r="GI64" s="192" t="str">
        <f>IF(AND($C64&lt;&gt;"",$V64&lt;&gt;""),(VLOOKUP($C64,'V-LOOKUP'!$C$61:$M$120,7,FALSE)),"0")</f>
        <v>0</v>
      </c>
      <c r="GJ64" s="192" t="str">
        <f>IF(AND($C64&lt;&gt;"",$V64&lt;&gt;""),(VLOOKUP($C64,'V-LOOKUP'!$C$61:$M$120,8,FALSE)),"0")</f>
        <v>0</v>
      </c>
      <c r="GK64" s="192" t="str">
        <f>IF(AND($C64&lt;&gt;"",$V64&lt;&gt;""),(VLOOKUP($C64,'V-LOOKUP'!$C$61:$M$120,9,FALSE)),"0")</f>
        <v>0</v>
      </c>
      <c r="GL64" s="192" t="str">
        <f>IF(AND($C64&lt;&gt;"",$V64&lt;&gt;""),(VLOOKUP($C64,'V-LOOKUP'!$C$61:$M$120,10,FALSE)),"0")</f>
        <v>0</v>
      </c>
      <c r="GM64" s="192" t="str">
        <f>IF(AND($C64&lt;&gt;"",$V64&lt;&gt;""),(VLOOKUP($C64,'V-LOOKUP'!$C$61:$M$120,11,FALSE)),"0")</f>
        <v>0</v>
      </c>
      <c r="GN64" s="192" t="str">
        <f>IF(AND($C64&lt;&gt;"",$V64&lt;&gt;""),(VLOOKUP($C64,'V-LOOKUP'!$C$61:$N$120,12,FALSE)),"0")</f>
        <v>0</v>
      </c>
      <c r="GO64" s="192" t="str">
        <f>IF(AND($C64&lt;&gt;"",$W64&lt;&gt;""),(VLOOKUP($C64,'V-LOOKUP'!$C$61:$M$120,4,FALSE)),"0")</f>
        <v>0</v>
      </c>
      <c r="GP64" s="192" t="str">
        <f>IF(AND($C64&lt;&gt;"",$W64&lt;&gt;""),(VLOOKUP($C64,'V-LOOKUP'!$C$61:$M$120,5,FALSE)),"0")</f>
        <v>0</v>
      </c>
      <c r="GQ64" s="192" t="str">
        <f>IF(AND($C64&lt;&gt;"",$W64&lt;&gt;""),(VLOOKUP($C64,'V-LOOKUP'!$C$61:$M$120,6,FALSE)),"0")</f>
        <v>0</v>
      </c>
      <c r="GR64" s="192" t="str">
        <f>IF(AND($C64&lt;&gt;"",$W64&lt;&gt;""),(VLOOKUP($C64,'V-LOOKUP'!$C$61:$M$120,7,FALSE)),"0")</f>
        <v>0</v>
      </c>
      <c r="GS64" s="192" t="str">
        <f>IF(AND($C64&lt;&gt;"",$W64&lt;&gt;""),(VLOOKUP($C64,'V-LOOKUP'!$C$61:$M$120,8,FALSE)),"0")</f>
        <v>0</v>
      </c>
      <c r="GT64" s="192" t="str">
        <f>IF(AND($C64&lt;&gt;"",$W64&lt;&gt;""),(VLOOKUP($C64,'V-LOOKUP'!$C$61:$M$120,9,FALSE)),"0")</f>
        <v>0</v>
      </c>
      <c r="GU64" s="192" t="str">
        <f>IF(AND($C64&lt;&gt;"",$W64&lt;&gt;""),(VLOOKUP($C64,'V-LOOKUP'!$C$61:$M$120,10,FALSE)),"0")</f>
        <v>0</v>
      </c>
      <c r="GV64" s="192" t="str">
        <f>IF(AND($C64&lt;&gt;"",$W64&lt;&gt;""),(VLOOKUP($C64,'V-LOOKUP'!$C$61:$M$120,11,FALSE)),"0")</f>
        <v>0</v>
      </c>
      <c r="GW64" s="192" t="str">
        <f>IF(AND($C64&lt;&gt;"",$W64&lt;&gt;""),(VLOOKUP($C64,'V-LOOKUP'!$C$61:$N$120,12,FALSE)),"0")</f>
        <v>0</v>
      </c>
    </row>
    <row r="65" spans="1:205" ht="14.65" hidden="1" customHeight="1">
      <c r="A65" s="193"/>
      <c r="B65" s="245"/>
      <c r="C65" s="203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Y65" s="190"/>
      <c r="Z65" s="192" t="str">
        <f>IF(AND($C65&lt;&gt;"",$D65&lt;&gt;""),(VLOOKUP($C65,'V-LOOKUP'!$C$61:$M$120,4,FALSE)),"0")</f>
        <v>0</v>
      </c>
      <c r="AA65" s="192" t="str">
        <f>IF(AND($C65&lt;&gt;"",$D65&lt;&gt;""),(VLOOKUP($C65,'V-LOOKUP'!$C$61:$M$120,5,FALSE)),"0")</f>
        <v>0</v>
      </c>
      <c r="AB65" s="192" t="str">
        <f>IF(AND($C65&lt;&gt;"",$D65&lt;&gt;""),(VLOOKUP($C65,'V-LOOKUP'!$C$61:$M$120,6,FALSE)),"0")</f>
        <v>0</v>
      </c>
      <c r="AC65" s="192" t="str">
        <f>IF(AND($C65&lt;&gt;"",$D65&lt;&gt;""),(VLOOKUP($C65,'V-LOOKUP'!$C$61:$M$120,7,FALSE)),"0")</f>
        <v>0</v>
      </c>
      <c r="AD65" s="192" t="str">
        <f>IF(AND($C65&lt;&gt;"",$D65&lt;&gt;""),(VLOOKUP($C65,'V-LOOKUP'!$C$61:$M$120,8,FALSE)),"0")</f>
        <v>0</v>
      </c>
      <c r="AE65" s="192" t="str">
        <f>IF(AND($C65&lt;&gt;"",$D65&lt;&gt;""),(VLOOKUP($C65,'V-LOOKUP'!$C$61:$M$120,9,FALSE)),"0")</f>
        <v>0</v>
      </c>
      <c r="AF65" s="192" t="str">
        <f>IF(AND($C65&lt;&gt;"",$D65&lt;&gt;""),(VLOOKUP($C65,'V-LOOKUP'!$C$61:$M$120,10,FALSE)),"0")</f>
        <v>0</v>
      </c>
      <c r="AG65" s="192" t="str">
        <f>IF(AND($C65&lt;&gt;"",$D65&lt;&gt;""),(VLOOKUP($C65,'V-LOOKUP'!$C$61:$M$120,11,FALSE)),"0")</f>
        <v>0</v>
      </c>
      <c r="AH65" s="192" t="str">
        <f>IF(AND($C65&lt;&gt;"",$D65&lt;&gt;""),(VLOOKUP($C65,'V-LOOKUP'!$C$61:$N$120,12,FALSE)),"0")</f>
        <v>0</v>
      </c>
      <c r="AI65" s="192" t="str">
        <f>IF(AND($C65&lt;&gt;"",$E65&lt;&gt;""),(VLOOKUP($C65,'V-LOOKUP'!$C$61:$M$120,4,FALSE)),"0")</f>
        <v>0</v>
      </c>
      <c r="AJ65" s="192" t="str">
        <f>IF(AND($C65&lt;&gt;"",$E65&lt;&gt;""),(VLOOKUP($C65,'V-LOOKUP'!$C$61:$M$120,5,FALSE)),"0")</f>
        <v>0</v>
      </c>
      <c r="AK65" s="192" t="str">
        <f>IF(AND($C65&lt;&gt;"",$E65&lt;&gt;""),(VLOOKUP($C65,'V-LOOKUP'!$C$61:$M$120,6,FALSE)),"0")</f>
        <v>0</v>
      </c>
      <c r="AL65" s="192" t="str">
        <f>IF(AND($C65&lt;&gt;"",$E65&lt;&gt;""),(VLOOKUP($C65,'V-LOOKUP'!$C$61:$M$120,7,FALSE)),"0")</f>
        <v>0</v>
      </c>
      <c r="AM65" s="192" t="str">
        <f>IF(AND($C65&lt;&gt;"",$E65&lt;&gt;""),(VLOOKUP($C65,'V-LOOKUP'!$C$61:$M$120,8,FALSE)),"0")</f>
        <v>0</v>
      </c>
      <c r="AN65" s="192" t="str">
        <f>IF(AND($C65&lt;&gt;"",$E65&lt;&gt;""),(VLOOKUP($C65,'V-LOOKUP'!$C$61:$M$120,9,FALSE)),"0")</f>
        <v>0</v>
      </c>
      <c r="AO65" s="192" t="str">
        <f>IF(AND($C65&lt;&gt;"",$E65&lt;&gt;""),(VLOOKUP($C65,'V-LOOKUP'!$C$61:$M$120,10,FALSE)),"0")</f>
        <v>0</v>
      </c>
      <c r="AP65" s="192" t="str">
        <f>IF(AND($C65&lt;&gt;"",$E65&lt;&gt;""),(VLOOKUP($C65,'V-LOOKUP'!$C$61:$M$120,11,FALSE)),"0")</f>
        <v>0</v>
      </c>
      <c r="AQ65" s="192" t="str">
        <f>IF(AND($C65&lt;&gt;"",$E65&lt;&gt;""),(VLOOKUP($C65,'V-LOOKUP'!$C$61:$N$120,12,FALSE)),"0")</f>
        <v>0</v>
      </c>
      <c r="AR65" s="192" t="str">
        <f>IF(AND($C65&lt;&gt;"",$F65&lt;&gt;""),(VLOOKUP($C65,'V-LOOKUP'!$C$61:$M$120,4,FALSE)),"0")</f>
        <v>0</v>
      </c>
      <c r="AS65" s="192" t="str">
        <f>IF(AND($C65&lt;&gt;"",$F65&lt;&gt;""),(VLOOKUP($C65,'V-LOOKUP'!$C$61:$M$120,5,FALSE)),"0")</f>
        <v>0</v>
      </c>
      <c r="AT65" s="192" t="str">
        <f>IF(AND($C65&lt;&gt;"",$F65&lt;&gt;""),(VLOOKUP($C65,'V-LOOKUP'!$C$61:$M$120,6,FALSE)),"0")</f>
        <v>0</v>
      </c>
      <c r="AU65" s="192" t="str">
        <f>IF(AND($C65&lt;&gt;"",$F65&lt;&gt;""),(VLOOKUP($C65,'V-LOOKUP'!$C$61:$M$120,7,FALSE)),"0")</f>
        <v>0</v>
      </c>
      <c r="AV65" s="192" t="str">
        <f>IF(AND($C65&lt;&gt;"",$F65&lt;&gt;""),(VLOOKUP($C65,'V-LOOKUP'!$C$61:$M$120,8,FALSE)),"0")</f>
        <v>0</v>
      </c>
      <c r="AW65" s="192" t="str">
        <f>IF(AND($C65&lt;&gt;"",$F65&lt;&gt;""),(VLOOKUP($C65,'V-LOOKUP'!$C$61:$M$120,9,FALSE)),"0")</f>
        <v>0</v>
      </c>
      <c r="AX65" s="192" t="str">
        <f>IF(AND($C65&lt;&gt;"",$F65&lt;&gt;""),(VLOOKUP($C65,'V-LOOKUP'!$C$61:$M$120,10,FALSE)),"0")</f>
        <v>0</v>
      </c>
      <c r="AY65" s="192" t="str">
        <f>IF(AND($C65&lt;&gt;"",$F65&lt;&gt;""),(VLOOKUP($C65,'V-LOOKUP'!$C$61:$M$120,11,FALSE)),"0")</f>
        <v>0</v>
      </c>
      <c r="AZ65" s="192" t="str">
        <f>IF(AND($C65&lt;&gt;"",$F65&lt;&gt;""),(VLOOKUP($C65,'V-LOOKUP'!$C$61:$N$120,12,FALSE)),"0")</f>
        <v>0</v>
      </c>
      <c r="BA65" s="192" t="str">
        <f>IF(AND($C65&lt;&gt;"",$G65&lt;&gt;""),(VLOOKUP($C65,'V-LOOKUP'!$C$61:$M$120,4,FALSE)),"0")</f>
        <v>0</v>
      </c>
      <c r="BB65" s="192" t="str">
        <f>IF(AND($C65&lt;&gt;"",$G65&lt;&gt;""),(VLOOKUP($C65,'V-LOOKUP'!$C$61:$M$120,5,FALSE)),"0")</f>
        <v>0</v>
      </c>
      <c r="BC65" s="192" t="str">
        <f>IF(AND($C65&lt;&gt;"",$G65&lt;&gt;""),(VLOOKUP($C65,'V-LOOKUP'!$C$61:$M$120,6,FALSE)),"0")</f>
        <v>0</v>
      </c>
      <c r="BD65" s="192" t="str">
        <f>IF(AND($C65&lt;&gt;"",$G65&lt;&gt;""),(VLOOKUP($C65,'V-LOOKUP'!$C$61:$M$120,7,FALSE)),"0")</f>
        <v>0</v>
      </c>
      <c r="BE65" s="192" t="str">
        <f>IF(AND($C65&lt;&gt;"",$G65&lt;&gt;""),(VLOOKUP($C65,'V-LOOKUP'!$C$61:$M$120,8,FALSE)),"0")</f>
        <v>0</v>
      </c>
      <c r="BF65" s="192" t="str">
        <f>IF(AND($C65&lt;&gt;"",$G65&lt;&gt;""),(VLOOKUP($C65,'V-LOOKUP'!$C$61:$M$120,9,FALSE)),"0")</f>
        <v>0</v>
      </c>
      <c r="BG65" s="192" t="str">
        <f>IF(AND($C65&lt;&gt;"",$G65&lt;&gt;""),(VLOOKUP($C65,'V-LOOKUP'!$C$61:$M$120,10,FALSE)),"0")</f>
        <v>0</v>
      </c>
      <c r="BH65" s="192" t="str">
        <f>IF(AND($C65&lt;&gt;"",$G65&lt;&gt;""),(VLOOKUP($C65,'V-LOOKUP'!$C$61:$M$120,11,FALSE)),"0")</f>
        <v>0</v>
      </c>
      <c r="BI65" s="192" t="str">
        <f>IF(AND($C65&lt;&gt;"",$G65&lt;&gt;""),(VLOOKUP($C65,'V-LOOKUP'!$C$61:$N$120,12,FALSE)),"0")</f>
        <v>0</v>
      </c>
      <c r="BJ65" s="192" t="str">
        <f>IF(AND($C65&lt;&gt;"",$H65&lt;&gt;""),(VLOOKUP($C65,'V-LOOKUP'!$C$61:$M$120,4,FALSE)),"0")</f>
        <v>0</v>
      </c>
      <c r="BK65" s="192" t="str">
        <f>IF(AND($C65&lt;&gt;"",$H65&lt;&gt;""),(VLOOKUP($C65,'V-LOOKUP'!$C$61:$M$120,5,FALSE)),"0")</f>
        <v>0</v>
      </c>
      <c r="BL65" s="192" t="str">
        <f>IF(AND($C65&lt;&gt;"",$H65&lt;&gt;""),(VLOOKUP($C65,'V-LOOKUP'!$C$61:$M$120,6,FALSE)),"0")</f>
        <v>0</v>
      </c>
      <c r="BM65" s="192" t="str">
        <f>IF(AND($C65&lt;&gt;"",$H65&lt;&gt;""),(VLOOKUP($C65,'V-LOOKUP'!$C$61:$M$120,7,FALSE)),"0")</f>
        <v>0</v>
      </c>
      <c r="BN65" s="192" t="str">
        <f>IF(AND($C65&lt;&gt;"",$H65&lt;&gt;""),(VLOOKUP($C65,'V-LOOKUP'!$C$61:$M$120,8,FALSE)),"0")</f>
        <v>0</v>
      </c>
      <c r="BO65" s="192" t="str">
        <f>IF(AND($C65&lt;&gt;"",$H65&lt;&gt;""),(VLOOKUP($C65,'V-LOOKUP'!$C$61:$M$120,9,FALSE)),"0")</f>
        <v>0</v>
      </c>
      <c r="BP65" s="192" t="str">
        <f>IF(AND($C65&lt;&gt;"",$H65&lt;&gt;""),(VLOOKUP($C65,'V-LOOKUP'!$C$61:$M$120,10,FALSE)),"0")</f>
        <v>0</v>
      </c>
      <c r="BQ65" s="192" t="str">
        <f>IF(AND($C65&lt;&gt;"",$H65&lt;&gt;""),(VLOOKUP($C65,'V-LOOKUP'!$C$61:$M$120,11,FALSE)),"0")</f>
        <v>0</v>
      </c>
      <c r="BR65" s="192" t="str">
        <f>IF(AND($C65&lt;&gt;"",$H65&lt;&gt;""),(VLOOKUP($C65,'V-LOOKUP'!$C$61:$N$120,12,FALSE)),"0")</f>
        <v>0</v>
      </c>
      <c r="BS65" s="192" t="str">
        <f>IF(AND($C65&lt;&gt;"",$I65&lt;&gt;""),(VLOOKUP($C65,'V-LOOKUP'!$C$61:$M$120,4,FALSE)),"0")</f>
        <v>0</v>
      </c>
      <c r="BT65" s="192" t="str">
        <f>IF(AND($C65&lt;&gt;"",$I65&lt;&gt;""),(VLOOKUP($C65,'V-LOOKUP'!$C$61:$M$120,5,FALSE)),"0")</f>
        <v>0</v>
      </c>
      <c r="BU65" s="192" t="str">
        <f>IF(AND($C65&lt;&gt;"",$I65&lt;&gt;""),(VLOOKUP($C65,'V-LOOKUP'!$C$61:$M$120,6,FALSE)),"0")</f>
        <v>0</v>
      </c>
      <c r="BV65" s="192" t="str">
        <f>IF(AND($C65&lt;&gt;"",$I65&lt;&gt;""),(VLOOKUP($C65,'V-LOOKUP'!$C$61:$M$120,7,FALSE)),"0")</f>
        <v>0</v>
      </c>
      <c r="BW65" s="192" t="str">
        <f>IF(AND($C65&lt;&gt;"",$I65&lt;&gt;""),(VLOOKUP($C65,'V-LOOKUP'!$C$61:$M$120,8,FALSE)),"0")</f>
        <v>0</v>
      </c>
      <c r="BX65" s="192" t="str">
        <f>IF(AND($C65&lt;&gt;"",$I65&lt;&gt;""),(VLOOKUP($C65,'V-LOOKUP'!$C$61:$M$120,9,FALSE)),"0")</f>
        <v>0</v>
      </c>
      <c r="BY65" s="192" t="str">
        <f>IF(AND($C65&lt;&gt;"",$I65&lt;&gt;""),(VLOOKUP($C65,'V-LOOKUP'!$C$61:$M$120,10,FALSE)),"0")</f>
        <v>0</v>
      </c>
      <c r="BZ65" s="192" t="str">
        <f>IF(AND($C65&lt;&gt;"",$I65&lt;&gt;""),(VLOOKUP($C65,'V-LOOKUP'!$C$61:$M$120,11,FALSE)),"0")</f>
        <v>0</v>
      </c>
      <c r="CA65" s="192" t="str">
        <f>IF(AND($C65&lt;&gt;"",$I65&lt;&gt;""),(VLOOKUP($C65,'V-LOOKUP'!$C$61:$N$120,12,FALSE)),"0")</f>
        <v>0</v>
      </c>
      <c r="CB65" s="192" t="str">
        <f>IF(AND($C65&lt;&gt;"",$J65&lt;&gt;""),(VLOOKUP($C65,'V-LOOKUP'!$C$61:$M$120,4,FALSE)),"0")</f>
        <v>0</v>
      </c>
      <c r="CC65" s="192" t="str">
        <f>IF(AND($C65&lt;&gt;"",$J65&lt;&gt;""),(VLOOKUP($C65,'V-LOOKUP'!$C$61:$M$120,5,FALSE)),"0")</f>
        <v>0</v>
      </c>
      <c r="CD65" s="192" t="str">
        <f>IF(AND($C65&lt;&gt;"",$J65&lt;&gt;""),(VLOOKUP($C65,'V-LOOKUP'!$C$61:$M$120,6,FALSE)),"0")</f>
        <v>0</v>
      </c>
      <c r="CE65" s="192" t="str">
        <f>IF(AND($C65&lt;&gt;"",$J65&lt;&gt;""),(VLOOKUP($C65,'V-LOOKUP'!$C$61:$M$120,7,FALSE)),"0")</f>
        <v>0</v>
      </c>
      <c r="CF65" s="192" t="str">
        <f>IF(AND($C65&lt;&gt;"",$J65&lt;&gt;""),(VLOOKUP($C65,'V-LOOKUP'!$C$61:$M$120,8,FALSE)),"0")</f>
        <v>0</v>
      </c>
      <c r="CG65" s="192" t="str">
        <f>IF(AND($C65&lt;&gt;"",$J65&lt;&gt;""),(VLOOKUP($C65,'V-LOOKUP'!$C$61:$M$120,9,FALSE)),"0")</f>
        <v>0</v>
      </c>
      <c r="CH65" s="192" t="str">
        <f>IF(AND($C65&lt;&gt;"",$J65&lt;&gt;""),(VLOOKUP($C65,'V-LOOKUP'!$C$61:$M$120,10,FALSE)),"0")</f>
        <v>0</v>
      </c>
      <c r="CI65" s="192" t="str">
        <f>IF(AND($C65&lt;&gt;"",$J65&lt;&gt;""),(VLOOKUP($C65,'V-LOOKUP'!$C$61:$M$120,11,FALSE)),"0")</f>
        <v>0</v>
      </c>
      <c r="CJ65" s="192" t="str">
        <f>IF(AND($C65&lt;&gt;"",$J65&lt;&gt;""),(VLOOKUP($C65,'V-LOOKUP'!$C$61:$N$120,12,FALSE)),"0")</f>
        <v>0</v>
      </c>
      <c r="CK65" s="192" t="str">
        <f>IF(AND($C65&lt;&gt;"",$K65&lt;&gt;""),(VLOOKUP($C65,'V-LOOKUP'!$C$61:$M$120,4,FALSE)),"0")</f>
        <v>0</v>
      </c>
      <c r="CL65" s="192" t="str">
        <f>IF(AND($C65&lt;&gt;"",$K65&lt;&gt;""),(VLOOKUP($C65,'V-LOOKUP'!$C$61:$M$120,5,FALSE)),"0")</f>
        <v>0</v>
      </c>
      <c r="CM65" s="192" t="str">
        <f>IF(AND($C65&lt;&gt;"",$K65&lt;&gt;""),(VLOOKUP($C65,'V-LOOKUP'!$C$61:$M$120,6,FALSE)),"0")</f>
        <v>0</v>
      </c>
      <c r="CN65" s="192" t="str">
        <f>IF(AND($C65&lt;&gt;"",$K65&lt;&gt;""),(VLOOKUP($C65,'V-LOOKUP'!$C$61:$M$120,7,FALSE)),"0")</f>
        <v>0</v>
      </c>
      <c r="CO65" s="192" t="str">
        <f>IF(AND($C65&lt;&gt;"",$K65&lt;&gt;""),(VLOOKUP($C65,'V-LOOKUP'!$C$61:$M$120,8,FALSE)),"0")</f>
        <v>0</v>
      </c>
      <c r="CP65" s="192" t="str">
        <f>IF(AND($C65&lt;&gt;"",$K65&lt;&gt;""),(VLOOKUP($C65,'V-LOOKUP'!$C$61:$M$120,9,FALSE)),"0")</f>
        <v>0</v>
      </c>
      <c r="CQ65" s="192" t="str">
        <f>IF(AND($C65&lt;&gt;"",$K65&lt;&gt;""),(VLOOKUP($C65,'V-LOOKUP'!$C$61:$M$120,10,FALSE)),"0")</f>
        <v>0</v>
      </c>
      <c r="CR65" s="192" t="str">
        <f>IF(AND($C65&lt;&gt;"",$K65&lt;&gt;""),(VLOOKUP($C65,'V-LOOKUP'!$C$61:$M$120,11,FALSE)),"0")</f>
        <v>0</v>
      </c>
      <c r="CS65" s="192" t="str">
        <f>IF(AND($C65&lt;&gt;"",$K65&lt;&gt;""),(VLOOKUP($C65,'V-LOOKUP'!$C$61:$N$120,12,FALSE)),"0")</f>
        <v>0</v>
      </c>
      <c r="CT65" s="192" t="str">
        <f>IF(AND($C65&lt;&gt;"",$L65&lt;&gt;""),(VLOOKUP($C65,'V-LOOKUP'!$C$61:$M$120,4,FALSE)),"0")</f>
        <v>0</v>
      </c>
      <c r="CU65" s="192" t="str">
        <f>IF(AND($C65&lt;&gt;"",$L65&lt;&gt;""),(VLOOKUP($C65,'V-LOOKUP'!$C$61:$M$120,5,FALSE)),"0")</f>
        <v>0</v>
      </c>
      <c r="CV65" s="192" t="str">
        <f>IF(AND($C65&lt;&gt;"",$L65&lt;&gt;""),(VLOOKUP($C65,'V-LOOKUP'!$C$61:$M$120,6,FALSE)),"0")</f>
        <v>0</v>
      </c>
      <c r="CW65" s="192" t="str">
        <f>IF(AND($C65&lt;&gt;"",$L65&lt;&gt;""),(VLOOKUP($C65,'V-LOOKUP'!$C$61:$M$120,7,FALSE)),"0")</f>
        <v>0</v>
      </c>
      <c r="CX65" s="192" t="str">
        <f>IF(AND($C65&lt;&gt;"",$L65&lt;&gt;""),(VLOOKUP($C65,'V-LOOKUP'!$C$61:$M$120,8,FALSE)),"0")</f>
        <v>0</v>
      </c>
      <c r="CY65" s="192" t="str">
        <f>IF(AND($C65&lt;&gt;"",$L65&lt;&gt;""),(VLOOKUP($C65,'V-LOOKUP'!$C$61:$M$120,9,FALSE)),"0")</f>
        <v>0</v>
      </c>
      <c r="CZ65" s="192" t="str">
        <f>IF(AND($C65&lt;&gt;"",$L65&lt;&gt;""),(VLOOKUP($C65,'V-LOOKUP'!$C$61:$M$120,10,FALSE)),"0")</f>
        <v>0</v>
      </c>
      <c r="DA65" s="192" t="str">
        <f>IF(AND($C65&lt;&gt;"",$L65&lt;&gt;""),(VLOOKUP($C65,'V-LOOKUP'!$C$61:$M$120,11,FALSE)),"0")</f>
        <v>0</v>
      </c>
      <c r="DB65" s="192" t="str">
        <f>IF(AND($C65&lt;&gt;"",$L65&lt;&gt;""),(VLOOKUP($C65,'V-LOOKUP'!$C$61:$N$120,12,FALSE)),"0")</f>
        <v>0</v>
      </c>
      <c r="DC65" s="192" t="str">
        <f>IF(AND($C65&lt;&gt;"",$M65&lt;&gt;""),(VLOOKUP($C65,'V-LOOKUP'!$C$61:$M$120,4,FALSE)),"0")</f>
        <v>0</v>
      </c>
      <c r="DD65" s="192" t="str">
        <f>IF(AND($C65&lt;&gt;"",$M65&lt;&gt;""),(VLOOKUP($C65,'V-LOOKUP'!$C$61:$M$120,5,FALSE)),"0")</f>
        <v>0</v>
      </c>
      <c r="DE65" s="192" t="str">
        <f>IF(AND($C65&lt;&gt;"",$M65&lt;&gt;""),(VLOOKUP($C65,'V-LOOKUP'!$C$61:$M$120,6,FALSE)),"0")</f>
        <v>0</v>
      </c>
      <c r="DF65" s="192" t="str">
        <f>IF(AND($C65&lt;&gt;"",$M65&lt;&gt;""),(VLOOKUP($C65,'V-LOOKUP'!$C$61:$M$120,7,FALSE)),"0")</f>
        <v>0</v>
      </c>
      <c r="DG65" s="192" t="str">
        <f>IF(AND($C65&lt;&gt;"",$M65&lt;&gt;""),(VLOOKUP($C65,'V-LOOKUP'!$C$61:$M$120,8,FALSE)),"0")</f>
        <v>0</v>
      </c>
      <c r="DH65" s="192" t="str">
        <f>IF(AND($C65&lt;&gt;"",$M65&lt;&gt;""),(VLOOKUP($C65,'V-LOOKUP'!$C$61:$M$120,9,FALSE)),"0")</f>
        <v>0</v>
      </c>
      <c r="DI65" s="192" t="str">
        <f>IF(AND($C65&lt;&gt;"",$M65&lt;&gt;""),(VLOOKUP($C65,'V-LOOKUP'!$C$61:$M$120,10,FALSE)),"0")</f>
        <v>0</v>
      </c>
      <c r="DJ65" s="192" t="str">
        <f>IF(AND($C65&lt;&gt;"",$M65&lt;&gt;""),(VLOOKUP($C65,'V-LOOKUP'!$C$61:$M$120,11,FALSE)),"0")</f>
        <v>0</v>
      </c>
      <c r="DK65" s="192" t="str">
        <f>IF(AND($C65&lt;&gt;"",$M65&lt;&gt;""),(VLOOKUP($C65,'V-LOOKUP'!$C$61:$N$120,12,FALSE)),"0")</f>
        <v>0</v>
      </c>
      <c r="DL65" s="192" t="str">
        <f>IF(AND($C65&lt;&gt;"",$N65&lt;&gt;""),(VLOOKUP($C65,'V-LOOKUP'!$C$61:$M$120,4,FALSE)),"0")</f>
        <v>0</v>
      </c>
      <c r="DM65" s="192" t="str">
        <f>IF(AND($C65&lt;&gt;"",$N65&lt;&gt;""),(VLOOKUP($C65,'V-LOOKUP'!$C$61:$M$120,5,FALSE)),"0")</f>
        <v>0</v>
      </c>
      <c r="DN65" s="192" t="str">
        <f>IF(AND($C65&lt;&gt;"",$N65&lt;&gt;""),(VLOOKUP($C65,'V-LOOKUP'!$C$61:$M$120,6,FALSE)),"0")</f>
        <v>0</v>
      </c>
      <c r="DO65" s="192" t="str">
        <f>IF(AND($C65&lt;&gt;"",$N65&lt;&gt;""),(VLOOKUP($C65,'V-LOOKUP'!$C$61:$M$120,7,FALSE)),"0")</f>
        <v>0</v>
      </c>
      <c r="DP65" s="192" t="str">
        <f>IF(AND($C65&lt;&gt;"",$N65&lt;&gt;""),(VLOOKUP($C65,'V-LOOKUP'!$C$61:$M$120,8,FALSE)),"0")</f>
        <v>0</v>
      </c>
      <c r="DQ65" s="192" t="str">
        <f>IF(AND($C65&lt;&gt;"",$N65&lt;&gt;""),(VLOOKUP($C65,'V-LOOKUP'!$C$61:$M$120,9,FALSE)),"0")</f>
        <v>0</v>
      </c>
      <c r="DR65" s="192" t="str">
        <f>IF(AND($C65&lt;&gt;"",$N65&lt;&gt;""),(VLOOKUP($C65,'V-LOOKUP'!$C$61:$M$120,10,FALSE)),"0")</f>
        <v>0</v>
      </c>
      <c r="DS65" s="192" t="str">
        <f>IF(AND($C65&lt;&gt;"",$N65&lt;&gt;""),(VLOOKUP($C65,'V-LOOKUP'!$C$61:$M$120,11,FALSE)),"0")</f>
        <v>0</v>
      </c>
      <c r="DT65" s="192" t="str">
        <f>IF(AND($C65&lt;&gt;"",$N65&lt;&gt;""),(VLOOKUP($C65,'V-LOOKUP'!$C$61:$N$120,12,FALSE)),"0")</f>
        <v>0</v>
      </c>
      <c r="DU65" s="192" t="str">
        <f>IF(AND($C65&lt;&gt;"",$O65&lt;&gt;""),(VLOOKUP($C65,'V-LOOKUP'!$C$61:$M$120,4,FALSE)),"0")</f>
        <v>0</v>
      </c>
      <c r="DV65" s="192" t="str">
        <f>IF(AND($C65&lt;&gt;"",$O65&lt;&gt;""),(VLOOKUP($C65,'V-LOOKUP'!$C$61:$M$120,5,FALSE)),"0")</f>
        <v>0</v>
      </c>
      <c r="DW65" s="192" t="str">
        <f>IF(AND($C65&lt;&gt;"",$O65&lt;&gt;""),(VLOOKUP($C65,'V-LOOKUP'!$C$61:$M$120,6,FALSE)),"0")</f>
        <v>0</v>
      </c>
      <c r="DX65" s="192" t="str">
        <f>IF(AND($C65&lt;&gt;"",$O65&lt;&gt;""),(VLOOKUP($C65,'V-LOOKUP'!$C$61:$M$120,7,FALSE)),"0")</f>
        <v>0</v>
      </c>
      <c r="DY65" s="192" t="str">
        <f>IF(AND($C65&lt;&gt;"",$O65&lt;&gt;""),(VLOOKUP($C65,'V-LOOKUP'!$C$61:$M$120,8,FALSE)),"0")</f>
        <v>0</v>
      </c>
      <c r="DZ65" s="192" t="str">
        <f>IF(AND($C65&lt;&gt;"",$O65&lt;&gt;""),(VLOOKUP($C65,'V-LOOKUP'!$C$61:$M$120,9,FALSE)),"0")</f>
        <v>0</v>
      </c>
      <c r="EA65" s="192" t="str">
        <f>IF(AND($C65&lt;&gt;"",$O65&lt;&gt;""),(VLOOKUP($C65,'V-LOOKUP'!$C$61:$M$120,10,FALSE)),"0")</f>
        <v>0</v>
      </c>
      <c r="EB65" s="192" t="str">
        <f>IF(AND($C65&lt;&gt;"",$O65&lt;&gt;""),(VLOOKUP($C65,'V-LOOKUP'!$C$61:$M$120,11,FALSE)),"0")</f>
        <v>0</v>
      </c>
      <c r="EC65" s="192" t="str">
        <f>IF(AND($C65&lt;&gt;"",$O65&lt;&gt;""),(VLOOKUP($C65,'V-LOOKUP'!$C$61:$N$120,12,FALSE)),"0")</f>
        <v>0</v>
      </c>
      <c r="ED65" s="192" t="str">
        <f>IF(AND($C65&lt;&gt;"",$P65&lt;&gt;""),(VLOOKUP($C65,'V-LOOKUP'!$C$61:$M$120,4,FALSE)),"0")</f>
        <v>0</v>
      </c>
      <c r="EE65" s="192" t="str">
        <f>IF(AND($C65&lt;&gt;"",$P65&lt;&gt;""),(VLOOKUP($C65,'V-LOOKUP'!$C$61:$M$120,5,FALSE)),"0")</f>
        <v>0</v>
      </c>
      <c r="EF65" s="192" t="str">
        <f>IF(AND($C65&lt;&gt;"",$P65&lt;&gt;""),(VLOOKUP($C65,'V-LOOKUP'!$C$61:$M$120,6,FALSE)),"0")</f>
        <v>0</v>
      </c>
      <c r="EG65" s="192" t="str">
        <f>IF(AND($C65&lt;&gt;"",$P65&lt;&gt;""),(VLOOKUP($C65,'V-LOOKUP'!$C$61:$M$120,7,FALSE)),"0")</f>
        <v>0</v>
      </c>
      <c r="EH65" s="192" t="str">
        <f>IF(AND($C65&lt;&gt;"",$P65&lt;&gt;""),(VLOOKUP($C65,'V-LOOKUP'!$C$61:$M$120,8,FALSE)),"0")</f>
        <v>0</v>
      </c>
      <c r="EI65" s="192" t="str">
        <f>IF(AND($C65&lt;&gt;"",$P65&lt;&gt;""),(VLOOKUP($C65,'V-LOOKUP'!$C$61:$M$120,9,FALSE)),"0")</f>
        <v>0</v>
      </c>
      <c r="EJ65" s="192" t="str">
        <f>IF(AND($C65&lt;&gt;"",$P65&lt;&gt;""),(VLOOKUP($C65,'V-LOOKUP'!$C$61:$M$120,10,FALSE)),"0")</f>
        <v>0</v>
      </c>
      <c r="EK65" s="192" t="str">
        <f>IF(AND($C65&lt;&gt;"",$P65&lt;&gt;""),(VLOOKUP($C65,'V-LOOKUP'!$C$61:$M$120,11,FALSE)),"0")</f>
        <v>0</v>
      </c>
      <c r="EL65" s="192" t="str">
        <f>IF(AND($C65&lt;&gt;"",$P65&lt;&gt;""),(VLOOKUP($C65,'V-LOOKUP'!$C$61:$N$120,12,FALSE)),"0")</f>
        <v>0</v>
      </c>
      <c r="EM65" s="192" t="str">
        <f>IF(AND($C65&lt;&gt;"",$Q65&lt;&gt;""),(VLOOKUP($C65,'V-LOOKUP'!$C$61:$M$120,4,FALSE)),"0")</f>
        <v>0</v>
      </c>
      <c r="EN65" s="192" t="str">
        <f>IF(AND($C65&lt;&gt;"",$Q65&lt;&gt;""),(VLOOKUP($C65,'V-LOOKUP'!$C$61:$M$120,5,FALSE)),"0")</f>
        <v>0</v>
      </c>
      <c r="EO65" s="192" t="str">
        <f>IF(AND($C65&lt;&gt;"",$Q65&lt;&gt;""),(VLOOKUP($C65,'V-LOOKUP'!$C$61:$M$120,6,FALSE)),"0")</f>
        <v>0</v>
      </c>
      <c r="EP65" s="192" t="str">
        <f>IF(AND($C65&lt;&gt;"",$Q65&lt;&gt;""),(VLOOKUP($C65,'V-LOOKUP'!$C$61:$M$120,7,FALSE)),"0")</f>
        <v>0</v>
      </c>
      <c r="EQ65" s="192" t="str">
        <f>IF(AND($C65&lt;&gt;"",$Q65&lt;&gt;""),(VLOOKUP($C65,'V-LOOKUP'!$C$61:$M$120,8,FALSE)),"0")</f>
        <v>0</v>
      </c>
      <c r="ER65" s="192" t="str">
        <f>IF(AND($C65&lt;&gt;"",$Q65&lt;&gt;""),(VLOOKUP($C65,'V-LOOKUP'!$C$61:$M$120,9,FALSE)),"0")</f>
        <v>0</v>
      </c>
      <c r="ES65" s="192" t="str">
        <f>IF(AND($C65&lt;&gt;"",$Q65&lt;&gt;""),(VLOOKUP($C65,'V-LOOKUP'!$C$61:$M$120,10,FALSE)),"0")</f>
        <v>0</v>
      </c>
      <c r="ET65" s="192" t="str">
        <f>IF(AND($C65&lt;&gt;"",$Q65&lt;&gt;""),(VLOOKUP($C65,'V-LOOKUP'!$C$61:$M$120,11,FALSE)),"0")</f>
        <v>0</v>
      </c>
      <c r="EU65" s="192" t="str">
        <f>IF(AND($C65&lt;&gt;"",$Q65&lt;&gt;""),(VLOOKUP($C65,'V-LOOKUP'!$C$61:$N$120,12,FALSE)),"0")</f>
        <v>0</v>
      </c>
      <c r="EV65" s="192" t="str">
        <f>IF(AND($C65&lt;&gt;"",$R65&lt;&gt;""),(VLOOKUP($C65,'V-LOOKUP'!$C$61:$M$120,4,FALSE)),"0")</f>
        <v>0</v>
      </c>
      <c r="EW65" s="192" t="str">
        <f>IF(AND($C65&lt;&gt;"",$R65&lt;&gt;""),(VLOOKUP($C65,'V-LOOKUP'!$C$61:$M$120,5,FALSE)),"0")</f>
        <v>0</v>
      </c>
      <c r="EX65" s="192" t="str">
        <f>IF(AND($C65&lt;&gt;"",$R65&lt;&gt;""),(VLOOKUP($C65,'V-LOOKUP'!$C$61:$M$120,6,FALSE)),"0")</f>
        <v>0</v>
      </c>
      <c r="EY65" s="192" t="str">
        <f>IF(AND($C65&lt;&gt;"",$R65&lt;&gt;""),(VLOOKUP($C65,'V-LOOKUP'!$C$61:$M$120,7,FALSE)),"0")</f>
        <v>0</v>
      </c>
      <c r="EZ65" s="192" t="str">
        <f>IF(AND($C65&lt;&gt;"",$R65&lt;&gt;""),(VLOOKUP($C65,'V-LOOKUP'!$C$61:$M$120,8,FALSE)),"0")</f>
        <v>0</v>
      </c>
      <c r="FA65" s="192" t="str">
        <f>IF(AND($C65&lt;&gt;"",$R65&lt;&gt;""),(VLOOKUP($C65,'V-LOOKUP'!$C$61:$M$120,9,FALSE)),"0")</f>
        <v>0</v>
      </c>
      <c r="FB65" s="192" t="str">
        <f>IF(AND($C65&lt;&gt;"",$R65&lt;&gt;""),(VLOOKUP($C65,'V-LOOKUP'!$C$61:$M$120,10,FALSE)),"0")</f>
        <v>0</v>
      </c>
      <c r="FC65" s="192" t="str">
        <f>IF(AND($C65&lt;&gt;"",$R65&lt;&gt;""),(VLOOKUP($C65,'V-LOOKUP'!$C$61:$M$120,11,FALSE)),"0")</f>
        <v>0</v>
      </c>
      <c r="FD65" s="192" t="str">
        <f>IF(AND($C65&lt;&gt;"",$R65&lt;&gt;""),(VLOOKUP($C65,'V-LOOKUP'!$C$61:$N$120,12,FALSE)),"0")</f>
        <v>0</v>
      </c>
      <c r="FE65" s="192" t="str">
        <f>IF(AND($C65&lt;&gt;"",$S65&lt;&gt;""),(VLOOKUP($C65,'V-LOOKUP'!$C$61:$M$120,4,FALSE)),"0")</f>
        <v>0</v>
      </c>
      <c r="FF65" s="192" t="str">
        <f>IF(AND($C65&lt;&gt;"",$S65&lt;&gt;""),(VLOOKUP($C65,'V-LOOKUP'!$C$61:$M$120,5,FALSE)),"0")</f>
        <v>0</v>
      </c>
      <c r="FG65" s="192" t="str">
        <f>IF(AND($C65&lt;&gt;"",$S65&lt;&gt;""),(VLOOKUP($C65,'V-LOOKUP'!$C$61:$M$120,6,FALSE)),"0")</f>
        <v>0</v>
      </c>
      <c r="FH65" s="192" t="str">
        <f>IF(AND($C65&lt;&gt;"",$S65&lt;&gt;""),(VLOOKUP($C65,'V-LOOKUP'!$C$61:$M$120,7,FALSE)),"0")</f>
        <v>0</v>
      </c>
      <c r="FI65" s="192" t="str">
        <f>IF(AND($C65&lt;&gt;"",$S65&lt;&gt;""),(VLOOKUP($C65,'V-LOOKUP'!$C$61:$M$120,8,FALSE)),"0")</f>
        <v>0</v>
      </c>
      <c r="FJ65" s="192" t="str">
        <f>IF(AND($C65&lt;&gt;"",$S65&lt;&gt;""),(VLOOKUP($C65,'V-LOOKUP'!$C$61:$M$120,9,FALSE)),"0")</f>
        <v>0</v>
      </c>
      <c r="FK65" s="192" t="str">
        <f>IF(AND($C65&lt;&gt;"",$S65&lt;&gt;""),(VLOOKUP($C65,'V-LOOKUP'!$C$61:$M$120,10,FALSE)),"0")</f>
        <v>0</v>
      </c>
      <c r="FL65" s="192" t="str">
        <f>IF(AND($C65&lt;&gt;"",$S65&lt;&gt;""),(VLOOKUP($C65,'V-LOOKUP'!$C$61:$M$120,11,FALSE)),"0")</f>
        <v>0</v>
      </c>
      <c r="FM65" s="192" t="str">
        <f>IF(AND($C65&lt;&gt;"",$S65&lt;&gt;""),(VLOOKUP($C65,'V-LOOKUP'!$C$61:$N$120,12,FALSE)),"0")</f>
        <v>0</v>
      </c>
      <c r="FN65" s="192" t="str">
        <f>IF(AND($C65&lt;&gt;"",$T65&lt;&gt;""),(VLOOKUP($C65,'V-LOOKUP'!$C$61:$M$120,4,FALSE)),"0")</f>
        <v>0</v>
      </c>
      <c r="FO65" s="192" t="str">
        <f>IF(AND($C65&lt;&gt;"",$T65&lt;&gt;""),(VLOOKUP($C65,'V-LOOKUP'!$C$61:$M$120,5,FALSE)),"0")</f>
        <v>0</v>
      </c>
      <c r="FP65" s="192" t="str">
        <f>IF(AND($C65&lt;&gt;"",$T65&lt;&gt;""),(VLOOKUP($C65,'V-LOOKUP'!$C$61:$M$120,6,FALSE)),"0")</f>
        <v>0</v>
      </c>
      <c r="FQ65" s="192" t="str">
        <f>IF(AND($C65&lt;&gt;"",$T65&lt;&gt;""),(VLOOKUP($C65,'V-LOOKUP'!$C$61:$M$120,7,FALSE)),"0")</f>
        <v>0</v>
      </c>
      <c r="FR65" s="192" t="str">
        <f>IF(AND($C65&lt;&gt;"",$T65&lt;&gt;""),(VLOOKUP($C65,'V-LOOKUP'!$C$61:$M$120,8,FALSE)),"0")</f>
        <v>0</v>
      </c>
      <c r="FS65" s="192" t="str">
        <f>IF(AND($C65&lt;&gt;"",$T65&lt;&gt;""),(VLOOKUP($C65,'V-LOOKUP'!$C$61:$M$120,9,FALSE)),"0")</f>
        <v>0</v>
      </c>
      <c r="FT65" s="192" t="str">
        <f>IF(AND($C65&lt;&gt;"",$T65&lt;&gt;""),(VLOOKUP($C65,'V-LOOKUP'!$C$61:$M$120,10,FALSE)),"0")</f>
        <v>0</v>
      </c>
      <c r="FU65" s="192" t="str">
        <f>IF(AND($C65&lt;&gt;"",$T65&lt;&gt;""),(VLOOKUP($C65,'V-LOOKUP'!$C$61:$M$120,11,FALSE)),"0")</f>
        <v>0</v>
      </c>
      <c r="FV65" s="192" t="str">
        <f>IF(AND($C65&lt;&gt;"",$T65&lt;&gt;""),(VLOOKUP($C65,'V-LOOKUP'!$C$61:$N$120,12,FALSE)),"0")</f>
        <v>0</v>
      </c>
      <c r="FW65" s="192" t="str">
        <f>IF(AND($C65&lt;&gt;"",$U65&lt;&gt;""),(VLOOKUP($C65,'V-LOOKUP'!$C$61:$M$120,4,FALSE)),"0")</f>
        <v>0</v>
      </c>
      <c r="FX65" s="192" t="str">
        <f>IF(AND($C65&lt;&gt;"",$U65&lt;&gt;""),(VLOOKUP($C65,'V-LOOKUP'!$C$61:$M$120,5,FALSE)),"0")</f>
        <v>0</v>
      </c>
      <c r="FY65" s="192" t="str">
        <f>IF(AND($C65&lt;&gt;"",$U65&lt;&gt;""),(VLOOKUP($C65,'V-LOOKUP'!$C$61:$M$120,6,FALSE)),"0")</f>
        <v>0</v>
      </c>
      <c r="FZ65" s="192" t="str">
        <f>IF(AND($C65&lt;&gt;"",$U65&lt;&gt;""),(VLOOKUP($C65,'V-LOOKUP'!$C$61:$M$120,7,FALSE)),"0")</f>
        <v>0</v>
      </c>
      <c r="GA65" s="192" t="str">
        <f>IF(AND($C65&lt;&gt;"",$U65&lt;&gt;""),(VLOOKUP($C65,'V-LOOKUP'!$C$61:$M$120,8,FALSE)),"0")</f>
        <v>0</v>
      </c>
      <c r="GB65" s="192" t="str">
        <f>IF(AND($C65&lt;&gt;"",$U65&lt;&gt;""),(VLOOKUP($C65,'V-LOOKUP'!$C$61:$M$120,9,FALSE)),"0")</f>
        <v>0</v>
      </c>
      <c r="GC65" s="192" t="str">
        <f>IF(AND($C65&lt;&gt;"",$U65&lt;&gt;""),(VLOOKUP($C65,'V-LOOKUP'!$C$61:$M$120,10,FALSE)),"0")</f>
        <v>0</v>
      </c>
      <c r="GD65" s="192" t="str">
        <f>IF(AND($C65&lt;&gt;"",$U65&lt;&gt;""),(VLOOKUP($C65,'V-LOOKUP'!$C$61:$M$120,11,FALSE)),"0")</f>
        <v>0</v>
      </c>
      <c r="GE65" s="192" t="str">
        <f>IF(AND($C65&lt;&gt;"",$U65&lt;&gt;""),(VLOOKUP($C65,'V-LOOKUP'!$C$61:$N$120,12,FALSE)),"0")</f>
        <v>0</v>
      </c>
      <c r="GF65" s="192" t="str">
        <f>IF(AND($C65&lt;&gt;"",$V65&lt;&gt;""),(VLOOKUP($C65,'V-LOOKUP'!$C$61:$M$120,4,FALSE)),"0")</f>
        <v>0</v>
      </c>
      <c r="GG65" s="192" t="str">
        <f>IF(AND($C65&lt;&gt;"",V65&lt;&gt;""),(VLOOKUP($C65,'V-LOOKUP'!$C$61:$M$120,5,FALSE)),"0")</f>
        <v>0</v>
      </c>
      <c r="GH65" s="192" t="str">
        <f>IF(AND($C65&lt;&gt;"",$V65&lt;&gt;""),(VLOOKUP($C65,'V-LOOKUP'!$C$61:$M$120,6,FALSE)),"0")</f>
        <v>0</v>
      </c>
      <c r="GI65" s="192" t="str">
        <f>IF(AND($C65&lt;&gt;"",$V65&lt;&gt;""),(VLOOKUP($C65,'V-LOOKUP'!$C$61:$M$120,7,FALSE)),"0")</f>
        <v>0</v>
      </c>
      <c r="GJ65" s="192" t="str">
        <f>IF(AND($C65&lt;&gt;"",$V65&lt;&gt;""),(VLOOKUP($C65,'V-LOOKUP'!$C$61:$M$120,8,FALSE)),"0")</f>
        <v>0</v>
      </c>
      <c r="GK65" s="192" t="str">
        <f>IF(AND($C65&lt;&gt;"",$V65&lt;&gt;""),(VLOOKUP($C65,'V-LOOKUP'!$C$61:$M$120,9,FALSE)),"0")</f>
        <v>0</v>
      </c>
      <c r="GL65" s="192" t="str">
        <f>IF(AND($C65&lt;&gt;"",$V65&lt;&gt;""),(VLOOKUP($C65,'V-LOOKUP'!$C$61:$M$120,10,FALSE)),"0")</f>
        <v>0</v>
      </c>
      <c r="GM65" s="192" t="str">
        <f>IF(AND($C65&lt;&gt;"",$V65&lt;&gt;""),(VLOOKUP($C65,'V-LOOKUP'!$C$61:$M$120,11,FALSE)),"0")</f>
        <v>0</v>
      </c>
      <c r="GN65" s="192" t="str">
        <f>IF(AND($C65&lt;&gt;"",$V65&lt;&gt;""),(VLOOKUP($C65,'V-LOOKUP'!$C$61:$N$120,12,FALSE)),"0")</f>
        <v>0</v>
      </c>
      <c r="GO65" s="192" t="str">
        <f>IF(AND($C65&lt;&gt;"",$W65&lt;&gt;""),(VLOOKUP($C65,'V-LOOKUP'!$C$61:$M$120,4,FALSE)),"0")</f>
        <v>0</v>
      </c>
      <c r="GP65" s="192" t="str">
        <f>IF(AND($C65&lt;&gt;"",$W65&lt;&gt;""),(VLOOKUP($C65,'V-LOOKUP'!$C$61:$M$120,5,FALSE)),"0")</f>
        <v>0</v>
      </c>
      <c r="GQ65" s="192" t="str">
        <f>IF(AND($C65&lt;&gt;"",$W65&lt;&gt;""),(VLOOKUP($C65,'V-LOOKUP'!$C$61:$M$120,6,FALSE)),"0")</f>
        <v>0</v>
      </c>
      <c r="GR65" s="192" t="str">
        <f>IF(AND($C65&lt;&gt;"",$W65&lt;&gt;""),(VLOOKUP($C65,'V-LOOKUP'!$C$61:$M$120,7,FALSE)),"0")</f>
        <v>0</v>
      </c>
      <c r="GS65" s="192" t="str">
        <f>IF(AND($C65&lt;&gt;"",$W65&lt;&gt;""),(VLOOKUP($C65,'V-LOOKUP'!$C$61:$M$120,8,FALSE)),"0")</f>
        <v>0</v>
      </c>
      <c r="GT65" s="192" t="str">
        <f>IF(AND($C65&lt;&gt;"",$W65&lt;&gt;""),(VLOOKUP($C65,'V-LOOKUP'!$C$61:$M$120,9,FALSE)),"0")</f>
        <v>0</v>
      </c>
      <c r="GU65" s="192" t="str">
        <f>IF(AND($C65&lt;&gt;"",$W65&lt;&gt;""),(VLOOKUP($C65,'V-LOOKUP'!$C$61:$M$120,10,FALSE)),"0")</f>
        <v>0</v>
      </c>
      <c r="GV65" s="192" t="str">
        <f>IF(AND($C65&lt;&gt;"",$W65&lt;&gt;""),(VLOOKUP($C65,'V-LOOKUP'!$C$61:$M$120,11,FALSE)),"0")</f>
        <v>0</v>
      </c>
      <c r="GW65" s="192" t="str">
        <f>IF(AND($C65&lt;&gt;"",$W65&lt;&gt;""),(VLOOKUP($C65,'V-LOOKUP'!$C$61:$N$120,12,FALSE)),"0")</f>
        <v>0</v>
      </c>
    </row>
    <row r="66" spans="1:205" ht="14.65" hidden="1" customHeight="1">
      <c r="A66" s="193"/>
      <c r="B66" s="246"/>
      <c r="C66" s="203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Y66" s="190"/>
      <c r="Z66" s="192" t="str">
        <f>IF(AND($C66&lt;&gt;"",$D66&lt;&gt;""),(VLOOKUP($C66,'V-LOOKUP'!$C$61:$M$120,4,FALSE)),"0")</f>
        <v>0</v>
      </c>
      <c r="AA66" s="192" t="str">
        <f>IF(AND($C66&lt;&gt;"",$D66&lt;&gt;""),(VLOOKUP($C66,'V-LOOKUP'!$C$61:$M$120,5,FALSE)),"0")</f>
        <v>0</v>
      </c>
      <c r="AB66" s="192" t="str">
        <f>IF(AND($C66&lt;&gt;"",$D66&lt;&gt;""),(VLOOKUP($C66,'V-LOOKUP'!$C$61:$M$120,6,FALSE)),"0")</f>
        <v>0</v>
      </c>
      <c r="AC66" s="192" t="str">
        <f>IF(AND($C66&lt;&gt;"",$D66&lt;&gt;""),(VLOOKUP($C66,'V-LOOKUP'!$C$61:$M$120,7,FALSE)),"0")</f>
        <v>0</v>
      </c>
      <c r="AD66" s="192" t="str">
        <f>IF(AND($C66&lt;&gt;"",$D66&lt;&gt;""),(VLOOKUP($C66,'V-LOOKUP'!$C$61:$M$120,8,FALSE)),"0")</f>
        <v>0</v>
      </c>
      <c r="AE66" s="192" t="str">
        <f>IF(AND($C66&lt;&gt;"",$D66&lt;&gt;""),(VLOOKUP($C66,'V-LOOKUP'!$C$61:$M$120,9,FALSE)),"0")</f>
        <v>0</v>
      </c>
      <c r="AF66" s="192" t="str">
        <f>IF(AND($C66&lt;&gt;"",$D66&lt;&gt;""),(VLOOKUP($C66,'V-LOOKUP'!$C$61:$M$120,10,FALSE)),"0")</f>
        <v>0</v>
      </c>
      <c r="AG66" s="192" t="str">
        <f>IF(AND($C66&lt;&gt;"",$D66&lt;&gt;""),(VLOOKUP($C66,'V-LOOKUP'!$C$61:$M$120,11,FALSE)),"0")</f>
        <v>0</v>
      </c>
      <c r="AH66" s="192" t="str">
        <f>IF(AND($C66&lt;&gt;"",$D66&lt;&gt;""),(VLOOKUP($C66,'V-LOOKUP'!$C$61:$N$120,12,FALSE)),"0")</f>
        <v>0</v>
      </c>
      <c r="AI66" s="192" t="str">
        <f>IF(AND($C66&lt;&gt;"",$E66&lt;&gt;""),(VLOOKUP($C66,'V-LOOKUP'!$C$61:$M$120,4,FALSE)),"0")</f>
        <v>0</v>
      </c>
      <c r="AJ66" s="192" t="str">
        <f>IF(AND($C66&lt;&gt;"",$E66&lt;&gt;""),(VLOOKUP($C66,'V-LOOKUP'!$C$61:$M$120,5,FALSE)),"0")</f>
        <v>0</v>
      </c>
      <c r="AK66" s="192" t="str">
        <f>IF(AND($C66&lt;&gt;"",$E66&lt;&gt;""),(VLOOKUP($C66,'V-LOOKUP'!$C$61:$M$120,6,FALSE)),"0")</f>
        <v>0</v>
      </c>
      <c r="AL66" s="192" t="str">
        <f>IF(AND($C66&lt;&gt;"",$E66&lt;&gt;""),(VLOOKUP($C66,'V-LOOKUP'!$C$61:$M$120,7,FALSE)),"0")</f>
        <v>0</v>
      </c>
      <c r="AM66" s="192" t="str">
        <f>IF(AND($C66&lt;&gt;"",$E66&lt;&gt;""),(VLOOKUP($C66,'V-LOOKUP'!$C$61:$M$120,8,FALSE)),"0")</f>
        <v>0</v>
      </c>
      <c r="AN66" s="192" t="str">
        <f>IF(AND($C66&lt;&gt;"",$E66&lt;&gt;""),(VLOOKUP($C66,'V-LOOKUP'!$C$61:$M$120,9,FALSE)),"0")</f>
        <v>0</v>
      </c>
      <c r="AO66" s="192" t="str">
        <f>IF(AND($C66&lt;&gt;"",$E66&lt;&gt;""),(VLOOKUP($C66,'V-LOOKUP'!$C$61:$M$120,10,FALSE)),"0")</f>
        <v>0</v>
      </c>
      <c r="AP66" s="192" t="str">
        <f>IF(AND($C66&lt;&gt;"",$E66&lt;&gt;""),(VLOOKUP($C66,'V-LOOKUP'!$C$61:$M$120,11,FALSE)),"0")</f>
        <v>0</v>
      </c>
      <c r="AQ66" s="192" t="str">
        <f>IF(AND($C66&lt;&gt;"",$E66&lt;&gt;""),(VLOOKUP($C66,'V-LOOKUP'!$C$61:$N$120,12,FALSE)),"0")</f>
        <v>0</v>
      </c>
      <c r="AR66" s="192" t="str">
        <f>IF(AND($C66&lt;&gt;"",$F66&lt;&gt;""),(VLOOKUP($C66,'V-LOOKUP'!$C$61:$M$120,4,FALSE)),"0")</f>
        <v>0</v>
      </c>
      <c r="AS66" s="192" t="str">
        <f>IF(AND($C66&lt;&gt;"",$F66&lt;&gt;""),(VLOOKUP($C66,'V-LOOKUP'!$C$61:$M$120,5,FALSE)),"0")</f>
        <v>0</v>
      </c>
      <c r="AT66" s="192" t="str">
        <f>IF(AND($C66&lt;&gt;"",$F66&lt;&gt;""),(VLOOKUP($C66,'V-LOOKUP'!$C$61:$M$120,6,FALSE)),"0")</f>
        <v>0</v>
      </c>
      <c r="AU66" s="192" t="str">
        <f>IF(AND($C66&lt;&gt;"",$F66&lt;&gt;""),(VLOOKUP($C66,'V-LOOKUP'!$C$61:$M$120,7,FALSE)),"0")</f>
        <v>0</v>
      </c>
      <c r="AV66" s="192" t="str">
        <f>IF(AND($C66&lt;&gt;"",$F66&lt;&gt;""),(VLOOKUP($C66,'V-LOOKUP'!$C$61:$M$120,8,FALSE)),"0")</f>
        <v>0</v>
      </c>
      <c r="AW66" s="192" t="str">
        <f>IF(AND($C66&lt;&gt;"",$F66&lt;&gt;""),(VLOOKUP($C66,'V-LOOKUP'!$C$61:$M$120,9,FALSE)),"0")</f>
        <v>0</v>
      </c>
      <c r="AX66" s="192" t="str">
        <f>IF(AND($C66&lt;&gt;"",$F66&lt;&gt;""),(VLOOKUP($C66,'V-LOOKUP'!$C$61:$M$120,10,FALSE)),"0")</f>
        <v>0</v>
      </c>
      <c r="AY66" s="192" t="str">
        <f>IF(AND($C66&lt;&gt;"",$F66&lt;&gt;""),(VLOOKUP($C66,'V-LOOKUP'!$C$61:$M$120,11,FALSE)),"0")</f>
        <v>0</v>
      </c>
      <c r="AZ66" s="192" t="str">
        <f>IF(AND($C66&lt;&gt;"",$F66&lt;&gt;""),(VLOOKUP($C66,'V-LOOKUP'!$C$61:$N$120,12,FALSE)),"0")</f>
        <v>0</v>
      </c>
      <c r="BA66" s="192" t="str">
        <f>IF(AND($C66&lt;&gt;"",$G66&lt;&gt;""),(VLOOKUP($C66,'V-LOOKUP'!$C$61:$M$120,4,FALSE)),"0")</f>
        <v>0</v>
      </c>
      <c r="BB66" s="192" t="str">
        <f>IF(AND($C66&lt;&gt;"",$G66&lt;&gt;""),(VLOOKUP($C66,'V-LOOKUP'!$C$61:$M$120,5,FALSE)),"0")</f>
        <v>0</v>
      </c>
      <c r="BC66" s="192" t="str">
        <f>IF(AND($C66&lt;&gt;"",$G66&lt;&gt;""),(VLOOKUP($C66,'V-LOOKUP'!$C$61:$M$120,6,FALSE)),"0")</f>
        <v>0</v>
      </c>
      <c r="BD66" s="192" t="str">
        <f>IF(AND($C66&lt;&gt;"",$G66&lt;&gt;""),(VLOOKUP($C66,'V-LOOKUP'!$C$61:$M$120,7,FALSE)),"0")</f>
        <v>0</v>
      </c>
      <c r="BE66" s="192" t="str">
        <f>IF(AND($C66&lt;&gt;"",$G66&lt;&gt;""),(VLOOKUP($C66,'V-LOOKUP'!$C$61:$M$120,8,FALSE)),"0")</f>
        <v>0</v>
      </c>
      <c r="BF66" s="192" t="str">
        <f>IF(AND($C66&lt;&gt;"",$G66&lt;&gt;""),(VLOOKUP($C66,'V-LOOKUP'!$C$61:$M$120,9,FALSE)),"0")</f>
        <v>0</v>
      </c>
      <c r="BG66" s="192" t="str">
        <f>IF(AND($C66&lt;&gt;"",$G66&lt;&gt;""),(VLOOKUP($C66,'V-LOOKUP'!$C$61:$M$120,10,FALSE)),"0")</f>
        <v>0</v>
      </c>
      <c r="BH66" s="192" t="str">
        <f>IF(AND($C66&lt;&gt;"",$G66&lt;&gt;""),(VLOOKUP($C66,'V-LOOKUP'!$C$61:$M$120,11,FALSE)),"0")</f>
        <v>0</v>
      </c>
      <c r="BI66" s="192" t="str">
        <f>IF(AND($C66&lt;&gt;"",$G66&lt;&gt;""),(VLOOKUP($C66,'V-LOOKUP'!$C$61:$N$120,12,FALSE)),"0")</f>
        <v>0</v>
      </c>
      <c r="BJ66" s="192" t="str">
        <f>IF(AND($C66&lt;&gt;"",$H66&lt;&gt;""),(VLOOKUP($C66,'V-LOOKUP'!$C$61:$M$120,4,FALSE)),"0")</f>
        <v>0</v>
      </c>
      <c r="BK66" s="192" t="str">
        <f>IF(AND($C66&lt;&gt;"",$H66&lt;&gt;""),(VLOOKUP($C66,'V-LOOKUP'!$C$61:$M$120,5,FALSE)),"0")</f>
        <v>0</v>
      </c>
      <c r="BL66" s="192" t="str">
        <f>IF(AND($C66&lt;&gt;"",$H66&lt;&gt;""),(VLOOKUP($C66,'V-LOOKUP'!$C$61:$M$120,6,FALSE)),"0")</f>
        <v>0</v>
      </c>
      <c r="BM66" s="192" t="str">
        <f>IF(AND($C66&lt;&gt;"",$H66&lt;&gt;""),(VLOOKUP($C66,'V-LOOKUP'!$C$61:$M$120,7,FALSE)),"0")</f>
        <v>0</v>
      </c>
      <c r="BN66" s="192" t="str">
        <f>IF(AND($C66&lt;&gt;"",$H66&lt;&gt;""),(VLOOKUP($C66,'V-LOOKUP'!$C$61:$M$120,8,FALSE)),"0")</f>
        <v>0</v>
      </c>
      <c r="BO66" s="192" t="str">
        <f>IF(AND($C66&lt;&gt;"",$H66&lt;&gt;""),(VLOOKUP($C66,'V-LOOKUP'!$C$61:$M$120,9,FALSE)),"0")</f>
        <v>0</v>
      </c>
      <c r="BP66" s="192" t="str">
        <f>IF(AND($C66&lt;&gt;"",$H66&lt;&gt;""),(VLOOKUP($C66,'V-LOOKUP'!$C$61:$M$120,10,FALSE)),"0")</f>
        <v>0</v>
      </c>
      <c r="BQ66" s="192" t="str">
        <f>IF(AND($C66&lt;&gt;"",$H66&lt;&gt;""),(VLOOKUP($C66,'V-LOOKUP'!$C$61:$M$120,11,FALSE)),"0")</f>
        <v>0</v>
      </c>
      <c r="BR66" s="192" t="str">
        <f>IF(AND($C66&lt;&gt;"",$H66&lt;&gt;""),(VLOOKUP($C66,'V-LOOKUP'!$C$61:$N$120,12,FALSE)),"0")</f>
        <v>0</v>
      </c>
      <c r="BS66" s="192" t="str">
        <f>IF(AND($C66&lt;&gt;"",$I66&lt;&gt;""),(VLOOKUP($C66,'V-LOOKUP'!$C$61:$M$120,4,FALSE)),"0")</f>
        <v>0</v>
      </c>
      <c r="BT66" s="192" t="str">
        <f>IF(AND($C66&lt;&gt;"",$I66&lt;&gt;""),(VLOOKUP($C66,'V-LOOKUP'!$C$61:$M$120,5,FALSE)),"0")</f>
        <v>0</v>
      </c>
      <c r="BU66" s="192" t="str">
        <f>IF(AND($C66&lt;&gt;"",$I66&lt;&gt;""),(VLOOKUP($C66,'V-LOOKUP'!$C$61:$M$120,6,FALSE)),"0")</f>
        <v>0</v>
      </c>
      <c r="BV66" s="192" t="str">
        <f>IF(AND($C66&lt;&gt;"",$I66&lt;&gt;""),(VLOOKUP($C66,'V-LOOKUP'!$C$61:$M$120,7,FALSE)),"0")</f>
        <v>0</v>
      </c>
      <c r="BW66" s="192" t="str">
        <f>IF(AND($C66&lt;&gt;"",$I66&lt;&gt;""),(VLOOKUP($C66,'V-LOOKUP'!$C$61:$M$120,8,FALSE)),"0")</f>
        <v>0</v>
      </c>
      <c r="BX66" s="192" t="str">
        <f>IF(AND($C66&lt;&gt;"",$I66&lt;&gt;""),(VLOOKUP($C66,'V-LOOKUP'!$C$61:$M$120,9,FALSE)),"0")</f>
        <v>0</v>
      </c>
      <c r="BY66" s="192" t="str">
        <f>IF(AND($C66&lt;&gt;"",$I66&lt;&gt;""),(VLOOKUP($C66,'V-LOOKUP'!$C$61:$M$120,10,FALSE)),"0")</f>
        <v>0</v>
      </c>
      <c r="BZ66" s="192" t="str">
        <f>IF(AND($C66&lt;&gt;"",$I66&lt;&gt;""),(VLOOKUP($C66,'V-LOOKUP'!$C$61:$M$120,11,FALSE)),"0")</f>
        <v>0</v>
      </c>
      <c r="CA66" s="192" t="str">
        <f>IF(AND($C66&lt;&gt;"",$I66&lt;&gt;""),(VLOOKUP($C66,'V-LOOKUP'!$C$61:$N$120,12,FALSE)),"0")</f>
        <v>0</v>
      </c>
      <c r="CB66" s="192" t="str">
        <f>IF(AND($C66&lt;&gt;"",$J66&lt;&gt;""),(VLOOKUP($C66,'V-LOOKUP'!$C$61:$M$120,4,FALSE)),"0")</f>
        <v>0</v>
      </c>
      <c r="CC66" s="192" t="str">
        <f>IF(AND($C66&lt;&gt;"",$J66&lt;&gt;""),(VLOOKUP($C66,'V-LOOKUP'!$C$61:$M$120,5,FALSE)),"0")</f>
        <v>0</v>
      </c>
      <c r="CD66" s="192" t="str">
        <f>IF(AND($C66&lt;&gt;"",$J66&lt;&gt;""),(VLOOKUP($C66,'V-LOOKUP'!$C$61:$M$120,6,FALSE)),"0")</f>
        <v>0</v>
      </c>
      <c r="CE66" s="192" t="str">
        <f>IF(AND($C66&lt;&gt;"",$J66&lt;&gt;""),(VLOOKUP($C66,'V-LOOKUP'!$C$61:$M$120,7,FALSE)),"0")</f>
        <v>0</v>
      </c>
      <c r="CF66" s="192" t="str">
        <f>IF(AND($C66&lt;&gt;"",$J66&lt;&gt;""),(VLOOKUP($C66,'V-LOOKUP'!$C$61:$M$120,8,FALSE)),"0")</f>
        <v>0</v>
      </c>
      <c r="CG66" s="192" t="str">
        <f>IF(AND($C66&lt;&gt;"",$J66&lt;&gt;""),(VLOOKUP($C66,'V-LOOKUP'!$C$61:$M$120,9,FALSE)),"0")</f>
        <v>0</v>
      </c>
      <c r="CH66" s="192" t="str">
        <f>IF(AND($C66&lt;&gt;"",$J66&lt;&gt;""),(VLOOKUP($C66,'V-LOOKUP'!$C$61:$M$120,10,FALSE)),"0")</f>
        <v>0</v>
      </c>
      <c r="CI66" s="192" t="str">
        <f>IF(AND($C66&lt;&gt;"",$J66&lt;&gt;""),(VLOOKUP($C66,'V-LOOKUP'!$C$61:$M$120,11,FALSE)),"0")</f>
        <v>0</v>
      </c>
      <c r="CJ66" s="192" t="str">
        <f>IF(AND($C66&lt;&gt;"",$J66&lt;&gt;""),(VLOOKUP($C66,'V-LOOKUP'!$C$61:$N$120,12,FALSE)),"0")</f>
        <v>0</v>
      </c>
      <c r="CK66" s="192" t="str">
        <f>IF(AND($C66&lt;&gt;"",$K66&lt;&gt;""),(VLOOKUP($C66,'V-LOOKUP'!$C$61:$M$120,4,FALSE)),"0")</f>
        <v>0</v>
      </c>
      <c r="CL66" s="192" t="str">
        <f>IF(AND($C66&lt;&gt;"",$K66&lt;&gt;""),(VLOOKUP($C66,'V-LOOKUP'!$C$61:$M$120,5,FALSE)),"0")</f>
        <v>0</v>
      </c>
      <c r="CM66" s="192" t="str">
        <f>IF(AND($C66&lt;&gt;"",$K66&lt;&gt;""),(VLOOKUP($C66,'V-LOOKUP'!$C$61:$M$120,6,FALSE)),"0")</f>
        <v>0</v>
      </c>
      <c r="CN66" s="192" t="str">
        <f>IF(AND($C66&lt;&gt;"",$K66&lt;&gt;""),(VLOOKUP($C66,'V-LOOKUP'!$C$61:$M$120,7,FALSE)),"0")</f>
        <v>0</v>
      </c>
      <c r="CO66" s="192" t="str">
        <f>IF(AND($C66&lt;&gt;"",$K66&lt;&gt;""),(VLOOKUP($C66,'V-LOOKUP'!$C$61:$M$120,8,FALSE)),"0")</f>
        <v>0</v>
      </c>
      <c r="CP66" s="192" t="str">
        <f>IF(AND($C66&lt;&gt;"",$K66&lt;&gt;""),(VLOOKUP($C66,'V-LOOKUP'!$C$61:$M$120,9,FALSE)),"0")</f>
        <v>0</v>
      </c>
      <c r="CQ66" s="192" t="str">
        <f>IF(AND($C66&lt;&gt;"",$K66&lt;&gt;""),(VLOOKUP($C66,'V-LOOKUP'!$C$61:$M$120,10,FALSE)),"0")</f>
        <v>0</v>
      </c>
      <c r="CR66" s="192" t="str">
        <f>IF(AND($C66&lt;&gt;"",$K66&lt;&gt;""),(VLOOKUP($C66,'V-LOOKUP'!$C$61:$M$120,11,FALSE)),"0")</f>
        <v>0</v>
      </c>
      <c r="CS66" s="192" t="str">
        <f>IF(AND($C66&lt;&gt;"",$K66&lt;&gt;""),(VLOOKUP($C66,'V-LOOKUP'!$C$61:$N$120,12,FALSE)),"0")</f>
        <v>0</v>
      </c>
      <c r="CT66" s="192" t="str">
        <f>IF(AND($C66&lt;&gt;"",$L66&lt;&gt;""),(VLOOKUP($C66,'V-LOOKUP'!$C$61:$M$120,4,FALSE)),"0")</f>
        <v>0</v>
      </c>
      <c r="CU66" s="192" t="str">
        <f>IF(AND($C66&lt;&gt;"",$L66&lt;&gt;""),(VLOOKUP($C66,'V-LOOKUP'!$C$61:$M$120,5,FALSE)),"0")</f>
        <v>0</v>
      </c>
      <c r="CV66" s="192" t="str">
        <f>IF(AND($C66&lt;&gt;"",$L66&lt;&gt;""),(VLOOKUP($C66,'V-LOOKUP'!$C$61:$M$120,6,FALSE)),"0")</f>
        <v>0</v>
      </c>
      <c r="CW66" s="192" t="str">
        <f>IF(AND($C66&lt;&gt;"",$L66&lt;&gt;""),(VLOOKUP($C66,'V-LOOKUP'!$C$61:$M$120,7,FALSE)),"0")</f>
        <v>0</v>
      </c>
      <c r="CX66" s="192" t="str">
        <f>IF(AND($C66&lt;&gt;"",$L66&lt;&gt;""),(VLOOKUP($C66,'V-LOOKUP'!$C$61:$M$120,8,FALSE)),"0")</f>
        <v>0</v>
      </c>
      <c r="CY66" s="192" t="str">
        <f>IF(AND($C66&lt;&gt;"",$L66&lt;&gt;""),(VLOOKUP($C66,'V-LOOKUP'!$C$61:$M$120,9,FALSE)),"0")</f>
        <v>0</v>
      </c>
      <c r="CZ66" s="192" t="str">
        <f>IF(AND($C66&lt;&gt;"",$L66&lt;&gt;""),(VLOOKUP($C66,'V-LOOKUP'!$C$61:$M$120,10,FALSE)),"0")</f>
        <v>0</v>
      </c>
      <c r="DA66" s="192" t="str">
        <f>IF(AND($C66&lt;&gt;"",$L66&lt;&gt;""),(VLOOKUP($C66,'V-LOOKUP'!$C$61:$M$120,11,FALSE)),"0")</f>
        <v>0</v>
      </c>
      <c r="DB66" s="192" t="str">
        <f>IF(AND($C66&lt;&gt;"",$L66&lt;&gt;""),(VLOOKUP($C66,'V-LOOKUP'!$C$61:$N$120,12,FALSE)),"0")</f>
        <v>0</v>
      </c>
      <c r="DC66" s="192" t="str">
        <f>IF(AND($C66&lt;&gt;"",$M66&lt;&gt;""),(VLOOKUP($C66,'V-LOOKUP'!$C$61:$M$120,4,FALSE)),"0")</f>
        <v>0</v>
      </c>
      <c r="DD66" s="192" t="str">
        <f>IF(AND($C66&lt;&gt;"",$M66&lt;&gt;""),(VLOOKUP($C66,'V-LOOKUP'!$C$61:$M$120,5,FALSE)),"0")</f>
        <v>0</v>
      </c>
      <c r="DE66" s="192" t="str">
        <f>IF(AND($C66&lt;&gt;"",$M66&lt;&gt;""),(VLOOKUP($C66,'V-LOOKUP'!$C$61:$M$120,6,FALSE)),"0")</f>
        <v>0</v>
      </c>
      <c r="DF66" s="192" t="str">
        <f>IF(AND($C66&lt;&gt;"",$M66&lt;&gt;""),(VLOOKUP($C66,'V-LOOKUP'!$C$61:$M$120,7,FALSE)),"0")</f>
        <v>0</v>
      </c>
      <c r="DG66" s="192" t="str">
        <f>IF(AND($C66&lt;&gt;"",$M66&lt;&gt;""),(VLOOKUP($C66,'V-LOOKUP'!$C$61:$M$120,8,FALSE)),"0")</f>
        <v>0</v>
      </c>
      <c r="DH66" s="192" t="str">
        <f>IF(AND($C66&lt;&gt;"",$M66&lt;&gt;""),(VLOOKUP($C66,'V-LOOKUP'!$C$61:$M$120,9,FALSE)),"0")</f>
        <v>0</v>
      </c>
      <c r="DI66" s="192" t="str">
        <f>IF(AND($C66&lt;&gt;"",$M66&lt;&gt;""),(VLOOKUP($C66,'V-LOOKUP'!$C$61:$M$120,10,FALSE)),"0")</f>
        <v>0</v>
      </c>
      <c r="DJ66" s="192" t="str">
        <f>IF(AND($C66&lt;&gt;"",$M66&lt;&gt;""),(VLOOKUP($C66,'V-LOOKUP'!$C$61:$M$120,11,FALSE)),"0")</f>
        <v>0</v>
      </c>
      <c r="DK66" s="192" t="str">
        <f>IF(AND($C66&lt;&gt;"",$M66&lt;&gt;""),(VLOOKUP($C66,'V-LOOKUP'!$C$61:$N$120,12,FALSE)),"0")</f>
        <v>0</v>
      </c>
      <c r="DL66" s="192" t="str">
        <f>IF(AND($C66&lt;&gt;"",$N66&lt;&gt;""),(VLOOKUP($C66,'V-LOOKUP'!$C$61:$M$120,4,FALSE)),"0")</f>
        <v>0</v>
      </c>
      <c r="DM66" s="192" t="str">
        <f>IF(AND($C66&lt;&gt;"",$N66&lt;&gt;""),(VLOOKUP($C66,'V-LOOKUP'!$C$61:$M$120,5,FALSE)),"0")</f>
        <v>0</v>
      </c>
      <c r="DN66" s="192" t="str">
        <f>IF(AND($C66&lt;&gt;"",$N66&lt;&gt;""),(VLOOKUP($C66,'V-LOOKUP'!$C$61:$M$120,6,FALSE)),"0")</f>
        <v>0</v>
      </c>
      <c r="DO66" s="192" t="str">
        <f>IF(AND($C66&lt;&gt;"",$N66&lt;&gt;""),(VLOOKUP($C66,'V-LOOKUP'!$C$61:$M$120,7,FALSE)),"0")</f>
        <v>0</v>
      </c>
      <c r="DP66" s="192" t="str">
        <f>IF(AND($C66&lt;&gt;"",$N66&lt;&gt;""),(VLOOKUP($C66,'V-LOOKUP'!$C$61:$M$120,8,FALSE)),"0")</f>
        <v>0</v>
      </c>
      <c r="DQ66" s="192" t="str">
        <f>IF(AND($C66&lt;&gt;"",$N66&lt;&gt;""),(VLOOKUP($C66,'V-LOOKUP'!$C$61:$M$120,9,FALSE)),"0")</f>
        <v>0</v>
      </c>
      <c r="DR66" s="192" t="str">
        <f>IF(AND($C66&lt;&gt;"",$N66&lt;&gt;""),(VLOOKUP($C66,'V-LOOKUP'!$C$61:$M$120,10,FALSE)),"0")</f>
        <v>0</v>
      </c>
      <c r="DS66" s="192" t="str">
        <f>IF(AND($C66&lt;&gt;"",$N66&lt;&gt;""),(VLOOKUP($C66,'V-LOOKUP'!$C$61:$M$120,11,FALSE)),"0")</f>
        <v>0</v>
      </c>
      <c r="DT66" s="192" t="str">
        <f>IF(AND($C66&lt;&gt;"",$N66&lt;&gt;""),(VLOOKUP($C66,'V-LOOKUP'!$C$61:$N$120,12,FALSE)),"0")</f>
        <v>0</v>
      </c>
      <c r="DU66" s="192" t="str">
        <f>IF(AND($C66&lt;&gt;"",$O66&lt;&gt;""),(VLOOKUP($C66,'V-LOOKUP'!$C$61:$M$120,4,FALSE)),"0")</f>
        <v>0</v>
      </c>
      <c r="DV66" s="192" t="str">
        <f>IF(AND($C66&lt;&gt;"",$O66&lt;&gt;""),(VLOOKUP($C66,'V-LOOKUP'!$C$61:$M$120,5,FALSE)),"0")</f>
        <v>0</v>
      </c>
      <c r="DW66" s="192" t="str">
        <f>IF(AND($C66&lt;&gt;"",$O66&lt;&gt;""),(VLOOKUP($C66,'V-LOOKUP'!$C$61:$M$120,6,FALSE)),"0")</f>
        <v>0</v>
      </c>
      <c r="DX66" s="192" t="str">
        <f>IF(AND($C66&lt;&gt;"",$O66&lt;&gt;""),(VLOOKUP($C66,'V-LOOKUP'!$C$61:$M$120,7,FALSE)),"0")</f>
        <v>0</v>
      </c>
      <c r="DY66" s="192" t="str">
        <f>IF(AND($C66&lt;&gt;"",$O66&lt;&gt;""),(VLOOKUP($C66,'V-LOOKUP'!$C$61:$M$120,8,FALSE)),"0")</f>
        <v>0</v>
      </c>
      <c r="DZ66" s="192" t="str">
        <f>IF(AND($C66&lt;&gt;"",$O66&lt;&gt;""),(VLOOKUP($C66,'V-LOOKUP'!$C$61:$M$120,9,FALSE)),"0")</f>
        <v>0</v>
      </c>
      <c r="EA66" s="192" t="str">
        <f>IF(AND($C66&lt;&gt;"",$O66&lt;&gt;""),(VLOOKUP($C66,'V-LOOKUP'!$C$61:$M$120,10,FALSE)),"0")</f>
        <v>0</v>
      </c>
      <c r="EB66" s="192" t="str">
        <f>IF(AND($C66&lt;&gt;"",$O66&lt;&gt;""),(VLOOKUP($C66,'V-LOOKUP'!$C$61:$M$120,11,FALSE)),"0")</f>
        <v>0</v>
      </c>
      <c r="EC66" s="192" t="str">
        <f>IF(AND($C66&lt;&gt;"",$O66&lt;&gt;""),(VLOOKUP($C66,'V-LOOKUP'!$C$61:$N$120,12,FALSE)),"0")</f>
        <v>0</v>
      </c>
      <c r="ED66" s="192" t="str">
        <f>IF(AND($C66&lt;&gt;"",$P66&lt;&gt;""),(VLOOKUP($C66,'V-LOOKUP'!$C$61:$M$120,4,FALSE)),"0")</f>
        <v>0</v>
      </c>
      <c r="EE66" s="192" t="str">
        <f>IF(AND($C66&lt;&gt;"",$P66&lt;&gt;""),(VLOOKUP($C66,'V-LOOKUP'!$C$61:$M$120,5,FALSE)),"0")</f>
        <v>0</v>
      </c>
      <c r="EF66" s="192" t="str">
        <f>IF(AND($C66&lt;&gt;"",$P66&lt;&gt;""),(VLOOKUP($C66,'V-LOOKUP'!$C$61:$M$120,6,FALSE)),"0")</f>
        <v>0</v>
      </c>
      <c r="EG66" s="192" t="str">
        <f>IF(AND($C66&lt;&gt;"",$P66&lt;&gt;""),(VLOOKUP($C66,'V-LOOKUP'!$C$61:$M$120,7,FALSE)),"0")</f>
        <v>0</v>
      </c>
      <c r="EH66" s="192" t="str">
        <f>IF(AND($C66&lt;&gt;"",$P66&lt;&gt;""),(VLOOKUP($C66,'V-LOOKUP'!$C$61:$M$120,8,FALSE)),"0")</f>
        <v>0</v>
      </c>
      <c r="EI66" s="192" t="str">
        <f>IF(AND($C66&lt;&gt;"",$P66&lt;&gt;""),(VLOOKUP($C66,'V-LOOKUP'!$C$61:$M$120,9,FALSE)),"0")</f>
        <v>0</v>
      </c>
      <c r="EJ66" s="192" t="str">
        <f>IF(AND($C66&lt;&gt;"",$P66&lt;&gt;""),(VLOOKUP($C66,'V-LOOKUP'!$C$61:$M$120,10,FALSE)),"0")</f>
        <v>0</v>
      </c>
      <c r="EK66" s="192" t="str">
        <f>IF(AND($C66&lt;&gt;"",$P66&lt;&gt;""),(VLOOKUP($C66,'V-LOOKUP'!$C$61:$M$120,11,FALSE)),"0")</f>
        <v>0</v>
      </c>
      <c r="EL66" s="192" t="str">
        <f>IF(AND($C66&lt;&gt;"",$P66&lt;&gt;""),(VLOOKUP($C66,'V-LOOKUP'!$C$61:$N$120,12,FALSE)),"0")</f>
        <v>0</v>
      </c>
      <c r="EM66" s="192" t="str">
        <f>IF(AND($C66&lt;&gt;"",$Q66&lt;&gt;""),(VLOOKUP($C66,'V-LOOKUP'!$C$61:$M$120,4,FALSE)),"0")</f>
        <v>0</v>
      </c>
      <c r="EN66" s="192" t="str">
        <f>IF(AND($C66&lt;&gt;"",$Q66&lt;&gt;""),(VLOOKUP($C66,'V-LOOKUP'!$C$61:$M$120,5,FALSE)),"0")</f>
        <v>0</v>
      </c>
      <c r="EO66" s="192" t="str">
        <f>IF(AND($C66&lt;&gt;"",$Q66&lt;&gt;""),(VLOOKUP($C66,'V-LOOKUP'!$C$61:$M$120,6,FALSE)),"0")</f>
        <v>0</v>
      </c>
      <c r="EP66" s="192" t="str">
        <f>IF(AND($C66&lt;&gt;"",$Q66&lt;&gt;""),(VLOOKUP($C66,'V-LOOKUP'!$C$61:$M$120,7,FALSE)),"0")</f>
        <v>0</v>
      </c>
      <c r="EQ66" s="192" t="str">
        <f>IF(AND($C66&lt;&gt;"",$Q66&lt;&gt;""),(VLOOKUP($C66,'V-LOOKUP'!$C$61:$M$120,8,FALSE)),"0")</f>
        <v>0</v>
      </c>
      <c r="ER66" s="192" t="str">
        <f>IF(AND($C66&lt;&gt;"",$Q66&lt;&gt;""),(VLOOKUP($C66,'V-LOOKUP'!$C$61:$M$120,9,FALSE)),"0")</f>
        <v>0</v>
      </c>
      <c r="ES66" s="192" t="str">
        <f>IF(AND($C66&lt;&gt;"",$Q66&lt;&gt;""),(VLOOKUP($C66,'V-LOOKUP'!$C$61:$M$120,10,FALSE)),"0")</f>
        <v>0</v>
      </c>
      <c r="ET66" s="192" t="str">
        <f>IF(AND($C66&lt;&gt;"",$Q66&lt;&gt;""),(VLOOKUP($C66,'V-LOOKUP'!$C$61:$M$120,11,FALSE)),"0")</f>
        <v>0</v>
      </c>
      <c r="EU66" s="192" t="str">
        <f>IF(AND($C66&lt;&gt;"",$Q66&lt;&gt;""),(VLOOKUP($C66,'V-LOOKUP'!$C$61:$N$120,12,FALSE)),"0")</f>
        <v>0</v>
      </c>
      <c r="EV66" s="192" t="str">
        <f>IF(AND($C66&lt;&gt;"",$R66&lt;&gt;""),(VLOOKUP($C66,'V-LOOKUP'!$C$61:$M$120,4,FALSE)),"0")</f>
        <v>0</v>
      </c>
      <c r="EW66" s="192" t="str">
        <f>IF(AND($C66&lt;&gt;"",$R66&lt;&gt;""),(VLOOKUP($C66,'V-LOOKUP'!$C$61:$M$120,5,FALSE)),"0")</f>
        <v>0</v>
      </c>
      <c r="EX66" s="192" t="str">
        <f>IF(AND($C66&lt;&gt;"",$R66&lt;&gt;""),(VLOOKUP($C66,'V-LOOKUP'!$C$61:$M$120,6,FALSE)),"0")</f>
        <v>0</v>
      </c>
      <c r="EY66" s="192" t="str">
        <f>IF(AND($C66&lt;&gt;"",$R66&lt;&gt;""),(VLOOKUP($C66,'V-LOOKUP'!$C$61:$M$120,7,FALSE)),"0")</f>
        <v>0</v>
      </c>
      <c r="EZ66" s="192" t="str">
        <f>IF(AND($C66&lt;&gt;"",$R66&lt;&gt;""),(VLOOKUP($C66,'V-LOOKUP'!$C$61:$M$120,8,FALSE)),"0")</f>
        <v>0</v>
      </c>
      <c r="FA66" s="192" t="str">
        <f>IF(AND($C66&lt;&gt;"",$R66&lt;&gt;""),(VLOOKUP($C66,'V-LOOKUP'!$C$61:$M$120,9,FALSE)),"0")</f>
        <v>0</v>
      </c>
      <c r="FB66" s="192" t="str">
        <f>IF(AND($C66&lt;&gt;"",$R66&lt;&gt;""),(VLOOKUP($C66,'V-LOOKUP'!$C$61:$M$120,10,FALSE)),"0")</f>
        <v>0</v>
      </c>
      <c r="FC66" s="192" t="str">
        <f>IF(AND($C66&lt;&gt;"",$R66&lt;&gt;""),(VLOOKUP($C66,'V-LOOKUP'!$C$61:$M$120,11,FALSE)),"0")</f>
        <v>0</v>
      </c>
      <c r="FD66" s="192" t="str">
        <f>IF(AND($C66&lt;&gt;"",$R66&lt;&gt;""),(VLOOKUP($C66,'V-LOOKUP'!$C$61:$N$120,12,FALSE)),"0")</f>
        <v>0</v>
      </c>
      <c r="FE66" s="192" t="str">
        <f>IF(AND($C66&lt;&gt;"",$S66&lt;&gt;""),(VLOOKUP($C66,'V-LOOKUP'!$C$61:$M$120,4,FALSE)),"0")</f>
        <v>0</v>
      </c>
      <c r="FF66" s="192" t="str">
        <f>IF(AND($C66&lt;&gt;"",$S66&lt;&gt;""),(VLOOKUP($C66,'V-LOOKUP'!$C$61:$M$120,5,FALSE)),"0")</f>
        <v>0</v>
      </c>
      <c r="FG66" s="192" t="str">
        <f>IF(AND($C66&lt;&gt;"",$S66&lt;&gt;""),(VLOOKUP($C66,'V-LOOKUP'!$C$61:$M$120,6,FALSE)),"0")</f>
        <v>0</v>
      </c>
      <c r="FH66" s="192" t="str">
        <f>IF(AND($C66&lt;&gt;"",$S66&lt;&gt;""),(VLOOKUP($C66,'V-LOOKUP'!$C$61:$M$120,7,FALSE)),"0")</f>
        <v>0</v>
      </c>
      <c r="FI66" s="192" t="str">
        <f>IF(AND($C66&lt;&gt;"",$S66&lt;&gt;""),(VLOOKUP($C66,'V-LOOKUP'!$C$61:$M$120,8,FALSE)),"0")</f>
        <v>0</v>
      </c>
      <c r="FJ66" s="192" t="str">
        <f>IF(AND($C66&lt;&gt;"",$S66&lt;&gt;""),(VLOOKUP($C66,'V-LOOKUP'!$C$61:$M$120,9,FALSE)),"0")</f>
        <v>0</v>
      </c>
      <c r="FK66" s="192" t="str">
        <f>IF(AND($C66&lt;&gt;"",$S66&lt;&gt;""),(VLOOKUP($C66,'V-LOOKUP'!$C$61:$M$120,10,FALSE)),"0")</f>
        <v>0</v>
      </c>
      <c r="FL66" s="192" t="str">
        <f>IF(AND($C66&lt;&gt;"",$S66&lt;&gt;""),(VLOOKUP($C66,'V-LOOKUP'!$C$61:$M$120,11,FALSE)),"0")</f>
        <v>0</v>
      </c>
      <c r="FM66" s="192" t="str">
        <f>IF(AND($C66&lt;&gt;"",$S66&lt;&gt;""),(VLOOKUP($C66,'V-LOOKUP'!$C$61:$N$120,12,FALSE)),"0")</f>
        <v>0</v>
      </c>
      <c r="FN66" s="192" t="str">
        <f>IF(AND($C66&lt;&gt;"",$T66&lt;&gt;""),(VLOOKUP($C66,'V-LOOKUP'!$C$61:$M$120,4,FALSE)),"0")</f>
        <v>0</v>
      </c>
      <c r="FO66" s="192" t="str">
        <f>IF(AND($C66&lt;&gt;"",$T66&lt;&gt;""),(VLOOKUP($C66,'V-LOOKUP'!$C$61:$M$120,5,FALSE)),"0")</f>
        <v>0</v>
      </c>
      <c r="FP66" s="192" t="str">
        <f>IF(AND($C66&lt;&gt;"",$T66&lt;&gt;""),(VLOOKUP($C66,'V-LOOKUP'!$C$61:$M$120,6,FALSE)),"0")</f>
        <v>0</v>
      </c>
      <c r="FQ66" s="192" t="str">
        <f>IF(AND($C66&lt;&gt;"",$T66&lt;&gt;""),(VLOOKUP($C66,'V-LOOKUP'!$C$61:$M$120,7,FALSE)),"0")</f>
        <v>0</v>
      </c>
      <c r="FR66" s="192" t="str">
        <f>IF(AND($C66&lt;&gt;"",$T66&lt;&gt;""),(VLOOKUP($C66,'V-LOOKUP'!$C$61:$M$120,8,FALSE)),"0")</f>
        <v>0</v>
      </c>
      <c r="FS66" s="192" t="str">
        <f>IF(AND($C66&lt;&gt;"",$T66&lt;&gt;""),(VLOOKUP($C66,'V-LOOKUP'!$C$61:$M$120,9,FALSE)),"0")</f>
        <v>0</v>
      </c>
      <c r="FT66" s="192" t="str">
        <f>IF(AND($C66&lt;&gt;"",$T66&lt;&gt;""),(VLOOKUP($C66,'V-LOOKUP'!$C$61:$M$120,10,FALSE)),"0")</f>
        <v>0</v>
      </c>
      <c r="FU66" s="192" t="str">
        <f>IF(AND($C66&lt;&gt;"",$T66&lt;&gt;""),(VLOOKUP($C66,'V-LOOKUP'!$C$61:$M$120,11,FALSE)),"0")</f>
        <v>0</v>
      </c>
      <c r="FV66" s="192" t="str">
        <f>IF(AND($C66&lt;&gt;"",$T66&lt;&gt;""),(VLOOKUP($C66,'V-LOOKUP'!$C$61:$N$120,12,FALSE)),"0")</f>
        <v>0</v>
      </c>
      <c r="FW66" s="192" t="str">
        <f>IF(AND($C66&lt;&gt;"",$U66&lt;&gt;""),(VLOOKUP($C66,'V-LOOKUP'!$C$61:$M$120,4,FALSE)),"0")</f>
        <v>0</v>
      </c>
      <c r="FX66" s="192" t="str">
        <f>IF(AND($C66&lt;&gt;"",$U66&lt;&gt;""),(VLOOKUP($C66,'V-LOOKUP'!$C$61:$M$120,5,FALSE)),"0")</f>
        <v>0</v>
      </c>
      <c r="FY66" s="192" t="str">
        <f>IF(AND($C66&lt;&gt;"",$U66&lt;&gt;""),(VLOOKUP($C66,'V-LOOKUP'!$C$61:$M$120,6,FALSE)),"0")</f>
        <v>0</v>
      </c>
      <c r="FZ66" s="192" t="str">
        <f>IF(AND($C66&lt;&gt;"",$U66&lt;&gt;""),(VLOOKUP($C66,'V-LOOKUP'!$C$61:$M$120,7,FALSE)),"0")</f>
        <v>0</v>
      </c>
      <c r="GA66" s="192" t="str">
        <f>IF(AND($C66&lt;&gt;"",$U66&lt;&gt;""),(VLOOKUP($C66,'V-LOOKUP'!$C$61:$M$120,8,FALSE)),"0")</f>
        <v>0</v>
      </c>
      <c r="GB66" s="192" t="str">
        <f>IF(AND($C66&lt;&gt;"",$U66&lt;&gt;""),(VLOOKUP($C66,'V-LOOKUP'!$C$61:$M$120,9,FALSE)),"0")</f>
        <v>0</v>
      </c>
      <c r="GC66" s="192" t="str">
        <f>IF(AND($C66&lt;&gt;"",$U66&lt;&gt;""),(VLOOKUP($C66,'V-LOOKUP'!$C$61:$M$120,10,FALSE)),"0")</f>
        <v>0</v>
      </c>
      <c r="GD66" s="192" t="str">
        <f>IF(AND($C66&lt;&gt;"",$U66&lt;&gt;""),(VLOOKUP($C66,'V-LOOKUP'!$C$61:$M$120,11,FALSE)),"0")</f>
        <v>0</v>
      </c>
      <c r="GE66" s="192" t="str">
        <f>IF(AND($C66&lt;&gt;"",$U66&lt;&gt;""),(VLOOKUP($C66,'V-LOOKUP'!$C$61:$N$120,12,FALSE)),"0")</f>
        <v>0</v>
      </c>
      <c r="GF66" s="192" t="str">
        <f>IF(AND($C66&lt;&gt;"",$V66&lt;&gt;""),(VLOOKUP($C66,'V-LOOKUP'!$C$61:$M$120,4,FALSE)),"0")</f>
        <v>0</v>
      </c>
      <c r="GG66" s="192" t="str">
        <f>IF(AND($C66&lt;&gt;"",V66&lt;&gt;""),(VLOOKUP($C66,'V-LOOKUP'!$C$61:$M$120,5,FALSE)),"0")</f>
        <v>0</v>
      </c>
      <c r="GH66" s="192" t="str">
        <f>IF(AND($C66&lt;&gt;"",$V66&lt;&gt;""),(VLOOKUP($C66,'V-LOOKUP'!$C$61:$M$120,6,FALSE)),"0")</f>
        <v>0</v>
      </c>
      <c r="GI66" s="192" t="str">
        <f>IF(AND($C66&lt;&gt;"",$V66&lt;&gt;""),(VLOOKUP($C66,'V-LOOKUP'!$C$61:$M$120,7,FALSE)),"0")</f>
        <v>0</v>
      </c>
      <c r="GJ66" s="192" t="str">
        <f>IF(AND($C66&lt;&gt;"",$V66&lt;&gt;""),(VLOOKUP($C66,'V-LOOKUP'!$C$61:$M$120,8,FALSE)),"0")</f>
        <v>0</v>
      </c>
      <c r="GK66" s="192" t="str">
        <f>IF(AND($C66&lt;&gt;"",$V66&lt;&gt;""),(VLOOKUP($C66,'V-LOOKUP'!$C$61:$M$120,9,FALSE)),"0")</f>
        <v>0</v>
      </c>
      <c r="GL66" s="192" t="str">
        <f>IF(AND($C66&lt;&gt;"",$V66&lt;&gt;""),(VLOOKUP($C66,'V-LOOKUP'!$C$61:$M$120,10,FALSE)),"0")</f>
        <v>0</v>
      </c>
      <c r="GM66" s="192" t="str">
        <f>IF(AND($C66&lt;&gt;"",$V66&lt;&gt;""),(VLOOKUP($C66,'V-LOOKUP'!$C$61:$M$120,11,FALSE)),"0")</f>
        <v>0</v>
      </c>
      <c r="GN66" s="192" t="str">
        <f>IF(AND($C66&lt;&gt;"",$V66&lt;&gt;""),(VLOOKUP($C66,'V-LOOKUP'!$C$61:$N$120,12,FALSE)),"0")</f>
        <v>0</v>
      </c>
      <c r="GO66" s="192" t="str">
        <f>IF(AND($C66&lt;&gt;"",$W66&lt;&gt;""),(VLOOKUP($C66,'V-LOOKUP'!$C$61:$M$120,4,FALSE)),"0")</f>
        <v>0</v>
      </c>
      <c r="GP66" s="192" t="str">
        <f>IF(AND($C66&lt;&gt;"",$W66&lt;&gt;""),(VLOOKUP($C66,'V-LOOKUP'!$C$61:$M$120,5,FALSE)),"0")</f>
        <v>0</v>
      </c>
      <c r="GQ66" s="192" t="str">
        <f>IF(AND($C66&lt;&gt;"",$W66&lt;&gt;""),(VLOOKUP($C66,'V-LOOKUP'!$C$61:$M$120,6,FALSE)),"0")</f>
        <v>0</v>
      </c>
      <c r="GR66" s="192" t="str">
        <f>IF(AND($C66&lt;&gt;"",$W66&lt;&gt;""),(VLOOKUP($C66,'V-LOOKUP'!$C$61:$M$120,7,FALSE)),"0")</f>
        <v>0</v>
      </c>
      <c r="GS66" s="192" t="str">
        <f>IF(AND($C66&lt;&gt;"",$W66&lt;&gt;""),(VLOOKUP($C66,'V-LOOKUP'!$C$61:$M$120,8,FALSE)),"0")</f>
        <v>0</v>
      </c>
      <c r="GT66" s="192" t="str">
        <f>IF(AND($C66&lt;&gt;"",$W66&lt;&gt;""),(VLOOKUP($C66,'V-LOOKUP'!$C$61:$M$120,9,FALSE)),"0")</f>
        <v>0</v>
      </c>
      <c r="GU66" s="192" t="str">
        <f>IF(AND($C66&lt;&gt;"",$W66&lt;&gt;""),(VLOOKUP($C66,'V-LOOKUP'!$C$61:$M$120,10,FALSE)),"0")</f>
        <v>0</v>
      </c>
      <c r="GV66" s="192" t="str">
        <f>IF(AND($C66&lt;&gt;"",$W66&lt;&gt;""),(VLOOKUP($C66,'V-LOOKUP'!$C$61:$M$120,11,FALSE)),"0")</f>
        <v>0</v>
      </c>
      <c r="GW66" s="192" t="str">
        <f>IF(AND($C66&lt;&gt;"",$W66&lt;&gt;""),(VLOOKUP($C66,'V-LOOKUP'!$C$61:$N$120,12,FALSE)),"0")</f>
        <v>0</v>
      </c>
    </row>
    <row r="67" spans="1:205" ht="6" customHeight="1">
      <c r="A67" s="193"/>
      <c r="B67" s="247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9"/>
      <c r="Y67" s="190" t="s">
        <v>34</v>
      </c>
      <c r="Z67" s="191">
        <f>SUM(Z37:Z66)</f>
        <v>0</v>
      </c>
      <c r="AA67" s="191">
        <f t="shared" ref="AA67:CT67" si="11">SUM(AA37:AA66)</f>
        <v>0</v>
      </c>
      <c r="AB67" s="191">
        <f t="shared" si="11"/>
        <v>0</v>
      </c>
      <c r="AC67" s="191">
        <f t="shared" si="11"/>
        <v>0</v>
      </c>
      <c r="AD67" s="191">
        <f t="shared" si="11"/>
        <v>0</v>
      </c>
      <c r="AE67" s="191">
        <f t="shared" si="11"/>
        <v>0</v>
      </c>
      <c r="AF67" s="191">
        <f t="shared" si="11"/>
        <v>0</v>
      </c>
      <c r="AG67" s="191">
        <f t="shared" si="11"/>
        <v>0</v>
      </c>
      <c r="AH67" s="191">
        <f t="shared" ref="AH67" si="12">SUM(AH37:AH66)</f>
        <v>0</v>
      </c>
      <c r="AI67" s="191">
        <f t="shared" si="11"/>
        <v>0</v>
      </c>
      <c r="AJ67" s="191">
        <f t="shared" si="11"/>
        <v>0</v>
      </c>
      <c r="AK67" s="191">
        <f t="shared" si="11"/>
        <v>0</v>
      </c>
      <c r="AL67" s="191">
        <f t="shared" si="11"/>
        <v>0</v>
      </c>
      <c r="AM67" s="191">
        <f t="shared" si="11"/>
        <v>0</v>
      </c>
      <c r="AN67" s="191">
        <f t="shared" si="11"/>
        <v>0</v>
      </c>
      <c r="AO67" s="191">
        <f t="shared" si="11"/>
        <v>0</v>
      </c>
      <c r="AP67" s="191">
        <f t="shared" si="11"/>
        <v>0</v>
      </c>
      <c r="AQ67" s="191">
        <f t="shared" si="11"/>
        <v>0</v>
      </c>
      <c r="AR67" s="191">
        <f t="shared" si="11"/>
        <v>0</v>
      </c>
      <c r="AS67" s="191">
        <f t="shared" si="11"/>
        <v>0</v>
      </c>
      <c r="AT67" s="191">
        <f t="shared" si="11"/>
        <v>0</v>
      </c>
      <c r="AU67" s="191">
        <f t="shared" si="11"/>
        <v>0</v>
      </c>
      <c r="AV67" s="191">
        <f t="shared" si="11"/>
        <v>0</v>
      </c>
      <c r="AW67" s="191">
        <f t="shared" si="11"/>
        <v>0</v>
      </c>
      <c r="AX67" s="191">
        <f t="shared" si="11"/>
        <v>0</v>
      </c>
      <c r="AY67" s="191">
        <f t="shared" si="11"/>
        <v>0</v>
      </c>
      <c r="AZ67" s="191">
        <f t="shared" ref="AZ67" si="13">SUM(AZ37:AZ66)</f>
        <v>0</v>
      </c>
      <c r="BA67" s="191">
        <f t="shared" si="11"/>
        <v>0</v>
      </c>
      <c r="BB67" s="191">
        <f t="shared" si="11"/>
        <v>0</v>
      </c>
      <c r="BC67" s="191">
        <f t="shared" si="11"/>
        <v>0</v>
      </c>
      <c r="BD67" s="191">
        <f t="shared" si="11"/>
        <v>0</v>
      </c>
      <c r="BE67" s="191">
        <f t="shared" si="11"/>
        <v>0</v>
      </c>
      <c r="BF67" s="191">
        <f t="shared" si="11"/>
        <v>0</v>
      </c>
      <c r="BG67" s="191">
        <f t="shared" si="11"/>
        <v>0</v>
      </c>
      <c r="BH67" s="191">
        <f t="shared" si="11"/>
        <v>0</v>
      </c>
      <c r="BI67" s="191">
        <f t="shared" ref="BI67" si="14">SUM(BI37:BI66)</f>
        <v>0</v>
      </c>
      <c r="BJ67" s="191">
        <f t="shared" si="11"/>
        <v>0</v>
      </c>
      <c r="BK67" s="191">
        <f t="shared" si="11"/>
        <v>0</v>
      </c>
      <c r="BL67" s="191">
        <f t="shared" si="11"/>
        <v>0</v>
      </c>
      <c r="BM67" s="191">
        <f t="shared" si="11"/>
        <v>0</v>
      </c>
      <c r="BN67" s="191">
        <f t="shared" si="11"/>
        <v>0</v>
      </c>
      <c r="BO67" s="191">
        <f t="shared" si="11"/>
        <v>0</v>
      </c>
      <c r="BP67" s="191">
        <f t="shared" si="11"/>
        <v>0</v>
      </c>
      <c r="BQ67" s="191">
        <f t="shared" si="11"/>
        <v>0</v>
      </c>
      <c r="BR67" s="191">
        <f t="shared" si="11"/>
        <v>0</v>
      </c>
      <c r="BS67" s="191">
        <f t="shared" si="11"/>
        <v>0</v>
      </c>
      <c r="BT67" s="191">
        <f t="shared" si="11"/>
        <v>0</v>
      </c>
      <c r="BU67" s="191">
        <f t="shared" si="11"/>
        <v>0</v>
      </c>
      <c r="BV67" s="191">
        <f t="shared" si="11"/>
        <v>0</v>
      </c>
      <c r="BW67" s="191">
        <f t="shared" si="11"/>
        <v>0</v>
      </c>
      <c r="BX67" s="191">
        <f t="shared" si="11"/>
        <v>0</v>
      </c>
      <c r="BY67" s="191">
        <f t="shared" si="11"/>
        <v>0</v>
      </c>
      <c r="BZ67" s="191">
        <f t="shared" si="11"/>
        <v>0</v>
      </c>
      <c r="CA67" s="191">
        <f t="shared" ref="CA67" si="15">SUM(CA37:CA66)</f>
        <v>0</v>
      </c>
      <c r="CB67" s="191">
        <f t="shared" si="11"/>
        <v>0</v>
      </c>
      <c r="CC67" s="191">
        <f t="shared" si="11"/>
        <v>0</v>
      </c>
      <c r="CD67" s="191">
        <f t="shared" si="11"/>
        <v>0</v>
      </c>
      <c r="CE67" s="191">
        <f t="shared" si="11"/>
        <v>0</v>
      </c>
      <c r="CF67" s="191">
        <f t="shared" si="11"/>
        <v>0</v>
      </c>
      <c r="CG67" s="191">
        <f t="shared" si="11"/>
        <v>0</v>
      </c>
      <c r="CH67" s="191">
        <f t="shared" si="11"/>
        <v>0</v>
      </c>
      <c r="CI67" s="191">
        <f t="shared" si="11"/>
        <v>0</v>
      </c>
      <c r="CJ67" s="191">
        <f t="shared" ref="CJ67" si="16">SUM(CJ37:CJ66)</f>
        <v>0</v>
      </c>
      <c r="CK67" s="191">
        <f t="shared" si="11"/>
        <v>0</v>
      </c>
      <c r="CL67" s="191">
        <f t="shared" si="11"/>
        <v>0</v>
      </c>
      <c r="CM67" s="191">
        <f t="shared" si="11"/>
        <v>0</v>
      </c>
      <c r="CN67" s="191">
        <f t="shared" si="11"/>
        <v>0</v>
      </c>
      <c r="CO67" s="191">
        <f t="shared" si="11"/>
        <v>0</v>
      </c>
      <c r="CP67" s="191">
        <f t="shared" si="11"/>
        <v>0</v>
      </c>
      <c r="CQ67" s="191">
        <f t="shared" si="11"/>
        <v>0</v>
      </c>
      <c r="CR67" s="191">
        <f t="shared" si="11"/>
        <v>0</v>
      </c>
      <c r="CS67" s="191">
        <f t="shared" ref="CS67" si="17">SUM(CS37:CS66)</f>
        <v>0</v>
      </c>
      <c r="CT67" s="191">
        <f t="shared" si="11"/>
        <v>0</v>
      </c>
      <c r="CU67" s="191">
        <f t="shared" ref="CU67:DK67" si="18">SUM(CU37:CU66)</f>
        <v>0</v>
      </c>
      <c r="CV67" s="191">
        <f t="shared" si="18"/>
        <v>0</v>
      </c>
      <c r="CW67" s="191">
        <f t="shared" si="18"/>
        <v>0</v>
      </c>
      <c r="CX67" s="191">
        <f t="shared" si="18"/>
        <v>0</v>
      </c>
      <c r="CY67" s="191">
        <f t="shared" si="18"/>
        <v>0</v>
      </c>
      <c r="CZ67" s="191">
        <f t="shared" si="18"/>
        <v>0</v>
      </c>
      <c r="DA67" s="191">
        <f t="shared" si="18"/>
        <v>0</v>
      </c>
      <c r="DB67" s="191">
        <f t="shared" si="18"/>
        <v>0</v>
      </c>
      <c r="DC67" s="191">
        <f t="shared" si="18"/>
        <v>0</v>
      </c>
      <c r="DD67" s="191">
        <f t="shared" si="18"/>
        <v>0</v>
      </c>
      <c r="DE67" s="191">
        <f t="shared" si="18"/>
        <v>0</v>
      </c>
      <c r="DF67" s="191">
        <f t="shared" si="18"/>
        <v>0</v>
      </c>
      <c r="DG67" s="191">
        <f t="shared" si="18"/>
        <v>0</v>
      </c>
      <c r="DH67" s="191">
        <f t="shared" si="18"/>
        <v>0</v>
      </c>
      <c r="DI67" s="191">
        <f t="shared" si="18"/>
        <v>0</v>
      </c>
      <c r="DJ67" s="191">
        <f t="shared" si="18"/>
        <v>0</v>
      </c>
      <c r="DK67" s="191">
        <f t="shared" si="18"/>
        <v>0</v>
      </c>
      <c r="DL67" s="191">
        <f>SUM(DL37:DL66)</f>
        <v>0</v>
      </c>
      <c r="DM67" s="191">
        <f t="shared" ref="DM67:GD67" si="19">SUM(DM37:DM66)</f>
        <v>0</v>
      </c>
      <c r="DN67" s="191">
        <f t="shared" si="19"/>
        <v>0</v>
      </c>
      <c r="DO67" s="191">
        <f t="shared" si="19"/>
        <v>0</v>
      </c>
      <c r="DP67" s="191">
        <f t="shared" si="19"/>
        <v>0</v>
      </c>
      <c r="DQ67" s="191">
        <f t="shared" si="19"/>
        <v>0</v>
      </c>
      <c r="DR67" s="191">
        <f t="shared" si="19"/>
        <v>0</v>
      </c>
      <c r="DS67" s="191">
        <f t="shared" si="19"/>
        <v>0</v>
      </c>
      <c r="DT67" s="191">
        <f t="shared" si="19"/>
        <v>0</v>
      </c>
      <c r="DU67" s="191">
        <f t="shared" si="19"/>
        <v>0</v>
      </c>
      <c r="DV67" s="191">
        <f t="shared" si="19"/>
        <v>0</v>
      </c>
      <c r="DW67" s="191">
        <f t="shared" si="19"/>
        <v>0</v>
      </c>
      <c r="DX67" s="191">
        <f t="shared" si="19"/>
        <v>0</v>
      </c>
      <c r="DY67" s="191">
        <f t="shared" si="19"/>
        <v>0</v>
      </c>
      <c r="DZ67" s="191">
        <f t="shared" si="19"/>
        <v>0</v>
      </c>
      <c r="EA67" s="191">
        <f t="shared" si="19"/>
        <v>0</v>
      </c>
      <c r="EB67" s="191">
        <f t="shared" si="19"/>
        <v>0</v>
      </c>
      <c r="EC67" s="191">
        <f t="shared" si="19"/>
        <v>0</v>
      </c>
      <c r="ED67" s="218">
        <f t="shared" si="19"/>
        <v>0</v>
      </c>
      <c r="EE67" s="218">
        <f t="shared" si="19"/>
        <v>0</v>
      </c>
      <c r="EF67" s="218">
        <f t="shared" si="19"/>
        <v>0</v>
      </c>
      <c r="EG67" s="218">
        <f t="shared" si="19"/>
        <v>0</v>
      </c>
      <c r="EH67" s="218">
        <f t="shared" si="19"/>
        <v>0</v>
      </c>
      <c r="EI67" s="218">
        <f t="shared" si="19"/>
        <v>0</v>
      </c>
      <c r="EJ67" s="218">
        <f t="shared" si="19"/>
        <v>0</v>
      </c>
      <c r="EK67" s="218">
        <f t="shared" si="19"/>
        <v>0</v>
      </c>
      <c r="EL67" s="191">
        <f t="shared" si="19"/>
        <v>0</v>
      </c>
      <c r="EM67" s="218">
        <f t="shared" si="19"/>
        <v>0</v>
      </c>
      <c r="EN67" s="218">
        <f t="shared" si="19"/>
        <v>0</v>
      </c>
      <c r="EO67" s="218">
        <f t="shared" si="19"/>
        <v>0</v>
      </c>
      <c r="EP67" s="218">
        <f t="shared" si="19"/>
        <v>0</v>
      </c>
      <c r="EQ67" s="218">
        <f t="shared" si="19"/>
        <v>0</v>
      </c>
      <c r="ER67" s="218">
        <f t="shared" si="19"/>
        <v>0</v>
      </c>
      <c r="ES67" s="218">
        <f t="shared" si="19"/>
        <v>0</v>
      </c>
      <c r="ET67" s="218">
        <f t="shared" si="19"/>
        <v>0</v>
      </c>
      <c r="EU67" s="191">
        <f t="shared" si="19"/>
        <v>0</v>
      </c>
      <c r="EV67" s="218">
        <f t="shared" si="19"/>
        <v>0</v>
      </c>
      <c r="EW67" s="218">
        <f t="shared" si="19"/>
        <v>0</v>
      </c>
      <c r="EX67" s="218">
        <f t="shared" si="19"/>
        <v>0</v>
      </c>
      <c r="EY67" s="218">
        <f t="shared" si="19"/>
        <v>0</v>
      </c>
      <c r="EZ67" s="218">
        <f t="shared" si="19"/>
        <v>0</v>
      </c>
      <c r="FA67" s="218">
        <f t="shared" si="19"/>
        <v>0</v>
      </c>
      <c r="FB67" s="218">
        <f t="shared" si="19"/>
        <v>0</v>
      </c>
      <c r="FC67" s="218">
        <f t="shared" si="19"/>
        <v>0</v>
      </c>
      <c r="FD67" s="191">
        <f t="shared" si="19"/>
        <v>0</v>
      </c>
      <c r="FE67" s="218">
        <f t="shared" si="19"/>
        <v>0</v>
      </c>
      <c r="FF67" s="218">
        <f t="shared" si="19"/>
        <v>0</v>
      </c>
      <c r="FG67" s="218">
        <f t="shared" si="19"/>
        <v>0</v>
      </c>
      <c r="FH67" s="218">
        <f t="shared" si="19"/>
        <v>0</v>
      </c>
      <c r="FI67" s="218">
        <f t="shared" si="19"/>
        <v>0</v>
      </c>
      <c r="FJ67" s="218">
        <f t="shared" si="19"/>
        <v>0</v>
      </c>
      <c r="FK67" s="218">
        <f t="shared" si="19"/>
        <v>0</v>
      </c>
      <c r="FL67" s="218">
        <f t="shared" si="19"/>
        <v>0</v>
      </c>
      <c r="FM67" s="191">
        <f t="shared" si="19"/>
        <v>0</v>
      </c>
      <c r="FN67" s="218">
        <f t="shared" si="19"/>
        <v>0</v>
      </c>
      <c r="FO67" s="218">
        <f t="shared" si="19"/>
        <v>0</v>
      </c>
      <c r="FP67" s="218">
        <f t="shared" si="19"/>
        <v>0</v>
      </c>
      <c r="FQ67" s="218">
        <f t="shared" si="19"/>
        <v>0</v>
      </c>
      <c r="FR67" s="218">
        <f t="shared" si="19"/>
        <v>0</v>
      </c>
      <c r="FS67" s="218">
        <f t="shared" si="19"/>
        <v>0</v>
      </c>
      <c r="FT67" s="218">
        <f t="shared" si="19"/>
        <v>0</v>
      </c>
      <c r="FU67" s="218">
        <f t="shared" si="19"/>
        <v>0</v>
      </c>
      <c r="FV67" s="191">
        <f t="shared" si="19"/>
        <v>0</v>
      </c>
      <c r="FW67" s="218">
        <f t="shared" si="19"/>
        <v>0</v>
      </c>
      <c r="FX67" s="218">
        <f t="shared" si="19"/>
        <v>0</v>
      </c>
      <c r="FY67" s="218">
        <f t="shared" si="19"/>
        <v>0</v>
      </c>
      <c r="FZ67" s="218">
        <f t="shared" si="19"/>
        <v>0</v>
      </c>
      <c r="GA67" s="218">
        <f t="shared" si="19"/>
        <v>0</v>
      </c>
      <c r="GB67" s="218">
        <f t="shared" si="19"/>
        <v>0</v>
      </c>
      <c r="GC67" s="218">
        <f t="shared" si="19"/>
        <v>0</v>
      </c>
      <c r="GD67" s="218">
        <f t="shared" si="19"/>
        <v>0</v>
      </c>
      <c r="GE67" s="191">
        <f t="shared" ref="GE67" si="20">SUM(GE37:GE66)</f>
        <v>0</v>
      </c>
      <c r="GF67" s="218">
        <f t="shared" ref="GF67:GW67" si="21">SUM(GF37:GF66)</f>
        <v>0</v>
      </c>
      <c r="GG67" s="218">
        <f t="shared" si="21"/>
        <v>0</v>
      </c>
      <c r="GH67" s="218">
        <f t="shared" si="21"/>
        <v>0</v>
      </c>
      <c r="GI67" s="218">
        <f t="shared" si="21"/>
        <v>0</v>
      </c>
      <c r="GJ67" s="218">
        <f t="shared" si="21"/>
        <v>0</v>
      </c>
      <c r="GK67" s="218">
        <f t="shared" si="21"/>
        <v>0</v>
      </c>
      <c r="GL67" s="218">
        <f t="shared" si="21"/>
        <v>0</v>
      </c>
      <c r="GM67" s="218">
        <f t="shared" si="21"/>
        <v>0</v>
      </c>
      <c r="GN67" s="191">
        <f t="shared" si="21"/>
        <v>0</v>
      </c>
      <c r="GO67" s="218">
        <f t="shared" si="21"/>
        <v>0</v>
      </c>
      <c r="GP67" s="218">
        <f t="shared" si="21"/>
        <v>0</v>
      </c>
      <c r="GQ67" s="218">
        <f t="shared" si="21"/>
        <v>0</v>
      </c>
      <c r="GR67" s="218">
        <f t="shared" si="21"/>
        <v>0</v>
      </c>
      <c r="GS67" s="218">
        <f t="shared" si="21"/>
        <v>0</v>
      </c>
      <c r="GT67" s="218">
        <f t="shared" si="21"/>
        <v>0</v>
      </c>
      <c r="GU67" s="218">
        <f t="shared" si="21"/>
        <v>0</v>
      </c>
      <c r="GV67" s="218">
        <f t="shared" si="21"/>
        <v>0</v>
      </c>
      <c r="GW67" s="191">
        <f t="shared" si="21"/>
        <v>0</v>
      </c>
    </row>
    <row r="68" spans="1:205" ht="14.65" customHeight="1">
      <c r="A68" s="193"/>
      <c r="B68" s="244" t="s">
        <v>36</v>
      </c>
      <c r="C68" s="203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Y68" s="190" t="s">
        <v>36</v>
      </c>
      <c r="Z68" s="192" t="str">
        <f>IF(AND($C68&lt;&gt;"",$D68&lt;&gt;""),(VLOOKUP($C68,'V-LOOKUP'!$C$122:$M$150,4,FALSE)),"0")</f>
        <v>0</v>
      </c>
      <c r="AA68" s="192" t="str">
        <f>IF(AND($C68&lt;&gt;"",$D68&lt;&gt;""),(VLOOKUP($C68,'V-LOOKUP'!$C$122:$M$150,5,FALSE)),"0")</f>
        <v>0</v>
      </c>
      <c r="AB68" s="192" t="str">
        <f>IF(AND($C68&lt;&gt;"",$D68&lt;&gt;""),(VLOOKUP($C68,'V-LOOKUP'!$C$122:$M$150,6,FALSE)),"0")</f>
        <v>0</v>
      </c>
      <c r="AC68" s="192" t="str">
        <f>IF(AND($C68&lt;&gt;"",$D68&lt;&gt;""),(VLOOKUP($C68,'V-LOOKUP'!$C$122:$M$150,7,FALSE)),"0")</f>
        <v>0</v>
      </c>
      <c r="AD68" s="192" t="str">
        <f>IF(AND($C68&lt;&gt;"",$D68&lt;&gt;""),(VLOOKUP($C68,'V-LOOKUP'!$C$122:$M$150,8,FALSE)),"0")</f>
        <v>0</v>
      </c>
      <c r="AE68" s="192" t="str">
        <f>IF(AND($C68&lt;&gt;"",$D68&lt;&gt;""),(VLOOKUP($C68,'V-LOOKUP'!$C$122:$M$150,9,FALSE)),"0")</f>
        <v>0</v>
      </c>
      <c r="AF68" s="192" t="str">
        <f>IF(AND($C68&lt;&gt;"",$D68&lt;&gt;""),(VLOOKUP($C68,'V-LOOKUP'!$C$122:$M$150,10,FALSE)),"0")</f>
        <v>0</v>
      </c>
      <c r="AG68" s="192" t="str">
        <f>IF(AND($C68&lt;&gt;"",$D68&lt;&gt;""),(VLOOKUP($C68,'V-LOOKUP'!$C$122:$M$150,11,FALSE)),"0")</f>
        <v>0</v>
      </c>
      <c r="AH68" s="192" t="str">
        <f>IF(AND($C68&lt;&gt;"",$D68&lt;&gt;""),(VLOOKUP($C68,'V-LOOKUP'!$C$122:$N$150,12,FALSE)),"0")</f>
        <v>0</v>
      </c>
      <c r="AI68" s="192" t="str">
        <f>IF(AND($C68&lt;&gt;"",$E68&lt;&gt;""),(VLOOKUP($C68,'V-LOOKUP'!$C$122:$M$150,4,FALSE)),"0")</f>
        <v>0</v>
      </c>
      <c r="AJ68" s="192" t="str">
        <f>IF(AND($C68&lt;&gt;"",$E68&lt;&gt;""),(VLOOKUP($C68,'V-LOOKUP'!$C$122:$M$150,5,FALSE)),"0")</f>
        <v>0</v>
      </c>
      <c r="AK68" s="192" t="str">
        <f>IF(AND($C68&lt;&gt;"",$E68&lt;&gt;""),(VLOOKUP($C68,'V-LOOKUP'!$C$122:$M$150,6,FALSE)),"0")</f>
        <v>0</v>
      </c>
      <c r="AL68" s="192" t="str">
        <f>IF(AND($C68&lt;&gt;"",$E68&lt;&gt;""),(VLOOKUP($C68,'V-LOOKUP'!$C$122:$M$150,7,FALSE)),"0")</f>
        <v>0</v>
      </c>
      <c r="AM68" s="192" t="str">
        <f>IF(AND($C68&lt;&gt;"",$E68&lt;&gt;""),(VLOOKUP($C68,'V-LOOKUP'!$C$122:$M$150,8,FALSE)),"0")</f>
        <v>0</v>
      </c>
      <c r="AN68" s="192" t="str">
        <f>IF(AND($C68&lt;&gt;"",$E68&lt;&gt;""),(VLOOKUP($C68,'V-LOOKUP'!$C$122:$M$150,9,FALSE)),"0")</f>
        <v>0</v>
      </c>
      <c r="AO68" s="192" t="str">
        <f>IF(AND($C68&lt;&gt;"",$E68&lt;&gt;""),(VLOOKUP($C68,'V-LOOKUP'!$C$122:$M$150,10,FALSE)),"0")</f>
        <v>0</v>
      </c>
      <c r="AP68" s="192" t="str">
        <f>IF(AND($C68&lt;&gt;"",$E68&lt;&gt;""),(VLOOKUP($C68,'V-LOOKUP'!$C$122:$M$150,11,FALSE)),"0")</f>
        <v>0</v>
      </c>
      <c r="AQ68" s="192" t="str">
        <f>IF(AND($C68&lt;&gt;"",$D68&lt;&gt;""),(VLOOKUP($C68,'V-LOOKUP'!$C$122:$N$150,12,FALSE)),"0")</f>
        <v>0</v>
      </c>
      <c r="AR68" s="192" t="str">
        <f>IF(AND($C68&lt;&gt;"",$F68&lt;&gt;""),(VLOOKUP($C68,'V-LOOKUP'!$C$122:$M$150,4,FALSE)),"0")</f>
        <v>0</v>
      </c>
      <c r="AS68" s="192" t="str">
        <f>IF(AND($C68&lt;&gt;"",$F68&lt;&gt;""),(VLOOKUP($C68,'V-LOOKUP'!$C$122:$M$150,5,FALSE)),"0")</f>
        <v>0</v>
      </c>
      <c r="AT68" s="192" t="str">
        <f>IF(AND($C68&lt;&gt;"",$F68&lt;&gt;""),(VLOOKUP($C68,'V-LOOKUP'!$C$122:$M$150,6,FALSE)),"0")</f>
        <v>0</v>
      </c>
      <c r="AU68" s="192" t="str">
        <f>IF(AND($C68&lt;&gt;"",$F68&lt;&gt;""),(VLOOKUP($C68,'V-LOOKUP'!$C$122:$M$150,7,FALSE)),"0")</f>
        <v>0</v>
      </c>
      <c r="AV68" s="192" t="str">
        <f>IF(AND($C68&lt;&gt;"",$F68&lt;&gt;""),(VLOOKUP($C68,'V-LOOKUP'!$C$122:$M$150,8,FALSE)),"0")</f>
        <v>0</v>
      </c>
      <c r="AW68" s="192" t="str">
        <f>IF(AND($C68&lt;&gt;"",$F68&lt;&gt;""),(VLOOKUP($C68,'V-LOOKUP'!$C$122:$M$150,9,FALSE)),"0")</f>
        <v>0</v>
      </c>
      <c r="AX68" s="192" t="str">
        <f>IF(AND($C68&lt;&gt;"",$F68&lt;&gt;""),(VLOOKUP($C68,'V-LOOKUP'!$C$122:$M$150,10,FALSE)),"0")</f>
        <v>0</v>
      </c>
      <c r="AY68" s="192" t="str">
        <f>IF(AND($C68&lt;&gt;"",$F68&lt;&gt;""),(VLOOKUP($C68,'V-LOOKUP'!$C$122:$M$150,11,FALSE)),"0")</f>
        <v>0</v>
      </c>
      <c r="AZ68" s="192" t="str">
        <f>IF(AND($C68&lt;&gt;"",$D68&lt;&gt;""),(VLOOKUP($C68,'V-LOOKUP'!$C$122:$N$150,12,FALSE)),"0")</f>
        <v>0</v>
      </c>
      <c r="BA68" s="192" t="str">
        <f>IF(AND($C68&lt;&gt;"",$G68&lt;&gt;""),(VLOOKUP($C68,'V-LOOKUP'!$C$122:$M$150,4,FALSE)),"0")</f>
        <v>0</v>
      </c>
      <c r="BB68" s="192" t="str">
        <f>IF(AND($C68&lt;&gt;"",$G68&lt;&gt;""),(VLOOKUP($C68,'V-LOOKUP'!$C$122:$M$150,5,FALSE)),"0")</f>
        <v>0</v>
      </c>
      <c r="BC68" s="192" t="str">
        <f>IF(AND($C68&lt;&gt;"",$G68&lt;&gt;""),(VLOOKUP($C68,'V-LOOKUP'!$C$122:$M$150,6,FALSE)),"0")</f>
        <v>0</v>
      </c>
      <c r="BD68" s="192" t="str">
        <f>IF(AND($C68&lt;&gt;"",$G68&lt;&gt;""),(VLOOKUP($C68,'V-LOOKUP'!$C$122:$M$150,7,FALSE)),"0")</f>
        <v>0</v>
      </c>
      <c r="BE68" s="192" t="str">
        <f>IF(AND($C68&lt;&gt;"",$G68&lt;&gt;""),(VLOOKUP($C68,'V-LOOKUP'!$C$122:$M$150,8,FALSE)),"0")</f>
        <v>0</v>
      </c>
      <c r="BF68" s="192" t="str">
        <f>IF(AND($C68&lt;&gt;"",$G68&lt;&gt;""),(VLOOKUP($C68,'V-LOOKUP'!$C$122:$M$150,9,FALSE)),"0")</f>
        <v>0</v>
      </c>
      <c r="BG68" s="192" t="str">
        <f>IF(AND($C68&lt;&gt;"",$G68&lt;&gt;""),(VLOOKUP($C68,'V-LOOKUP'!$C$122:$M$150,10,FALSE)),"0")</f>
        <v>0</v>
      </c>
      <c r="BH68" s="192" t="str">
        <f>IF(AND($C68&lt;&gt;"",$G68&lt;&gt;""),(VLOOKUP($C68,'V-LOOKUP'!$C$122:$M$150,11,FALSE)),"0")</f>
        <v>0</v>
      </c>
      <c r="BI68" s="192" t="str">
        <f>IF(AND($C68&lt;&gt;"",$D68&lt;&gt;""),(VLOOKUP($C68,'V-LOOKUP'!$C$122:$N$150,12,FALSE)),"0")</f>
        <v>0</v>
      </c>
      <c r="BJ68" s="192" t="str">
        <f>IF(AND($C68&lt;&gt;"",$H68&lt;&gt;""),(VLOOKUP($C68,'V-LOOKUP'!$C$122:$M$150,4,FALSE)),"0")</f>
        <v>0</v>
      </c>
      <c r="BK68" s="192" t="str">
        <f>IF(AND($C68&lt;&gt;"",$H68&lt;&gt;""),(VLOOKUP($C68,'V-LOOKUP'!$C$122:$M$150,5,FALSE)),"0")</f>
        <v>0</v>
      </c>
      <c r="BL68" s="192" t="str">
        <f>IF(AND($C68&lt;&gt;"",$H68&lt;&gt;""),(VLOOKUP($C68,'V-LOOKUP'!$C$122:$M$150,6,FALSE)),"0")</f>
        <v>0</v>
      </c>
      <c r="BM68" s="192" t="str">
        <f>IF(AND($C68&lt;&gt;"",$H68&lt;&gt;""),(VLOOKUP($C68,'V-LOOKUP'!$C$122:$M$150,7,FALSE)),"0")</f>
        <v>0</v>
      </c>
      <c r="BN68" s="192" t="str">
        <f>IF(AND($C68&lt;&gt;"",$H68&lt;&gt;""),(VLOOKUP($C68,'V-LOOKUP'!$C$122:$M$150,8,FALSE)),"0")</f>
        <v>0</v>
      </c>
      <c r="BO68" s="192" t="str">
        <f>IF(AND($C68&lt;&gt;"",$H68&lt;&gt;""),(VLOOKUP($C68,'V-LOOKUP'!$C$122:$M$150,9,FALSE)),"0")</f>
        <v>0</v>
      </c>
      <c r="BP68" s="192" t="str">
        <f>IF(AND($C68&lt;&gt;"",$H68&lt;&gt;""),(VLOOKUP($C68,'V-LOOKUP'!$C$122:$M$150,10,FALSE)),"0")</f>
        <v>0</v>
      </c>
      <c r="BQ68" s="192" t="str">
        <f>IF(AND($C68&lt;&gt;"",$H68&lt;&gt;""),(VLOOKUP($C68,'V-LOOKUP'!$C$122:$M$150,11,FALSE)),"0")</f>
        <v>0</v>
      </c>
      <c r="BR68" s="192" t="str">
        <f>IF(AND($C68&lt;&gt;"",$D68&lt;&gt;""),(VLOOKUP($C68,'V-LOOKUP'!$C$122:$N$150,12,FALSE)),"0")</f>
        <v>0</v>
      </c>
      <c r="BS68" s="192" t="str">
        <f>IF(AND($C68&lt;&gt;"",$I68&lt;&gt;""),(VLOOKUP($C68,'V-LOOKUP'!$C$122:$M$150,4,FALSE)),"0")</f>
        <v>0</v>
      </c>
      <c r="BT68" s="192" t="str">
        <f>IF(AND($C68&lt;&gt;"",$I68&lt;&gt;""),(VLOOKUP($C68,'V-LOOKUP'!$C$122:$M$150,5,FALSE)),"0")</f>
        <v>0</v>
      </c>
      <c r="BU68" s="192" t="str">
        <f>IF(AND($C68&lt;&gt;"",$I68&lt;&gt;""),(VLOOKUP($C68,'V-LOOKUP'!$C$122:$M$150,6,FALSE)),"0")</f>
        <v>0</v>
      </c>
      <c r="BV68" s="192" t="str">
        <f>IF(AND($C68&lt;&gt;"",$I68&lt;&gt;""),(VLOOKUP($C68,'V-LOOKUP'!$C$122:$M$150,7,FALSE)),"0")</f>
        <v>0</v>
      </c>
      <c r="BW68" s="192" t="str">
        <f>IF(AND($C68&lt;&gt;"",$I68&lt;&gt;""),(VLOOKUP($C68,'V-LOOKUP'!$C$122:$M$150,8,FALSE)),"0")</f>
        <v>0</v>
      </c>
      <c r="BX68" s="192" t="str">
        <f>IF(AND($C68&lt;&gt;"",$I68&lt;&gt;""),(VLOOKUP($C68,'V-LOOKUP'!$C$122:$M$150,9,FALSE)),"0")</f>
        <v>0</v>
      </c>
      <c r="BY68" s="192" t="str">
        <f>IF(AND($C68&lt;&gt;"",$I68&lt;&gt;""),(VLOOKUP($C68,'V-LOOKUP'!$C$122:$M$150,10,FALSE)),"0")</f>
        <v>0</v>
      </c>
      <c r="BZ68" s="192" t="str">
        <f>IF(AND($C68&lt;&gt;"",$I68&lt;&gt;""),(VLOOKUP($C68,'V-LOOKUP'!$C$122:$M$150,11,FALSE)),"0")</f>
        <v>0</v>
      </c>
      <c r="CA68" s="192" t="str">
        <f>IF(AND($C68&lt;&gt;"",$D68&lt;&gt;""),(VLOOKUP($C68,'V-LOOKUP'!$C$122:$N$150,12,FALSE)),"0")</f>
        <v>0</v>
      </c>
      <c r="CB68" s="192" t="str">
        <f>IF(AND($C68&lt;&gt;"",$J68&lt;&gt;""),(VLOOKUP($C68,'V-LOOKUP'!$C$122:$M$150,4,FALSE)),"0")</f>
        <v>0</v>
      </c>
      <c r="CC68" s="192" t="str">
        <f>IF(AND($C68&lt;&gt;"",$J68&lt;&gt;""),(VLOOKUP($C68,'V-LOOKUP'!$C$122:$M$150,5,FALSE)),"0")</f>
        <v>0</v>
      </c>
      <c r="CD68" s="192" t="str">
        <f>IF(AND($C68&lt;&gt;"",$J68&lt;&gt;""),(VLOOKUP($C68,'V-LOOKUP'!$C$122:$M$150,6,FALSE)),"0")</f>
        <v>0</v>
      </c>
      <c r="CE68" s="192" t="str">
        <f>IF(AND($C68&lt;&gt;"",$J68&lt;&gt;""),(VLOOKUP($C68,'V-LOOKUP'!$C$122:$M$150,7,FALSE)),"0")</f>
        <v>0</v>
      </c>
      <c r="CF68" s="192" t="str">
        <f>IF(AND($C68&lt;&gt;"",$J68&lt;&gt;""),(VLOOKUP($C68,'V-LOOKUP'!$C$122:$M$150,8,FALSE)),"0")</f>
        <v>0</v>
      </c>
      <c r="CG68" s="192" t="str">
        <f>IF(AND($C68&lt;&gt;"",$J68&lt;&gt;""),(VLOOKUP($C68,'V-LOOKUP'!$C$122:$M$150,9,FALSE)),"0")</f>
        <v>0</v>
      </c>
      <c r="CH68" s="192" t="str">
        <f>IF(AND($C68&lt;&gt;"",$J68&lt;&gt;""),(VLOOKUP($C68,'V-LOOKUP'!$C$122:$M$150,10,FALSE)),"0")</f>
        <v>0</v>
      </c>
      <c r="CI68" s="192" t="str">
        <f>IF(AND($C68&lt;&gt;"",$J68&lt;&gt;""),(VLOOKUP($C68,'V-LOOKUP'!$C$122:$M$150,11,FALSE)),"0")</f>
        <v>0</v>
      </c>
      <c r="CJ68" s="192" t="str">
        <f>IF(AND($C68&lt;&gt;"",$D68&lt;&gt;""),(VLOOKUP($C68,'V-LOOKUP'!$C$122:$N$150,12,FALSE)),"0")</f>
        <v>0</v>
      </c>
      <c r="CK68" s="192" t="str">
        <f>IF(AND($C68&lt;&gt;"",$K68&lt;&gt;""),(VLOOKUP($C68,'V-LOOKUP'!$C$122:$M$150,4,FALSE)),"0")</f>
        <v>0</v>
      </c>
      <c r="CL68" s="192" t="str">
        <f>IF(AND($C68&lt;&gt;"",$K68&lt;&gt;""),(VLOOKUP($C68,'V-LOOKUP'!$C$122:$M$150,5,FALSE)),"0")</f>
        <v>0</v>
      </c>
      <c r="CM68" s="192" t="str">
        <f>IF(AND($C68&lt;&gt;"",$K68&lt;&gt;""),(VLOOKUP($C68,'V-LOOKUP'!$C$122:$M$150,6,FALSE)),"0")</f>
        <v>0</v>
      </c>
      <c r="CN68" s="192" t="str">
        <f>IF(AND($C68&lt;&gt;"",$K68&lt;&gt;""),(VLOOKUP($C68,'V-LOOKUP'!$C$122:$M$150,7,FALSE)),"0")</f>
        <v>0</v>
      </c>
      <c r="CO68" s="192" t="str">
        <f>IF(AND($C68&lt;&gt;"",$K68&lt;&gt;""),(VLOOKUP($C68,'V-LOOKUP'!$C$122:$M$150,8,FALSE)),"0")</f>
        <v>0</v>
      </c>
      <c r="CP68" s="192" t="str">
        <f>IF(AND($C68&lt;&gt;"",$K68&lt;&gt;""),(VLOOKUP($C68,'V-LOOKUP'!$C$122:$M$150,9,FALSE)),"0")</f>
        <v>0</v>
      </c>
      <c r="CQ68" s="192" t="str">
        <f>IF(AND($C68&lt;&gt;"",$K68&lt;&gt;""),(VLOOKUP($C68,'V-LOOKUP'!$C$122:$M$150,10,FALSE)),"0")</f>
        <v>0</v>
      </c>
      <c r="CR68" s="192" t="str">
        <f>IF(AND($C68&lt;&gt;"",$K68&lt;&gt;""),(VLOOKUP($C68,'V-LOOKUP'!$C$122:$M$150,11,FALSE)),"0")</f>
        <v>0</v>
      </c>
      <c r="CS68" s="192" t="str">
        <f>IF(AND($C68&lt;&gt;"",$D68&lt;&gt;""),(VLOOKUP($C68,'V-LOOKUP'!$C$122:$N$150,12,FALSE)),"0")</f>
        <v>0</v>
      </c>
      <c r="CT68" s="192" t="str">
        <f>IF(AND($C68&lt;&gt;"",$L68&lt;&gt;""),(VLOOKUP($C68,'V-LOOKUP'!$C$122:$M$150,4,FALSE)),"0")</f>
        <v>0</v>
      </c>
      <c r="CU68" s="192" t="str">
        <f>IF(AND($C68&lt;&gt;"",$L68&lt;&gt;""),(VLOOKUP($C68,'V-LOOKUP'!$C$122:$M$150,5,FALSE)),"0")</f>
        <v>0</v>
      </c>
      <c r="CV68" s="192" t="str">
        <f>IF(AND($C68&lt;&gt;"",$L68&lt;&gt;""),(VLOOKUP($C68,'V-LOOKUP'!$C$122:$M$150,6,FALSE)),"0")</f>
        <v>0</v>
      </c>
      <c r="CW68" s="192" t="str">
        <f>IF(AND($C68&lt;&gt;"",$L68&lt;&gt;""),(VLOOKUP($C68,'V-LOOKUP'!$C$122:$M$150,7,FALSE)),"0")</f>
        <v>0</v>
      </c>
      <c r="CX68" s="192" t="str">
        <f>IF(AND($C68&lt;&gt;"",$L68&lt;&gt;""),(VLOOKUP($C68,'V-LOOKUP'!$C$122:$M$150,8,FALSE)),"0")</f>
        <v>0</v>
      </c>
      <c r="CY68" s="192" t="str">
        <f>IF(AND($C68&lt;&gt;"",$L68&lt;&gt;""),(VLOOKUP($C68,'V-LOOKUP'!$C$122:$M$150,9,FALSE)),"0")</f>
        <v>0</v>
      </c>
      <c r="CZ68" s="192" t="str">
        <f>IF(AND($C68&lt;&gt;"",$L68&lt;&gt;""),(VLOOKUP($C68,'V-LOOKUP'!$C$122:$M$150,10,FALSE)),"0")</f>
        <v>0</v>
      </c>
      <c r="DA68" s="192" t="str">
        <f>IF(AND($C68&lt;&gt;"",$L68&lt;&gt;""),(VLOOKUP($C68,'V-LOOKUP'!$C$122:$M$150,11,FALSE)),"0")</f>
        <v>0</v>
      </c>
      <c r="DB68" s="192" t="str">
        <f>IF(AND($C68&lt;&gt;"",$D68&lt;&gt;""),(VLOOKUP($C68,'V-LOOKUP'!$C$122:$N$150,12,FALSE)),"0")</f>
        <v>0</v>
      </c>
      <c r="DC68" s="192" t="str">
        <f>IF(AND($C68&lt;&gt;"",$M68&lt;&gt;""),(VLOOKUP($C68,'V-LOOKUP'!$C$122:$M$150,4,FALSE)),"0")</f>
        <v>0</v>
      </c>
      <c r="DD68" s="192" t="str">
        <f>IF(AND($C68&lt;&gt;"",$M68&lt;&gt;""),(VLOOKUP($C68,'V-LOOKUP'!$C$122:$M$150,5,FALSE)),"0")</f>
        <v>0</v>
      </c>
      <c r="DE68" s="192" t="str">
        <f>IF(AND($C68&lt;&gt;"",$M68&lt;&gt;""),(VLOOKUP($C68,'V-LOOKUP'!$C$122:$M$150,6,FALSE)),"0")</f>
        <v>0</v>
      </c>
      <c r="DF68" s="192" t="str">
        <f>IF(AND($C68&lt;&gt;"",$M68&lt;&gt;""),(VLOOKUP($C68,'V-LOOKUP'!$C$122:$M$150,7,FALSE)),"0")</f>
        <v>0</v>
      </c>
      <c r="DG68" s="192" t="str">
        <f>IF(AND($C68&lt;&gt;"",$M68&lt;&gt;""),(VLOOKUP($C68,'V-LOOKUP'!$C$122:$M$150,8,FALSE)),"0")</f>
        <v>0</v>
      </c>
      <c r="DH68" s="192" t="str">
        <f>IF(AND($C68&lt;&gt;"",$M68&lt;&gt;""),(VLOOKUP($C68,'V-LOOKUP'!$C$122:$M$150,9,FALSE)),"0")</f>
        <v>0</v>
      </c>
      <c r="DI68" s="192" t="str">
        <f>IF(AND($C68&lt;&gt;"",$M68&lt;&gt;""),(VLOOKUP($C68,'V-LOOKUP'!$C$122:$M$150,10,FALSE)),"0")</f>
        <v>0</v>
      </c>
      <c r="DJ68" s="192" t="str">
        <f>IF(AND($C68&lt;&gt;"",$M68&lt;&gt;""),(VLOOKUP($C68,'V-LOOKUP'!$C$122:$M$150,11,FALSE)),"0")</f>
        <v>0</v>
      </c>
      <c r="DK68" s="192" t="str">
        <f>IF(AND($C68&lt;&gt;"",$D68&lt;&gt;""),(VLOOKUP($C68,'V-LOOKUP'!$C$122:$N$150,12,FALSE)),"0")</f>
        <v>0</v>
      </c>
      <c r="DL68" s="192" t="str">
        <f>IF(AND($C68&lt;&gt;"",$N68&lt;&gt;""),(VLOOKUP($C68,'V-LOOKUP'!$C$122:$M$150,4,FALSE)),"0")</f>
        <v>0</v>
      </c>
      <c r="DM68" s="192" t="str">
        <f>IF(AND($C68&lt;&gt;"",$N68&lt;&gt;""),(VLOOKUP($C68,'V-LOOKUP'!$C$122:$M$150,5,FALSE)),"0")</f>
        <v>0</v>
      </c>
      <c r="DN68" s="192" t="str">
        <f>IF(AND($C68&lt;&gt;"",$N68&lt;&gt;""),(VLOOKUP($C68,'V-LOOKUP'!$C$122:$M$150,6,FALSE)),"0")</f>
        <v>0</v>
      </c>
      <c r="DO68" s="192" t="str">
        <f>IF(AND($C68&lt;&gt;"",$N68&lt;&gt;""),(VLOOKUP($C68,'V-LOOKUP'!$C$122:$M$150,7,FALSE)),"0")</f>
        <v>0</v>
      </c>
      <c r="DP68" s="192" t="str">
        <f>IF(AND($C68&lt;&gt;"",$N68&lt;&gt;""),(VLOOKUP($C68,'V-LOOKUP'!$C$122:$M$150,8,FALSE)),"0")</f>
        <v>0</v>
      </c>
      <c r="DQ68" s="192" t="str">
        <f>IF(AND($C68&lt;&gt;"",$N68&lt;&gt;""),(VLOOKUP($C68,'V-LOOKUP'!$C$122:$M$150,9,FALSE)),"0")</f>
        <v>0</v>
      </c>
      <c r="DR68" s="192" t="str">
        <f>IF(AND($C68&lt;&gt;"",$N68&lt;&gt;""),(VLOOKUP($C68,'V-LOOKUP'!$C$122:$M$150,10,FALSE)),"0")</f>
        <v>0</v>
      </c>
      <c r="DS68" s="192" t="str">
        <f>IF(AND($C68&lt;&gt;"",$N68&lt;&gt;""),(VLOOKUP($C68,'V-LOOKUP'!$C$122:$M$150,11,FALSE)),"0")</f>
        <v>0</v>
      </c>
      <c r="DT68" s="192" t="str">
        <f>IF(AND($C68&lt;&gt;"",$D68&lt;&gt;""),(VLOOKUP($C68,'V-LOOKUP'!$C$122:$N$150,12,FALSE)),"0")</f>
        <v>0</v>
      </c>
      <c r="DU68" s="192" t="str">
        <f>IF(AND($C68&lt;&gt;"",$O68&lt;&gt;""),(VLOOKUP($C68,'V-LOOKUP'!$C$122:$M$150,4,FALSE)),"0")</f>
        <v>0</v>
      </c>
      <c r="DV68" s="192" t="str">
        <f>IF(AND($C68&lt;&gt;"",$O68&lt;&gt;""),(VLOOKUP($C68,'V-LOOKUP'!$C$122:$M$150,5,FALSE)),"0")</f>
        <v>0</v>
      </c>
      <c r="DW68" s="192" t="str">
        <f>IF(AND($C68&lt;&gt;"",$O68&lt;&gt;""),(VLOOKUP($C68,'V-LOOKUP'!$C$122:$M$150,6,FALSE)),"0")</f>
        <v>0</v>
      </c>
      <c r="DX68" s="192" t="str">
        <f>IF(AND($C68&lt;&gt;"",$O68&lt;&gt;""),(VLOOKUP($C68,'V-LOOKUP'!$C$122:$M$150,7,FALSE)),"0")</f>
        <v>0</v>
      </c>
      <c r="DY68" s="192" t="str">
        <f>IF(AND($C68&lt;&gt;"",$O68&lt;&gt;""),(VLOOKUP($C68,'V-LOOKUP'!$C$122:$M$150,8,FALSE)),"0")</f>
        <v>0</v>
      </c>
      <c r="DZ68" s="192" t="str">
        <f>IF(AND($C68&lt;&gt;"",$O68&lt;&gt;""),(VLOOKUP($C68,'V-LOOKUP'!$C$122:$M$150,9,FALSE)),"0")</f>
        <v>0</v>
      </c>
      <c r="EA68" s="192" t="str">
        <f>IF(AND($C68&lt;&gt;"",$O68&lt;&gt;""),(VLOOKUP($C68,'V-LOOKUP'!$C$122:$M$150,10,FALSE)),"0")</f>
        <v>0</v>
      </c>
      <c r="EB68" s="192" t="str">
        <f>IF(AND($C68&lt;&gt;"",$O68&lt;&gt;""),(VLOOKUP($C68,'V-LOOKUP'!$C$122:$M$150,11,FALSE)),"0")</f>
        <v>0</v>
      </c>
      <c r="EC68" s="192" t="str">
        <f>IF(AND($C68&lt;&gt;"",$D68&lt;&gt;""),(VLOOKUP($C68,'V-LOOKUP'!$C$122:$N$150,12,FALSE)),"0")</f>
        <v>0</v>
      </c>
      <c r="ED68" s="192" t="str">
        <f>IF(AND($C68&lt;&gt;"",$P68&lt;&gt;""),(VLOOKUP($C68,'V-LOOKUP'!$C$122:$M$150,4,FALSE)),"0")</f>
        <v>0</v>
      </c>
      <c r="EE68" s="192" t="str">
        <f>IF(AND($C68&lt;&gt;"",$P68&lt;&gt;""),(VLOOKUP($C68,'V-LOOKUP'!$C$122:$M$150,5,FALSE)),"0")</f>
        <v>0</v>
      </c>
      <c r="EF68" s="192" t="str">
        <f>IF(AND($C68&lt;&gt;"",$P68&lt;&gt;""),(VLOOKUP($C68,'V-LOOKUP'!$C$122:$M$150,6,FALSE)),"0")</f>
        <v>0</v>
      </c>
      <c r="EG68" s="192" t="str">
        <f>IF(AND($C68&lt;&gt;"",$P68&lt;&gt;""),(VLOOKUP($C68,'V-LOOKUP'!$C$122:$M$150,7,FALSE)),"0")</f>
        <v>0</v>
      </c>
      <c r="EH68" s="192" t="str">
        <f>IF(AND($C68&lt;&gt;"",$P68&lt;&gt;""),(VLOOKUP($C68,'V-LOOKUP'!$C$122:$M$150,8,FALSE)),"0")</f>
        <v>0</v>
      </c>
      <c r="EI68" s="192" t="str">
        <f>IF(AND($C68&lt;&gt;"",$P68&lt;&gt;""),(VLOOKUP($C68,'V-LOOKUP'!$C$122:$M$150,9,FALSE)),"0")</f>
        <v>0</v>
      </c>
      <c r="EJ68" s="192" t="str">
        <f>IF(AND($C68&lt;&gt;"",$P68&lt;&gt;""),(VLOOKUP($C68,'V-LOOKUP'!$C$122:$M$150,10,FALSE)),"0")</f>
        <v>0</v>
      </c>
      <c r="EK68" s="192" t="str">
        <f>IF(AND($C68&lt;&gt;"",$P68&lt;&gt;""),(VLOOKUP($C68,'V-LOOKUP'!$C$122:$M$150,11,FALSE)),"0")</f>
        <v>0</v>
      </c>
      <c r="EL68" s="192" t="str">
        <f>IF(AND($C68&lt;&gt;"",$D68&lt;&gt;""),(VLOOKUP($C68,'V-LOOKUP'!$C$122:$N$150,12,FALSE)),"0")</f>
        <v>0</v>
      </c>
      <c r="EM68" s="192" t="str">
        <f>IF(AND($C68&lt;&gt;"",$Q68&lt;&gt;""),(VLOOKUP($C68,'V-LOOKUP'!$C$122:$M$150,4,FALSE)),"0")</f>
        <v>0</v>
      </c>
      <c r="EN68" s="192" t="str">
        <f>IF(AND($C68&lt;&gt;"",$Q68&lt;&gt;""),(VLOOKUP($C68,'V-LOOKUP'!$C$122:$M$150,5,FALSE)),"0")</f>
        <v>0</v>
      </c>
      <c r="EO68" s="192" t="str">
        <f>IF(AND($C68&lt;&gt;"",$Q68&lt;&gt;""),(VLOOKUP($C68,'V-LOOKUP'!$C$122:$M$150,6,FALSE)),"0")</f>
        <v>0</v>
      </c>
      <c r="EP68" s="192" t="str">
        <f>IF(AND($C68&lt;&gt;"",$Q68&lt;&gt;""),(VLOOKUP($C68,'V-LOOKUP'!$C$122:$M$150,7,FALSE)),"0")</f>
        <v>0</v>
      </c>
      <c r="EQ68" s="192" t="str">
        <f>IF(AND($C68&lt;&gt;"",$Q68&lt;&gt;""),(VLOOKUP($C68,'V-LOOKUP'!$C$122:$M$150,8,FALSE)),"0")</f>
        <v>0</v>
      </c>
      <c r="ER68" s="192" t="str">
        <f>IF(AND($C68&lt;&gt;"",$Q68&lt;&gt;""),(VLOOKUP($C68,'V-LOOKUP'!$C$122:$M$150,9,FALSE)),"0")</f>
        <v>0</v>
      </c>
      <c r="ES68" s="192" t="str">
        <f>IF(AND($C68&lt;&gt;"",$Q68&lt;&gt;""),(VLOOKUP($C68,'V-LOOKUP'!$C$122:$M$150,10,FALSE)),"0")</f>
        <v>0</v>
      </c>
      <c r="ET68" s="192" t="str">
        <f>IF(AND($C68&lt;&gt;"",$Q68&lt;&gt;""),(VLOOKUP($C68,'V-LOOKUP'!$C$122:$M$150,11,FALSE)),"0")</f>
        <v>0</v>
      </c>
      <c r="EU68" s="192" t="str">
        <f>IF(AND($C68&lt;&gt;"",$D68&lt;&gt;""),(VLOOKUP($C68,'V-LOOKUP'!$C$122:$N$150,12,FALSE)),"0")</f>
        <v>0</v>
      </c>
      <c r="EV68" s="192" t="str">
        <f>IF(AND($C68&lt;&gt;"",$R68&lt;&gt;""),(VLOOKUP($C68,'V-LOOKUP'!$C$122:$M$150,4,FALSE)),"0")</f>
        <v>0</v>
      </c>
      <c r="EW68" s="192" t="str">
        <f>IF(AND($C68&lt;&gt;"",$R68&lt;&gt;""),(VLOOKUP($C68,'V-LOOKUP'!$C$122:$M$150,5,FALSE)),"0")</f>
        <v>0</v>
      </c>
      <c r="EX68" s="192" t="str">
        <f>IF(AND($C68&lt;&gt;"",$R68&lt;&gt;""),(VLOOKUP($C68,'V-LOOKUP'!$C$122:$M$150,6,FALSE)),"0")</f>
        <v>0</v>
      </c>
      <c r="EY68" s="192" t="str">
        <f>IF(AND($C68&lt;&gt;"",$R68&lt;&gt;""),(VLOOKUP($C68,'V-LOOKUP'!$C$122:$M$150,7,FALSE)),"0")</f>
        <v>0</v>
      </c>
      <c r="EZ68" s="192" t="str">
        <f>IF(AND($C68&lt;&gt;"",$R68&lt;&gt;""),(VLOOKUP($C68,'V-LOOKUP'!$C$122:$M$150,8,FALSE)),"0")</f>
        <v>0</v>
      </c>
      <c r="FA68" s="192" t="str">
        <f>IF(AND($C68&lt;&gt;"",$R68&lt;&gt;""),(VLOOKUP($C68,'V-LOOKUP'!$C$122:$M$150,9,FALSE)),"0")</f>
        <v>0</v>
      </c>
      <c r="FB68" s="192" t="str">
        <f>IF(AND($C68&lt;&gt;"",$R68&lt;&gt;""),(VLOOKUP($C68,'V-LOOKUP'!$C$122:$M$150,10,FALSE)),"0")</f>
        <v>0</v>
      </c>
      <c r="FC68" s="192" t="str">
        <f>IF(AND($C68&lt;&gt;"",$R68&lt;&gt;""),(VLOOKUP($C68,'V-LOOKUP'!$C$122:$M$150,11,FALSE)),"0")</f>
        <v>0</v>
      </c>
      <c r="FD68" s="192" t="str">
        <f>IF(AND($C68&lt;&gt;"",$D68&lt;&gt;""),(VLOOKUP($C68,'V-LOOKUP'!$C$122:$N$150,12,FALSE)),"0")</f>
        <v>0</v>
      </c>
      <c r="FE68" s="192" t="str">
        <f>IF(AND($C68&lt;&gt;"",$S68&lt;&gt;""),(VLOOKUP($C68,'V-LOOKUP'!$C$122:$M$150,4,FALSE)),"0")</f>
        <v>0</v>
      </c>
      <c r="FF68" s="192" t="str">
        <f>IF(AND($C68&lt;&gt;"",$S68&lt;&gt;""),(VLOOKUP($C68,'V-LOOKUP'!$C$122:$M$150,5,FALSE)),"0")</f>
        <v>0</v>
      </c>
      <c r="FG68" s="192" t="str">
        <f>IF(AND($C68&lt;&gt;"",$S68&lt;&gt;""),(VLOOKUP($C68,'V-LOOKUP'!$C$122:$M$150,6,FALSE)),"0")</f>
        <v>0</v>
      </c>
      <c r="FH68" s="192" t="str">
        <f>IF(AND($C68&lt;&gt;"",$S68&lt;&gt;""),(VLOOKUP($C68,'V-LOOKUP'!$C$122:$M$150,7,FALSE)),"0")</f>
        <v>0</v>
      </c>
      <c r="FI68" s="192" t="str">
        <f>IF(AND($C68&lt;&gt;"",$S68&lt;&gt;""),(VLOOKUP($C68,'V-LOOKUP'!$C$122:$M$150,8,FALSE)),"0")</f>
        <v>0</v>
      </c>
      <c r="FJ68" s="192" t="str">
        <f>IF(AND($C68&lt;&gt;"",$S68&lt;&gt;""),(VLOOKUP($C68,'V-LOOKUP'!$C$122:$M$150,9,FALSE)),"0")</f>
        <v>0</v>
      </c>
      <c r="FK68" s="192" t="str">
        <f>IF(AND($C68&lt;&gt;"",$S68&lt;&gt;""),(VLOOKUP($C68,'V-LOOKUP'!$C$122:$M$150,10,FALSE)),"0")</f>
        <v>0</v>
      </c>
      <c r="FL68" s="192" t="str">
        <f>IF(AND($C68&lt;&gt;"",$S68&lt;&gt;""),(VLOOKUP($C68,'V-LOOKUP'!$C$122:$M$150,11,FALSE)),"0")</f>
        <v>0</v>
      </c>
      <c r="FM68" s="192" t="str">
        <f>IF(AND($C68&lt;&gt;"",$D68&lt;&gt;""),(VLOOKUP($C68,'V-LOOKUP'!$C$122:$N$150,12,FALSE)),"0")</f>
        <v>0</v>
      </c>
      <c r="FN68" s="192" t="str">
        <f>IF(AND($C68&lt;&gt;"",$T68&lt;&gt;""),(VLOOKUP($C68,'V-LOOKUP'!$C$122:$M$150,4,FALSE)),"0")</f>
        <v>0</v>
      </c>
      <c r="FO68" s="192" t="str">
        <f>IF(AND($C68&lt;&gt;"",$T68&lt;&gt;""),(VLOOKUP($C68,'V-LOOKUP'!$C$122:$M$150,5,FALSE)),"0")</f>
        <v>0</v>
      </c>
      <c r="FP68" s="192" t="str">
        <f>IF(AND($C68&lt;&gt;"",$T68&lt;&gt;""),(VLOOKUP($C68,'V-LOOKUP'!$C$122:$M$150,6,FALSE)),"0")</f>
        <v>0</v>
      </c>
      <c r="FQ68" s="192" t="str">
        <f>IF(AND($C68&lt;&gt;"",$T68&lt;&gt;""),(VLOOKUP($C68,'V-LOOKUP'!$C$122:$M$150,7,FALSE)),"0")</f>
        <v>0</v>
      </c>
      <c r="FR68" s="192" t="str">
        <f>IF(AND($C68&lt;&gt;"",$T68&lt;&gt;""),(VLOOKUP($C68,'V-LOOKUP'!$C$122:$M$150,8,FALSE)),"0")</f>
        <v>0</v>
      </c>
      <c r="FS68" s="192" t="str">
        <f>IF(AND($C68&lt;&gt;"",$T68&lt;&gt;""),(VLOOKUP($C68,'V-LOOKUP'!$C$122:$M$150,9,FALSE)),"0")</f>
        <v>0</v>
      </c>
      <c r="FT68" s="192" t="str">
        <f>IF(AND($C68&lt;&gt;"",$T68&lt;&gt;""),(VLOOKUP($C68,'V-LOOKUP'!$C$122:$M$150,10,FALSE)),"0")</f>
        <v>0</v>
      </c>
      <c r="FU68" s="192" t="str">
        <f>IF(AND($C68&lt;&gt;"",$T68&lt;&gt;""),(VLOOKUP($C68,'V-LOOKUP'!$C$122:$M$150,11,FALSE)),"0")</f>
        <v>0</v>
      </c>
      <c r="FV68" s="192" t="str">
        <f>IF(AND($C68&lt;&gt;"",$D68&lt;&gt;""),(VLOOKUP($C68,'V-LOOKUP'!$C$122:$N$150,12,FALSE)),"0")</f>
        <v>0</v>
      </c>
      <c r="FW68" s="192" t="str">
        <f>IF(AND($C68&lt;&gt;"",$U68&lt;&gt;""),(VLOOKUP($C68,'V-LOOKUP'!$C$122:$M$150,4,FALSE)),"0")</f>
        <v>0</v>
      </c>
      <c r="FX68" s="192" t="str">
        <f>IF(AND($C68&lt;&gt;"",$U68&lt;&gt;""),(VLOOKUP($C68,'V-LOOKUP'!$C$122:$M$150,5,FALSE)),"0")</f>
        <v>0</v>
      </c>
      <c r="FY68" s="192" t="str">
        <f>IF(AND($C68&lt;&gt;"",$U68&lt;&gt;""),(VLOOKUP($C68,'V-LOOKUP'!$C$122:$M$150,6,FALSE)),"0")</f>
        <v>0</v>
      </c>
      <c r="FZ68" s="192" t="str">
        <f>IF(AND($C68&lt;&gt;"",$U68&lt;&gt;""),(VLOOKUP($C68,'V-LOOKUP'!$C$122:$M$150,7,FALSE)),"0")</f>
        <v>0</v>
      </c>
      <c r="GA68" s="192" t="str">
        <f>IF(AND($C68&lt;&gt;"",$U68&lt;&gt;""),(VLOOKUP($C68,'V-LOOKUP'!$C$122:$M$150,8,FALSE)),"0")</f>
        <v>0</v>
      </c>
      <c r="GB68" s="192" t="str">
        <f>IF(AND($C68&lt;&gt;"",$U68&lt;&gt;""),(VLOOKUP($C68,'V-LOOKUP'!$C$122:$M$150,9,FALSE)),"0")</f>
        <v>0</v>
      </c>
      <c r="GC68" s="192" t="str">
        <f>IF(AND($C68&lt;&gt;"",$U68&lt;&gt;""),(VLOOKUP($C68,'V-LOOKUP'!$C$122:$M$150,10,FALSE)),"0")</f>
        <v>0</v>
      </c>
      <c r="GD68" s="192" t="str">
        <f>IF(AND($C68&lt;&gt;"",$U68&lt;&gt;""),(VLOOKUP($C68,'V-LOOKUP'!$C$122:$M$150,11,FALSE)),"0")</f>
        <v>0</v>
      </c>
      <c r="GE68" s="192" t="str">
        <f>IF(AND($C68&lt;&gt;"",$D68&lt;&gt;""),(VLOOKUP($C68,'V-LOOKUP'!$C$122:$N$150,12,FALSE)),"0")</f>
        <v>0</v>
      </c>
      <c r="GF68" s="192" t="str">
        <f>IF(AND($C68&lt;&gt;"",$V68&lt;&gt;""),(VLOOKUP($C68,'V-LOOKUP'!$C$122:$M$150,4,FALSE)),"0")</f>
        <v>0</v>
      </c>
      <c r="GG68" s="192" t="str">
        <f>IF(AND($C68&lt;&gt;"",$V68&lt;&gt;""),(VLOOKUP($C68,'V-LOOKUP'!$C$122:$M$150,5,FALSE)),"0")</f>
        <v>0</v>
      </c>
      <c r="GH68" s="192" t="str">
        <f>IF(AND($C68&lt;&gt;"",$V68&lt;&gt;""),(VLOOKUP($C68,'V-LOOKUP'!$C$122:$M$150,6,FALSE)),"0")</f>
        <v>0</v>
      </c>
      <c r="GI68" s="192" t="str">
        <f>IF(AND($C68&lt;&gt;"",$V68&lt;&gt;""),(VLOOKUP($C68,'V-LOOKUP'!$C$122:$M$150,7,FALSE)),"0")</f>
        <v>0</v>
      </c>
      <c r="GJ68" s="192" t="str">
        <f>IF(AND($C68&lt;&gt;"",$V68&lt;&gt;""),(VLOOKUP($C68,'V-LOOKUP'!$C$122:$M$150,8,FALSE)),"0")</f>
        <v>0</v>
      </c>
      <c r="GK68" s="192" t="str">
        <f>IF(AND($C68&lt;&gt;"",$V68&lt;&gt;""),(VLOOKUP($C68,'V-LOOKUP'!$C$122:$M$150,9,FALSE)),"0")</f>
        <v>0</v>
      </c>
      <c r="GL68" s="192" t="str">
        <f>IF(AND($C68&lt;&gt;"",$V68&lt;&gt;""),(VLOOKUP($C68,'V-LOOKUP'!$C$122:$M$150,10,FALSE)),"0")</f>
        <v>0</v>
      </c>
      <c r="GM68" s="192" t="str">
        <f>IF(AND($C68&lt;&gt;"",$V68&lt;&gt;""),(VLOOKUP($C68,'V-LOOKUP'!$C$122:$M$150,11,FALSE)),"0")</f>
        <v>0</v>
      </c>
      <c r="GN68" s="192" t="str">
        <f>IF(AND($C68&lt;&gt;"",$D68&lt;&gt;""),(VLOOKUP($C68,'V-LOOKUP'!$C$122:$N$150,12,FALSE)),"0")</f>
        <v>0</v>
      </c>
      <c r="GO68" s="192" t="str">
        <f>IF(AND($C68&lt;&gt;"",$W68&lt;&gt;""),(VLOOKUP($C68,'V-LOOKUP'!$C$122:$M$150,4,FALSE)),"0")</f>
        <v>0</v>
      </c>
      <c r="GP68" s="192" t="str">
        <f>IF(AND($C68&lt;&gt;"",$W68&lt;&gt;""),(VLOOKUP($C68,'V-LOOKUP'!$C$122:$M$150,5,FALSE)),"0")</f>
        <v>0</v>
      </c>
      <c r="GQ68" s="192" t="str">
        <f>IF(AND($C68&lt;&gt;"",$W68&lt;&gt;""),(VLOOKUP($C68,'V-LOOKUP'!$C$122:$M$150,6,FALSE)),"0")</f>
        <v>0</v>
      </c>
      <c r="GR68" s="192" t="str">
        <f>IF(AND($C68&lt;&gt;"",$W68&lt;&gt;""),(VLOOKUP($C68,'V-LOOKUP'!$C$122:$M$150,7,FALSE)),"0")</f>
        <v>0</v>
      </c>
      <c r="GS68" s="192" t="str">
        <f>IF(AND($C68&lt;&gt;"",$W68&lt;&gt;""),(VLOOKUP($C68,'V-LOOKUP'!$C$122:$M$150,8,FALSE)),"0")</f>
        <v>0</v>
      </c>
      <c r="GT68" s="192" t="str">
        <f>IF(AND($C68&lt;&gt;"",$W68&lt;&gt;""),(VLOOKUP($C68,'V-LOOKUP'!$C$122:$M$150,9,FALSE)),"0")</f>
        <v>0</v>
      </c>
      <c r="GU68" s="192" t="str">
        <f>IF(AND($C68&lt;&gt;"",$W68&lt;&gt;""),(VLOOKUP($C68,'V-LOOKUP'!$C$122:$M$150,10,FALSE)),"0")</f>
        <v>0</v>
      </c>
      <c r="GV68" s="192" t="str">
        <f>IF(AND($C68&lt;&gt;"",$W68&lt;&gt;""),(VLOOKUP($C68,'V-LOOKUP'!$C$122:$M$150,11,FALSE)),"0")</f>
        <v>0</v>
      </c>
      <c r="GW68" s="192" t="str">
        <f>IF(AND($C68&lt;&gt;"",$D68&lt;&gt;""),(VLOOKUP($C68,'V-LOOKUP'!$C$122:$N$150,12,FALSE)),"0")</f>
        <v>0</v>
      </c>
    </row>
    <row r="69" spans="1:205" ht="14.65" customHeight="1">
      <c r="A69" s="193"/>
      <c r="B69" s="245"/>
      <c r="C69" s="203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Y69" s="190"/>
      <c r="Z69" s="192" t="str">
        <f>IF(AND($C69&lt;&gt;"",$D69&lt;&gt;""),(VLOOKUP($C69,'V-LOOKUP'!$C$122:$M$150,4,FALSE)),"0")</f>
        <v>0</v>
      </c>
      <c r="AA69" s="192" t="str">
        <f>IF(AND($C69&lt;&gt;"",$D69&lt;&gt;""),(VLOOKUP($C69,'V-LOOKUP'!$C$122:$M$150,5,FALSE)),"0")</f>
        <v>0</v>
      </c>
      <c r="AB69" s="192" t="str">
        <f>IF(AND($C69&lt;&gt;"",$D69&lt;&gt;""),(VLOOKUP($C69,'V-LOOKUP'!$C$122:$M$150,6,FALSE)),"0")</f>
        <v>0</v>
      </c>
      <c r="AC69" s="192" t="str">
        <f>IF(AND($C69&lt;&gt;"",$D69&lt;&gt;""),(VLOOKUP($C69,'V-LOOKUP'!$C$122:$M$150,7,FALSE)),"0")</f>
        <v>0</v>
      </c>
      <c r="AD69" s="192" t="str">
        <f>IF(AND($C69&lt;&gt;"",$D69&lt;&gt;""),(VLOOKUP($C69,'V-LOOKUP'!$C$122:$M$150,8,FALSE)),"0")</f>
        <v>0</v>
      </c>
      <c r="AE69" s="192" t="str">
        <f>IF(AND($C69&lt;&gt;"",$D69&lt;&gt;""),(VLOOKUP($C69,'V-LOOKUP'!$C$122:$M$150,9,FALSE)),"0")</f>
        <v>0</v>
      </c>
      <c r="AF69" s="192" t="str">
        <f>IF(AND($C69&lt;&gt;"",$D69&lt;&gt;""),(VLOOKUP($C69,'V-LOOKUP'!$C$122:$M$150,10,FALSE)),"0")</f>
        <v>0</v>
      </c>
      <c r="AG69" s="192" t="str">
        <f>IF(AND($C69&lt;&gt;"",$D69&lt;&gt;""),(VLOOKUP($C69,'V-LOOKUP'!$C$122:$M$150,11,FALSE)),"0")</f>
        <v>0</v>
      </c>
      <c r="AH69" s="192" t="str">
        <f>IF(AND($C69&lt;&gt;"",$D69&lt;&gt;""),(VLOOKUP($C69,'V-LOOKUP'!$C$122:$N$150,12,FALSE)),"0")</f>
        <v>0</v>
      </c>
      <c r="AI69" s="192" t="str">
        <f>IF(AND($C69&lt;&gt;"",$E69&lt;&gt;""),(VLOOKUP($C69,'V-LOOKUP'!$C$122:$M$150,4,FALSE)),"0")</f>
        <v>0</v>
      </c>
      <c r="AJ69" s="192" t="str">
        <f>IF(AND($C69&lt;&gt;"",$E69&lt;&gt;""),(VLOOKUP($C69,'V-LOOKUP'!$C$122:$M$150,5,FALSE)),"0")</f>
        <v>0</v>
      </c>
      <c r="AK69" s="192" t="str">
        <f>IF(AND($C69&lt;&gt;"",$E69&lt;&gt;""),(VLOOKUP($C69,'V-LOOKUP'!$C$122:$M$150,6,FALSE)),"0")</f>
        <v>0</v>
      </c>
      <c r="AL69" s="192" t="str">
        <f>IF(AND($C69&lt;&gt;"",$E69&lt;&gt;""),(VLOOKUP($C69,'V-LOOKUP'!$C$122:$M$150,7,FALSE)),"0")</f>
        <v>0</v>
      </c>
      <c r="AM69" s="192" t="str">
        <f>IF(AND($C69&lt;&gt;"",$E69&lt;&gt;""),(VLOOKUP($C69,'V-LOOKUP'!$C$122:$M$150,8,FALSE)),"0")</f>
        <v>0</v>
      </c>
      <c r="AN69" s="192" t="str">
        <f>IF(AND($C69&lt;&gt;"",$E69&lt;&gt;""),(VLOOKUP($C69,'V-LOOKUP'!$C$122:$M$150,9,FALSE)),"0")</f>
        <v>0</v>
      </c>
      <c r="AO69" s="192" t="str">
        <f>IF(AND($C69&lt;&gt;"",$E69&lt;&gt;""),(VLOOKUP($C69,'V-LOOKUP'!$C$122:$M$150,10,FALSE)),"0")</f>
        <v>0</v>
      </c>
      <c r="AP69" s="192" t="str">
        <f>IF(AND($C69&lt;&gt;"",$E69&lt;&gt;""),(VLOOKUP($C69,'V-LOOKUP'!$C$122:$M$150,11,FALSE)),"0")</f>
        <v>0</v>
      </c>
      <c r="AQ69" s="192" t="str">
        <f>IF(AND($C69&lt;&gt;"",$D69&lt;&gt;""),(VLOOKUP($C69,'V-LOOKUP'!$C$122:$N$150,12,FALSE)),"0")</f>
        <v>0</v>
      </c>
      <c r="AR69" s="192" t="str">
        <f>IF(AND($C69&lt;&gt;"",$F69&lt;&gt;""),(VLOOKUP($C69,'V-LOOKUP'!$C$122:$M$150,4,FALSE)),"0")</f>
        <v>0</v>
      </c>
      <c r="AS69" s="192" t="str">
        <f>IF(AND($C69&lt;&gt;"",$F69&lt;&gt;""),(VLOOKUP($C69,'V-LOOKUP'!$C$122:$M$150,5,FALSE)),"0")</f>
        <v>0</v>
      </c>
      <c r="AT69" s="192" t="str">
        <f>IF(AND($C69&lt;&gt;"",$F69&lt;&gt;""),(VLOOKUP($C69,'V-LOOKUP'!$C$122:$M$150,6,FALSE)),"0")</f>
        <v>0</v>
      </c>
      <c r="AU69" s="192" t="str">
        <f>IF(AND($C69&lt;&gt;"",$F69&lt;&gt;""),(VLOOKUP($C69,'V-LOOKUP'!$C$122:$M$150,7,FALSE)),"0")</f>
        <v>0</v>
      </c>
      <c r="AV69" s="192" t="str">
        <f>IF(AND($C69&lt;&gt;"",$F69&lt;&gt;""),(VLOOKUP($C69,'V-LOOKUP'!$C$122:$M$150,8,FALSE)),"0")</f>
        <v>0</v>
      </c>
      <c r="AW69" s="192" t="str">
        <f>IF(AND($C69&lt;&gt;"",$F69&lt;&gt;""),(VLOOKUP($C69,'V-LOOKUP'!$C$122:$M$150,9,FALSE)),"0")</f>
        <v>0</v>
      </c>
      <c r="AX69" s="192" t="str">
        <f>IF(AND($C69&lt;&gt;"",$F69&lt;&gt;""),(VLOOKUP($C69,'V-LOOKUP'!$C$122:$M$150,10,FALSE)),"0")</f>
        <v>0</v>
      </c>
      <c r="AY69" s="192" t="str">
        <f>IF(AND($C69&lt;&gt;"",$F69&lt;&gt;""),(VLOOKUP($C69,'V-LOOKUP'!$C$122:$M$150,11,FALSE)),"0")</f>
        <v>0</v>
      </c>
      <c r="AZ69" s="192" t="str">
        <f>IF(AND($C69&lt;&gt;"",$D69&lt;&gt;""),(VLOOKUP($C69,'V-LOOKUP'!$C$122:$N$150,12,FALSE)),"0")</f>
        <v>0</v>
      </c>
      <c r="BA69" s="192" t="str">
        <f>IF(AND($C69&lt;&gt;"",$G69&lt;&gt;""),(VLOOKUP($C69,'V-LOOKUP'!$C$122:$M$150,4,FALSE)),"0")</f>
        <v>0</v>
      </c>
      <c r="BB69" s="192" t="str">
        <f>IF(AND($C69&lt;&gt;"",$G69&lt;&gt;""),(VLOOKUP($C69,'V-LOOKUP'!$C$122:$M$150,5,FALSE)),"0")</f>
        <v>0</v>
      </c>
      <c r="BC69" s="192" t="str">
        <f>IF(AND($C69&lt;&gt;"",$G69&lt;&gt;""),(VLOOKUP($C69,'V-LOOKUP'!$C$122:$M$150,6,FALSE)),"0")</f>
        <v>0</v>
      </c>
      <c r="BD69" s="192" t="str">
        <f>IF(AND($C69&lt;&gt;"",$G69&lt;&gt;""),(VLOOKUP($C69,'V-LOOKUP'!$C$122:$M$150,7,FALSE)),"0")</f>
        <v>0</v>
      </c>
      <c r="BE69" s="192" t="str">
        <f>IF(AND($C69&lt;&gt;"",$G69&lt;&gt;""),(VLOOKUP($C69,'V-LOOKUP'!$C$122:$M$150,8,FALSE)),"0")</f>
        <v>0</v>
      </c>
      <c r="BF69" s="192" t="str">
        <f>IF(AND($C69&lt;&gt;"",$G69&lt;&gt;""),(VLOOKUP($C69,'V-LOOKUP'!$C$122:$M$150,9,FALSE)),"0")</f>
        <v>0</v>
      </c>
      <c r="BG69" s="192" t="str">
        <f>IF(AND($C69&lt;&gt;"",$G69&lt;&gt;""),(VLOOKUP($C69,'V-LOOKUP'!$C$122:$M$150,10,FALSE)),"0")</f>
        <v>0</v>
      </c>
      <c r="BH69" s="192" t="str">
        <f>IF(AND($C69&lt;&gt;"",$G69&lt;&gt;""),(VLOOKUP($C69,'V-LOOKUP'!$C$122:$M$150,11,FALSE)),"0")</f>
        <v>0</v>
      </c>
      <c r="BI69" s="192" t="str">
        <f>IF(AND($C69&lt;&gt;"",$D69&lt;&gt;""),(VLOOKUP($C69,'V-LOOKUP'!$C$122:$N$150,12,FALSE)),"0")</f>
        <v>0</v>
      </c>
      <c r="BJ69" s="192" t="str">
        <f>IF(AND($C69&lt;&gt;"",$H69&lt;&gt;""),(VLOOKUP($C69,'V-LOOKUP'!$C$122:$M$150,4,FALSE)),"0")</f>
        <v>0</v>
      </c>
      <c r="BK69" s="192" t="str">
        <f>IF(AND($C69&lt;&gt;"",$H69&lt;&gt;""),(VLOOKUP($C69,'V-LOOKUP'!$C$122:$M$150,5,FALSE)),"0")</f>
        <v>0</v>
      </c>
      <c r="BL69" s="192" t="str">
        <f>IF(AND($C69&lt;&gt;"",$H69&lt;&gt;""),(VLOOKUP($C69,'V-LOOKUP'!$C$122:$M$150,6,FALSE)),"0")</f>
        <v>0</v>
      </c>
      <c r="BM69" s="192" t="str">
        <f>IF(AND($C69&lt;&gt;"",$H69&lt;&gt;""),(VLOOKUP($C69,'V-LOOKUP'!$C$122:$M$150,7,FALSE)),"0")</f>
        <v>0</v>
      </c>
      <c r="BN69" s="192" t="str">
        <f>IF(AND($C69&lt;&gt;"",$H69&lt;&gt;""),(VLOOKUP($C69,'V-LOOKUP'!$C$122:$M$150,8,FALSE)),"0")</f>
        <v>0</v>
      </c>
      <c r="BO69" s="192" t="str">
        <f>IF(AND($C69&lt;&gt;"",$H69&lt;&gt;""),(VLOOKUP($C69,'V-LOOKUP'!$C$122:$M$150,9,FALSE)),"0")</f>
        <v>0</v>
      </c>
      <c r="BP69" s="192" t="str">
        <f>IF(AND($C69&lt;&gt;"",$H69&lt;&gt;""),(VLOOKUP($C69,'V-LOOKUP'!$C$122:$M$150,10,FALSE)),"0")</f>
        <v>0</v>
      </c>
      <c r="BQ69" s="192" t="str">
        <f>IF(AND($C69&lt;&gt;"",$H69&lt;&gt;""),(VLOOKUP($C69,'V-LOOKUP'!$C$122:$M$150,11,FALSE)),"0")</f>
        <v>0</v>
      </c>
      <c r="BR69" s="192" t="str">
        <f>IF(AND($C69&lt;&gt;"",$D69&lt;&gt;""),(VLOOKUP($C69,'V-LOOKUP'!$C$122:$N$150,12,FALSE)),"0")</f>
        <v>0</v>
      </c>
      <c r="BS69" s="192" t="str">
        <f>IF(AND($C69&lt;&gt;"",$I69&lt;&gt;""),(VLOOKUP($C69,'V-LOOKUP'!$C$122:$M$150,4,FALSE)),"0")</f>
        <v>0</v>
      </c>
      <c r="BT69" s="192" t="str">
        <f>IF(AND($C69&lt;&gt;"",$I69&lt;&gt;""),(VLOOKUP($C69,'V-LOOKUP'!$C$122:$M$150,5,FALSE)),"0")</f>
        <v>0</v>
      </c>
      <c r="BU69" s="192" t="str">
        <f>IF(AND($C69&lt;&gt;"",$I69&lt;&gt;""),(VLOOKUP($C69,'V-LOOKUP'!$C$122:$M$150,6,FALSE)),"0")</f>
        <v>0</v>
      </c>
      <c r="BV69" s="192" t="str">
        <f>IF(AND($C69&lt;&gt;"",$I69&lt;&gt;""),(VLOOKUP($C69,'V-LOOKUP'!$C$122:$M$150,7,FALSE)),"0")</f>
        <v>0</v>
      </c>
      <c r="BW69" s="192" t="str">
        <f>IF(AND($C69&lt;&gt;"",$I69&lt;&gt;""),(VLOOKUP($C69,'V-LOOKUP'!$C$122:$M$150,8,FALSE)),"0")</f>
        <v>0</v>
      </c>
      <c r="BX69" s="192" t="str">
        <f>IF(AND($C69&lt;&gt;"",$I69&lt;&gt;""),(VLOOKUP($C69,'V-LOOKUP'!$C$122:$M$150,9,FALSE)),"0")</f>
        <v>0</v>
      </c>
      <c r="BY69" s="192" t="str">
        <f>IF(AND($C69&lt;&gt;"",$I69&lt;&gt;""),(VLOOKUP($C69,'V-LOOKUP'!$C$122:$M$150,10,FALSE)),"0")</f>
        <v>0</v>
      </c>
      <c r="BZ69" s="192" t="str">
        <f>IF(AND($C69&lt;&gt;"",$I69&lt;&gt;""),(VLOOKUP($C69,'V-LOOKUP'!$C$122:$M$150,11,FALSE)),"0")</f>
        <v>0</v>
      </c>
      <c r="CA69" s="192" t="str">
        <f>IF(AND($C69&lt;&gt;"",$D69&lt;&gt;""),(VLOOKUP($C69,'V-LOOKUP'!$C$122:$N$150,12,FALSE)),"0")</f>
        <v>0</v>
      </c>
      <c r="CB69" s="192" t="str">
        <f>IF(AND($C69&lt;&gt;"",$J69&lt;&gt;""),(VLOOKUP($C69,'V-LOOKUP'!$C$122:$M$150,4,FALSE)),"0")</f>
        <v>0</v>
      </c>
      <c r="CC69" s="192" t="str">
        <f>IF(AND($C69&lt;&gt;"",$J69&lt;&gt;""),(VLOOKUP($C69,'V-LOOKUP'!$C$122:$M$150,5,FALSE)),"0")</f>
        <v>0</v>
      </c>
      <c r="CD69" s="192" t="str">
        <f>IF(AND($C69&lt;&gt;"",$J69&lt;&gt;""),(VLOOKUP($C69,'V-LOOKUP'!$C$122:$M$150,6,FALSE)),"0")</f>
        <v>0</v>
      </c>
      <c r="CE69" s="192" t="str">
        <f>IF(AND($C69&lt;&gt;"",$J69&lt;&gt;""),(VLOOKUP($C69,'V-LOOKUP'!$C$122:$M$150,7,FALSE)),"0")</f>
        <v>0</v>
      </c>
      <c r="CF69" s="192" t="str">
        <f>IF(AND($C69&lt;&gt;"",$J69&lt;&gt;""),(VLOOKUP($C69,'V-LOOKUP'!$C$122:$M$150,8,FALSE)),"0")</f>
        <v>0</v>
      </c>
      <c r="CG69" s="192" t="str">
        <f>IF(AND($C69&lt;&gt;"",$J69&lt;&gt;""),(VLOOKUP($C69,'V-LOOKUP'!$C$122:$M$150,9,FALSE)),"0")</f>
        <v>0</v>
      </c>
      <c r="CH69" s="192" t="str">
        <f>IF(AND($C69&lt;&gt;"",$J69&lt;&gt;""),(VLOOKUP($C69,'V-LOOKUP'!$C$122:$M$150,10,FALSE)),"0")</f>
        <v>0</v>
      </c>
      <c r="CI69" s="192" t="str">
        <f>IF(AND($C69&lt;&gt;"",$J69&lt;&gt;""),(VLOOKUP($C69,'V-LOOKUP'!$C$122:$M$150,11,FALSE)),"0")</f>
        <v>0</v>
      </c>
      <c r="CJ69" s="192" t="str">
        <f>IF(AND($C69&lt;&gt;"",$D69&lt;&gt;""),(VLOOKUP($C69,'V-LOOKUP'!$C$122:$N$150,12,FALSE)),"0")</f>
        <v>0</v>
      </c>
      <c r="CK69" s="192" t="str">
        <f>IF(AND($C69&lt;&gt;"",$K69&lt;&gt;""),(VLOOKUP($C69,'V-LOOKUP'!$C$122:$M$150,4,FALSE)),"0")</f>
        <v>0</v>
      </c>
      <c r="CL69" s="192" t="str">
        <f>IF(AND($C69&lt;&gt;"",$K69&lt;&gt;""),(VLOOKUP($C69,'V-LOOKUP'!$C$122:$M$150,5,FALSE)),"0")</f>
        <v>0</v>
      </c>
      <c r="CM69" s="192" t="str">
        <f>IF(AND($C69&lt;&gt;"",$K69&lt;&gt;""),(VLOOKUP($C69,'V-LOOKUP'!$C$122:$M$150,6,FALSE)),"0")</f>
        <v>0</v>
      </c>
      <c r="CN69" s="192" t="str">
        <f>IF(AND($C69&lt;&gt;"",$K69&lt;&gt;""),(VLOOKUP($C69,'V-LOOKUP'!$C$122:$M$150,7,FALSE)),"0")</f>
        <v>0</v>
      </c>
      <c r="CO69" s="192" t="str">
        <f>IF(AND($C69&lt;&gt;"",$K69&lt;&gt;""),(VLOOKUP($C69,'V-LOOKUP'!$C$122:$M$150,8,FALSE)),"0")</f>
        <v>0</v>
      </c>
      <c r="CP69" s="192" t="str">
        <f>IF(AND($C69&lt;&gt;"",$K69&lt;&gt;""),(VLOOKUP($C69,'V-LOOKUP'!$C$122:$M$150,9,FALSE)),"0")</f>
        <v>0</v>
      </c>
      <c r="CQ69" s="192" t="str">
        <f>IF(AND($C69&lt;&gt;"",$K69&lt;&gt;""),(VLOOKUP($C69,'V-LOOKUP'!$C$122:$M$150,10,FALSE)),"0")</f>
        <v>0</v>
      </c>
      <c r="CR69" s="192" t="str">
        <f>IF(AND($C69&lt;&gt;"",$K69&lt;&gt;""),(VLOOKUP($C69,'V-LOOKUP'!$C$122:$M$150,11,FALSE)),"0")</f>
        <v>0</v>
      </c>
      <c r="CS69" s="192" t="str">
        <f>IF(AND($C69&lt;&gt;"",$D69&lt;&gt;""),(VLOOKUP($C69,'V-LOOKUP'!$C$122:$N$150,12,FALSE)),"0")</f>
        <v>0</v>
      </c>
      <c r="CT69" s="192" t="str">
        <f>IF(AND($C69&lt;&gt;"",$L69&lt;&gt;""),(VLOOKUP($C69,'V-LOOKUP'!$C$122:$M$150,4,FALSE)),"0")</f>
        <v>0</v>
      </c>
      <c r="CU69" s="192" t="str">
        <f>IF(AND($C69&lt;&gt;"",$L69&lt;&gt;""),(VLOOKUP($C69,'V-LOOKUP'!$C$122:$M$150,5,FALSE)),"0")</f>
        <v>0</v>
      </c>
      <c r="CV69" s="192" t="str">
        <f>IF(AND($C69&lt;&gt;"",$L69&lt;&gt;""),(VLOOKUP($C69,'V-LOOKUP'!$C$122:$M$150,6,FALSE)),"0")</f>
        <v>0</v>
      </c>
      <c r="CW69" s="192" t="str">
        <f>IF(AND($C69&lt;&gt;"",$L69&lt;&gt;""),(VLOOKUP($C69,'V-LOOKUP'!$C$122:$M$150,7,FALSE)),"0")</f>
        <v>0</v>
      </c>
      <c r="CX69" s="192" t="str">
        <f>IF(AND($C69&lt;&gt;"",$L69&lt;&gt;""),(VLOOKUP($C69,'V-LOOKUP'!$C$122:$M$150,8,FALSE)),"0")</f>
        <v>0</v>
      </c>
      <c r="CY69" s="192" t="str">
        <f>IF(AND($C69&lt;&gt;"",$L69&lt;&gt;""),(VLOOKUP($C69,'V-LOOKUP'!$C$122:$M$150,9,FALSE)),"0")</f>
        <v>0</v>
      </c>
      <c r="CZ69" s="192" t="str">
        <f>IF(AND($C69&lt;&gt;"",$L69&lt;&gt;""),(VLOOKUP($C69,'V-LOOKUP'!$C$122:$M$150,10,FALSE)),"0")</f>
        <v>0</v>
      </c>
      <c r="DA69" s="192" t="str">
        <f>IF(AND($C69&lt;&gt;"",$L69&lt;&gt;""),(VLOOKUP($C69,'V-LOOKUP'!$C$122:$M$150,11,FALSE)),"0")</f>
        <v>0</v>
      </c>
      <c r="DB69" s="192" t="str">
        <f>IF(AND($C69&lt;&gt;"",$D69&lt;&gt;""),(VLOOKUP($C69,'V-LOOKUP'!$C$122:$N$150,12,FALSE)),"0")</f>
        <v>0</v>
      </c>
      <c r="DC69" s="192" t="str">
        <f>IF(AND($C69&lt;&gt;"",$M69&lt;&gt;""),(VLOOKUP($C69,'V-LOOKUP'!$C$122:$M$150,4,FALSE)),"0")</f>
        <v>0</v>
      </c>
      <c r="DD69" s="192" t="str">
        <f>IF(AND($C69&lt;&gt;"",$M69&lt;&gt;""),(VLOOKUP($C69,'V-LOOKUP'!$C$122:$M$150,5,FALSE)),"0")</f>
        <v>0</v>
      </c>
      <c r="DE69" s="192" t="str">
        <f>IF(AND($C69&lt;&gt;"",$M69&lt;&gt;""),(VLOOKUP($C69,'V-LOOKUP'!$C$122:$M$150,6,FALSE)),"0")</f>
        <v>0</v>
      </c>
      <c r="DF69" s="192" t="str">
        <f>IF(AND($C69&lt;&gt;"",$M69&lt;&gt;""),(VLOOKUP($C69,'V-LOOKUP'!$C$122:$M$150,7,FALSE)),"0")</f>
        <v>0</v>
      </c>
      <c r="DG69" s="192" t="str">
        <f>IF(AND($C69&lt;&gt;"",$M69&lt;&gt;""),(VLOOKUP($C69,'V-LOOKUP'!$C$122:$M$150,8,FALSE)),"0")</f>
        <v>0</v>
      </c>
      <c r="DH69" s="192" t="str">
        <f>IF(AND($C69&lt;&gt;"",$M69&lt;&gt;""),(VLOOKUP($C69,'V-LOOKUP'!$C$122:$M$150,9,FALSE)),"0")</f>
        <v>0</v>
      </c>
      <c r="DI69" s="192" t="str">
        <f>IF(AND($C69&lt;&gt;"",$M69&lt;&gt;""),(VLOOKUP($C69,'V-LOOKUP'!$C$122:$M$150,10,FALSE)),"0")</f>
        <v>0</v>
      </c>
      <c r="DJ69" s="192" t="str">
        <f>IF(AND($C69&lt;&gt;"",$M69&lt;&gt;""),(VLOOKUP($C69,'V-LOOKUP'!$C$122:$M$150,11,FALSE)),"0")</f>
        <v>0</v>
      </c>
      <c r="DK69" s="192" t="str">
        <f>IF(AND($C69&lt;&gt;"",$D69&lt;&gt;""),(VLOOKUP($C69,'V-LOOKUP'!$C$122:$N$150,12,FALSE)),"0")</f>
        <v>0</v>
      </c>
      <c r="DL69" s="192" t="str">
        <f>IF(AND($C69&lt;&gt;"",$N69&lt;&gt;""),(VLOOKUP($C69,'V-LOOKUP'!$C$122:$M$150,4,FALSE)),"0")</f>
        <v>0</v>
      </c>
      <c r="DM69" s="192" t="str">
        <f>IF(AND($C69&lt;&gt;"",$N69&lt;&gt;""),(VLOOKUP($C69,'V-LOOKUP'!$C$122:$M$150,5,FALSE)),"0")</f>
        <v>0</v>
      </c>
      <c r="DN69" s="192" t="str">
        <f>IF(AND($C69&lt;&gt;"",$N69&lt;&gt;""),(VLOOKUP($C69,'V-LOOKUP'!$C$122:$M$150,6,FALSE)),"0")</f>
        <v>0</v>
      </c>
      <c r="DO69" s="192" t="str">
        <f>IF(AND($C69&lt;&gt;"",$N69&lt;&gt;""),(VLOOKUP($C69,'V-LOOKUP'!$C$122:$M$150,7,FALSE)),"0")</f>
        <v>0</v>
      </c>
      <c r="DP69" s="192" t="str">
        <f>IF(AND($C69&lt;&gt;"",$N69&lt;&gt;""),(VLOOKUP($C69,'V-LOOKUP'!$C$122:$M$150,8,FALSE)),"0")</f>
        <v>0</v>
      </c>
      <c r="DQ69" s="192" t="str">
        <f>IF(AND($C69&lt;&gt;"",$N69&lt;&gt;""),(VLOOKUP($C69,'V-LOOKUP'!$C$122:$M$150,9,FALSE)),"0")</f>
        <v>0</v>
      </c>
      <c r="DR69" s="192" t="str">
        <f>IF(AND($C69&lt;&gt;"",$N69&lt;&gt;""),(VLOOKUP($C69,'V-LOOKUP'!$C$122:$M$150,10,FALSE)),"0")</f>
        <v>0</v>
      </c>
      <c r="DS69" s="192" t="str">
        <f>IF(AND($C69&lt;&gt;"",$N69&lt;&gt;""),(VLOOKUP($C69,'V-LOOKUP'!$C$122:$M$150,11,FALSE)),"0")</f>
        <v>0</v>
      </c>
      <c r="DT69" s="192" t="str">
        <f>IF(AND($C69&lt;&gt;"",$D69&lt;&gt;""),(VLOOKUP($C69,'V-LOOKUP'!$C$122:$N$150,12,FALSE)),"0")</f>
        <v>0</v>
      </c>
      <c r="DU69" s="192" t="str">
        <f>IF(AND($C69&lt;&gt;"",$O69&lt;&gt;""),(VLOOKUP($C69,'V-LOOKUP'!$C$122:$M$150,4,FALSE)),"0")</f>
        <v>0</v>
      </c>
      <c r="DV69" s="192" t="str">
        <f>IF(AND($C69&lt;&gt;"",$O69&lt;&gt;""),(VLOOKUP($C69,'V-LOOKUP'!$C$122:$M$150,5,FALSE)),"0")</f>
        <v>0</v>
      </c>
      <c r="DW69" s="192" t="str">
        <f>IF(AND($C69&lt;&gt;"",$O69&lt;&gt;""),(VLOOKUP($C69,'V-LOOKUP'!$C$122:$M$150,6,FALSE)),"0")</f>
        <v>0</v>
      </c>
      <c r="DX69" s="192" t="str">
        <f>IF(AND($C69&lt;&gt;"",$O69&lt;&gt;""),(VLOOKUP($C69,'V-LOOKUP'!$C$122:$M$150,7,FALSE)),"0")</f>
        <v>0</v>
      </c>
      <c r="DY69" s="192" t="str">
        <f>IF(AND($C69&lt;&gt;"",$O69&lt;&gt;""),(VLOOKUP($C69,'V-LOOKUP'!$C$122:$M$150,8,FALSE)),"0")</f>
        <v>0</v>
      </c>
      <c r="DZ69" s="192" t="str">
        <f>IF(AND($C69&lt;&gt;"",$O69&lt;&gt;""),(VLOOKUP($C69,'V-LOOKUP'!$C$122:$M$150,9,FALSE)),"0")</f>
        <v>0</v>
      </c>
      <c r="EA69" s="192" t="str">
        <f>IF(AND($C69&lt;&gt;"",$O69&lt;&gt;""),(VLOOKUP($C69,'V-LOOKUP'!$C$122:$M$150,10,FALSE)),"0")</f>
        <v>0</v>
      </c>
      <c r="EB69" s="192" t="str">
        <f>IF(AND($C69&lt;&gt;"",$O69&lt;&gt;""),(VLOOKUP($C69,'V-LOOKUP'!$C$122:$M$150,11,FALSE)),"0")</f>
        <v>0</v>
      </c>
      <c r="EC69" s="192" t="str">
        <f>IF(AND($C69&lt;&gt;"",$D69&lt;&gt;""),(VLOOKUP($C69,'V-LOOKUP'!$C$122:$N$150,12,FALSE)),"0")</f>
        <v>0</v>
      </c>
      <c r="ED69" s="192" t="str">
        <f>IF(AND($C69&lt;&gt;"",$P69&lt;&gt;""),(VLOOKUP($C69,'V-LOOKUP'!$C$122:$M$150,4,FALSE)),"0")</f>
        <v>0</v>
      </c>
      <c r="EE69" s="192" t="str">
        <f>IF(AND($C69&lt;&gt;"",$P69&lt;&gt;""),(VLOOKUP($C69,'V-LOOKUP'!$C$122:$M$150,5,FALSE)),"0")</f>
        <v>0</v>
      </c>
      <c r="EF69" s="192" t="str">
        <f>IF(AND($C69&lt;&gt;"",$P69&lt;&gt;""),(VLOOKUP($C69,'V-LOOKUP'!$C$122:$M$150,6,FALSE)),"0")</f>
        <v>0</v>
      </c>
      <c r="EG69" s="192" t="str">
        <f>IF(AND($C69&lt;&gt;"",$P69&lt;&gt;""),(VLOOKUP($C69,'V-LOOKUP'!$C$122:$M$150,7,FALSE)),"0")</f>
        <v>0</v>
      </c>
      <c r="EH69" s="192" t="str">
        <f>IF(AND($C69&lt;&gt;"",$P69&lt;&gt;""),(VLOOKUP($C69,'V-LOOKUP'!$C$122:$M$150,8,FALSE)),"0")</f>
        <v>0</v>
      </c>
      <c r="EI69" s="192" t="str">
        <f>IF(AND($C69&lt;&gt;"",$P69&lt;&gt;""),(VLOOKUP($C69,'V-LOOKUP'!$C$122:$M$150,9,FALSE)),"0")</f>
        <v>0</v>
      </c>
      <c r="EJ69" s="192" t="str">
        <f>IF(AND($C69&lt;&gt;"",$P69&lt;&gt;""),(VLOOKUP($C69,'V-LOOKUP'!$C$122:$M$150,10,FALSE)),"0")</f>
        <v>0</v>
      </c>
      <c r="EK69" s="192" t="str">
        <f>IF(AND($C69&lt;&gt;"",$P69&lt;&gt;""),(VLOOKUP($C69,'V-LOOKUP'!$C$122:$M$150,11,FALSE)),"0")</f>
        <v>0</v>
      </c>
      <c r="EL69" s="192" t="str">
        <f>IF(AND($C69&lt;&gt;"",$D69&lt;&gt;""),(VLOOKUP($C69,'V-LOOKUP'!$C$122:$N$150,12,FALSE)),"0")</f>
        <v>0</v>
      </c>
      <c r="EM69" s="192" t="str">
        <f>IF(AND($C69&lt;&gt;"",$Q69&lt;&gt;""),(VLOOKUP($C69,'V-LOOKUP'!$C$122:$M$150,4,FALSE)),"0")</f>
        <v>0</v>
      </c>
      <c r="EN69" s="192" t="str">
        <f>IF(AND($C69&lt;&gt;"",$Q69&lt;&gt;""),(VLOOKUP($C69,'V-LOOKUP'!$C$122:$M$150,5,FALSE)),"0")</f>
        <v>0</v>
      </c>
      <c r="EO69" s="192" t="str">
        <f>IF(AND($C69&lt;&gt;"",$Q69&lt;&gt;""),(VLOOKUP($C69,'V-LOOKUP'!$C$122:$M$150,6,FALSE)),"0")</f>
        <v>0</v>
      </c>
      <c r="EP69" s="192" t="str">
        <f>IF(AND($C69&lt;&gt;"",$Q69&lt;&gt;""),(VLOOKUP($C69,'V-LOOKUP'!$C$122:$M$150,7,FALSE)),"0")</f>
        <v>0</v>
      </c>
      <c r="EQ69" s="192" t="str">
        <f>IF(AND($C69&lt;&gt;"",$Q69&lt;&gt;""),(VLOOKUP($C69,'V-LOOKUP'!$C$122:$M$150,8,FALSE)),"0")</f>
        <v>0</v>
      </c>
      <c r="ER69" s="192" t="str">
        <f>IF(AND($C69&lt;&gt;"",$Q69&lt;&gt;""),(VLOOKUP($C69,'V-LOOKUP'!$C$122:$M$150,9,FALSE)),"0")</f>
        <v>0</v>
      </c>
      <c r="ES69" s="192" t="str">
        <f>IF(AND($C69&lt;&gt;"",$Q69&lt;&gt;""),(VLOOKUP($C69,'V-LOOKUP'!$C$122:$M$150,10,FALSE)),"0")</f>
        <v>0</v>
      </c>
      <c r="ET69" s="192" t="str">
        <f>IF(AND($C69&lt;&gt;"",$Q69&lt;&gt;""),(VLOOKUP($C69,'V-LOOKUP'!$C$122:$M$150,11,FALSE)),"0")</f>
        <v>0</v>
      </c>
      <c r="EU69" s="192" t="str">
        <f>IF(AND($C69&lt;&gt;"",$D69&lt;&gt;""),(VLOOKUP($C69,'V-LOOKUP'!$C$122:$N$150,12,FALSE)),"0")</f>
        <v>0</v>
      </c>
      <c r="EV69" s="192" t="str">
        <f>IF(AND($C69&lt;&gt;"",$R69&lt;&gt;""),(VLOOKUP($C69,'V-LOOKUP'!$C$122:$M$150,4,FALSE)),"0")</f>
        <v>0</v>
      </c>
      <c r="EW69" s="192" t="str">
        <f>IF(AND($C69&lt;&gt;"",$R69&lt;&gt;""),(VLOOKUP($C69,'V-LOOKUP'!$C$122:$M$150,5,FALSE)),"0")</f>
        <v>0</v>
      </c>
      <c r="EX69" s="192" t="str">
        <f>IF(AND($C69&lt;&gt;"",$R69&lt;&gt;""),(VLOOKUP($C69,'V-LOOKUP'!$C$122:$M$150,6,FALSE)),"0")</f>
        <v>0</v>
      </c>
      <c r="EY69" s="192" t="str">
        <f>IF(AND($C69&lt;&gt;"",$R69&lt;&gt;""),(VLOOKUP($C69,'V-LOOKUP'!$C$122:$M$150,7,FALSE)),"0")</f>
        <v>0</v>
      </c>
      <c r="EZ69" s="192" t="str">
        <f>IF(AND($C69&lt;&gt;"",$R69&lt;&gt;""),(VLOOKUP($C69,'V-LOOKUP'!$C$122:$M$150,8,FALSE)),"0")</f>
        <v>0</v>
      </c>
      <c r="FA69" s="192" t="str">
        <f>IF(AND($C69&lt;&gt;"",$R69&lt;&gt;""),(VLOOKUP($C69,'V-LOOKUP'!$C$122:$M$150,9,FALSE)),"0")</f>
        <v>0</v>
      </c>
      <c r="FB69" s="192" t="str">
        <f>IF(AND($C69&lt;&gt;"",$R69&lt;&gt;""),(VLOOKUP($C69,'V-LOOKUP'!$C$122:$M$150,10,FALSE)),"0")</f>
        <v>0</v>
      </c>
      <c r="FC69" s="192" t="str">
        <f>IF(AND($C69&lt;&gt;"",$R69&lt;&gt;""),(VLOOKUP($C69,'V-LOOKUP'!$C$122:$M$150,11,FALSE)),"0")</f>
        <v>0</v>
      </c>
      <c r="FD69" s="192" t="str">
        <f>IF(AND($C69&lt;&gt;"",$D69&lt;&gt;""),(VLOOKUP($C69,'V-LOOKUP'!$C$122:$N$150,12,FALSE)),"0")</f>
        <v>0</v>
      </c>
      <c r="FE69" s="192" t="str">
        <f>IF(AND($C69&lt;&gt;"",$S69&lt;&gt;""),(VLOOKUP($C69,'V-LOOKUP'!$C$122:$M$150,4,FALSE)),"0")</f>
        <v>0</v>
      </c>
      <c r="FF69" s="192" t="str">
        <f>IF(AND($C69&lt;&gt;"",$S69&lt;&gt;""),(VLOOKUP($C69,'V-LOOKUP'!$C$122:$M$150,5,FALSE)),"0")</f>
        <v>0</v>
      </c>
      <c r="FG69" s="192" t="str">
        <f>IF(AND($C69&lt;&gt;"",$S69&lt;&gt;""),(VLOOKUP($C69,'V-LOOKUP'!$C$122:$M$150,6,FALSE)),"0")</f>
        <v>0</v>
      </c>
      <c r="FH69" s="192" t="str">
        <f>IF(AND($C69&lt;&gt;"",$S69&lt;&gt;""),(VLOOKUP($C69,'V-LOOKUP'!$C$122:$M$150,7,FALSE)),"0")</f>
        <v>0</v>
      </c>
      <c r="FI69" s="192" t="str">
        <f>IF(AND($C69&lt;&gt;"",$S69&lt;&gt;""),(VLOOKUP($C69,'V-LOOKUP'!$C$122:$M$150,8,FALSE)),"0")</f>
        <v>0</v>
      </c>
      <c r="FJ69" s="192" t="str">
        <f>IF(AND($C69&lt;&gt;"",$S69&lt;&gt;""),(VLOOKUP($C69,'V-LOOKUP'!$C$122:$M$150,9,FALSE)),"0")</f>
        <v>0</v>
      </c>
      <c r="FK69" s="192" t="str">
        <f>IF(AND($C69&lt;&gt;"",$S69&lt;&gt;""),(VLOOKUP($C69,'V-LOOKUP'!$C$122:$M$150,10,FALSE)),"0")</f>
        <v>0</v>
      </c>
      <c r="FL69" s="192" t="str">
        <f>IF(AND($C69&lt;&gt;"",$S69&lt;&gt;""),(VLOOKUP($C69,'V-LOOKUP'!$C$122:$M$150,11,FALSE)),"0")</f>
        <v>0</v>
      </c>
      <c r="FM69" s="192" t="str">
        <f>IF(AND($C69&lt;&gt;"",$D69&lt;&gt;""),(VLOOKUP($C69,'V-LOOKUP'!$C$122:$N$150,12,FALSE)),"0")</f>
        <v>0</v>
      </c>
      <c r="FN69" s="192" t="str">
        <f>IF(AND($C69&lt;&gt;"",$T69&lt;&gt;""),(VLOOKUP($C69,'V-LOOKUP'!$C$122:$M$150,4,FALSE)),"0")</f>
        <v>0</v>
      </c>
      <c r="FO69" s="192" t="str">
        <f>IF(AND($C69&lt;&gt;"",$T69&lt;&gt;""),(VLOOKUP($C69,'V-LOOKUP'!$C$122:$M$150,5,FALSE)),"0")</f>
        <v>0</v>
      </c>
      <c r="FP69" s="192" t="str">
        <f>IF(AND($C69&lt;&gt;"",$T69&lt;&gt;""),(VLOOKUP($C69,'V-LOOKUP'!$C$122:$M$150,6,FALSE)),"0")</f>
        <v>0</v>
      </c>
      <c r="FQ69" s="192" t="str">
        <f>IF(AND($C69&lt;&gt;"",$T69&lt;&gt;""),(VLOOKUP($C69,'V-LOOKUP'!$C$122:$M$150,7,FALSE)),"0")</f>
        <v>0</v>
      </c>
      <c r="FR69" s="192" t="str">
        <f>IF(AND($C69&lt;&gt;"",$T69&lt;&gt;""),(VLOOKUP($C69,'V-LOOKUP'!$C$122:$M$150,8,FALSE)),"0")</f>
        <v>0</v>
      </c>
      <c r="FS69" s="192" t="str">
        <f>IF(AND($C69&lt;&gt;"",$T69&lt;&gt;""),(VLOOKUP($C69,'V-LOOKUP'!$C$122:$M$150,9,FALSE)),"0")</f>
        <v>0</v>
      </c>
      <c r="FT69" s="192" t="str">
        <f>IF(AND($C69&lt;&gt;"",$T69&lt;&gt;""),(VLOOKUP($C69,'V-LOOKUP'!$C$122:$M$150,10,FALSE)),"0")</f>
        <v>0</v>
      </c>
      <c r="FU69" s="192" t="str">
        <f>IF(AND($C69&lt;&gt;"",$T69&lt;&gt;""),(VLOOKUP($C69,'V-LOOKUP'!$C$122:$M$150,11,FALSE)),"0")</f>
        <v>0</v>
      </c>
      <c r="FV69" s="192" t="str">
        <f>IF(AND($C69&lt;&gt;"",$D69&lt;&gt;""),(VLOOKUP($C69,'V-LOOKUP'!$C$122:$N$150,12,FALSE)),"0")</f>
        <v>0</v>
      </c>
      <c r="FW69" s="192" t="str">
        <f>IF(AND($C69&lt;&gt;"",$U69&lt;&gt;""),(VLOOKUP($C69,'V-LOOKUP'!$C$122:$M$150,4,FALSE)),"0")</f>
        <v>0</v>
      </c>
      <c r="FX69" s="192" t="str">
        <f>IF(AND($C69&lt;&gt;"",$U69&lt;&gt;""),(VLOOKUP($C69,'V-LOOKUP'!$C$122:$M$150,5,FALSE)),"0")</f>
        <v>0</v>
      </c>
      <c r="FY69" s="192" t="str">
        <f>IF(AND($C69&lt;&gt;"",$U69&lt;&gt;""),(VLOOKUP($C69,'V-LOOKUP'!$C$122:$M$150,6,FALSE)),"0")</f>
        <v>0</v>
      </c>
      <c r="FZ69" s="192" t="str">
        <f>IF(AND($C69&lt;&gt;"",$U69&lt;&gt;""),(VLOOKUP($C69,'V-LOOKUP'!$C$122:$M$150,7,FALSE)),"0")</f>
        <v>0</v>
      </c>
      <c r="GA69" s="192" t="str">
        <f>IF(AND($C69&lt;&gt;"",$U69&lt;&gt;""),(VLOOKUP($C69,'V-LOOKUP'!$C$122:$M$150,8,FALSE)),"0")</f>
        <v>0</v>
      </c>
      <c r="GB69" s="192" t="str">
        <f>IF(AND($C69&lt;&gt;"",$U69&lt;&gt;""),(VLOOKUP($C69,'V-LOOKUP'!$C$122:$M$150,9,FALSE)),"0")</f>
        <v>0</v>
      </c>
      <c r="GC69" s="192" t="str">
        <f>IF(AND($C69&lt;&gt;"",$U69&lt;&gt;""),(VLOOKUP($C69,'V-LOOKUP'!$C$122:$M$150,10,FALSE)),"0")</f>
        <v>0</v>
      </c>
      <c r="GD69" s="192" t="str">
        <f>IF(AND($C69&lt;&gt;"",$U69&lt;&gt;""),(VLOOKUP($C69,'V-LOOKUP'!$C$122:$M$150,11,FALSE)),"0")</f>
        <v>0</v>
      </c>
      <c r="GE69" s="192" t="str">
        <f>IF(AND($C69&lt;&gt;"",$D69&lt;&gt;""),(VLOOKUP($C69,'V-LOOKUP'!$C$122:$N$150,12,FALSE)),"0")</f>
        <v>0</v>
      </c>
      <c r="GF69" s="192" t="str">
        <f>IF(AND($C69&lt;&gt;"",$V69&lt;&gt;""),(VLOOKUP($C69,'V-LOOKUP'!$C$122:$M$150,4,FALSE)),"0")</f>
        <v>0</v>
      </c>
      <c r="GG69" s="192" t="str">
        <f>IF(AND($C69&lt;&gt;"",$V69&lt;&gt;""),(VLOOKUP($C69,'V-LOOKUP'!$C$122:$M$150,5,FALSE)),"0")</f>
        <v>0</v>
      </c>
      <c r="GH69" s="192" t="str">
        <f>IF(AND($C69&lt;&gt;"",$V69&lt;&gt;""),(VLOOKUP($C69,'V-LOOKUP'!$C$122:$M$150,6,FALSE)),"0")</f>
        <v>0</v>
      </c>
      <c r="GI69" s="192" t="str">
        <f>IF(AND($C69&lt;&gt;"",$V69&lt;&gt;""),(VLOOKUP($C69,'V-LOOKUP'!$C$122:$M$150,7,FALSE)),"0")</f>
        <v>0</v>
      </c>
      <c r="GJ69" s="192" t="str">
        <f>IF(AND($C69&lt;&gt;"",$V69&lt;&gt;""),(VLOOKUP($C69,'V-LOOKUP'!$C$122:$M$150,8,FALSE)),"0")</f>
        <v>0</v>
      </c>
      <c r="GK69" s="192" t="str">
        <f>IF(AND($C69&lt;&gt;"",$V69&lt;&gt;""),(VLOOKUP($C69,'V-LOOKUP'!$C$122:$M$150,9,FALSE)),"0")</f>
        <v>0</v>
      </c>
      <c r="GL69" s="192" t="str">
        <f>IF(AND($C69&lt;&gt;"",$V69&lt;&gt;""),(VLOOKUP($C69,'V-LOOKUP'!$C$122:$M$150,10,FALSE)),"0")</f>
        <v>0</v>
      </c>
      <c r="GM69" s="192" t="str">
        <f>IF(AND($C69&lt;&gt;"",$V69&lt;&gt;""),(VLOOKUP($C69,'V-LOOKUP'!$C$122:$M$150,11,FALSE)),"0")</f>
        <v>0</v>
      </c>
      <c r="GN69" s="192" t="str">
        <f>IF(AND($C69&lt;&gt;"",$D69&lt;&gt;""),(VLOOKUP($C69,'V-LOOKUP'!$C$122:$N$150,12,FALSE)),"0")</f>
        <v>0</v>
      </c>
      <c r="GO69" s="192" t="str">
        <f>IF(AND($C69&lt;&gt;"",$W69&lt;&gt;""),(VLOOKUP($C69,'V-LOOKUP'!$C$122:$M$150,4,FALSE)),"0")</f>
        <v>0</v>
      </c>
      <c r="GP69" s="192" t="str">
        <f>IF(AND($C69&lt;&gt;"",$W69&lt;&gt;""),(VLOOKUP($C69,'V-LOOKUP'!$C$122:$M$150,5,FALSE)),"0")</f>
        <v>0</v>
      </c>
      <c r="GQ69" s="192" t="str">
        <f>IF(AND($C69&lt;&gt;"",$W69&lt;&gt;""),(VLOOKUP($C69,'V-LOOKUP'!$C$122:$M$150,6,FALSE)),"0")</f>
        <v>0</v>
      </c>
      <c r="GR69" s="192" t="str">
        <f>IF(AND($C69&lt;&gt;"",$W69&lt;&gt;""),(VLOOKUP($C69,'V-LOOKUP'!$C$122:$M$150,7,FALSE)),"0")</f>
        <v>0</v>
      </c>
      <c r="GS69" s="192" t="str">
        <f>IF(AND($C69&lt;&gt;"",$W69&lt;&gt;""),(VLOOKUP($C69,'V-LOOKUP'!$C$122:$M$150,8,FALSE)),"0")</f>
        <v>0</v>
      </c>
      <c r="GT69" s="192" t="str">
        <f>IF(AND($C69&lt;&gt;"",$W69&lt;&gt;""),(VLOOKUP($C69,'V-LOOKUP'!$C$122:$M$150,9,FALSE)),"0")</f>
        <v>0</v>
      </c>
      <c r="GU69" s="192" t="str">
        <f>IF(AND($C69&lt;&gt;"",$W69&lt;&gt;""),(VLOOKUP($C69,'V-LOOKUP'!$C$122:$M$150,10,FALSE)),"0")</f>
        <v>0</v>
      </c>
      <c r="GV69" s="192" t="str">
        <f>IF(AND($C69&lt;&gt;"",$W69&lt;&gt;""),(VLOOKUP($C69,'V-LOOKUP'!$C$122:$M$150,11,FALSE)),"0")</f>
        <v>0</v>
      </c>
      <c r="GW69" s="192" t="str">
        <f>IF(AND($C69&lt;&gt;"",$D69&lt;&gt;""),(VLOOKUP($C69,'V-LOOKUP'!$C$122:$N$150,12,FALSE)),"0")</f>
        <v>0</v>
      </c>
    </row>
    <row r="70" spans="1:205" ht="14.65" customHeight="1">
      <c r="B70" s="245"/>
      <c r="C70" s="203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Y70" s="190"/>
      <c r="Z70" s="192" t="str">
        <f>IF(AND($C70&lt;&gt;"",$D70&lt;&gt;""),(VLOOKUP($C70,'V-LOOKUP'!$C$122:$M$150,4,FALSE)),"0")</f>
        <v>0</v>
      </c>
      <c r="AA70" s="192" t="str">
        <f>IF(AND($C70&lt;&gt;"",$D70&lt;&gt;""),(VLOOKUP($C70,'V-LOOKUP'!$C$122:$M$150,5,FALSE)),"0")</f>
        <v>0</v>
      </c>
      <c r="AB70" s="192" t="str">
        <f>IF(AND($C70&lt;&gt;"",$D70&lt;&gt;""),(VLOOKUP($C70,'V-LOOKUP'!$C$122:$M$150,6,FALSE)),"0")</f>
        <v>0</v>
      </c>
      <c r="AC70" s="192" t="str">
        <f>IF(AND($C70&lt;&gt;"",$D70&lt;&gt;""),(VLOOKUP($C70,'V-LOOKUP'!$C$122:$M$150,7,FALSE)),"0")</f>
        <v>0</v>
      </c>
      <c r="AD70" s="192" t="str">
        <f>IF(AND($C70&lt;&gt;"",$D70&lt;&gt;""),(VLOOKUP($C70,'V-LOOKUP'!$C$122:$M$150,8,FALSE)),"0")</f>
        <v>0</v>
      </c>
      <c r="AE70" s="192" t="str">
        <f>IF(AND($C70&lt;&gt;"",$D70&lt;&gt;""),(VLOOKUP($C70,'V-LOOKUP'!$C$122:$M$150,9,FALSE)),"0")</f>
        <v>0</v>
      </c>
      <c r="AF70" s="192" t="str">
        <f>IF(AND($C70&lt;&gt;"",$D70&lt;&gt;""),(VLOOKUP($C70,'V-LOOKUP'!$C$122:$M$150,10,FALSE)),"0")</f>
        <v>0</v>
      </c>
      <c r="AG70" s="192" t="str">
        <f>IF(AND($C70&lt;&gt;"",$D70&lt;&gt;""),(VLOOKUP($C70,'V-LOOKUP'!$C$122:$M$150,11,FALSE)),"0")</f>
        <v>0</v>
      </c>
      <c r="AH70" s="192" t="str">
        <f>IF(AND($C70&lt;&gt;"",$D70&lt;&gt;""),(VLOOKUP($C70,'V-LOOKUP'!$C$122:$N$150,12,FALSE)),"0")</f>
        <v>0</v>
      </c>
      <c r="AI70" s="192" t="str">
        <f>IF(AND($C70&lt;&gt;"",$E70&lt;&gt;""),(VLOOKUP($C70,'V-LOOKUP'!$C$122:$M$150,4,FALSE)),"0")</f>
        <v>0</v>
      </c>
      <c r="AJ70" s="192" t="str">
        <f>IF(AND($C70&lt;&gt;"",$E70&lt;&gt;""),(VLOOKUP($C70,'V-LOOKUP'!$C$122:$M$150,5,FALSE)),"0")</f>
        <v>0</v>
      </c>
      <c r="AK70" s="192" t="str">
        <f>IF(AND($C70&lt;&gt;"",$E70&lt;&gt;""),(VLOOKUP($C70,'V-LOOKUP'!$C$122:$M$150,6,FALSE)),"0")</f>
        <v>0</v>
      </c>
      <c r="AL70" s="192" t="str">
        <f>IF(AND($C70&lt;&gt;"",$E70&lt;&gt;""),(VLOOKUP($C70,'V-LOOKUP'!$C$122:$M$150,7,FALSE)),"0")</f>
        <v>0</v>
      </c>
      <c r="AM70" s="192" t="str">
        <f>IF(AND($C70&lt;&gt;"",$E70&lt;&gt;""),(VLOOKUP($C70,'V-LOOKUP'!$C$122:$M$150,8,FALSE)),"0")</f>
        <v>0</v>
      </c>
      <c r="AN70" s="192" t="str">
        <f>IF(AND($C70&lt;&gt;"",$E70&lt;&gt;""),(VLOOKUP($C70,'V-LOOKUP'!$C$122:$M$150,9,FALSE)),"0")</f>
        <v>0</v>
      </c>
      <c r="AO70" s="192" t="str">
        <f>IF(AND($C70&lt;&gt;"",$E70&lt;&gt;""),(VLOOKUP($C70,'V-LOOKUP'!$C$122:$M$150,10,FALSE)),"0")</f>
        <v>0</v>
      </c>
      <c r="AP70" s="192" t="str">
        <f>IF(AND($C70&lt;&gt;"",$E70&lt;&gt;""),(VLOOKUP($C70,'V-LOOKUP'!$C$122:$M$150,11,FALSE)),"0")</f>
        <v>0</v>
      </c>
      <c r="AQ70" s="192" t="str">
        <f>IF(AND($C70&lt;&gt;"",$D70&lt;&gt;""),(VLOOKUP($C70,'V-LOOKUP'!$C$122:$N$150,12,FALSE)),"0")</f>
        <v>0</v>
      </c>
      <c r="AR70" s="192" t="str">
        <f>IF(AND($C70&lt;&gt;"",$F70&lt;&gt;""),(VLOOKUP($C70,'V-LOOKUP'!$C$122:$M$150,4,FALSE)),"0")</f>
        <v>0</v>
      </c>
      <c r="AS70" s="192" t="str">
        <f>IF(AND($C70&lt;&gt;"",$F70&lt;&gt;""),(VLOOKUP($C70,'V-LOOKUP'!$C$122:$M$150,5,FALSE)),"0")</f>
        <v>0</v>
      </c>
      <c r="AT70" s="192" t="str">
        <f>IF(AND($C70&lt;&gt;"",$F70&lt;&gt;""),(VLOOKUP($C70,'V-LOOKUP'!$C$122:$M$150,6,FALSE)),"0")</f>
        <v>0</v>
      </c>
      <c r="AU70" s="192" t="str">
        <f>IF(AND($C70&lt;&gt;"",$F70&lt;&gt;""),(VLOOKUP($C70,'V-LOOKUP'!$C$122:$M$150,7,FALSE)),"0")</f>
        <v>0</v>
      </c>
      <c r="AV70" s="192" t="str">
        <f>IF(AND($C70&lt;&gt;"",$F70&lt;&gt;""),(VLOOKUP($C70,'V-LOOKUP'!$C$122:$M$150,8,FALSE)),"0")</f>
        <v>0</v>
      </c>
      <c r="AW70" s="192" t="str">
        <f>IF(AND($C70&lt;&gt;"",$F70&lt;&gt;""),(VLOOKUP($C70,'V-LOOKUP'!$C$122:$M$150,9,FALSE)),"0")</f>
        <v>0</v>
      </c>
      <c r="AX70" s="192" t="str">
        <f>IF(AND($C70&lt;&gt;"",$F70&lt;&gt;""),(VLOOKUP($C70,'V-LOOKUP'!$C$122:$M$150,10,FALSE)),"0")</f>
        <v>0</v>
      </c>
      <c r="AY70" s="192" t="str">
        <f>IF(AND($C70&lt;&gt;"",$F70&lt;&gt;""),(VLOOKUP($C70,'V-LOOKUP'!$C$122:$M$150,11,FALSE)),"0")</f>
        <v>0</v>
      </c>
      <c r="AZ70" s="192" t="str">
        <f>IF(AND($C70&lt;&gt;"",$D70&lt;&gt;""),(VLOOKUP($C70,'V-LOOKUP'!$C$122:$N$150,12,FALSE)),"0")</f>
        <v>0</v>
      </c>
      <c r="BA70" s="192" t="str">
        <f>IF(AND($C70&lt;&gt;"",$G70&lt;&gt;""),(VLOOKUP($C70,'V-LOOKUP'!$C$122:$M$150,4,FALSE)),"0")</f>
        <v>0</v>
      </c>
      <c r="BB70" s="192" t="str">
        <f>IF(AND($C70&lt;&gt;"",$G70&lt;&gt;""),(VLOOKUP($C70,'V-LOOKUP'!$C$122:$M$150,5,FALSE)),"0")</f>
        <v>0</v>
      </c>
      <c r="BC70" s="192" t="str">
        <f>IF(AND($C70&lt;&gt;"",$G70&lt;&gt;""),(VLOOKUP($C70,'V-LOOKUP'!$C$122:$M$150,6,FALSE)),"0")</f>
        <v>0</v>
      </c>
      <c r="BD70" s="192" t="str">
        <f>IF(AND($C70&lt;&gt;"",$G70&lt;&gt;""),(VLOOKUP($C70,'V-LOOKUP'!$C$122:$M$150,7,FALSE)),"0")</f>
        <v>0</v>
      </c>
      <c r="BE70" s="192" t="str">
        <f>IF(AND($C70&lt;&gt;"",$G70&lt;&gt;""),(VLOOKUP($C70,'V-LOOKUP'!$C$122:$M$150,8,FALSE)),"0")</f>
        <v>0</v>
      </c>
      <c r="BF70" s="192" t="str">
        <f>IF(AND($C70&lt;&gt;"",$G70&lt;&gt;""),(VLOOKUP($C70,'V-LOOKUP'!$C$122:$M$150,9,FALSE)),"0")</f>
        <v>0</v>
      </c>
      <c r="BG70" s="192" t="str">
        <f>IF(AND($C70&lt;&gt;"",$G70&lt;&gt;""),(VLOOKUP($C70,'V-LOOKUP'!$C$122:$M$150,10,FALSE)),"0")</f>
        <v>0</v>
      </c>
      <c r="BH70" s="192" t="str">
        <f>IF(AND($C70&lt;&gt;"",$G70&lt;&gt;""),(VLOOKUP($C70,'V-LOOKUP'!$C$122:$M$150,11,FALSE)),"0")</f>
        <v>0</v>
      </c>
      <c r="BI70" s="192" t="str">
        <f>IF(AND($C70&lt;&gt;"",$D70&lt;&gt;""),(VLOOKUP($C70,'V-LOOKUP'!$C$122:$N$150,12,FALSE)),"0")</f>
        <v>0</v>
      </c>
      <c r="BJ70" s="192" t="str">
        <f>IF(AND($C70&lt;&gt;"",$H70&lt;&gt;""),(VLOOKUP($C70,'V-LOOKUP'!$C$122:$M$150,4,FALSE)),"0")</f>
        <v>0</v>
      </c>
      <c r="BK70" s="192" t="str">
        <f>IF(AND($C70&lt;&gt;"",$H70&lt;&gt;""),(VLOOKUP($C70,'V-LOOKUP'!$C$122:$M$150,5,FALSE)),"0")</f>
        <v>0</v>
      </c>
      <c r="BL70" s="192" t="str">
        <f>IF(AND($C70&lt;&gt;"",$H70&lt;&gt;""),(VLOOKUP($C70,'V-LOOKUP'!$C$122:$M$150,6,FALSE)),"0")</f>
        <v>0</v>
      </c>
      <c r="BM70" s="192" t="str">
        <f>IF(AND($C70&lt;&gt;"",$H70&lt;&gt;""),(VLOOKUP($C70,'V-LOOKUP'!$C$122:$M$150,7,FALSE)),"0")</f>
        <v>0</v>
      </c>
      <c r="BN70" s="192" t="str">
        <f>IF(AND($C70&lt;&gt;"",$H70&lt;&gt;""),(VLOOKUP($C70,'V-LOOKUP'!$C$122:$M$150,8,FALSE)),"0")</f>
        <v>0</v>
      </c>
      <c r="BO70" s="192" t="str">
        <f>IF(AND($C70&lt;&gt;"",$H70&lt;&gt;""),(VLOOKUP($C70,'V-LOOKUP'!$C$122:$M$150,9,FALSE)),"0")</f>
        <v>0</v>
      </c>
      <c r="BP70" s="192" t="str">
        <f>IF(AND($C70&lt;&gt;"",$H70&lt;&gt;""),(VLOOKUP($C70,'V-LOOKUP'!$C$122:$M$150,10,FALSE)),"0")</f>
        <v>0</v>
      </c>
      <c r="BQ70" s="192" t="str">
        <f>IF(AND($C70&lt;&gt;"",$H70&lt;&gt;""),(VLOOKUP($C70,'V-LOOKUP'!$C$122:$M$150,11,FALSE)),"0")</f>
        <v>0</v>
      </c>
      <c r="BR70" s="192" t="str">
        <f>IF(AND($C70&lt;&gt;"",$D70&lt;&gt;""),(VLOOKUP($C70,'V-LOOKUP'!$C$122:$N$150,12,FALSE)),"0")</f>
        <v>0</v>
      </c>
      <c r="BS70" s="192" t="str">
        <f>IF(AND($C70&lt;&gt;"",$I70&lt;&gt;""),(VLOOKUP($C70,'V-LOOKUP'!$C$122:$M$150,4,FALSE)),"0")</f>
        <v>0</v>
      </c>
      <c r="BT70" s="192" t="str">
        <f>IF(AND($C70&lt;&gt;"",$I70&lt;&gt;""),(VLOOKUP($C70,'V-LOOKUP'!$C$122:$M$150,5,FALSE)),"0")</f>
        <v>0</v>
      </c>
      <c r="BU70" s="192" t="str">
        <f>IF(AND($C70&lt;&gt;"",$I70&lt;&gt;""),(VLOOKUP($C70,'V-LOOKUP'!$C$122:$M$150,6,FALSE)),"0")</f>
        <v>0</v>
      </c>
      <c r="BV70" s="192" t="str">
        <f>IF(AND($C70&lt;&gt;"",$I70&lt;&gt;""),(VLOOKUP($C70,'V-LOOKUP'!$C$122:$M$150,7,FALSE)),"0")</f>
        <v>0</v>
      </c>
      <c r="BW70" s="192" t="str">
        <f>IF(AND($C70&lt;&gt;"",$I70&lt;&gt;""),(VLOOKUP($C70,'V-LOOKUP'!$C$122:$M$150,8,FALSE)),"0")</f>
        <v>0</v>
      </c>
      <c r="BX70" s="192" t="str">
        <f>IF(AND($C70&lt;&gt;"",$I70&lt;&gt;""),(VLOOKUP($C70,'V-LOOKUP'!$C$122:$M$150,9,FALSE)),"0")</f>
        <v>0</v>
      </c>
      <c r="BY70" s="192" t="str">
        <f>IF(AND($C70&lt;&gt;"",$I70&lt;&gt;""),(VLOOKUP($C70,'V-LOOKUP'!$C$122:$M$150,10,FALSE)),"0")</f>
        <v>0</v>
      </c>
      <c r="BZ70" s="192" t="str">
        <f>IF(AND($C70&lt;&gt;"",$I70&lt;&gt;""),(VLOOKUP($C70,'V-LOOKUP'!$C$122:$M$150,11,FALSE)),"0")</f>
        <v>0</v>
      </c>
      <c r="CA70" s="192" t="str">
        <f>IF(AND($C70&lt;&gt;"",$D70&lt;&gt;""),(VLOOKUP($C70,'V-LOOKUP'!$C$122:$N$150,12,FALSE)),"0")</f>
        <v>0</v>
      </c>
      <c r="CB70" s="192" t="str">
        <f>IF(AND($C70&lt;&gt;"",$J70&lt;&gt;""),(VLOOKUP($C70,'V-LOOKUP'!$C$122:$M$150,4,FALSE)),"0")</f>
        <v>0</v>
      </c>
      <c r="CC70" s="192" t="str">
        <f>IF(AND($C70&lt;&gt;"",$J70&lt;&gt;""),(VLOOKUP($C70,'V-LOOKUP'!$C$122:$M$150,5,FALSE)),"0")</f>
        <v>0</v>
      </c>
      <c r="CD70" s="192" t="str">
        <f>IF(AND($C70&lt;&gt;"",$J70&lt;&gt;""),(VLOOKUP($C70,'V-LOOKUP'!$C$122:$M$150,6,FALSE)),"0")</f>
        <v>0</v>
      </c>
      <c r="CE70" s="192" t="str">
        <f>IF(AND($C70&lt;&gt;"",$J70&lt;&gt;""),(VLOOKUP($C70,'V-LOOKUP'!$C$122:$M$150,7,FALSE)),"0")</f>
        <v>0</v>
      </c>
      <c r="CF70" s="192" t="str">
        <f>IF(AND($C70&lt;&gt;"",$J70&lt;&gt;""),(VLOOKUP($C70,'V-LOOKUP'!$C$122:$M$150,8,FALSE)),"0")</f>
        <v>0</v>
      </c>
      <c r="CG70" s="192" t="str">
        <f>IF(AND($C70&lt;&gt;"",$J70&lt;&gt;""),(VLOOKUP($C70,'V-LOOKUP'!$C$122:$M$150,9,FALSE)),"0")</f>
        <v>0</v>
      </c>
      <c r="CH70" s="192" t="str">
        <f>IF(AND($C70&lt;&gt;"",$J70&lt;&gt;""),(VLOOKUP($C70,'V-LOOKUP'!$C$122:$M$150,10,FALSE)),"0")</f>
        <v>0</v>
      </c>
      <c r="CI70" s="192" t="str">
        <f>IF(AND($C70&lt;&gt;"",$J70&lt;&gt;""),(VLOOKUP($C70,'V-LOOKUP'!$C$122:$M$150,11,FALSE)),"0")</f>
        <v>0</v>
      </c>
      <c r="CJ70" s="192" t="str">
        <f>IF(AND($C70&lt;&gt;"",$D70&lt;&gt;""),(VLOOKUP($C70,'V-LOOKUP'!$C$122:$N$150,12,FALSE)),"0")</f>
        <v>0</v>
      </c>
      <c r="CK70" s="192" t="str">
        <f>IF(AND($C70&lt;&gt;"",$K70&lt;&gt;""),(VLOOKUP($C70,'V-LOOKUP'!$C$122:$M$150,4,FALSE)),"0")</f>
        <v>0</v>
      </c>
      <c r="CL70" s="192" t="str">
        <f>IF(AND($C70&lt;&gt;"",$K70&lt;&gt;""),(VLOOKUP($C70,'V-LOOKUP'!$C$122:$M$150,5,FALSE)),"0")</f>
        <v>0</v>
      </c>
      <c r="CM70" s="192" t="str">
        <f>IF(AND($C70&lt;&gt;"",$K70&lt;&gt;""),(VLOOKUP($C70,'V-LOOKUP'!$C$122:$M$150,6,FALSE)),"0")</f>
        <v>0</v>
      </c>
      <c r="CN70" s="192" t="str">
        <f>IF(AND($C70&lt;&gt;"",$K70&lt;&gt;""),(VLOOKUP($C70,'V-LOOKUP'!$C$122:$M$150,7,FALSE)),"0")</f>
        <v>0</v>
      </c>
      <c r="CO70" s="192" t="str">
        <f>IF(AND($C70&lt;&gt;"",$K70&lt;&gt;""),(VLOOKUP($C70,'V-LOOKUP'!$C$122:$M$150,8,FALSE)),"0")</f>
        <v>0</v>
      </c>
      <c r="CP70" s="192" t="str">
        <f>IF(AND($C70&lt;&gt;"",$K70&lt;&gt;""),(VLOOKUP($C70,'V-LOOKUP'!$C$122:$M$150,9,FALSE)),"0")</f>
        <v>0</v>
      </c>
      <c r="CQ70" s="192" t="str">
        <f>IF(AND($C70&lt;&gt;"",$K70&lt;&gt;""),(VLOOKUP($C70,'V-LOOKUP'!$C$122:$M$150,10,FALSE)),"0")</f>
        <v>0</v>
      </c>
      <c r="CR70" s="192" t="str">
        <f>IF(AND($C70&lt;&gt;"",$K70&lt;&gt;""),(VLOOKUP($C70,'V-LOOKUP'!$C$122:$M$150,11,FALSE)),"0")</f>
        <v>0</v>
      </c>
      <c r="CS70" s="192" t="str">
        <f>IF(AND($C70&lt;&gt;"",$D70&lt;&gt;""),(VLOOKUP($C70,'V-LOOKUP'!$C$122:$N$150,12,FALSE)),"0")</f>
        <v>0</v>
      </c>
      <c r="CT70" s="192" t="str">
        <f>IF(AND($C70&lt;&gt;"",$L70&lt;&gt;""),(VLOOKUP($C70,'V-LOOKUP'!$C$122:$M$150,4,FALSE)),"0")</f>
        <v>0</v>
      </c>
      <c r="CU70" s="192" t="str">
        <f>IF(AND($C70&lt;&gt;"",$L70&lt;&gt;""),(VLOOKUP($C70,'V-LOOKUP'!$C$122:$M$150,5,FALSE)),"0")</f>
        <v>0</v>
      </c>
      <c r="CV70" s="192" t="str">
        <f>IF(AND($C70&lt;&gt;"",$L70&lt;&gt;""),(VLOOKUP($C70,'V-LOOKUP'!$C$122:$M$150,6,FALSE)),"0")</f>
        <v>0</v>
      </c>
      <c r="CW70" s="192" t="str">
        <f>IF(AND($C70&lt;&gt;"",$L70&lt;&gt;""),(VLOOKUP($C70,'V-LOOKUP'!$C$122:$M$150,7,FALSE)),"0")</f>
        <v>0</v>
      </c>
      <c r="CX70" s="192" t="str">
        <f>IF(AND($C70&lt;&gt;"",$L70&lt;&gt;""),(VLOOKUP($C70,'V-LOOKUP'!$C$122:$M$150,8,FALSE)),"0")</f>
        <v>0</v>
      </c>
      <c r="CY70" s="192" t="str">
        <f>IF(AND($C70&lt;&gt;"",$L70&lt;&gt;""),(VLOOKUP($C70,'V-LOOKUP'!$C$122:$M$150,9,FALSE)),"0")</f>
        <v>0</v>
      </c>
      <c r="CZ70" s="192" t="str">
        <f>IF(AND($C70&lt;&gt;"",$L70&lt;&gt;""),(VLOOKUP($C70,'V-LOOKUP'!$C$122:$M$150,10,FALSE)),"0")</f>
        <v>0</v>
      </c>
      <c r="DA70" s="192" t="str">
        <f>IF(AND($C70&lt;&gt;"",$L70&lt;&gt;""),(VLOOKUP($C70,'V-LOOKUP'!$C$122:$M$150,11,FALSE)),"0")</f>
        <v>0</v>
      </c>
      <c r="DB70" s="192" t="str">
        <f>IF(AND($C70&lt;&gt;"",$D70&lt;&gt;""),(VLOOKUP($C70,'V-LOOKUP'!$C$122:$N$150,12,FALSE)),"0")</f>
        <v>0</v>
      </c>
      <c r="DC70" s="192" t="str">
        <f>IF(AND($C70&lt;&gt;"",$M70&lt;&gt;""),(VLOOKUP($C70,'V-LOOKUP'!$C$122:$M$150,4,FALSE)),"0")</f>
        <v>0</v>
      </c>
      <c r="DD70" s="192" t="str">
        <f>IF(AND($C70&lt;&gt;"",$M70&lt;&gt;""),(VLOOKUP($C70,'V-LOOKUP'!$C$122:$M$150,5,FALSE)),"0")</f>
        <v>0</v>
      </c>
      <c r="DE70" s="192" t="str">
        <f>IF(AND($C70&lt;&gt;"",$M70&lt;&gt;""),(VLOOKUP($C70,'V-LOOKUP'!$C$122:$M$150,6,FALSE)),"0")</f>
        <v>0</v>
      </c>
      <c r="DF70" s="192" t="str">
        <f>IF(AND($C70&lt;&gt;"",$M70&lt;&gt;""),(VLOOKUP($C70,'V-LOOKUP'!$C$122:$M$150,7,FALSE)),"0")</f>
        <v>0</v>
      </c>
      <c r="DG70" s="192" t="str">
        <f>IF(AND($C70&lt;&gt;"",$M70&lt;&gt;""),(VLOOKUP($C70,'V-LOOKUP'!$C$122:$M$150,8,FALSE)),"0")</f>
        <v>0</v>
      </c>
      <c r="DH70" s="192" t="str">
        <f>IF(AND($C70&lt;&gt;"",$M70&lt;&gt;""),(VLOOKUP($C70,'V-LOOKUP'!$C$122:$M$150,9,FALSE)),"0")</f>
        <v>0</v>
      </c>
      <c r="DI70" s="192" t="str">
        <f>IF(AND($C70&lt;&gt;"",$M70&lt;&gt;""),(VLOOKUP($C70,'V-LOOKUP'!$C$122:$M$150,10,FALSE)),"0")</f>
        <v>0</v>
      </c>
      <c r="DJ70" s="192" t="str">
        <f>IF(AND($C70&lt;&gt;"",$M70&lt;&gt;""),(VLOOKUP($C70,'V-LOOKUP'!$C$122:$M$150,11,FALSE)),"0")</f>
        <v>0</v>
      </c>
      <c r="DK70" s="192" t="str">
        <f>IF(AND($C70&lt;&gt;"",$D70&lt;&gt;""),(VLOOKUP($C70,'V-LOOKUP'!$C$122:$N$150,12,FALSE)),"0")</f>
        <v>0</v>
      </c>
      <c r="DL70" s="192" t="str">
        <f>IF(AND($C70&lt;&gt;"",$N70&lt;&gt;""),(VLOOKUP($C70,'V-LOOKUP'!$C$122:$M$150,4,FALSE)),"0")</f>
        <v>0</v>
      </c>
      <c r="DM70" s="192" t="str">
        <f>IF(AND($C70&lt;&gt;"",$N70&lt;&gt;""),(VLOOKUP($C70,'V-LOOKUP'!$C$122:$M$150,5,FALSE)),"0")</f>
        <v>0</v>
      </c>
      <c r="DN70" s="192" t="str">
        <f>IF(AND($C70&lt;&gt;"",$N70&lt;&gt;""),(VLOOKUP($C70,'V-LOOKUP'!$C$122:$M$150,6,FALSE)),"0")</f>
        <v>0</v>
      </c>
      <c r="DO70" s="192" t="str">
        <f>IF(AND($C70&lt;&gt;"",$N70&lt;&gt;""),(VLOOKUP($C70,'V-LOOKUP'!$C$122:$M$150,7,FALSE)),"0")</f>
        <v>0</v>
      </c>
      <c r="DP70" s="192" t="str">
        <f>IF(AND($C70&lt;&gt;"",$N70&lt;&gt;""),(VLOOKUP($C70,'V-LOOKUP'!$C$122:$M$150,8,FALSE)),"0")</f>
        <v>0</v>
      </c>
      <c r="DQ70" s="192" t="str">
        <f>IF(AND($C70&lt;&gt;"",$N70&lt;&gt;""),(VLOOKUP($C70,'V-LOOKUP'!$C$122:$M$150,9,FALSE)),"0")</f>
        <v>0</v>
      </c>
      <c r="DR70" s="192" t="str">
        <f>IF(AND($C70&lt;&gt;"",$N70&lt;&gt;""),(VLOOKUP($C70,'V-LOOKUP'!$C$122:$M$150,10,FALSE)),"0")</f>
        <v>0</v>
      </c>
      <c r="DS70" s="192" t="str">
        <f>IF(AND($C70&lt;&gt;"",$N70&lt;&gt;""),(VLOOKUP($C70,'V-LOOKUP'!$C$122:$M$150,11,FALSE)),"0")</f>
        <v>0</v>
      </c>
      <c r="DT70" s="192" t="str">
        <f>IF(AND($C70&lt;&gt;"",$D70&lt;&gt;""),(VLOOKUP($C70,'V-LOOKUP'!$C$122:$N$150,12,FALSE)),"0")</f>
        <v>0</v>
      </c>
      <c r="DU70" s="192" t="str">
        <f>IF(AND($C70&lt;&gt;"",$O70&lt;&gt;""),(VLOOKUP($C70,'V-LOOKUP'!$C$122:$M$150,4,FALSE)),"0")</f>
        <v>0</v>
      </c>
      <c r="DV70" s="192" t="str">
        <f>IF(AND($C70&lt;&gt;"",$O70&lt;&gt;""),(VLOOKUP($C70,'V-LOOKUP'!$C$122:$M$150,5,FALSE)),"0")</f>
        <v>0</v>
      </c>
      <c r="DW70" s="192" t="str">
        <f>IF(AND($C70&lt;&gt;"",$O70&lt;&gt;""),(VLOOKUP($C70,'V-LOOKUP'!$C$122:$M$150,6,FALSE)),"0")</f>
        <v>0</v>
      </c>
      <c r="DX70" s="192" t="str">
        <f>IF(AND($C70&lt;&gt;"",$O70&lt;&gt;""),(VLOOKUP($C70,'V-LOOKUP'!$C$122:$M$150,7,FALSE)),"0")</f>
        <v>0</v>
      </c>
      <c r="DY70" s="192" t="str">
        <f>IF(AND($C70&lt;&gt;"",$O70&lt;&gt;""),(VLOOKUP($C70,'V-LOOKUP'!$C$122:$M$150,8,FALSE)),"0")</f>
        <v>0</v>
      </c>
      <c r="DZ70" s="192" t="str">
        <f>IF(AND($C70&lt;&gt;"",$O70&lt;&gt;""),(VLOOKUP($C70,'V-LOOKUP'!$C$122:$M$150,9,FALSE)),"0")</f>
        <v>0</v>
      </c>
      <c r="EA70" s="192" t="str">
        <f>IF(AND($C70&lt;&gt;"",$O70&lt;&gt;""),(VLOOKUP($C70,'V-LOOKUP'!$C$122:$M$150,10,FALSE)),"0")</f>
        <v>0</v>
      </c>
      <c r="EB70" s="192" t="str">
        <f>IF(AND($C70&lt;&gt;"",$O70&lt;&gt;""),(VLOOKUP($C70,'V-LOOKUP'!$C$122:$M$150,11,FALSE)),"0")</f>
        <v>0</v>
      </c>
      <c r="EC70" s="192" t="str">
        <f>IF(AND($C70&lt;&gt;"",$D70&lt;&gt;""),(VLOOKUP($C70,'V-LOOKUP'!$C$122:$N$150,12,FALSE)),"0")</f>
        <v>0</v>
      </c>
      <c r="ED70" s="192" t="str">
        <f>IF(AND($C70&lt;&gt;"",$P70&lt;&gt;""),(VLOOKUP($C70,'V-LOOKUP'!$C$122:$M$150,4,FALSE)),"0")</f>
        <v>0</v>
      </c>
      <c r="EE70" s="192" t="str">
        <f>IF(AND($C70&lt;&gt;"",$P70&lt;&gt;""),(VLOOKUP($C70,'V-LOOKUP'!$C$122:$M$150,5,FALSE)),"0")</f>
        <v>0</v>
      </c>
      <c r="EF70" s="192" t="str">
        <f>IF(AND($C70&lt;&gt;"",$P70&lt;&gt;""),(VLOOKUP($C70,'V-LOOKUP'!$C$122:$M$150,6,FALSE)),"0")</f>
        <v>0</v>
      </c>
      <c r="EG70" s="192" t="str">
        <f>IF(AND($C70&lt;&gt;"",$P70&lt;&gt;""),(VLOOKUP($C70,'V-LOOKUP'!$C$122:$M$150,7,FALSE)),"0")</f>
        <v>0</v>
      </c>
      <c r="EH70" s="192" t="str">
        <f>IF(AND($C70&lt;&gt;"",$P70&lt;&gt;""),(VLOOKUP($C70,'V-LOOKUP'!$C$122:$M$150,8,FALSE)),"0")</f>
        <v>0</v>
      </c>
      <c r="EI70" s="192" t="str">
        <f>IF(AND($C70&lt;&gt;"",$P70&lt;&gt;""),(VLOOKUP($C70,'V-LOOKUP'!$C$122:$M$150,9,FALSE)),"0")</f>
        <v>0</v>
      </c>
      <c r="EJ70" s="192" t="str">
        <f>IF(AND($C70&lt;&gt;"",$P70&lt;&gt;""),(VLOOKUP($C70,'V-LOOKUP'!$C$122:$M$150,10,FALSE)),"0")</f>
        <v>0</v>
      </c>
      <c r="EK70" s="192" t="str">
        <f>IF(AND($C70&lt;&gt;"",$P70&lt;&gt;""),(VLOOKUP($C70,'V-LOOKUP'!$C$122:$M$150,11,FALSE)),"0")</f>
        <v>0</v>
      </c>
      <c r="EL70" s="192" t="str">
        <f>IF(AND($C70&lt;&gt;"",$D70&lt;&gt;""),(VLOOKUP($C70,'V-LOOKUP'!$C$122:$N$150,12,FALSE)),"0")</f>
        <v>0</v>
      </c>
      <c r="EM70" s="192" t="str">
        <f>IF(AND($C70&lt;&gt;"",$Q70&lt;&gt;""),(VLOOKUP($C70,'V-LOOKUP'!$C$122:$M$150,4,FALSE)),"0")</f>
        <v>0</v>
      </c>
      <c r="EN70" s="192" t="str">
        <f>IF(AND($C70&lt;&gt;"",$Q70&lt;&gt;""),(VLOOKUP($C70,'V-LOOKUP'!$C$122:$M$150,5,FALSE)),"0")</f>
        <v>0</v>
      </c>
      <c r="EO70" s="192" t="str">
        <f>IF(AND($C70&lt;&gt;"",$Q70&lt;&gt;""),(VLOOKUP($C70,'V-LOOKUP'!$C$122:$M$150,6,FALSE)),"0")</f>
        <v>0</v>
      </c>
      <c r="EP70" s="192" t="str">
        <f>IF(AND($C70&lt;&gt;"",$Q70&lt;&gt;""),(VLOOKUP($C70,'V-LOOKUP'!$C$122:$M$150,7,FALSE)),"0")</f>
        <v>0</v>
      </c>
      <c r="EQ70" s="192" t="str">
        <f>IF(AND($C70&lt;&gt;"",$Q70&lt;&gt;""),(VLOOKUP($C70,'V-LOOKUP'!$C$122:$M$150,8,FALSE)),"0")</f>
        <v>0</v>
      </c>
      <c r="ER70" s="192" t="str">
        <f>IF(AND($C70&lt;&gt;"",$Q70&lt;&gt;""),(VLOOKUP($C70,'V-LOOKUP'!$C$122:$M$150,9,FALSE)),"0")</f>
        <v>0</v>
      </c>
      <c r="ES70" s="192" t="str">
        <f>IF(AND($C70&lt;&gt;"",$Q70&lt;&gt;""),(VLOOKUP($C70,'V-LOOKUP'!$C$122:$M$150,10,FALSE)),"0")</f>
        <v>0</v>
      </c>
      <c r="ET70" s="192" t="str">
        <f>IF(AND($C70&lt;&gt;"",$Q70&lt;&gt;""),(VLOOKUP($C70,'V-LOOKUP'!$C$122:$M$150,11,FALSE)),"0")</f>
        <v>0</v>
      </c>
      <c r="EU70" s="192" t="str">
        <f>IF(AND($C70&lt;&gt;"",$D70&lt;&gt;""),(VLOOKUP($C70,'V-LOOKUP'!$C$122:$N$150,12,FALSE)),"0")</f>
        <v>0</v>
      </c>
      <c r="EV70" s="192" t="str">
        <f>IF(AND($C70&lt;&gt;"",$R70&lt;&gt;""),(VLOOKUP($C70,'V-LOOKUP'!$C$122:$M$150,4,FALSE)),"0")</f>
        <v>0</v>
      </c>
      <c r="EW70" s="192" t="str">
        <f>IF(AND($C70&lt;&gt;"",$R70&lt;&gt;""),(VLOOKUP($C70,'V-LOOKUP'!$C$122:$M$150,5,FALSE)),"0")</f>
        <v>0</v>
      </c>
      <c r="EX70" s="192" t="str">
        <f>IF(AND($C70&lt;&gt;"",$R70&lt;&gt;""),(VLOOKUP($C70,'V-LOOKUP'!$C$122:$M$150,6,FALSE)),"0")</f>
        <v>0</v>
      </c>
      <c r="EY70" s="192" t="str">
        <f>IF(AND($C70&lt;&gt;"",$R70&lt;&gt;""),(VLOOKUP($C70,'V-LOOKUP'!$C$122:$M$150,7,FALSE)),"0")</f>
        <v>0</v>
      </c>
      <c r="EZ70" s="192" t="str">
        <f>IF(AND($C70&lt;&gt;"",$R70&lt;&gt;""),(VLOOKUP($C70,'V-LOOKUP'!$C$122:$M$150,8,FALSE)),"0")</f>
        <v>0</v>
      </c>
      <c r="FA70" s="192" t="str">
        <f>IF(AND($C70&lt;&gt;"",$R70&lt;&gt;""),(VLOOKUP($C70,'V-LOOKUP'!$C$122:$M$150,9,FALSE)),"0")</f>
        <v>0</v>
      </c>
      <c r="FB70" s="192" t="str">
        <f>IF(AND($C70&lt;&gt;"",$R70&lt;&gt;""),(VLOOKUP($C70,'V-LOOKUP'!$C$122:$M$150,10,FALSE)),"0")</f>
        <v>0</v>
      </c>
      <c r="FC70" s="192" t="str">
        <f>IF(AND($C70&lt;&gt;"",$R70&lt;&gt;""),(VLOOKUP($C70,'V-LOOKUP'!$C$122:$M$150,11,FALSE)),"0")</f>
        <v>0</v>
      </c>
      <c r="FD70" s="192" t="str">
        <f>IF(AND($C70&lt;&gt;"",$D70&lt;&gt;""),(VLOOKUP($C70,'V-LOOKUP'!$C$122:$N$150,12,FALSE)),"0")</f>
        <v>0</v>
      </c>
      <c r="FE70" s="192" t="str">
        <f>IF(AND($C70&lt;&gt;"",$S70&lt;&gt;""),(VLOOKUP($C70,'V-LOOKUP'!$C$122:$M$150,4,FALSE)),"0")</f>
        <v>0</v>
      </c>
      <c r="FF70" s="192" t="str">
        <f>IF(AND($C70&lt;&gt;"",$S70&lt;&gt;""),(VLOOKUP($C70,'V-LOOKUP'!$C$122:$M$150,5,FALSE)),"0")</f>
        <v>0</v>
      </c>
      <c r="FG70" s="192" t="str">
        <f>IF(AND($C70&lt;&gt;"",$S70&lt;&gt;""),(VLOOKUP($C70,'V-LOOKUP'!$C$122:$M$150,6,FALSE)),"0")</f>
        <v>0</v>
      </c>
      <c r="FH70" s="192" t="str">
        <f>IF(AND($C70&lt;&gt;"",$S70&lt;&gt;""),(VLOOKUP($C70,'V-LOOKUP'!$C$122:$M$150,7,FALSE)),"0")</f>
        <v>0</v>
      </c>
      <c r="FI70" s="192" t="str">
        <f>IF(AND($C70&lt;&gt;"",$S70&lt;&gt;""),(VLOOKUP($C70,'V-LOOKUP'!$C$122:$M$150,8,FALSE)),"0")</f>
        <v>0</v>
      </c>
      <c r="FJ70" s="192" t="str">
        <f>IF(AND($C70&lt;&gt;"",$S70&lt;&gt;""),(VLOOKUP($C70,'V-LOOKUP'!$C$122:$M$150,9,FALSE)),"0")</f>
        <v>0</v>
      </c>
      <c r="FK70" s="192" t="str">
        <f>IF(AND($C70&lt;&gt;"",$S70&lt;&gt;""),(VLOOKUP($C70,'V-LOOKUP'!$C$122:$M$150,10,FALSE)),"0")</f>
        <v>0</v>
      </c>
      <c r="FL70" s="192" t="str">
        <f>IF(AND($C70&lt;&gt;"",$S70&lt;&gt;""),(VLOOKUP($C70,'V-LOOKUP'!$C$122:$M$150,11,FALSE)),"0")</f>
        <v>0</v>
      </c>
      <c r="FM70" s="192" t="str">
        <f>IF(AND($C70&lt;&gt;"",$D70&lt;&gt;""),(VLOOKUP($C70,'V-LOOKUP'!$C$122:$N$150,12,FALSE)),"0")</f>
        <v>0</v>
      </c>
      <c r="FN70" s="192" t="str">
        <f>IF(AND($C70&lt;&gt;"",$T70&lt;&gt;""),(VLOOKUP($C70,'V-LOOKUP'!$C$122:$M$150,4,FALSE)),"0")</f>
        <v>0</v>
      </c>
      <c r="FO70" s="192" t="str">
        <f>IF(AND($C70&lt;&gt;"",$T70&lt;&gt;""),(VLOOKUP($C70,'V-LOOKUP'!$C$122:$M$150,5,FALSE)),"0")</f>
        <v>0</v>
      </c>
      <c r="FP70" s="192" t="str">
        <f>IF(AND($C70&lt;&gt;"",$T70&lt;&gt;""),(VLOOKUP($C70,'V-LOOKUP'!$C$122:$M$150,6,FALSE)),"0")</f>
        <v>0</v>
      </c>
      <c r="FQ70" s="192" t="str">
        <f>IF(AND($C70&lt;&gt;"",$T70&lt;&gt;""),(VLOOKUP($C70,'V-LOOKUP'!$C$122:$M$150,7,FALSE)),"0")</f>
        <v>0</v>
      </c>
      <c r="FR70" s="192" t="str">
        <f>IF(AND($C70&lt;&gt;"",$T70&lt;&gt;""),(VLOOKUP($C70,'V-LOOKUP'!$C$122:$M$150,8,FALSE)),"0")</f>
        <v>0</v>
      </c>
      <c r="FS70" s="192" t="str">
        <f>IF(AND($C70&lt;&gt;"",$T70&lt;&gt;""),(VLOOKUP($C70,'V-LOOKUP'!$C$122:$M$150,9,FALSE)),"0")</f>
        <v>0</v>
      </c>
      <c r="FT70" s="192" t="str">
        <f>IF(AND($C70&lt;&gt;"",$T70&lt;&gt;""),(VLOOKUP($C70,'V-LOOKUP'!$C$122:$M$150,10,FALSE)),"0")</f>
        <v>0</v>
      </c>
      <c r="FU70" s="192" t="str">
        <f>IF(AND($C70&lt;&gt;"",$T70&lt;&gt;""),(VLOOKUP($C70,'V-LOOKUP'!$C$122:$M$150,11,FALSE)),"0")</f>
        <v>0</v>
      </c>
      <c r="FV70" s="192" t="str">
        <f>IF(AND($C70&lt;&gt;"",$D70&lt;&gt;""),(VLOOKUP($C70,'V-LOOKUP'!$C$122:$N$150,12,FALSE)),"0")</f>
        <v>0</v>
      </c>
      <c r="FW70" s="192" t="str">
        <f>IF(AND($C70&lt;&gt;"",$U70&lt;&gt;""),(VLOOKUP($C70,'V-LOOKUP'!$C$122:$M$150,4,FALSE)),"0")</f>
        <v>0</v>
      </c>
      <c r="FX70" s="192" t="str">
        <f>IF(AND($C70&lt;&gt;"",$U70&lt;&gt;""),(VLOOKUP($C70,'V-LOOKUP'!$C$122:$M$150,5,FALSE)),"0")</f>
        <v>0</v>
      </c>
      <c r="FY70" s="192" t="str">
        <f>IF(AND($C70&lt;&gt;"",$U70&lt;&gt;""),(VLOOKUP($C70,'V-LOOKUP'!$C$122:$M$150,6,FALSE)),"0")</f>
        <v>0</v>
      </c>
      <c r="FZ70" s="192" t="str">
        <f>IF(AND($C70&lt;&gt;"",$U70&lt;&gt;""),(VLOOKUP($C70,'V-LOOKUP'!$C$122:$M$150,7,FALSE)),"0")</f>
        <v>0</v>
      </c>
      <c r="GA70" s="192" t="str">
        <f>IF(AND($C70&lt;&gt;"",$U70&lt;&gt;""),(VLOOKUP($C70,'V-LOOKUP'!$C$122:$M$150,8,FALSE)),"0")</f>
        <v>0</v>
      </c>
      <c r="GB70" s="192" t="str">
        <f>IF(AND($C70&lt;&gt;"",$U70&lt;&gt;""),(VLOOKUP($C70,'V-LOOKUP'!$C$122:$M$150,9,FALSE)),"0")</f>
        <v>0</v>
      </c>
      <c r="GC70" s="192" t="str">
        <f>IF(AND($C70&lt;&gt;"",$U70&lt;&gt;""),(VLOOKUP($C70,'V-LOOKUP'!$C$122:$M$150,10,FALSE)),"0")</f>
        <v>0</v>
      </c>
      <c r="GD70" s="192" t="str">
        <f>IF(AND($C70&lt;&gt;"",$U70&lt;&gt;""),(VLOOKUP($C70,'V-LOOKUP'!$C$122:$M$150,11,FALSE)),"0")</f>
        <v>0</v>
      </c>
      <c r="GE70" s="192" t="str">
        <f>IF(AND($C70&lt;&gt;"",$D70&lt;&gt;""),(VLOOKUP($C70,'V-LOOKUP'!$C$122:$N$150,12,FALSE)),"0")</f>
        <v>0</v>
      </c>
      <c r="GF70" s="192" t="str">
        <f>IF(AND($C70&lt;&gt;"",$V70&lt;&gt;""),(VLOOKUP($C70,'V-LOOKUP'!$C$122:$M$150,4,FALSE)),"0")</f>
        <v>0</v>
      </c>
      <c r="GG70" s="192" t="str">
        <f>IF(AND($C70&lt;&gt;"",$V70&lt;&gt;""),(VLOOKUP($C70,'V-LOOKUP'!$C$122:$M$150,5,FALSE)),"0")</f>
        <v>0</v>
      </c>
      <c r="GH70" s="192" t="str">
        <f>IF(AND($C70&lt;&gt;"",$V70&lt;&gt;""),(VLOOKUP($C70,'V-LOOKUP'!$C$122:$M$150,6,FALSE)),"0")</f>
        <v>0</v>
      </c>
      <c r="GI70" s="192" t="str">
        <f>IF(AND($C70&lt;&gt;"",$V70&lt;&gt;""),(VLOOKUP($C70,'V-LOOKUP'!$C$122:$M$150,7,FALSE)),"0")</f>
        <v>0</v>
      </c>
      <c r="GJ70" s="192" t="str">
        <f>IF(AND($C70&lt;&gt;"",$V70&lt;&gt;""),(VLOOKUP($C70,'V-LOOKUP'!$C$122:$M$150,8,FALSE)),"0")</f>
        <v>0</v>
      </c>
      <c r="GK70" s="192" t="str">
        <f>IF(AND($C70&lt;&gt;"",$V70&lt;&gt;""),(VLOOKUP($C70,'V-LOOKUP'!$C$122:$M$150,9,FALSE)),"0")</f>
        <v>0</v>
      </c>
      <c r="GL70" s="192" t="str">
        <f>IF(AND($C70&lt;&gt;"",$V70&lt;&gt;""),(VLOOKUP($C70,'V-LOOKUP'!$C$122:$M$150,10,FALSE)),"0")</f>
        <v>0</v>
      </c>
      <c r="GM70" s="192" t="str">
        <f>IF(AND($C70&lt;&gt;"",$V70&lt;&gt;""),(VLOOKUP($C70,'V-LOOKUP'!$C$122:$M$150,11,FALSE)),"0")</f>
        <v>0</v>
      </c>
      <c r="GN70" s="192" t="str">
        <f>IF(AND($C70&lt;&gt;"",$D70&lt;&gt;""),(VLOOKUP($C70,'V-LOOKUP'!$C$122:$N$150,12,FALSE)),"0")</f>
        <v>0</v>
      </c>
      <c r="GO70" s="192" t="str">
        <f>IF(AND($C70&lt;&gt;"",$W70&lt;&gt;""),(VLOOKUP($C70,'V-LOOKUP'!$C$122:$M$150,4,FALSE)),"0")</f>
        <v>0</v>
      </c>
      <c r="GP70" s="192" t="str">
        <f>IF(AND($C70&lt;&gt;"",$W70&lt;&gt;""),(VLOOKUP($C70,'V-LOOKUP'!$C$122:$M$150,5,FALSE)),"0")</f>
        <v>0</v>
      </c>
      <c r="GQ70" s="192" t="str">
        <f>IF(AND($C70&lt;&gt;"",$W70&lt;&gt;""),(VLOOKUP($C70,'V-LOOKUP'!$C$122:$M$150,6,FALSE)),"0")</f>
        <v>0</v>
      </c>
      <c r="GR70" s="192" t="str">
        <f>IF(AND($C70&lt;&gt;"",$W70&lt;&gt;""),(VLOOKUP($C70,'V-LOOKUP'!$C$122:$M$150,7,FALSE)),"0")</f>
        <v>0</v>
      </c>
      <c r="GS70" s="192" t="str">
        <f>IF(AND($C70&lt;&gt;"",$W70&lt;&gt;""),(VLOOKUP($C70,'V-LOOKUP'!$C$122:$M$150,8,FALSE)),"0")</f>
        <v>0</v>
      </c>
      <c r="GT70" s="192" t="str">
        <f>IF(AND($C70&lt;&gt;"",$W70&lt;&gt;""),(VLOOKUP($C70,'V-LOOKUP'!$C$122:$M$150,9,FALSE)),"0")</f>
        <v>0</v>
      </c>
      <c r="GU70" s="192" t="str">
        <f>IF(AND($C70&lt;&gt;"",$W70&lt;&gt;""),(VLOOKUP($C70,'V-LOOKUP'!$C$122:$M$150,10,FALSE)),"0")</f>
        <v>0</v>
      </c>
      <c r="GV70" s="192" t="str">
        <f>IF(AND($C70&lt;&gt;"",$W70&lt;&gt;""),(VLOOKUP($C70,'V-LOOKUP'!$C$122:$M$150,11,FALSE)),"0")</f>
        <v>0</v>
      </c>
      <c r="GW70" s="192" t="str">
        <f>IF(AND($C70&lt;&gt;"",$D70&lt;&gt;""),(VLOOKUP($C70,'V-LOOKUP'!$C$122:$N$150,12,FALSE)),"0")</f>
        <v>0</v>
      </c>
    </row>
    <row r="71" spans="1:205" ht="14.65" customHeight="1">
      <c r="B71" s="245"/>
      <c r="C71" s="203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Y71" s="190"/>
      <c r="Z71" s="192" t="str">
        <f>IF(AND($C71&lt;&gt;"",$D71&lt;&gt;""),(VLOOKUP($C71,'V-LOOKUP'!$C$122:$M$150,4,FALSE)),"0")</f>
        <v>0</v>
      </c>
      <c r="AA71" s="192" t="str">
        <f>IF(AND($C71&lt;&gt;"",$D71&lt;&gt;""),(VLOOKUP($C71,'V-LOOKUP'!$C$122:$M$150,5,FALSE)),"0")</f>
        <v>0</v>
      </c>
      <c r="AB71" s="192" t="str">
        <f>IF(AND($C71&lt;&gt;"",$D71&lt;&gt;""),(VLOOKUP($C71,'V-LOOKUP'!$C$122:$M$150,6,FALSE)),"0")</f>
        <v>0</v>
      </c>
      <c r="AC71" s="192" t="str">
        <f>IF(AND($C71&lt;&gt;"",$D71&lt;&gt;""),(VLOOKUP($C71,'V-LOOKUP'!$C$122:$M$150,7,FALSE)),"0")</f>
        <v>0</v>
      </c>
      <c r="AD71" s="192" t="str">
        <f>IF(AND($C71&lt;&gt;"",$D71&lt;&gt;""),(VLOOKUP($C71,'V-LOOKUP'!$C$122:$M$150,8,FALSE)),"0")</f>
        <v>0</v>
      </c>
      <c r="AE71" s="192" t="str">
        <f>IF(AND($C71&lt;&gt;"",$D71&lt;&gt;""),(VLOOKUP($C71,'V-LOOKUP'!$C$122:$M$150,9,FALSE)),"0")</f>
        <v>0</v>
      </c>
      <c r="AF71" s="192" t="str">
        <f>IF(AND($C71&lt;&gt;"",$D71&lt;&gt;""),(VLOOKUP($C71,'V-LOOKUP'!$C$122:$M$150,10,FALSE)),"0")</f>
        <v>0</v>
      </c>
      <c r="AG71" s="192" t="str">
        <f>IF(AND($C71&lt;&gt;"",$D71&lt;&gt;""),(VLOOKUP($C71,'V-LOOKUP'!$C$122:$M$150,11,FALSE)),"0")</f>
        <v>0</v>
      </c>
      <c r="AH71" s="192" t="str">
        <f>IF(AND($C71&lt;&gt;"",$D71&lt;&gt;""),(VLOOKUP($C71,'V-LOOKUP'!$C$122:$N$150,12,FALSE)),"0")</f>
        <v>0</v>
      </c>
      <c r="AI71" s="192" t="str">
        <f>IF(AND($C71&lt;&gt;"",$E71&lt;&gt;""),(VLOOKUP($C71,'V-LOOKUP'!$C$122:$M$150,4,FALSE)),"0")</f>
        <v>0</v>
      </c>
      <c r="AJ71" s="192" t="str">
        <f>IF(AND($C71&lt;&gt;"",$E71&lt;&gt;""),(VLOOKUP($C71,'V-LOOKUP'!$C$122:$M$150,5,FALSE)),"0")</f>
        <v>0</v>
      </c>
      <c r="AK71" s="192" t="str">
        <f>IF(AND($C71&lt;&gt;"",$E71&lt;&gt;""),(VLOOKUP($C71,'V-LOOKUP'!$C$122:$M$150,6,FALSE)),"0")</f>
        <v>0</v>
      </c>
      <c r="AL71" s="192" t="str">
        <f>IF(AND($C71&lt;&gt;"",$E71&lt;&gt;""),(VLOOKUP($C71,'V-LOOKUP'!$C$122:$M$150,7,FALSE)),"0")</f>
        <v>0</v>
      </c>
      <c r="AM71" s="192" t="str">
        <f>IF(AND($C71&lt;&gt;"",$E71&lt;&gt;""),(VLOOKUP($C71,'V-LOOKUP'!$C$122:$M$150,8,FALSE)),"0")</f>
        <v>0</v>
      </c>
      <c r="AN71" s="192" t="str">
        <f>IF(AND($C71&lt;&gt;"",$E71&lt;&gt;""),(VLOOKUP($C71,'V-LOOKUP'!$C$122:$M$150,9,FALSE)),"0")</f>
        <v>0</v>
      </c>
      <c r="AO71" s="192" t="str">
        <f>IF(AND($C71&lt;&gt;"",$E71&lt;&gt;""),(VLOOKUP($C71,'V-LOOKUP'!$C$122:$M$150,10,FALSE)),"0")</f>
        <v>0</v>
      </c>
      <c r="AP71" s="192" t="str">
        <f>IF(AND($C71&lt;&gt;"",$E71&lt;&gt;""),(VLOOKUP($C71,'V-LOOKUP'!$C$122:$M$150,11,FALSE)),"0")</f>
        <v>0</v>
      </c>
      <c r="AQ71" s="192" t="str">
        <f>IF(AND($C71&lt;&gt;"",$D71&lt;&gt;""),(VLOOKUP($C71,'V-LOOKUP'!$C$122:$N$150,12,FALSE)),"0")</f>
        <v>0</v>
      </c>
      <c r="AR71" s="192" t="str">
        <f>IF(AND($C71&lt;&gt;"",$F71&lt;&gt;""),(VLOOKUP($C71,'V-LOOKUP'!$C$122:$M$150,4,FALSE)),"0")</f>
        <v>0</v>
      </c>
      <c r="AS71" s="192" t="str">
        <f>IF(AND($C71&lt;&gt;"",$F71&lt;&gt;""),(VLOOKUP($C71,'V-LOOKUP'!$C$122:$M$150,5,FALSE)),"0")</f>
        <v>0</v>
      </c>
      <c r="AT71" s="192" t="str">
        <f>IF(AND($C71&lt;&gt;"",$F71&lt;&gt;""),(VLOOKUP($C71,'V-LOOKUP'!$C$122:$M$150,6,FALSE)),"0")</f>
        <v>0</v>
      </c>
      <c r="AU71" s="192" t="str">
        <f>IF(AND($C71&lt;&gt;"",$F71&lt;&gt;""),(VLOOKUP($C71,'V-LOOKUP'!$C$122:$M$150,7,FALSE)),"0")</f>
        <v>0</v>
      </c>
      <c r="AV71" s="192" t="str">
        <f>IF(AND($C71&lt;&gt;"",$F71&lt;&gt;""),(VLOOKUP($C71,'V-LOOKUP'!$C$122:$M$150,8,FALSE)),"0")</f>
        <v>0</v>
      </c>
      <c r="AW71" s="192" t="str">
        <f>IF(AND($C71&lt;&gt;"",$F71&lt;&gt;""),(VLOOKUP($C71,'V-LOOKUP'!$C$122:$M$150,9,FALSE)),"0")</f>
        <v>0</v>
      </c>
      <c r="AX71" s="192" t="str">
        <f>IF(AND($C71&lt;&gt;"",$F71&lt;&gt;""),(VLOOKUP($C71,'V-LOOKUP'!$C$122:$M$150,10,FALSE)),"0")</f>
        <v>0</v>
      </c>
      <c r="AY71" s="192" t="str">
        <f>IF(AND($C71&lt;&gt;"",$F71&lt;&gt;""),(VLOOKUP($C71,'V-LOOKUP'!$C$122:$M$150,11,FALSE)),"0")</f>
        <v>0</v>
      </c>
      <c r="AZ71" s="192" t="str">
        <f>IF(AND($C71&lt;&gt;"",$D71&lt;&gt;""),(VLOOKUP($C71,'V-LOOKUP'!$C$122:$N$150,12,FALSE)),"0")</f>
        <v>0</v>
      </c>
      <c r="BA71" s="192" t="str">
        <f>IF(AND($C71&lt;&gt;"",$G71&lt;&gt;""),(VLOOKUP($C71,'V-LOOKUP'!$C$122:$M$150,4,FALSE)),"0")</f>
        <v>0</v>
      </c>
      <c r="BB71" s="192" t="str">
        <f>IF(AND($C71&lt;&gt;"",$G71&lt;&gt;""),(VLOOKUP($C71,'V-LOOKUP'!$C$122:$M$150,5,FALSE)),"0")</f>
        <v>0</v>
      </c>
      <c r="BC71" s="192" t="str">
        <f>IF(AND($C71&lt;&gt;"",$G71&lt;&gt;""),(VLOOKUP($C71,'V-LOOKUP'!$C$122:$M$150,6,FALSE)),"0")</f>
        <v>0</v>
      </c>
      <c r="BD71" s="192" t="str">
        <f>IF(AND($C71&lt;&gt;"",$G71&lt;&gt;""),(VLOOKUP($C71,'V-LOOKUP'!$C$122:$M$150,7,FALSE)),"0")</f>
        <v>0</v>
      </c>
      <c r="BE71" s="192" t="str">
        <f>IF(AND($C71&lt;&gt;"",$G71&lt;&gt;""),(VLOOKUP($C71,'V-LOOKUP'!$C$122:$M$150,8,FALSE)),"0")</f>
        <v>0</v>
      </c>
      <c r="BF71" s="192" t="str">
        <f>IF(AND($C71&lt;&gt;"",$G71&lt;&gt;""),(VLOOKUP($C71,'V-LOOKUP'!$C$122:$M$150,9,FALSE)),"0")</f>
        <v>0</v>
      </c>
      <c r="BG71" s="192" t="str">
        <f>IF(AND($C71&lt;&gt;"",$G71&lt;&gt;""),(VLOOKUP($C71,'V-LOOKUP'!$C$122:$M$150,10,FALSE)),"0")</f>
        <v>0</v>
      </c>
      <c r="BH71" s="192" t="str">
        <f>IF(AND($C71&lt;&gt;"",$G71&lt;&gt;""),(VLOOKUP($C71,'V-LOOKUP'!$C$122:$M$150,11,FALSE)),"0")</f>
        <v>0</v>
      </c>
      <c r="BI71" s="192" t="str">
        <f>IF(AND($C71&lt;&gt;"",$D71&lt;&gt;""),(VLOOKUP($C71,'V-LOOKUP'!$C$122:$N$150,12,FALSE)),"0")</f>
        <v>0</v>
      </c>
      <c r="BJ71" s="192" t="str">
        <f>IF(AND($C71&lt;&gt;"",$H71&lt;&gt;""),(VLOOKUP($C71,'V-LOOKUP'!$C$122:$M$150,4,FALSE)),"0")</f>
        <v>0</v>
      </c>
      <c r="BK71" s="192" t="str">
        <f>IF(AND($C71&lt;&gt;"",$H71&lt;&gt;""),(VLOOKUP($C71,'V-LOOKUP'!$C$122:$M$150,5,FALSE)),"0")</f>
        <v>0</v>
      </c>
      <c r="BL71" s="192" t="str">
        <f>IF(AND($C71&lt;&gt;"",$H71&lt;&gt;""),(VLOOKUP($C71,'V-LOOKUP'!$C$122:$M$150,6,FALSE)),"0")</f>
        <v>0</v>
      </c>
      <c r="BM71" s="192" t="str">
        <f>IF(AND($C71&lt;&gt;"",$H71&lt;&gt;""),(VLOOKUP($C71,'V-LOOKUP'!$C$122:$M$150,7,FALSE)),"0")</f>
        <v>0</v>
      </c>
      <c r="BN71" s="192" t="str">
        <f>IF(AND($C71&lt;&gt;"",$H71&lt;&gt;""),(VLOOKUP($C71,'V-LOOKUP'!$C$122:$M$150,8,FALSE)),"0")</f>
        <v>0</v>
      </c>
      <c r="BO71" s="192" t="str">
        <f>IF(AND($C71&lt;&gt;"",$H71&lt;&gt;""),(VLOOKUP($C71,'V-LOOKUP'!$C$122:$M$150,9,FALSE)),"0")</f>
        <v>0</v>
      </c>
      <c r="BP71" s="192" t="str">
        <f>IF(AND($C71&lt;&gt;"",$H71&lt;&gt;""),(VLOOKUP($C71,'V-LOOKUP'!$C$122:$M$150,10,FALSE)),"0")</f>
        <v>0</v>
      </c>
      <c r="BQ71" s="192" t="str">
        <f>IF(AND($C71&lt;&gt;"",$H71&lt;&gt;""),(VLOOKUP($C71,'V-LOOKUP'!$C$122:$M$150,11,FALSE)),"0")</f>
        <v>0</v>
      </c>
      <c r="BR71" s="192" t="str">
        <f>IF(AND($C71&lt;&gt;"",$D71&lt;&gt;""),(VLOOKUP($C71,'V-LOOKUP'!$C$122:$N$150,12,FALSE)),"0")</f>
        <v>0</v>
      </c>
      <c r="BS71" s="192" t="str">
        <f>IF(AND($C71&lt;&gt;"",$I71&lt;&gt;""),(VLOOKUP($C71,'V-LOOKUP'!$C$122:$M$150,4,FALSE)),"0")</f>
        <v>0</v>
      </c>
      <c r="BT71" s="192" t="str">
        <f>IF(AND($C71&lt;&gt;"",$I71&lt;&gt;""),(VLOOKUP($C71,'V-LOOKUP'!$C$122:$M$150,5,FALSE)),"0")</f>
        <v>0</v>
      </c>
      <c r="BU71" s="192" t="str">
        <f>IF(AND($C71&lt;&gt;"",$I71&lt;&gt;""),(VLOOKUP($C71,'V-LOOKUP'!$C$122:$M$150,6,FALSE)),"0")</f>
        <v>0</v>
      </c>
      <c r="BV71" s="192" t="str">
        <f>IF(AND($C71&lt;&gt;"",$I71&lt;&gt;""),(VLOOKUP($C71,'V-LOOKUP'!$C$122:$M$150,7,FALSE)),"0")</f>
        <v>0</v>
      </c>
      <c r="BW71" s="192" t="str">
        <f>IF(AND($C71&lt;&gt;"",$I71&lt;&gt;""),(VLOOKUP($C71,'V-LOOKUP'!$C$122:$M$150,8,FALSE)),"0")</f>
        <v>0</v>
      </c>
      <c r="BX71" s="192" t="str">
        <f>IF(AND($C71&lt;&gt;"",$I71&lt;&gt;""),(VLOOKUP($C71,'V-LOOKUP'!$C$122:$M$150,9,FALSE)),"0")</f>
        <v>0</v>
      </c>
      <c r="BY71" s="192" t="str">
        <f>IF(AND($C71&lt;&gt;"",$I71&lt;&gt;""),(VLOOKUP($C71,'V-LOOKUP'!$C$122:$M$150,10,FALSE)),"0")</f>
        <v>0</v>
      </c>
      <c r="BZ71" s="192" t="str">
        <f>IF(AND($C71&lt;&gt;"",$I71&lt;&gt;""),(VLOOKUP($C71,'V-LOOKUP'!$C$122:$M$150,11,FALSE)),"0")</f>
        <v>0</v>
      </c>
      <c r="CA71" s="192" t="str">
        <f>IF(AND($C71&lt;&gt;"",$D71&lt;&gt;""),(VLOOKUP($C71,'V-LOOKUP'!$C$122:$N$150,12,FALSE)),"0")</f>
        <v>0</v>
      </c>
      <c r="CB71" s="192" t="str">
        <f>IF(AND($C71&lt;&gt;"",$J71&lt;&gt;""),(VLOOKUP($C71,'V-LOOKUP'!$C$122:$M$150,4,FALSE)),"0")</f>
        <v>0</v>
      </c>
      <c r="CC71" s="192" t="str">
        <f>IF(AND($C71&lt;&gt;"",$J71&lt;&gt;""),(VLOOKUP($C71,'V-LOOKUP'!$C$122:$M$150,5,FALSE)),"0")</f>
        <v>0</v>
      </c>
      <c r="CD71" s="192" t="str">
        <f>IF(AND($C71&lt;&gt;"",$J71&lt;&gt;""),(VLOOKUP($C71,'V-LOOKUP'!$C$122:$M$150,6,FALSE)),"0")</f>
        <v>0</v>
      </c>
      <c r="CE71" s="192" t="str">
        <f>IF(AND($C71&lt;&gt;"",$J71&lt;&gt;""),(VLOOKUP($C71,'V-LOOKUP'!$C$122:$M$150,7,FALSE)),"0")</f>
        <v>0</v>
      </c>
      <c r="CF71" s="192" t="str">
        <f>IF(AND($C71&lt;&gt;"",$J71&lt;&gt;""),(VLOOKUP($C71,'V-LOOKUP'!$C$122:$M$150,8,FALSE)),"0")</f>
        <v>0</v>
      </c>
      <c r="CG71" s="192" t="str">
        <f>IF(AND($C71&lt;&gt;"",$J71&lt;&gt;""),(VLOOKUP($C71,'V-LOOKUP'!$C$122:$M$150,9,FALSE)),"0")</f>
        <v>0</v>
      </c>
      <c r="CH71" s="192" t="str">
        <f>IF(AND($C71&lt;&gt;"",$J71&lt;&gt;""),(VLOOKUP($C71,'V-LOOKUP'!$C$122:$M$150,10,FALSE)),"0")</f>
        <v>0</v>
      </c>
      <c r="CI71" s="192" t="str">
        <f>IF(AND($C71&lt;&gt;"",$J71&lt;&gt;""),(VLOOKUP($C71,'V-LOOKUP'!$C$122:$M$150,11,FALSE)),"0")</f>
        <v>0</v>
      </c>
      <c r="CJ71" s="192" t="str">
        <f>IF(AND($C71&lt;&gt;"",$D71&lt;&gt;""),(VLOOKUP($C71,'V-LOOKUP'!$C$122:$N$150,12,FALSE)),"0")</f>
        <v>0</v>
      </c>
      <c r="CK71" s="192" t="str">
        <f>IF(AND($C71&lt;&gt;"",$K71&lt;&gt;""),(VLOOKUP($C71,'V-LOOKUP'!$C$122:$M$150,4,FALSE)),"0")</f>
        <v>0</v>
      </c>
      <c r="CL71" s="192" t="str">
        <f>IF(AND($C71&lt;&gt;"",$K71&lt;&gt;""),(VLOOKUP($C71,'V-LOOKUP'!$C$122:$M$150,5,FALSE)),"0")</f>
        <v>0</v>
      </c>
      <c r="CM71" s="192" t="str">
        <f>IF(AND($C71&lt;&gt;"",$K71&lt;&gt;""),(VLOOKUP($C71,'V-LOOKUP'!$C$122:$M$150,6,FALSE)),"0")</f>
        <v>0</v>
      </c>
      <c r="CN71" s="192" t="str">
        <f>IF(AND($C71&lt;&gt;"",$K71&lt;&gt;""),(VLOOKUP($C71,'V-LOOKUP'!$C$122:$M$150,7,FALSE)),"0")</f>
        <v>0</v>
      </c>
      <c r="CO71" s="192" t="str">
        <f>IF(AND($C71&lt;&gt;"",$K71&lt;&gt;""),(VLOOKUP($C71,'V-LOOKUP'!$C$122:$M$150,8,FALSE)),"0")</f>
        <v>0</v>
      </c>
      <c r="CP71" s="192" t="str">
        <f>IF(AND($C71&lt;&gt;"",$K71&lt;&gt;""),(VLOOKUP($C71,'V-LOOKUP'!$C$122:$M$150,9,FALSE)),"0")</f>
        <v>0</v>
      </c>
      <c r="CQ71" s="192" t="str">
        <f>IF(AND($C71&lt;&gt;"",$K71&lt;&gt;""),(VLOOKUP($C71,'V-LOOKUP'!$C$122:$M$150,10,FALSE)),"0")</f>
        <v>0</v>
      </c>
      <c r="CR71" s="192" t="str">
        <f>IF(AND($C71&lt;&gt;"",$K71&lt;&gt;""),(VLOOKUP($C71,'V-LOOKUP'!$C$122:$M$150,11,FALSE)),"0")</f>
        <v>0</v>
      </c>
      <c r="CS71" s="192" t="str">
        <f>IF(AND($C71&lt;&gt;"",$D71&lt;&gt;""),(VLOOKUP($C71,'V-LOOKUP'!$C$122:$N$150,12,FALSE)),"0")</f>
        <v>0</v>
      </c>
      <c r="CT71" s="192" t="str">
        <f>IF(AND($C71&lt;&gt;"",$L71&lt;&gt;""),(VLOOKUP($C71,'V-LOOKUP'!$C$122:$M$150,4,FALSE)),"0")</f>
        <v>0</v>
      </c>
      <c r="CU71" s="192" t="str">
        <f>IF(AND($C71&lt;&gt;"",$L71&lt;&gt;""),(VLOOKUP($C71,'V-LOOKUP'!$C$122:$M$150,5,FALSE)),"0")</f>
        <v>0</v>
      </c>
      <c r="CV71" s="192" t="str">
        <f>IF(AND($C71&lt;&gt;"",$L71&lt;&gt;""),(VLOOKUP($C71,'V-LOOKUP'!$C$122:$M$150,6,FALSE)),"0")</f>
        <v>0</v>
      </c>
      <c r="CW71" s="192" t="str">
        <f>IF(AND($C71&lt;&gt;"",$L71&lt;&gt;""),(VLOOKUP($C71,'V-LOOKUP'!$C$122:$M$150,7,FALSE)),"0")</f>
        <v>0</v>
      </c>
      <c r="CX71" s="192" t="str">
        <f>IF(AND($C71&lt;&gt;"",$L71&lt;&gt;""),(VLOOKUP($C71,'V-LOOKUP'!$C$122:$M$150,8,FALSE)),"0")</f>
        <v>0</v>
      </c>
      <c r="CY71" s="192" t="str">
        <f>IF(AND($C71&lt;&gt;"",$L71&lt;&gt;""),(VLOOKUP($C71,'V-LOOKUP'!$C$122:$M$150,9,FALSE)),"0")</f>
        <v>0</v>
      </c>
      <c r="CZ71" s="192" t="str">
        <f>IF(AND($C71&lt;&gt;"",$L71&lt;&gt;""),(VLOOKUP($C71,'V-LOOKUP'!$C$122:$M$150,10,FALSE)),"0")</f>
        <v>0</v>
      </c>
      <c r="DA71" s="192" t="str">
        <f>IF(AND($C71&lt;&gt;"",$L71&lt;&gt;""),(VLOOKUP($C71,'V-LOOKUP'!$C$122:$M$150,11,FALSE)),"0")</f>
        <v>0</v>
      </c>
      <c r="DB71" s="192" t="str">
        <f>IF(AND($C71&lt;&gt;"",$D71&lt;&gt;""),(VLOOKUP($C71,'V-LOOKUP'!$C$122:$N$150,12,FALSE)),"0")</f>
        <v>0</v>
      </c>
      <c r="DC71" s="192" t="str">
        <f>IF(AND($C71&lt;&gt;"",$M71&lt;&gt;""),(VLOOKUP($C71,'V-LOOKUP'!$C$122:$M$150,4,FALSE)),"0")</f>
        <v>0</v>
      </c>
      <c r="DD71" s="192" t="str">
        <f>IF(AND($C71&lt;&gt;"",$M71&lt;&gt;""),(VLOOKUP($C71,'V-LOOKUP'!$C$122:$M$150,5,FALSE)),"0")</f>
        <v>0</v>
      </c>
      <c r="DE71" s="192" t="str">
        <f>IF(AND($C71&lt;&gt;"",$M71&lt;&gt;""),(VLOOKUP($C71,'V-LOOKUP'!$C$122:$M$150,6,FALSE)),"0")</f>
        <v>0</v>
      </c>
      <c r="DF71" s="192" t="str">
        <f>IF(AND($C71&lt;&gt;"",$M71&lt;&gt;""),(VLOOKUP($C71,'V-LOOKUP'!$C$122:$M$150,7,FALSE)),"0")</f>
        <v>0</v>
      </c>
      <c r="DG71" s="192" t="str">
        <f>IF(AND($C71&lt;&gt;"",$M71&lt;&gt;""),(VLOOKUP($C71,'V-LOOKUP'!$C$122:$M$150,8,FALSE)),"0")</f>
        <v>0</v>
      </c>
      <c r="DH71" s="192" t="str">
        <f>IF(AND($C71&lt;&gt;"",$M71&lt;&gt;""),(VLOOKUP($C71,'V-LOOKUP'!$C$122:$M$150,9,FALSE)),"0")</f>
        <v>0</v>
      </c>
      <c r="DI71" s="192" t="str">
        <f>IF(AND($C71&lt;&gt;"",$M71&lt;&gt;""),(VLOOKUP($C71,'V-LOOKUP'!$C$122:$M$150,10,FALSE)),"0")</f>
        <v>0</v>
      </c>
      <c r="DJ71" s="192" t="str">
        <f>IF(AND($C71&lt;&gt;"",$M71&lt;&gt;""),(VLOOKUP($C71,'V-LOOKUP'!$C$122:$M$150,11,FALSE)),"0")</f>
        <v>0</v>
      </c>
      <c r="DK71" s="192" t="str">
        <f>IF(AND($C71&lt;&gt;"",$D71&lt;&gt;""),(VLOOKUP($C71,'V-LOOKUP'!$C$122:$N$150,12,FALSE)),"0")</f>
        <v>0</v>
      </c>
      <c r="DL71" s="192" t="str">
        <f>IF(AND($C71&lt;&gt;"",$N71&lt;&gt;""),(VLOOKUP($C71,'V-LOOKUP'!$C$122:$M$150,4,FALSE)),"0")</f>
        <v>0</v>
      </c>
      <c r="DM71" s="192" t="str">
        <f>IF(AND($C71&lt;&gt;"",$N71&lt;&gt;""),(VLOOKUP($C71,'V-LOOKUP'!$C$122:$M$150,5,FALSE)),"0")</f>
        <v>0</v>
      </c>
      <c r="DN71" s="192" t="str">
        <f>IF(AND($C71&lt;&gt;"",$N71&lt;&gt;""),(VLOOKUP($C71,'V-LOOKUP'!$C$122:$M$150,6,FALSE)),"0")</f>
        <v>0</v>
      </c>
      <c r="DO71" s="192" t="str">
        <f>IF(AND($C71&lt;&gt;"",$N71&lt;&gt;""),(VLOOKUP($C71,'V-LOOKUP'!$C$122:$M$150,7,FALSE)),"0")</f>
        <v>0</v>
      </c>
      <c r="DP71" s="192" t="str">
        <f>IF(AND($C71&lt;&gt;"",$N71&lt;&gt;""),(VLOOKUP($C71,'V-LOOKUP'!$C$122:$M$150,8,FALSE)),"0")</f>
        <v>0</v>
      </c>
      <c r="DQ71" s="192" t="str">
        <f>IF(AND($C71&lt;&gt;"",$N71&lt;&gt;""),(VLOOKUP($C71,'V-LOOKUP'!$C$122:$M$150,9,FALSE)),"0")</f>
        <v>0</v>
      </c>
      <c r="DR71" s="192" t="str">
        <f>IF(AND($C71&lt;&gt;"",$N71&lt;&gt;""),(VLOOKUP($C71,'V-LOOKUP'!$C$122:$M$150,10,FALSE)),"0")</f>
        <v>0</v>
      </c>
      <c r="DS71" s="192" t="str">
        <f>IF(AND($C71&lt;&gt;"",$N71&lt;&gt;""),(VLOOKUP($C71,'V-LOOKUP'!$C$122:$M$150,11,FALSE)),"0")</f>
        <v>0</v>
      </c>
      <c r="DT71" s="192" t="str">
        <f>IF(AND($C71&lt;&gt;"",$D71&lt;&gt;""),(VLOOKUP($C71,'V-LOOKUP'!$C$122:$N$150,12,FALSE)),"0")</f>
        <v>0</v>
      </c>
      <c r="DU71" s="192" t="str">
        <f>IF(AND($C71&lt;&gt;"",$O71&lt;&gt;""),(VLOOKUP($C71,'V-LOOKUP'!$C$122:$M$150,4,FALSE)),"0")</f>
        <v>0</v>
      </c>
      <c r="DV71" s="192" t="str">
        <f>IF(AND($C71&lt;&gt;"",$O71&lt;&gt;""),(VLOOKUP($C71,'V-LOOKUP'!$C$122:$M$150,5,FALSE)),"0")</f>
        <v>0</v>
      </c>
      <c r="DW71" s="192" t="str">
        <f>IF(AND($C71&lt;&gt;"",$O71&lt;&gt;""),(VLOOKUP($C71,'V-LOOKUP'!$C$122:$M$150,6,FALSE)),"0")</f>
        <v>0</v>
      </c>
      <c r="DX71" s="192" t="str">
        <f>IF(AND($C71&lt;&gt;"",$O71&lt;&gt;""),(VLOOKUP($C71,'V-LOOKUP'!$C$122:$M$150,7,FALSE)),"0")</f>
        <v>0</v>
      </c>
      <c r="DY71" s="192" t="str">
        <f>IF(AND($C71&lt;&gt;"",$O71&lt;&gt;""),(VLOOKUP($C71,'V-LOOKUP'!$C$122:$M$150,8,FALSE)),"0")</f>
        <v>0</v>
      </c>
      <c r="DZ71" s="192" t="str">
        <f>IF(AND($C71&lt;&gt;"",$O71&lt;&gt;""),(VLOOKUP($C71,'V-LOOKUP'!$C$122:$M$150,9,FALSE)),"0")</f>
        <v>0</v>
      </c>
      <c r="EA71" s="192" t="str">
        <f>IF(AND($C71&lt;&gt;"",$O71&lt;&gt;""),(VLOOKUP($C71,'V-LOOKUP'!$C$122:$M$150,10,FALSE)),"0")</f>
        <v>0</v>
      </c>
      <c r="EB71" s="192" t="str">
        <f>IF(AND($C71&lt;&gt;"",$O71&lt;&gt;""),(VLOOKUP($C71,'V-LOOKUP'!$C$122:$M$150,11,FALSE)),"0")</f>
        <v>0</v>
      </c>
      <c r="EC71" s="192" t="str">
        <f>IF(AND($C71&lt;&gt;"",$D71&lt;&gt;""),(VLOOKUP($C71,'V-LOOKUP'!$C$122:$N$150,12,FALSE)),"0")</f>
        <v>0</v>
      </c>
      <c r="ED71" s="192" t="str">
        <f>IF(AND($C71&lt;&gt;"",$P71&lt;&gt;""),(VLOOKUP($C71,'V-LOOKUP'!$C$122:$M$150,4,FALSE)),"0")</f>
        <v>0</v>
      </c>
      <c r="EE71" s="192" t="str">
        <f>IF(AND($C71&lt;&gt;"",$P71&lt;&gt;""),(VLOOKUP($C71,'V-LOOKUP'!$C$122:$M$150,5,FALSE)),"0")</f>
        <v>0</v>
      </c>
      <c r="EF71" s="192" t="str">
        <f>IF(AND($C71&lt;&gt;"",$P71&lt;&gt;""),(VLOOKUP($C71,'V-LOOKUP'!$C$122:$M$150,6,FALSE)),"0")</f>
        <v>0</v>
      </c>
      <c r="EG71" s="192" t="str">
        <f>IF(AND($C71&lt;&gt;"",$P71&lt;&gt;""),(VLOOKUP($C71,'V-LOOKUP'!$C$122:$M$150,7,FALSE)),"0")</f>
        <v>0</v>
      </c>
      <c r="EH71" s="192" t="str">
        <f>IF(AND($C71&lt;&gt;"",$P71&lt;&gt;""),(VLOOKUP($C71,'V-LOOKUP'!$C$122:$M$150,8,FALSE)),"0")</f>
        <v>0</v>
      </c>
      <c r="EI71" s="192" t="str">
        <f>IF(AND($C71&lt;&gt;"",$P71&lt;&gt;""),(VLOOKUP($C71,'V-LOOKUP'!$C$122:$M$150,9,FALSE)),"0")</f>
        <v>0</v>
      </c>
      <c r="EJ71" s="192" t="str">
        <f>IF(AND($C71&lt;&gt;"",$P71&lt;&gt;""),(VLOOKUP($C71,'V-LOOKUP'!$C$122:$M$150,10,FALSE)),"0")</f>
        <v>0</v>
      </c>
      <c r="EK71" s="192" t="str">
        <f>IF(AND($C71&lt;&gt;"",$P71&lt;&gt;""),(VLOOKUP($C71,'V-LOOKUP'!$C$122:$M$150,11,FALSE)),"0")</f>
        <v>0</v>
      </c>
      <c r="EL71" s="192" t="str">
        <f>IF(AND($C71&lt;&gt;"",$D71&lt;&gt;""),(VLOOKUP($C71,'V-LOOKUP'!$C$122:$N$150,12,FALSE)),"0")</f>
        <v>0</v>
      </c>
      <c r="EM71" s="192" t="str">
        <f>IF(AND($C71&lt;&gt;"",$Q71&lt;&gt;""),(VLOOKUP($C71,'V-LOOKUP'!$C$122:$M$150,4,FALSE)),"0")</f>
        <v>0</v>
      </c>
      <c r="EN71" s="192" t="str">
        <f>IF(AND($C71&lt;&gt;"",$Q71&lt;&gt;""),(VLOOKUP($C71,'V-LOOKUP'!$C$122:$M$150,5,FALSE)),"0")</f>
        <v>0</v>
      </c>
      <c r="EO71" s="192" t="str">
        <f>IF(AND($C71&lt;&gt;"",$Q71&lt;&gt;""),(VLOOKUP($C71,'V-LOOKUP'!$C$122:$M$150,6,FALSE)),"0")</f>
        <v>0</v>
      </c>
      <c r="EP71" s="192" t="str">
        <f>IF(AND($C71&lt;&gt;"",$Q71&lt;&gt;""),(VLOOKUP($C71,'V-LOOKUP'!$C$122:$M$150,7,FALSE)),"0")</f>
        <v>0</v>
      </c>
      <c r="EQ71" s="192" t="str">
        <f>IF(AND($C71&lt;&gt;"",$Q71&lt;&gt;""),(VLOOKUP($C71,'V-LOOKUP'!$C$122:$M$150,8,FALSE)),"0")</f>
        <v>0</v>
      </c>
      <c r="ER71" s="192" t="str">
        <f>IF(AND($C71&lt;&gt;"",$Q71&lt;&gt;""),(VLOOKUP($C71,'V-LOOKUP'!$C$122:$M$150,9,FALSE)),"0")</f>
        <v>0</v>
      </c>
      <c r="ES71" s="192" t="str">
        <f>IF(AND($C71&lt;&gt;"",$Q71&lt;&gt;""),(VLOOKUP($C71,'V-LOOKUP'!$C$122:$M$150,10,FALSE)),"0")</f>
        <v>0</v>
      </c>
      <c r="ET71" s="192" t="str">
        <f>IF(AND($C71&lt;&gt;"",$Q71&lt;&gt;""),(VLOOKUP($C71,'V-LOOKUP'!$C$122:$M$150,11,FALSE)),"0")</f>
        <v>0</v>
      </c>
      <c r="EU71" s="192" t="str">
        <f>IF(AND($C71&lt;&gt;"",$D71&lt;&gt;""),(VLOOKUP($C71,'V-LOOKUP'!$C$122:$N$150,12,FALSE)),"0")</f>
        <v>0</v>
      </c>
      <c r="EV71" s="192" t="str">
        <f>IF(AND($C71&lt;&gt;"",$R71&lt;&gt;""),(VLOOKUP($C71,'V-LOOKUP'!$C$122:$M$150,4,FALSE)),"0")</f>
        <v>0</v>
      </c>
      <c r="EW71" s="192" t="str">
        <f>IF(AND($C71&lt;&gt;"",$R71&lt;&gt;""),(VLOOKUP($C71,'V-LOOKUP'!$C$122:$M$150,5,FALSE)),"0")</f>
        <v>0</v>
      </c>
      <c r="EX71" s="192" t="str">
        <f>IF(AND($C71&lt;&gt;"",$R71&lt;&gt;""),(VLOOKUP($C71,'V-LOOKUP'!$C$122:$M$150,6,FALSE)),"0")</f>
        <v>0</v>
      </c>
      <c r="EY71" s="192" t="str">
        <f>IF(AND($C71&lt;&gt;"",$R71&lt;&gt;""),(VLOOKUP($C71,'V-LOOKUP'!$C$122:$M$150,7,FALSE)),"0")</f>
        <v>0</v>
      </c>
      <c r="EZ71" s="192" t="str">
        <f>IF(AND($C71&lt;&gt;"",$R71&lt;&gt;""),(VLOOKUP($C71,'V-LOOKUP'!$C$122:$M$150,8,FALSE)),"0")</f>
        <v>0</v>
      </c>
      <c r="FA71" s="192" t="str">
        <f>IF(AND($C71&lt;&gt;"",$R71&lt;&gt;""),(VLOOKUP($C71,'V-LOOKUP'!$C$122:$M$150,9,FALSE)),"0")</f>
        <v>0</v>
      </c>
      <c r="FB71" s="192" t="str">
        <f>IF(AND($C71&lt;&gt;"",$R71&lt;&gt;""),(VLOOKUP($C71,'V-LOOKUP'!$C$122:$M$150,10,FALSE)),"0")</f>
        <v>0</v>
      </c>
      <c r="FC71" s="192" t="str">
        <f>IF(AND($C71&lt;&gt;"",$R71&lt;&gt;""),(VLOOKUP($C71,'V-LOOKUP'!$C$122:$M$150,11,FALSE)),"0")</f>
        <v>0</v>
      </c>
      <c r="FD71" s="192" t="str">
        <f>IF(AND($C71&lt;&gt;"",$D71&lt;&gt;""),(VLOOKUP($C71,'V-LOOKUP'!$C$122:$N$150,12,FALSE)),"0")</f>
        <v>0</v>
      </c>
      <c r="FE71" s="192" t="str">
        <f>IF(AND($C71&lt;&gt;"",$S71&lt;&gt;""),(VLOOKUP($C71,'V-LOOKUP'!$C$122:$M$150,4,FALSE)),"0")</f>
        <v>0</v>
      </c>
      <c r="FF71" s="192" t="str">
        <f>IF(AND($C71&lt;&gt;"",$S71&lt;&gt;""),(VLOOKUP($C71,'V-LOOKUP'!$C$122:$M$150,5,FALSE)),"0")</f>
        <v>0</v>
      </c>
      <c r="FG71" s="192" t="str">
        <f>IF(AND($C71&lt;&gt;"",$S71&lt;&gt;""),(VLOOKUP($C71,'V-LOOKUP'!$C$122:$M$150,6,FALSE)),"0")</f>
        <v>0</v>
      </c>
      <c r="FH71" s="192" t="str">
        <f>IF(AND($C71&lt;&gt;"",$S71&lt;&gt;""),(VLOOKUP($C71,'V-LOOKUP'!$C$122:$M$150,7,FALSE)),"0")</f>
        <v>0</v>
      </c>
      <c r="FI71" s="192" t="str">
        <f>IF(AND($C71&lt;&gt;"",$S71&lt;&gt;""),(VLOOKUP($C71,'V-LOOKUP'!$C$122:$M$150,8,FALSE)),"0")</f>
        <v>0</v>
      </c>
      <c r="FJ71" s="192" t="str">
        <f>IF(AND($C71&lt;&gt;"",$S71&lt;&gt;""),(VLOOKUP($C71,'V-LOOKUP'!$C$122:$M$150,9,FALSE)),"0")</f>
        <v>0</v>
      </c>
      <c r="FK71" s="192" t="str">
        <f>IF(AND($C71&lt;&gt;"",$S71&lt;&gt;""),(VLOOKUP($C71,'V-LOOKUP'!$C$122:$M$150,10,FALSE)),"0")</f>
        <v>0</v>
      </c>
      <c r="FL71" s="192" t="str">
        <f>IF(AND($C71&lt;&gt;"",$S71&lt;&gt;""),(VLOOKUP($C71,'V-LOOKUP'!$C$122:$M$150,11,FALSE)),"0")</f>
        <v>0</v>
      </c>
      <c r="FM71" s="192" t="str">
        <f>IF(AND($C71&lt;&gt;"",$D71&lt;&gt;""),(VLOOKUP($C71,'V-LOOKUP'!$C$122:$N$150,12,FALSE)),"0")</f>
        <v>0</v>
      </c>
      <c r="FN71" s="192" t="str">
        <f>IF(AND($C71&lt;&gt;"",$T71&lt;&gt;""),(VLOOKUP($C71,'V-LOOKUP'!$C$122:$M$150,4,FALSE)),"0")</f>
        <v>0</v>
      </c>
      <c r="FO71" s="192" t="str">
        <f>IF(AND($C71&lt;&gt;"",$T71&lt;&gt;""),(VLOOKUP($C71,'V-LOOKUP'!$C$122:$M$150,5,FALSE)),"0")</f>
        <v>0</v>
      </c>
      <c r="FP71" s="192" t="str">
        <f>IF(AND($C71&lt;&gt;"",$T71&lt;&gt;""),(VLOOKUP($C71,'V-LOOKUP'!$C$122:$M$150,6,FALSE)),"0")</f>
        <v>0</v>
      </c>
      <c r="FQ71" s="192" t="str">
        <f>IF(AND($C71&lt;&gt;"",$T71&lt;&gt;""),(VLOOKUP($C71,'V-LOOKUP'!$C$122:$M$150,7,FALSE)),"0")</f>
        <v>0</v>
      </c>
      <c r="FR71" s="192" t="str">
        <f>IF(AND($C71&lt;&gt;"",$T71&lt;&gt;""),(VLOOKUP($C71,'V-LOOKUP'!$C$122:$M$150,8,FALSE)),"0")</f>
        <v>0</v>
      </c>
      <c r="FS71" s="192" t="str">
        <f>IF(AND($C71&lt;&gt;"",$T71&lt;&gt;""),(VLOOKUP($C71,'V-LOOKUP'!$C$122:$M$150,9,FALSE)),"0")</f>
        <v>0</v>
      </c>
      <c r="FT71" s="192" t="str">
        <f>IF(AND($C71&lt;&gt;"",$T71&lt;&gt;""),(VLOOKUP($C71,'V-LOOKUP'!$C$122:$M$150,10,FALSE)),"0")</f>
        <v>0</v>
      </c>
      <c r="FU71" s="192" t="str">
        <f>IF(AND($C71&lt;&gt;"",$T71&lt;&gt;""),(VLOOKUP($C71,'V-LOOKUP'!$C$122:$M$150,11,FALSE)),"0")</f>
        <v>0</v>
      </c>
      <c r="FV71" s="192" t="str">
        <f>IF(AND($C71&lt;&gt;"",$D71&lt;&gt;""),(VLOOKUP($C71,'V-LOOKUP'!$C$122:$N$150,12,FALSE)),"0")</f>
        <v>0</v>
      </c>
      <c r="FW71" s="192" t="str">
        <f>IF(AND($C71&lt;&gt;"",$U71&lt;&gt;""),(VLOOKUP($C71,'V-LOOKUP'!$C$122:$M$150,4,FALSE)),"0")</f>
        <v>0</v>
      </c>
      <c r="FX71" s="192" t="str">
        <f>IF(AND($C71&lt;&gt;"",$U71&lt;&gt;""),(VLOOKUP($C71,'V-LOOKUP'!$C$122:$M$150,5,FALSE)),"0")</f>
        <v>0</v>
      </c>
      <c r="FY71" s="192" t="str">
        <f>IF(AND($C71&lt;&gt;"",$U71&lt;&gt;""),(VLOOKUP($C71,'V-LOOKUP'!$C$122:$M$150,6,FALSE)),"0")</f>
        <v>0</v>
      </c>
      <c r="FZ71" s="192" t="str">
        <f>IF(AND($C71&lt;&gt;"",$U71&lt;&gt;""),(VLOOKUP($C71,'V-LOOKUP'!$C$122:$M$150,7,FALSE)),"0")</f>
        <v>0</v>
      </c>
      <c r="GA71" s="192" t="str">
        <f>IF(AND($C71&lt;&gt;"",$U71&lt;&gt;""),(VLOOKUP($C71,'V-LOOKUP'!$C$122:$M$150,8,FALSE)),"0")</f>
        <v>0</v>
      </c>
      <c r="GB71" s="192" t="str">
        <f>IF(AND($C71&lt;&gt;"",$U71&lt;&gt;""),(VLOOKUP($C71,'V-LOOKUP'!$C$122:$M$150,9,FALSE)),"0")</f>
        <v>0</v>
      </c>
      <c r="GC71" s="192" t="str">
        <f>IF(AND($C71&lt;&gt;"",$U71&lt;&gt;""),(VLOOKUP($C71,'V-LOOKUP'!$C$122:$M$150,10,FALSE)),"0")</f>
        <v>0</v>
      </c>
      <c r="GD71" s="192" t="str">
        <f>IF(AND($C71&lt;&gt;"",$U71&lt;&gt;""),(VLOOKUP($C71,'V-LOOKUP'!$C$122:$M$150,11,FALSE)),"0")</f>
        <v>0</v>
      </c>
      <c r="GE71" s="192" t="str">
        <f>IF(AND($C71&lt;&gt;"",$D71&lt;&gt;""),(VLOOKUP($C71,'V-LOOKUP'!$C$122:$N$150,12,FALSE)),"0")</f>
        <v>0</v>
      </c>
      <c r="GF71" s="192" t="str">
        <f>IF(AND($C71&lt;&gt;"",$V71&lt;&gt;""),(VLOOKUP($C71,'V-LOOKUP'!$C$122:$M$150,4,FALSE)),"0")</f>
        <v>0</v>
      </c>
      <c r="GG71" s="192" t="str">
        <f>IF(AND($C71&lt;&gt;"",$V71&lt;&gt;""),(VLOOKUP($C71,'V-LOOKUP'!$C$122:$M$150,5,FALSE)),"0")</f>
        <v>0</v>
      </c>
      <c r="GH71" s="192" t="str">
        <f>IF(AND($C71&lt;&gt;"",$V71&lt;&gt;""),(VLOOKUP($C71,'V-LOOKUP'!$C$122:$M$150,6,FALSE)),"0")</f>
        <v>0</v>
      </c>
      <c r="GI71" s="192" t="str">
        <f>IF(AND($C71&lt;&gt;"",$V71&lt;&gt;""),(VLOOKUP($C71,'V-LOOKUP'!$C$122:$M$150,7,FALSE)),"0")</f>
        <v>0</v>
      </c>
      <c r="GJ71" s="192" t="str">
        <f>IF(AND($C71&lt;&gt;"",$V71&lt;&gt;""),(VLOOKUP($C71,'V-LOOKUP'!$C$122:$M$150,8,FALSE)),"0")</f>
        <v>0</v>
      </c>
      <c r="GK71" s="192" t="str">
        <f>IF(AND($C71&lt;&gt;"",$V71&lt;&gt;""),(VLOOKUP($C71,'V-LOOKUP'!$C$122:$M$150,9,FALSE)),"0")</f>
        <v>0</v>
      </c>
      <c r="GL71" s="192" t="str">
        <f>IF(AND($C71&lt;&gt;"",$V71&lt;&gt;""),(VLOOKUP($C71,'V-LOOKUP'!$C$122:$M$150,10,FALSE)),"0")</f>
        <v>0</v>
      </c>
      <c r="GM71" s="192" t="str">
        <f>IF(AND($C71&lt;&gt;"",$V71&lt;&gt;""),(VLOOKUP($C71,'V-LOOKUP'!$C$122:$M$150,11,FALSE)),"0")</f>
        <v>0</v>
      </c>
      <c r="GN71" s="192" t="str">
        <f>IF(AND($C71&lt;&gt;"",$D71&lt;&gt;""),(VLOOKUP($C71,'V-LOOKUP'!$C$122:$N$150,12,FALSE)),"0")</f>
        <v>0</v>
      </c>
      <c r="GO71" s="192" t="str">
        <f>IF(AND($C71&lt;&gt;"",$W71&lt;&gt;""),(VLOOKUP($C71,'V-LOOKUP'!$C$122:$M$150,4,FALSE)),"0")</f>
        <v>0</v>
      </c>
      <c r="GP71" s="192" t="str">
        <f>IF(AND($C71&lt;&gt;"",$W71&lt;&gt;""),(VLOOKUP($C71,'V-LOOKUP'!$C$122:$M$150,5,FALSE)),"0")</f>
        <v>0</v>
      </c>
      <c r="GQ71" s="192" t="str">
        <f>IF(AND($C71&lt;&gt;"",$W71&lt;&gt;""),(VLOOKUP($C71,'V-LOOKUP'!$C$122:$M$150,6,FALSE)),"0")</f>
        <v>0</v>
      </c>
      <c r="GR71" s="192" t="str">
        <f>IF(AND($C71&lt;&gt;"",$W71&lt;&gt;""),(VLOOKUP($C71,'V-LOOKUP'!$C$122:$M$150,7,FALSE)),"0")</f>
        <v>0</v>
      </c>
      <c r="GS71" s="192" t="str">
        <f>IF(AND($C71&lt;&gt;"",$W71&lt;&gt;""),(VLOOKUP($C71,'V-LOOKUP'!$C$122:$M$150,8,FALSE)),"0")</f>
        <v>0</v>
      </c>
      <c r="GT71" s="192" t="str">
        <f>IF(AND($C71&lt;&gt;"",$W71&lt;&gt;""),(VLOOKUP($C71,'V-LOOKUP'!$C$122:$M$150,9,FALSE)),"0")</f>
        <v>0</v>
      </c>
      <c r="GU71" s="192" t="str">
        <f>IF(AND($C71&lt;&gt;"",$W71&lt;&gt;""),(VLOOKUP($C71,'V-LOOKUP'!$C$122:$M$150,10,FALSE)),"0")</f>
        <v>0</v>
      </c>
      <c r="GV71" s="192" t="str">
        <f>IF(AND($C71&lt;&gt;"",$W71&lt;&gt;""),(VLOOKUP($C71,'V-LOOKUP'!$C$122:$M$150,11,FALSE)),"0")</f>
        <v>0</v>
      </c>
      <c r="GW71" s="192" t="str">
        <f>IF(AND($C71&lt;&gt;"",$D71&lt;&gt;""),(VLOOKUP($C71,'V-LOOKUP'!$C$122:$N$150,12,FALSE)),"0")</f>
        <v>0</v>
      </c>
    </row>
    <row r="72" spans="1:205" ht="14.65" customHeight="1">
      <c r="B72" s="245"/>
      <c r="C72" s="203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Y72" s="190"/>
      <c r="Z72" s="192" t="str">
        <f>IF(AND($C72&lt;&gt;"",$D72&lt;&gt;""),(VLOOKUP($C72,'V-LOOKUP'!$C$122:$M$150,4,FALSE)),"0")</f>
        <v>0</v>
      </c>
      <c r="AA72" s="192" t="str">
        <f>IF(AND($C72&lt;&gt;"",$D72&lt;&gt;""),(VLOOKUP($C72,'V-LOOKUP'!$C$122:$M$150,5,FALSE)),"0")</f>
        <v>0</v>
      </c>
      <c r="AB72" s="192" t="str">
        <f>IF(AND($C72&lt;&gt;"",$D72&lt;&gt;""),(VLOOKUP($C72,'V-LOOKUP'!$C$122:$M$150,6,FALSE)),"0")</f>
        <v>0</v>
      </c>
      <c r="AC72" s="192" t="str">
        <f>IF(AND($C72&lt;&gt;"",$D72&lt;&gt;""),(VLOOKUP($C72,'V-LOOKUP'!$C$122:$M$150,7,FALSE)),"0")</f>
        <v>0</v>
      </c>
      <c r="AD72" s="192" t="str">
        <f>IF(AND($C72&lt;&gt;"",$D72&lt;&gt;""),(VLOOKUP($C72,'V-LOOKUP'!$C$122:$M$150,8,FALSE)),"0")</f>
        <v>0</v>
      </c>
      <c r="AE72" s="192" t="str">
        <f>IF(AND($C72&lt;&gt;"",$D72&lt;&gt;""),(VLOOKUP($C72,'V-LOOKUP'!$C$122:$M$150,9,FALSE)),"0")</f>
        <v>0</v>
      </c>
      <c r="AF72" s="192" t="str">
        <f>IF(AND($C72&lt;&gt;"",$D72&lt;&gt;""),(VLOOKUP($C72,'V-LOOKUP'!$C$122:$M$150,10,FALSE)),"0")</f>
        <v>0</v>
      </c>
      <c r="AG72" s="192" t="str">
        <f>IF(AND($C72&lt;&gt;"",$D72&lt;&gt;""),(VLOOKUP($C72,'V-LOOKUP'!$C$122:$M$150,11,FALSE)),"0")</f>
        <v>0</v>
      </c>
      <c r="AH72" s="192" t="str">
        <f>IF(AND($C72&lt;&gt;"",$D72&lt;&gt;""),(VLOOKUP($C72,'V-LOOKUP'!$C$122:$N$150,12,FALSE)),"0")</f>
        <v>0</v>
      </c>
      <c r="AI72" s="192" t="str">
        <f>IF(AND($C72&lt;&gt;"",$E72&lt;&gt;""),(VLOOKUP($C72,'V-LOOKUP'!$C$122:$M$150,4,FALSE)),"0")</f>
        <v>0</v>
      </c>
      <c r="AJ72" s="192" t="str">
        <f>IF(AND($C72&lt;&gt;"",$E72&lt;&gt;""),(VLOOKUP($C72,'V-LOOKUP'!$C$122:$M$150,5,FALSE)),"0")</f>
        <v>0</v>
      </c>
      <c r="AK72" s="192" t="str">
        <f>IF(AND($C72&lt;&gt;"",$E72&lt;&gt;""),(VLOOKUP($C72,'V-LOOKUP'!$C$122:$M$150,6,FALSE)),"0")</f>
        <v>0</v>
      </c>
      <c r="AL72" s="192" t="str">
        <f>IF(AND($C72&lt;&gt;"",$E72&lt;&gt;""),(VLOOKUP($C72,'V-LOOKUP'!$C$122:$M$150,7,FALSE)),"0")</f>
        <v>0</v>
      </c>
      <c r="AM72" s="192" t="str">
        <f>IF(AND($C72&lt;&gt;"",$E72&lt;&gt;""),(VLOOKUP($C72,'V-LOOKUP'!$C$122:$M$150,8,FALSE)),"0")</f>
        <v>0</v>
      </c>
      <c r="AN72" s="192" t="str">
        <f>IF(AND($C72&lt;&gt;"",$E72&lt;&gt;""),(VLOOKUP($C72,'V-LOOKUP'!$C$122:$M$150,9,FALSE)),"0")</f>
        <v>0</v>
      </c>
      <c r="AO72" s="192" t="str">
        <f>IF(AND($C72&lt;&gt;"",$E72&lt;&gt;""),(VLOOKUP($C72,'V-LOOKUP'!$C$122:$M$150,10,FALSE)),"0")</f>
        <v>0</v>
      </c>
      <c r="AP72" s="192" t="str">
        <f>IF(AND($C72&lt;&gt;"",$E72&lt;&gt;""),(VLOOKUP($C72,'V-LOOKUP'!$C$122:$M$150,11,FALSE)),"0")</f>
        <v>0</v>
      </c>
      <c r="AQ72" s="192" t="str">
        <f>IF(AND($C72&lt;&gt;"",$D72&lt;&gt;""),(VLOOKUP($C72,'V-LOOKUP'!$C$122:$N$150,12,FALSE)),"0")</f>
        <v>0</v>
      </c>
      <c r="AR72" s="192" t="str">
        <f>IF(AND($C72&lt;&gt;"",$F72&lt;&gt;""),(VLOOKUP($C72,'V-LOOKUP'!$C$122:$M$150,4,FALSE)),"0")</f>
        <v>0</v>
      </c>
      <c r="AS72" s="192" t="str">
        <f>IF(AND($C72&lt;&gt;"",$F72&lt;&gt;""),(VLOOKUP($C72,'V-LOOKUP'!$C$122:$M$150,5,FALSE)),"0")</f>
        <v>0</v>
      </c>
      <c r="AT72" s="192" t="str">
        <f>IF(AND($C72&lt;&gt;"",$F72&lt;&gt;""),(VLOOKUP($C72,'V-LOOKUP'!$C$122:$M$150,6,FALSE)),"0")</f>
        <v>0</v>
      </c>
      <c r="AU72" s="192" t="str">
        <f>IF(AND($C72&lt;&gt;"",$F72&lt;&gt;""),(VLOOKUP($C72,'V-LOOKUP'!$C$122:$M$150,7,FALSE)),"0")</f>
        <v>0</v>
      </c>
      <c r="AV72" s="192" t="str">
        <f>IF(AND($C72&lt;&gt;"",$F72&lt;&gt;""),(VLOOKUP($C72,'V-LOOKUP'!$C$122:$M$150,8,FALSE)),"0")</f>
        <v>0</v>
      </c>
      <c r="AW72" s="192" t="str">
        <f>IF(AND($C72&lt;&gt;"",$F72&lt;&gt;""),(VLOOKUP($C72,'V-LOOKUP'!$C$122:$M$150,9,FALSE)),"0")</f>
        <v>0</v>
      </c>
      <c r="AX72" s="192" t="str">
        <f>IF(AND($C72&lt;&gt;"",$F72&lt;&gt;""),(VLOOKUP($C72,'V-LOOKUP'!$C$122:$M$150,10,FALSE)),"0")</f>
        <v>0</v>
      </c>
      <c r="AY72" s="192" t="str">
        <f>IF(AND($C72&lt;&gt;"",$F72&lt;&gt;""),(VLOOKUP($C72,'V-LOOKUP'!$C$122:$M$150,11,FALSE)),"0")</f>
        <v>0</v>
      </c>
      <c r="AZ72" s="192" t="str">
        <f>IF(AND($C72&lt;&gt;"",$D72&lt;&gt;""),(VLOOKUP($C72,'V-LOOKUP'!$C$122:$N$150,12,FALSE)),"0")</f>
        <v>0</v>
      </c>
      <c r="BA72" s="192" t="str">
        <f>IF(AND($C72&lt;&gt;"",$G72&lt;&gt;""),(VLOOKUP($C72,'V-LOOKUP'!$C$122:$M$150,4,FALSE)),"0")</f>
        <v>0</v>
      </c>
      <c r="BB72" s="192" t="str">
        <f>IF(AND($C72&lt;&gt;"",$G72&lt;&gt;""),(VLOOKUP($C72,'V-LOOKUP'!$C$122:$M$150,5,FALSE)),"0")</f>
        <v>0</v>
      </c>
      <c r="BC72" s="192" t="str">
        <f>IF(AND($C72&lt;&gt;"",$G72&lt;&gt;""),(VLOOKUP($C72,'V-LOOKUP'!$C$122:$M$150,6,FALSE)),"0")</f>
        <v>0</v>
      </c>
      <c r="BD72" s="192" t="str">
        <f>IF(AND($C72&lt;&gt;"",$G72&lt;&gt;""),(VLOOKUP($C72,'V-LOOKUP'!$C$122:$M$150,7,FALSE)),"0")</f>
        <v>0</v>
      </c>
      <c r="BE72" s="192" t="str">
        <f>IF(AND($C72&lt;&gt;"",$G72&lt;&gt;""),(VLOOKUP($C72,'V-LOOKUP'!$C$122:$M$150,8,FALSE)),"0")</f>
        <v>0</v>
      </c>
      <c r="BF72" s="192" t="str">
        <f>IF(AND($C72&lt;&gt;"",$G72&lt;&gt;""),(VLOOKUP($C72,'V-LOOKUP'!$C$122:$M$150,9,FALSE)),"0")</f>
        <v>0</v>
      </c>
      <c r="BG72" s="192" t="str">
        <f>IF(AND($C72&lt;&gt;"",$G72&lt;&gt;""),(VLOOKUP($C72,'V-LOOKUP'!$C$122:$M$150,10,FALSE)),"0")</f>
        <v>0</v>
      </c>
      <c r="BH72" s="192" t="str">
        <f>IF(AND($C72&lt;&gt;"",$G72&lt;&gt;""),(VLOOKUP($C72,'V-LOOKUP'!$C$122:$M$150,11,FALSE)),"0")</f>
        <v>0</v>
      </c>
      <c r="BI72" s="192" t="str">
        <f>IF(AND($C72&lt;&gt;"",$D72&lt;&gt;""),(VLOOKUP($C72,'V-LOOKUP'!$C$122:$N$150,12,FALSE)),"0")</f>
        <v>0</v>
      </c>
      <c r="BJ72" s="192" t="str">
        <f>IF(AND($C72&lt;&gt;"",$H72&lt;&gt;""),(VLOOKUP($C72,'V-LOOKUP'!$C$122:$M$150,4,FALSE)),"0")</f>
        <v>0</v>
      </c>
      <c r="BK72" s="192" t="str">
        <f>IF(AND($C72&lt;&gt;"",$H72&lt;&gt;""),(VLOOKUP($C72,'V-LOOKUP'!$C$122:$M$150,5,FALSE)),"0")</f>
        <v>0</v>
      </c>
      <c r="BL72" s="192" t="str">
        <f>IF(AND($C72&lt;&gt;"",$H72&lt;&gt;""),(VLOOKUP($C72,'V-LOOKUP'!$C$122:$M$150,6,FALSE)),"0")</f>
        <v>0</v>
      </c>
      <c r="BM72" s="192" t="str">
        <f>IF(AND($C72&lt;&gt;"",$H72&lt;&gt;""),(VLOOKUP($C72,'V-LOOKUP'!$C$122:$M$150,7,FALSE)),"0")</f>
        <v>0</v>
      </c>
      <c r="BN72" s="192" t="str">
        <f>IF(AND($C72&lt;&gt;"",$H72&lt;&gt;""),(VLOOKUP($C72,'V-LOOKUP'!$C$122:$M$150,8,FALSE)),"0")</f>
        <v>0</v>
      </c>
      <c r="BO72" s="192" t="str">
        <f>IF(AND($C72&lt;&gt;"",$H72&lt;&gt;""),(VLOOKUP($C72,'V-LOOKUP'!$C$122:$M$150,9,FALSE)),"0")</f>
        <v>0</v>
      </c>
      <c r="BP72" s="192" t="str">
        <f>IF(AND($C72&lt;&gt;"",$H72&lt;&gt;""),(VLOOKUP($C72,'V-LOOKUP'!$C$122:$M$150,10,FALSE)),"0")</f>
        <v>0</v>
      </c>
      <c r="BQ72" s="192" t="str">
        <f>IF(AND($C72&lt;&gt;"",$H72&lt;&gt;""),(VLOOKUP($C72,'V-LOOKUP'!$C$122:$M$150,11,FALSE)),"0")</f>
        <v>0</v>
      </c>
      <c r="BR72" s="192" t="str">
        <f>IF(AND($C72&lt;&gt;"",$D72&lt;&gt;""),(VLOOKUP($C72,'V-LOOKUP'!$C$122:$N$150,12,FALSE)),"0")</f>
        <v>0</v>
      </c>
      <c r="BS72" s="192" t="str">
        <f>IF(AND($C72&lt;&gt;"",$I72&lt;&gt;""),(VLOOKUP($C72,'V-LOOKUP'!$C$122:$M$150,4,FALSE)),"0")</f>
        <v>0</v>
      </c>
      <c r="BT72" s="192" t="str">
        <f>IF(AND($C72&lt;&gt;"",$I72&lt;&gt;""),(VLOOKUP($C72,'V-LOOKUP'!$C$122:$M$150,5,FALSE)),"0")</f>
        <v>0</v>
      </c>
      <c r="BU72" s="192" t="str">
        <f>IF(AND($C72&lt;&gt;"",$I72&lt;&gt;""),(VLOOKUP($C72,'V-LOOKUP'!$C$122:$M$150,6,FALSE)),"0")</f>
        <v>0</v>
      </c>
      <c r="BV72" s="192" t="str">
        <f>IF(AND($C72&lt;&gt;"",$I72&lt;&gt;""),(VLOOKUP($C72,'V-LOOKUP'!$C$122:$M$150,7,FALSE)),"0")</f>
        <v>0</v>
      </c>
      <c r="BW72" s="192" t="str">
        <f>IF(AND($C72&lt;&gt;"",$I72&lt;&gt;""),(VLOOKUP($C72,'V-LOOKUP'!$C$122:$M$150,8,FALSE)),"0")</f>
        <v>0</v>
      </c>
      <c r="BX72" s="192" t="str">
        <f>IF(AND($C72&lt;&gt;"",$I72&lt;&gt;""),(VLOOKUP($C72,'V-LOOKUP'!$C$122:$M$150,9,FALSE)),"0")</f>
        <v>0</v>
      </c>
      <c r="BY72" s="192" t="str">
        <f>IF(AND($C72&lt;&gt;"",$I72&lt;&gt;""),(VLOOKUP($C72,'V-LOOKUP'!$C$122:$M$150,10,FALSE)),"0")</f>
        <v>0</v>
      </c>
      <c r="BZ72" s="192" t="str">
        <f>IF(AND($C72&lt;&gt;"",$I72&lt;&gt;""),(VLOOKUP($C72,'V-LOOKUP'!$C$122:$M$150,11,FALSE)),"0")</f>
        <v>0</v>
      </c>
      <c r="CA72" s="192" t="str">
        <f>IF(AND($C72&lt;&gt;"",$D72&lt;&gt;""),(VLOOKUP($C72,'V-LOOKUP'!$C$122:$N$150,12,FALSE)),"0")</f>
        <v>0</v>
      </c>
      <c r="CB72" s="192" t="str">
        <f>IF(AND($C72&lt;&gt;"",$J72&lt;&gt;""),(VLOOKUP($C72,'V-LOOKUP'!$C$122:$M$150,4,FALSE)),"0")</f>
        <v>0</v>
      </c>
      <c r="CC72" s="192" t="str">
        <f>IF(AND($C72&lt;&gt;"",$J72&lt;&gt;""),(VLOOKUP($C72,'V-LOOKUP'!$C$122:$M$150,5,FALSE)),"0")</f>
        <v>0</v>
      </c>
      <c r="CD72" s="192" t="str">
        <f>IF(AND($C72&lt;&gt;"",$J72&lt;&gt;""),(VLOOKUP($C72,'V-LOOKUP'!$C$122:$M$150,6,FALSE)),"0")</f>
        <v>0</v>
      </c>
      <c r="CE72" s="192" t="str">
        <f>IF(AND($C72&lt;&gt;"",$J72&lt;&gt;""),(VLOOKUP($C72,'V-LOOKUP'!$C$122:$M$150,7,FALSE)),"0")</f>
        <v>0</v>
      </c>
      <c r="CF72" s="192" t="str">
        <f>IF(AND($C72&lt;&gt;"",$J72&lt;&gt;""),(VLOOKUP($C72,'V-LOOKUP'!$C$122:$M$150,8,FALSE)),"0")</f>
        <v>0</v>
      </c>
      <c r="CG72" s="192" t="str">
        <f>IF(AND($C72&lt;&gt;"",$J72&lt;&gt;""),(VLOOKUP($C72,'V-LOOKUP'!$C$122:$M$150,9,FALSE)),"0")</f>
        <v>0</v>
      </c>
      <c r="CH72" s="192" t="str">
        <f>IF(AND($C72&lt;&gt;"",$J72&lt;&gt;""),(VLOOKUP($C72,'V-LOOKUP'!$C$122:$M$150,10,FALSE)),"0")</f>
        <v>0</v>
      </c>
      <c r="CI72" s="192" t="str">
        <f>IF(AND($C72&lt;&gt;"",$J72&lt;&gt;""),(VLOOKUP($C72,'V-LOOKUP'!$C$122:$M$150,11,FALSE)),"0")</f>
        <v>0</v>
      </c>
      <c r="CJ72" s="192" t="str">
        <f>IF(AND($C72&lt;&gt;"",$D72&lt;&gt;""),(VLOOKUP($C72,'V-LOOKUP'!$C$122:$N$150,12,FALSE)),"0")</f>
        <v>0</v>
      </c>
      <c r="CK72" s="192" t="str">
        <f>IF(AND($C72&lt;&gt;"",$K72&lt;&gt;""),(VLOOKUP($C72,'V-LOOKUP'!$C$122:$M$150,4,FALSE)),"0")</f>
        <v>0</v>
      </c>
      <c r="CL72" s="192" t="str">
        <f>IF(AND($C72&lt;&gt;"",$K72&lt;&gt;""),(VLOOKUP($C72,'V-LOOKUP'!$C$122:$M$150,5,FALSE)),"0")</f>
        <v>0</v>
      </c>
      <c r="CM72" s="192" t="str">
        <f>IF(AND($C72&lt;&gt;"",$K72&lt;&gt;""),(VLOOKUP($C72,'V-LOOKUP'!$C$122:$M$150,6,FALSE)),"0")</f>
        <v>0</v>
      </c>
      <c r="CN72" s="192" t="str">
        <f>IF(AND($C72&lt;&gt;"",$K72&lt;&gt;""),(VLOOKUP($C72,'V-LOOKUP'!$C$122:$M$150,7,FALSE)),"0")</f>
        <v>0</v>
      </c>
      <c r="CO72" s="192" t="str">
        <f>IF(AND($C72&lt;&gt;"",$K72&lt;&gt;""),(VLOOKUP($C72,'V-LOOKUP'!$C$122:$M$150,8,FALSE)),"0")</f>
        <v>0</v>
      </c>
      <c r="CP72" s="192" t="str">
        <f>IF(AND($C72&lt;&gt;"",$K72&lt;&gt;""),(VLOOKUP($C72,'V-LOOKUP'!$C$122:$M$150,9,FALSE)),"0")</f>
        <v>0</v>
      </c>
      <c r="CQ72" s="192" t="str">
        <f>IF(AND($C72&lt;&gt;"",$K72&lt;&gt;""),(VLOOKUP($C72,'V-LOOKUP'!$C$122:$M$150,10,FALSE)),"0")</f>
        <v>0</v>
      </c>
      <c r="CR72" s="192" t="str">
        <f>IF(AND($C72&lt;&gt;"",$K72&lt;&gt;""),(VLOOKUP($C72,'V-LOOKUP'!$C$122:$M$150,11,FALSE)),"0")</f>
        <v>0</v>
      </c>
      <c r="CS72" s="192" t="str">
        <f>IF(AND($C72&lt;&gt;"",$D72&lt;&gt;""),(VLOOKUP($C72,'V-LOOKUP'!$C$122:$N$150,12,FALSE)),"0")</f>
        <v>0</v>
      </c>
      <c r="CT72" s="192" t="str">
        <f>IF(AND($C72&lt;&gt;"",$L72&lt;&gt;""),(VLOOKUP($C72,'V-LOOKUP'!$C$122:$M$150,4,FALSE)),"0")</f>
        <v>0</v>
      </c>
      <c r="CU72" s="192" t="str">
        <f>IF(AND($C72&lt;&gt;"",$L72&lt;&gt;""),(VLOOKUP($C72,'V-LOOKUP'!$C$122:$M$150,5,FALSE)),"0")</f>
        <v>0</v>
      </c>
      <c r="CV72" s="192" t="str">
        <f>IF(AND($C72&lt;&gt;"",$L72&lt;&gt;""),(VLOOKUP($C72,'V-LOOKUP'!$C$122:$M$150,6,FALSE)),"0")</f>
        <v>0</v>
      </c>
      <c r="CW72" s="192" t="str">
        <f>IF(AND($C72&lt;&gt;"",$L72&lt;&gt;""),(VLOOKUP($C72,'V-LOOKUP'!$C$122:$M$150,7,FALSE)),"0")</f>
        <v>0</v>
      </c>
      <c r="CX72" s="192" t="str">
        <f>IF(AND($C72&lt;&gt;"",$L72&lt;&gt;""),(VLOOKUP($C72,'V-LOOKUP'!$C$122:$M$150,8,FALSE)),"0")</f>
        <v>0</v>
      </c>
      <c r="CY72" s="192" t="str">
        <f>IF(AND($C72&lt;&gt;"",$L72&lt;&gt;""),(VLOOKUP($C72,'V-LOOKUP'!$C$122:$M$150,9,FALSE)),"0")</f>
        <v>0</v>
      </c>
      <c r="CZ72" s="192" t="str">
        <f>IF(AND($C72&lt;&gt;"",$L72&lt;&gt;""),(VLOOKUP($C72,'V-LOOKUP'!$C$122:$M$150,10,FALSE)),"0")</f>
        <v>0</v>
      </c>
      <c r="DA72" s="192" t="str">
        <f>IF(AND($C72&lt;&gt;"",$L72&lt;&gt;""),(VLOOKUP($C72,'V-LOOKUP'!$C$122:$M$150,11,FALSE)),"0")</f>
        <v>0</v>
      </c>
      <c r="DB72" s="192" t="str">
        <f>IF(AND($C72&lt;&gt;"",$D72&lt;&gt;""),(VLOOKUP($C72,'V-LOOKUP'!$C$122:$N$150,12,FALSE)),"0")</f>
        <v>0</v>
      </c>
      <c r="DC72" s="192" t="str">
        <f>IF(AND($C72&lt;&gt;"",$M72&lt;&gt;""),(VLOOKUP($C72,'V-LOOKUP'!$C$122:$M$150,4,FALSE)),"0")</f>
        <v>0</v>
      </c>
      <c r="DD72" s="192" t="str">
        <f>IF(AND($C72&lt;&gt;"",$M72&lt;&gt;""),(VLOOKUP($C72,'V-LOOKUP'!$C$122:$M$150,5,FALSE)),"0")</f>
        <v>0</v>
      </c>
      <c r="DE72" s="192" t="str">
        <f>IF(AND($C72&lt;&gt;"",$M72&lt;&gt;""),(VLOOKUP($C72,'V-LOOKUP'!$C$122:$M$150,6,FALSE)),"0")</f>
        <v>0</v>
      </c>
      <c r="DF72" s="192" t="str">
        <f>IF(AND($C72&lt;&gt;"",$M72&lt;&gt;""),(VLOOKUP($C72,'V-LOOKUP'!$C$122:$M$150,7,FALSE)),"0")</f>
        <v>0</v>
      </c>
      <c r="DG72" s="192" t="str">
        <f>IF(AND($C72&lt;&gt;"",$M72&lt;&gt;""),(VLOOKUP($C72,'V-LOOKUP'!$C$122:$M$150,8,FALSE)),"0")</f>
        <v>0</v>
      </c>
      <c r="DH72" s="192" t="str">
        <f>IF(AND($C72&lt;&gt;"",$M72&lt;&gt;""),(VLOOKUP($C72,'V-LOOKUP'!$C$122:$M$150,9,FALSE)),"0")</f>
        <v>0</v>
      </c>
      <c r="DI72" s="192" t="str">
        <f>IF(AND($C72&lt;&gt;"",$M72&lt;&gt;""),(VLOOKUP($C72,'V-LOOKUP'!$C$122:$M$150,10,FALSE)),"0")</f>
        <v>0</v>
      </c>
      <c r="DJ72" s="192" t="str">
        <f>IF(AND($C72&lt;&gt;"",$M72&lt;&gt;""),(VLOOKUP($C72,'V-LOOKUP'!$C$122:$M$150,11,FALSE)),"0")</f>
        <v>0</v>
      </c>
      <c r="DK72" s="192" t="str">
        <f>IF(AND($C72&lt;&gt;"",$D72&lt;&gt;""),(VLOOKUP($C72,'V-LOOKUP'!$C$122:$N$150,12,FALSE)),"0")</f>
        <v>0</v>
      </c>
      <c r="DL72" s="192" t="str">
        <f>IF(AND($C72&lt;&gt;"",$N72&lt;&gt;""),(VLOOKUP($C72,'V-LOOKUP'!$C$122:$M$150,4,FALSE)),"0")</f>
        <v>0</v>
      </c>
      <c r="DM72" s="192" t="str">
        <f>IF(AND($C72&lt;&gt;"",$N72&lt;&gt;""),(VLOOKUP($C72,'V-LOOKUP'!$C$122:$M$150,5,FALSE)),"0")</f>
        <v>0</v>
      </c>
      <c r="DN72" s="192" t="str">
        <f>IF(AND($C72&lt;&gt;"",$N72&lt;&gt;""),(VLOOKUP($C72,'V-LOOKUP'!$C$122:$M$150,6,FALSE)),"0")</f>
        <v>0</v>
      </c>
      <c r="DO72" s="192" t="str">
        <f>IF(AND($C72&lt;&gt;"",$N72&lt;&gt;""),(VLOOKUP($C72,'V-LOOKUP'!$C$122:$M$150,7,FALSE)),"0")</f>
        <v>0</v>
      </c>
      <c r="DP72" s="192" t="str">
        <f>IF(AND($C72&lt;&gt;"",$N72&lt;&gt;""),(VLOOKUP($C72,'V-LOOKUP'!$C$122:$M$150,8,FALSE)),"0")</f>
        <v>0</v>
      </c>
      <c r="DQ72" s="192" t="str">
        <f>IF(AND($C72&lt;&gt;"",$N72&lt;&gt;""),(VLOOKUP($C72,'V-LOOKUP'!$C$122:$M$150,9,FALSE)),"0")</f>
        <v>0</v>
      </c>
      <c r="DR72" s="192" t="str">
        <f>IF(AND($C72&lt;&gt;"",$N72&lt;&gt;""),(VLOOKUP($C72,'V-LOOKUP'!$C$122:$M$150,10,FALSE)),"0")</f>
        <v>0</v>
      </c>
      <c r="DS72" s="192" t="str">
        <f>IF(AND($C72&lt;&gt;"",$N72&lt;&gt;""),(VLOOKUP($C72,'V-LOOKUP'!$C$122:$M$150,11,FALSE)),"0")</f>
        <v>0</v>
      </c>
      <c r="DT72" s="192" t="str">
        <f>IF(AND($C72&lt;&gt;"",$D72&lt;&gt;""),(VLOOKUP($C72,'V-LOOKUP'!$C$122:$N$150,12,FALSE)),"0")</f>
        <v>0</v>
      </c>
      <c r="DU72" s="192" t="str">
        <f>IF(AND($C72&lt;&gt;"",$O72&lt;&gt;""),(VLOOKUP($C72,'V-LOOKUP'!$C$122:$M$150,4,FALSE)),"0")</f>
        <v>0</v>
      </c>
      <c r="DV72" s="192" t="str">
        <f>IF(AND($C72&lt;&gt;"",$O72&lt;&gt;""),(VLOOKUP($C72,'V-LOOKUP'!$C$122:$M$150,5,FALSE)),"0")</f>
        <v>0</v>
      </c>
      <c r="DW72" s="192" t="str">
        <f>IF(AND($C72&lt;&gt;"",$O72&lt;&gt;""),(VLOOKUP($C72,'V-LOOKUP'!$C$122:$M$150,6,FALSE)),"0")</f>
        <v>0</v>
      </c>
      <c r="DX72" s="192" t="str">
        <f>IF(AND($C72&lt;&gt;"",$O72&lt;&gt;""),(VLOOKUP($C72,'V-LOOKUP'!$C$122:$M$150,7,FALSE)),"0")</f>
        <v>0</v>
      </c>
      <c r="DY72" s="192" t="str">
        <f>IF(AND($C72&lt;&gt;"",$O72&lt;&gt;""),(VLOOKUP($C72,'V-LOOKUP'!$C$122:$M$150,8,FALSE)),"0")</f>
        <v>0</v>
      </c>
      <c r="DZ72" s="192" t="str">
        <f>IF(AND($C72&lt;&gt;"",$O72&lt;&gt;""),(VLOOKUP($C72,'V-LOOKUP'!$C$122:$M$150,9,FALSE)),"0")</f>
        <v>0</v>
      </c>
      <c r="EA72" s="192" t="str">
        <f>IF(AND($C72&lt;&gt;"",$O72&lt;&gt;""),(VLOOKUP($C72,'V-LOOKUP'!$C$122:$M$150,10,FALSE)),"0")</f>
        <v>0</v>
      </c>
      <c r="EB72" s="192" t="str">
        <f>IF(AND($C72&lt;&gt;"",$O72&lt;&gt;""),(VLOOKUP($C72,'V-LOOKUP'!$C$122:$M$150,11,FALSE)),"0")</f>
        <v>0</v>
      </c>
      <c r="EC72" s="192" t="str">
        <f>IF(AND($C72&lt;&gt;"",$D72&lt;&gt;""),(VLOOKUP($C72,'V-LOOKUP'!$C$122:$N$150,12,FALSE)),"0")</f>
        <v>0</v>
      </c>
      <c r="ED72" s="192" t="str">
        <f>IF(AND($C72&lt;&gt;"",$P72&lt;&gt;""),(VLOOKUP($C72,'V-LOOKUP'!$C$122:$M$150,4,FALSE)),"0")</f>
        <v>0</v>
      </c>
      <c r="EE72" s="192" t="str">
        <f>IF(AND($C72&lt;&gt;"",$P72&lt;&gt;""),(VLOOKUP($C72,'V-LOOKUP'!$C$122:$M$150,5,FALSE)),"0")</f>
        <v>0</v>
      </c>
      <c r="EF72" s="192" t="str">
        <f>IF(AND($C72&lt;&gt;"",$P72&lt;&gt;""),(VLOOKUP($C72,'V-LOOKUP'!$C$122:$M$150,6,FALSE)),"0")</f>
        <v>0</v>
      </c>
      <c r="EG72" s="192" t="str">
        <f>IF(AND($C72&lt;&gt;"",$P72&lt;&gt;""),(VLOOKUP($C72,'V-LOOKUP'!$C$122:$M$150,7,FALSE)),"0")</f>
        <v>0</v>
      </c>
      <c r="EH72" s="192" t="str">
        <f>IF(AND($C72&lt;&gt;"",$P72&lt;&gt;""),(VLOOKUP($C72,'V-LOOKUP'!$C$122:$M$150,8,FALSE)),"0")</f>
        <v>0</v>
      </c>
      <c r="EI72" s="192" t="str">
        <f>IF(AND($C72&lt;&gt;"",$P72&lt;&gt;""),(VLOOKUP($C72,'V-LOOKUP'!$C$122:$M$150,9,FALSE)),"0")</f>
        <v>0</v>
      </c>
      <c r="EJ72" s="192" t="str">
        <f>IF(AND($C72&lt;&gt;"",$P72&lt;&gt;""),(VLOOKUP($C72,'V-LOOKUP'!$C$122:$M$150,10,FALSE)),"0")</f>
        <v>0</v>
      </c>
      <c r="EK72" s="192" t="str">
        <f>IF(AND($C72&lt;&gt;"",$P72&lt;&gt;""),(VLOOKUP($C72,'V-LOOKUP'!$C$122:$M$150,11,FALSE)),"0")</f>
        <v>0</v>
      </c>
      <c r="EL72" s="192" t="str">
        <f>IF(AND($C72&lt;&gt;"",$D72&lt;&gt;""),(VLOOKUP($C72,'V-LOOKUP'!$C$122:$N$150,12,FALSE)),"0")</f>
        <v>0</v>
      </c>
      <c r="EM72" s="192" t="str">
        <f>IF(AND($C72&lt;&gt;"",$Q72&lt;&gt;""),(VLOOKUP($C72,'V-LOOKUP'!$C$122:$M$150,4,FALSE)),"0")</f>
        <v>0</v>
      </c>
      <c r="EN72" s="192" t="str">
        <f>IF(AND($C72&lt;&gt;"",$Q72&lt;&gt;""),(VLOOKUP($C72,'V-LOOKUP'!$C$122:$M$150,5,FALSE)),"0")</f>
        <v>0</v>
      </c>
      <c r="EO72" s="192" t="str">
        <f>IF(AND($C72&lt;&gt;"",$Q72&lt;&gt;""),(VLOOKUP($C72,'V-LOOKUP'!$C$122:$M$150,6,FALSE)),"0")</f>
        <v>0</v>
      </c>
      <c r="EP72" s="192" t="str">
        <f>IF(AND($C72&lt;&gt;"",$Q72&lt;&gt;""),(VLOOKUP($C72,'V-LOOKUP'!$C$122:$M$150,7,FALSE)),"0")</f>
        <v>0</v>
      </c>
      <c r="EQ72" s="192" t="str">
        <f>IF(AND($C72&lt;&gt;"",$Q72&lt;&gt;""),(VLOOKUP($C72,'V-LOOKUP'!$C$122:$M$150,8,FALSE)),"0")</f>
        <v>0</v>
      </c>
      <c r="ER72" s="192" t="str">
        <f>IF(AND($C72&lt;&gt;"",$Q72&lt;&gt;""),(VLOOKUP($C72,'V-LOOKUP'!$C$122:$M$150,9,FALSE)),"0")</f>
        <v>0</v>
      </c>
      <c r="ES72" s="192" t="str">
        <f>IF(AND($C72&lt;&gt;"",$Q72&lt;&gt;""),(VLOOKUP($C72,'V-LOOKUP'!$C$122:$M$150,10,FALSE)),"0")</f>
        <v>0</v>
      </c>
      <c r="ET72" s="192" t="str">
        <f>IF(AND($C72&lt;&gt;"",$Q72&lt;&gt;""),(VLOOKUP($C72,'V-LOOKUP'!$C$122:$M$150,11,FALSE)),"0")</f>
        <v>0</v>
      </c>
      <c r="EU72" s="192" t="str">
        <f>IF(AND($C72&lt;&gt;"",$D72&lt;&gt;""),(VLOOKUP($C72,'V-LOOKUP'!$C$122:$N$150,12,FALSE)),"0")</f>
        <v>0</v>
      </c>
      <c r="EV72" s="192" t="str">
        <f>IF(AND($C72&lt;&gt;"",$R72&lt;&gt;""),(VLOOKUP($C72,'V-LOOKUP'!$C$122:$M$150,4,FALSE)),"0")</f>
        <v>0</v>
      </c>
      <c r="EW72" s="192" t="str">
        <f>IF(AND($C72&lt;&gt;"",$R72&lt;&gt;""),(VLOOKUP($C72,'V-LOOKUP'!$C$122:$M$150,5,FALSE)),"0")</f>
        <v>0</v>
      </c>
      <c r="EX72" s="192" t="str">
        <f>IF(AND($C72&lt;&gt;"",$R72&lt;&gt;""),(VLOOKUP($C72,'V-LOOKUP'!$C$122:$M$150,6,FALSE)),"0")</f>
        <v>0</v>
      </c>
      <c r="EY72" s="192" t="str">
        <f>IF(AND($C72&lt;&gt;"",$R72&lt;&gt;""),(VLOOKUP($C72,'V-LOOKUP'!$C$122:$M$150,7,FALSE)),"0")</f>
        <v>0</v>
      </c>
      <c r="EZ72" s="192" t="str">
        <f>IF(AND($C72&lt;&gt;"",$R72&lt;&gt;""),(VLOOKUP($C72,'V-LOOKUP'!$C$122:$M$150,8,FALSE)),"0")</f>
        <v>0</v>
      </c>
      <c r="FA72" s="192" t="str">
        <f>IF(AND($C72&lt;&gt;"",$R72&lt;&gt;""),(VLOOKUP($C72,'V-LOOKUP'!$C$122:$M$150,9,FALSE)),"0")</f>
        <v>0</v>
      </c>
      <c r="FB72" s="192" t="str">
        <f>IF(AND($C72&lt;&gt;"",$R72&lt;&gt;""),(VLOOKUP($C72,'V-LOOKUP'!$C$122:$M$150,10,FALSE)),"0")</f>
        <v>0</v>
      </c>
      <c r="FC72" s="192" t="str">
        <f>IF(AND($C72&lt;&gt;"",$R72&lt;&gt;""),(VLOOKUP($C72,'V-LOOKUP'!$C$122:$M$150,11,FALSE)),"0")</f>
        <v>0</v>
      </c>
      <c r="FD72" s="192" t="str">
        <f>IF(AND($C72&lt;&gt;"",$D72&lt;&gt;""),(VLOOKUP($C72,'V-LOOKUP'!$C$122:$N$150,12,FALSE)),"0")</f>
        <v>0</v>
      </c>
      <c r="FE72" s="192" t="str">
        <f>IF(AND($C72&lt;&gt;"",$S72&lt;&gt;""),(VLOOKUP($C72,'V-LOOKUP'!$C$122:$M$150,4,FALSE)),"0")</f>
        <v>0</v>
      </c>
      <c r="FF72" s="192" t="str">
        <f>IF(AND($C72&lt;&gt;"",$S72&lt;&gt;""),(VLOOKUP($C72,'V-LOOKUP'!$C$122:$M$150,5,FALSE)),"0")</f>
        <v>0</v>
      </c>
      <c r="FG72" s="192" t="str">
        <f>IF(AND($C72&lt;&gt;"",$S72&lt;&gt;""),(VLOOKUP($C72,'V-LOOKUP'!$C$122:$M$150,6,FALSE)),"0")</f>
        <v>0</v>
      </c>
      <c r="FH72" s="192" t="str">
        <f>IF(AND($C72&lt;&gt;"",$S72&lt;&gt;""),(VLOOKUP($C72,'V-LOOKUP'!$C$122:$M$150,7,FALSE)),"0")</f>
        <v>0</v>
      </c>
      <c r="FI72" s="192" t="str">
        <f>IF(AND($C72&lt;&gt;"",$S72&lt;&gt;""),(VLOOKUP($C72,'V-LOOKUP'!$C$122:$M$150,8,FALSE)),"0")</f>
        <v>0</v>
      </c>
      <c r="FJ72" s="192" t="str">
        <f>IF(AND($C72&lt;&gt;"",$S72&lt;&gt;""),(VLOOKUP($C72,'V-LOOKUP'!$C$122:$M$150,9,FALSE)),"0")</f>
        <v>0</v>
      </c>
      <c r="FK72" s="192" t="str">
        <f>IF(AND($C72&lt;&gt;"",$S72&lt;&gt;""),(VLOOKUP($C72,'V-LOOKUP'!$C$122:$M$150,10,FALSE)),"0")</f>
        <v>0</v>
      </c>
      <c r="FL72" s="192" t="str">
        <f>IF(AND($C72&lt;&gt;"",$S72&lt;&gt;""),(VLOOKUP($C72,'V-LOOKUP'!$C$122:$M$150,11,FALSE)),"0")</f>
        <v>0</v>
      </c>
      <c r="FM72" s="192" t="str">
        <f>IF(AND($C72&lt;&gt;"",$D72&lt;&gt;""),(VLOOKUP($C72,'V-LOOKUP'!$C$122:$N$150,12,FALSE)),"0")</f>
        <v>0</v>
      </c>
      <c r="FN72" s="192" t="str">
        <f>IF(AND($C72&lt;&gt;"",$T72&lt;&gt;""),(VLOOKUP($C72,'V-LOOKUP'!$C$122:$M$150,4,FALSE)),"0")</f>
        <v>0</v>
      </c>
      <c r="FO72" s="192" t="str">
        <f>IF(AND($C72&lt;&gt;"",$T72&lt;&gt;""),(VLOOKUP($C72,'V-LOOKUP'!$C$122:$M$150,5,FALSE)),"0")</f>
        <v>0</v>
      </c>
      <c r="FP72" s="192" t="str">
        <f>IF(AND($C72&lt;&gt;"",$T72&lt;&gt;""),(VLOOKUP($C72,'V-LOOKUP'!$C$122:$M$150,6,FALSE)),"0")</f>
        <v>0</v>
      </c>
      <c r="FQ72" s="192" t="str">
        <f>IF(AND($C72&lt;&gt;"",$T72&lt;&gt;""),(VLOOKUP($C72,'V-LOOKUP'!$C$122:$M$150,7,FALSE)),"0")</f>
        <v>0</v>
      </c>
      <c r="FR72" s="192" t="str">
        <f>IF(AND($C72&lt;&gt;"",$T72&lt;&gt;""),(VLOOKUP($C72,'V-LOOKUP'!$C$122:$M$150,8,FALSE)),"0")</f>
        <v>0</v>
      </c>
      <c r="FS72" s="192" t="str">
        <f>IF(AND($C72&lt;&gt;"",$T72&lt;&gt;""),(VLOOKUP($C72,'V-LOOKUP'!$C$122:$M$150,9,FALSE)),"0")</f>
        <v>0</v>
      </c>
      <c r="FT72" s="192" t="str">
        <f>IF(AND($C72&lt;&gt;"",$T72&lt;&gt;""),(VLOOKUP($C72,'V-LOOKUP'!$C$122:$M$150,10,FALSE)),"0")</f>
        <v>0</v>
      </c>
      <c r="FU72" s="192" t="str">
        <f>IF(AND($C72&lt;&gt;"",$T72&lt;&gt;""),(VLOOKUP($C72,'V-LOOKUP'!$C$122:$M$150,11,FALSE)),"0")</f>
        <v>0</v>
      </c>
      <c r="FV72" s="192" t="str">
        <f>IF(AND($C72&lt;&gt;"",$D72&lt;&gt;""),(VLOOKUP($C72,'V-LOOKUP'!$C$122:$N$150,12,FALSE)),"0")</f>
        <v>0</v>
      </c>
      <c r="FW72" s="192" t="str">
        <f>IF(AND($C72&lt;&gt;"",$U72&lt;&gt;""),(VLOOKUP($C72,'V-LOOKUP'!$C$122:$M$150,4,FALSE)),"0")</f>
        <v>0</v>
      </c>
      <c r="FX72" s="192" t="str">
        <f>IF(AND($C72&lt;&gt;"",$U72&lt;&gt;""),(VLOOKUP($C72,'V-LOOKUP'!$C$122:$M$150,5,FALSE)),"0")</f>
        <v>0</v>
      </c>
      <c r="FY72" s="192" t="str">
        <f>IF(AND($C72&lt;&gt;"",$U72&lt;&gt;""),(VLOOKUP($C72,'V-LOOKUP'!$C$122:$M$150,6,FALSE)),"0")</f>
        <v>0</v>
      </c>
      <c r="FZ72" s="192" t="str">
        <f>IF(AND($C72&lt;&gt;"",$U72&lt;&gt;""),(VLOOKUP($C72,'V-LOOKUP'!$C$122:$M$150,7,FALSE)),"0")</f>
        <v>0</v>
      </c>
      <c r="GA72" s="192" t="str">
        <f>IF(AND($C72&lt;&gt;"",$U72&lt;&gt;""),(VLOOKUP($C72,'V-LOOKUP'!$C$122:$M$150,8,FALSE)),"0")</f>
        <v>0</v>
      </c>
      <c r="GB72" s="192" t="str">
        <f>IF(AND($C72&lt;&gt;"",$U72&lt;&gt;""),(VLOOKUP($C72,'V-LOOKUP'!$C$122:$M$150,9,FALSE)),"0")</f>
        <v>0</v>
      </c>
      <c r="GC72" s="192" t="str">
        <f>IF(AND($C72&lt;&gt;"",$U72&lt;&gt;""),(VLOOKUP($C72,'V-LOOKUP'!$C$122:$M$150,10,FALSE)),"0")</f>
        <v>0</v>
      </c>
      <c r="GD72" s="192" t="str">
        <f>IF(AND($C72&lt;&gt;"",$U72&lt;&gt;""),(VLOOKUP($C72,'V-LOOKUP'!$C$122:$M$150,11,FALSE)),"0")</f>
        <v>0</v>
      </c>
      <c r="GE72" s="192" t="str">
        <f>IF(AND($C72&lt;&gt;"",$D72&lt;&gt;""),(VLOOKUP($C72,'V-LOOKUP'!$C$122:$N$150,12,FALSE)),"0")</f>
        <v>0</v>
      </c>
      <c r="GF72" s="192" t="str">
        <f>IF(AND($C72&lt;&gt;"",$V72&lt;&gt;""),(VLOOKUP($C72,'V-LOOKUP'!$C$122:$M$150,4,FALSE)),"0")</f>
        <v>0</v>
      </c>
      <c r="GG72" s="192" t="str">
        <f>IF(AND($C72&lt;&gt;"",$V72&lt;&gt;""),(VLOOKUP($C72,'V-LOOKUP'!$C$122:$M$150,5,FALSE)),"0")</f>
        <v>0</v>
      </c>
      <c r="GH72" s="192" t="str">
        <f>IF(AND($C72&lt;&gt;"",$V72&lt;&gt;""),(VLOOKUP($C72,'V-LOOKUP'!$C$122:$M$150,6,FALSE)),"0")</f>
        <v>0</v>
      </c>
      <c r="GI72" s="192" t="str">
        <f>IF(AND($C72&lt;&gt;"",$V72&lt;&gt;""),(VLOOKUP($C72,'V-LOOKUP'!$C$122:$M$150,7,FALSE)),"0")</f>
        <v>0</v>
      </c>
      <c r="GJ72" s="192" t="str">
        <f>IF(AND($C72&lt;&gt;"",$V72&lt;&gt;""),(VLOOKUP($C72,'V-LOOKUP'!$C$122:$M$150,8,FALSE)),"0")</f>
        <v>0</v>
      </c>
      <c r="GK72" s="192" t="str">
        <f>IF(AND($C72&lt;&gt;"",$V72&lt;&gt;""),(VLOOKUP($C72,'V-LOOKUP'!$C$122:$M$150,9,FALSE)),"0")</f>
        <v>0</v>
      </c>
      <c r="GL72" s="192" t="str">
        <f>IF(AND($C72&lt;&gt;"",$V72&lt;&gt;""),(VLOOKUP($C72,'V-LOOKUP'!$C$122:$M$150,10,FALSE)),"0")</f>
        <v>0</v>
      </c>
      <c r="GM72" s="192" t="str">
        <f>IF(AND($C72&lt;&gt;"",$V72&lt;&gt;""),(VLOOKUP($C72,'V-LOOKUP'!$C$122:$M$150,11,FALSE)),"0")</f>
        <v>0</v>
      </c>
      <c r="GN72" s="192" t="str">
        <f>IF(AND($C72&lt;&gt;"",$D72&lt;&gt;""),(VLOOKUP($C72,'V-LOOKUP'!$C$122:$N$150,12,FALSE)),"0")</f>
        <v>0</v>
      </c>
      <c r="GO72" s="192" t="str">
        <f>IF(AND($C72&lt;&gt;"",$W72&lt;&gt;""),(VLOOKUP($C72,'V-LOOKUP'!$C$122:$M$150,4,FALSE)),"0")</f>
        <v>0</v>
      </c>
      <c r="GP72" s="192" t="str">
        <f>IF(AND($C72&lt;&gt;"",$W72&lt;&gt;""),(VLOOKUP($C72,'V-LOOKUP'!$C$122:$M$150,5,FALSE)),"0")</f>
        <v>0</v>
      </c>
      <c r="GQ72" s="192" t="str">
        <f>IF(AND($C72&lt;&gt;"",$W72&lt;&gt;""),(VLOOKUP($C72,'V-LOOKUP'!$C$122:$M$150,6,FALSE)),"0")</f>
        <v>0</v>
      </c>
      <c r="GR72" s="192" t="str">
        <f>IF(AND($C72&lt;&gt;"",$W72&lt;&gt;""),(VLOOKUP($C72,'V-LOOKUP'!$C$122:$M$150,7,FALSE)),"0")</f>
        <v>0</v>
      </c>
      <c r="GS72" s="192" t="str">
        <f>IF(AND($C72&lt;&gt;"",$W72&lt;&gt;""),(VLOOKUP($C72,'V-LOOKUP'!$C$122:$M$150,8,FALSE)),"0")</f>
        <v>0</v>
      </c>
      <c r="GT72" s="192" t="str">
        <f>IF(AND($C72&lt;&gt;"",$W72&lt;&gt;""),(VLOOKUP($C72,'V-LOOKUP'!$C$122:$M$150,9,FALSE)),"0")</f>
        <v>0</v>
      </c>
      <c r="GU72" s="192" t="str">
        <f>IF(AND($C72&lt;&gt;"",$W72&lt;&gt;""),(VLOOKUP($C72,'V-LOOKUP'!$C$122:$M$150,10,FALSE)),"0")</f>
        <v>0</v>
      </c>
      <c r="GV72" s="192" t="str">
        <f>IF(AND($C72&lt;&gt;"",$W72&lt;&gt;""),(VLOOKUP($C72,'V-LOOKUP'!$C$122:$M$150,11,FALSE)),"0")</f>
        <v>0</v>
      </c>
      <c r="GW72" s="192" t="str">
        <f>IF(AND($C72&lt;&gt;"",$D72&lt;&gt;""),(VLOOKUP($C72,'V-LOOKUP'!$C$122:$N$150,12,FALSE)),"0")</f>
        <v>0</v>
      </c>
    </row>
    <row r="73" spans="1:205" ht="14.65" customHeight="1">
      <c r="B73" s="245"/>
      <c r="C73" s="203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Y73" s="190"/>
      <c r="Z73" s="192" t="str">
        <f>IF(AND($C73&lt;&gt;"",$D73&lt;&gt;""),(VLOOKUP($C73,'V-LOOKUP'!$C$122:$M$150,4,FALSE)),"0")</f>
        <v>0</v>
      </c>
      <c r="AA73" s="192" t="str">
        <f>IF(AND($C73&lt;&gt;"",$D73&lt;&gt;""),(VLOOKUP($C73,'V-LOOKUP'!$C$122:$M$150,5,FALSE)),"0")</f>
        <v>0</v>
      </c>
      <c r="AB73" s="192" t="str">
        <f>IF(AND($C73&lt;&gt;"",$D73&lt;&gt;""),(VLOOKUP($C73,'V-LOOKUP'!$C$122:$M$150,6,FALSE)),"0")</f>
        <v>0</v>
      </c>
      <c r="AC73" s="192" t="str">
        <f>IF(AND($C73&lt;&gt;"",$D73&lt;&gt;""),(VLOOKUP($C73,'V-LOOKUP'!$C$122:$M$150,7,FALSE)),"0")</f>
        <v>0</v>
      </c>
      <c r="AD73" s="192" t="str">
        <f>IF(AND($C73&lt;&gt;"",$D73&lt;&gt;""),(VLOOKUP($C73,'V-LOOKUP'!$C$122:$M$150,8,FALSE)),"0")</f>
        <v>0</v>
      </c>
      <c r="AE73" s="192" t="str">
        <f>IF(AND($C73&lt;&gt;"",$D73&lt;&gt;""),(VLOOKUP($C73,'V-LOOKUP'!$C$122:$M$150,9,FALSE)),"0")</f>
        <v>0</v>
      </c>
      <c r="AF73" s="192" t="str">
        <f>IF(AND($C73&lt;&gt;"",$D73&lt;&gt;""),(VLOOKUP($C73,'V-LOOKUP'!$C$122:$M$150,10,FALSE)),"0")</f>
        <v>0</v>
      </c>
      <c r="AG73" s="192" t="str">
        <f>IF(AND($C73&lt;&gt;"",$D73&lt;&gt;""),(VLOOKUP($C73,'V-LOOKUP'!$C$122:$M$150,11,FALSE)),"0")</f>
        <v>0</v>
      </c>
      <c r="AH73" s="192" t="str">
        <f>IF(AND($C73&lt;&gt;"",$D73&lt;&gt;""),(VLOOKUP($C73,'V-LOOKUP'!$C$122:$N$150,12,FALSE)),"0")</f>
        <v>0</v>
      </c>
      <c r="AI73" s="192" t="str">
        <f>IF(AND($C73&lt;&gt;"",$E73&lt;&gt;""),(VLOOKUP($C73,'V-LOOKUP'!$C$122:$M$150,4,FALSE)),"0")</f>
        <v>0</v>
      </c>
      <c r="AJ73" s="192" t="str">
        <f>IF(AND($C73&lt;&gt;"",$E73&lt;&gt;""),(VLOOKUP($C73,'V-LOOKUP'!$C$122:$M$150,5,FALSE)),"0")</f>
        <v>0</v>
      </c>
      <c r="AK73" s="192" t="str">
        <f>IF(AND($C73&lt;&gt;"",$E73&lt;&gt;""),(VLOOKUP($C73,'V-LOOKUP'!$C$122:$M$150,6,FALSE)),"0")</f>
        <v>0</v>
      </c>
      <c r="AL73" s="192" t="str">
        <f>IF(AND($C73&lt;&gt;"",$E73&lt;&gt;""),(VLOOKUP($C73,'V-LOOKUP'!$C$122:$M$150,7,FALSE)),"0")</f>
        <v>0</v>
      </c>
      <c r="AM73" s="192" t="str">
        <f>IF(AND($C73&lt;&gt;"",$E73&lt;&gt;""),(VLOOKUP($C73,'V-LOOKUP'!$C$122:$M$150,8,FALSE)),"0")</f>
        <v>0</v>
      </c>
      <c r="AN73" s="192" t="str">
        <f>IF(AND($C73&lt;&gt;"",$E73&lt;&gt;""),(VLOOKUP($C73,'V-LOOKUP'!$C$122:$M$150,9,FALSE)),"0")</f>
        <v>0</v>
      </c>
      <c r="AO73" s="192" t="str">
        <f>IF(AND($C73&lt;&gt;"",$E73&lt;&gt;""),(VLOOKUP($C73,'V-LOOKUP'!$C$122:$M$150,10,FALSE)),"0")</f>
        <v>0</v>
      </c>
      <c r="AP73" s="192" t="str">
        <f>IF(AND($C73&lt;&gt;"",$E73&lt;&gt;""),(VLOOKUP($C73,'V-LOOKUP'!$C$122:$M$150,11,FALSE)),"0")</f>
        <v>0</v>
      </c>
      <c r="AQ73" s="192" t="str">
        <f>IF(AND($C73&lt;&gt;"",$D73&lt;&gt;""),(VLOOKUP($C73,'V-LOOKUP'!$C$122:$N$150,12,FALSE)),"0")</f>
        <v>0</v>
      </c>
      <c r="AR73" s="192" t="str">
        <f>IF(AND($C73&lt;&gt;"",$F73&lt;&gt;""),(VLOOKUP($C73,'V-LOOKUP'!$C$122:$M$150,4,FALSE)),"0")</f>
        <v>0</v>
      </c>
      <c r="AS73" s="192" t="str">
        <f>IF(AND($C73&lt;&gt;"",$F73&lt;&gt;""),(VLOOKUP($C73,'V-LOOKUP'!$C$122:$M$150,5,FALSE)),"0")</f>
        <v>0</v>
      </c>
      <c r="AT73" s="192" t="str">
        <f>IF(AND($C73&lt;&gt;"",$F73&lt;&gt;""),(VLOOKUP($C73,'V-LOOKUP'!$C$122:$M$150,6,FALSE)),"0")</f>
        <v>0</v>
      </c>
      <c r="AU73" s="192" t="str">
        <f>IF(AND($C73&lt;&gt;"",$F73&lt;&gt;""),(VLOOKUP($C73,'V-LOOKUP'!$C$122:$M$150,7,FALSE)),"0")</f>
        <v>0</v>
      </c>
      <c r="AV73" s="192" t="str">
        <f>IF(AND($C73&lt;&gt;"",$F73&lt;&gt;""),(VLOOKUP($C73,'V-LOOKUP'!$C$122:$M$150,8,FALSE)),"0")</f>
        <v>0</v>
      </c>
      <c r="AW73" s="192" t="str">
        <f>IF(AND($C73&lt;&gt;"",$F73&lt;&gt;""),(VLOOKUP($C73,'V-LOOKUP'!$C$122:$M$150,9,FALSE)),"0")</f>
        <v>0</v>
      </c>
      <c r="AX73" s="192" t="str">
        <f>IF(AND($C73&lt;&gt;"",$F73&lt;&gt;""),(VLOOKUP($C73,'V-LOOKUP'!$C$122:$M$150,10,FALSE)),"0")</f>
        <v>0</v>
      </c>
      <c r="AY73" s="192" t="str">
        <f>IF(AND($C73&lt;&gt;"",$F73&lt;&gt;""),(VLOOKUP($C73,'V-LOOKUP'!$C$122:$M$150,11,FALSE)),"0")</f>
        <v>0</v>
      </c>
      <c r="AZ73" s="192" t="str">
        <f>IF(AND($C73&lt;&gt;"",$D73&lt;&gt;""),(VLOOKUP($C73,'V-LOOKUP'!$C$122:$N$150,12,FALSE)),"0")</f>
        <v>0</v>
      </c>
      <c r="BA73" s="192" t="str">
        <f>IF(AND($C73&lt;&gt;"",$G73&lt;&gt;""),(VLOOKUP($C73,'V-LOOKUP'!$C$122:$M$150,4,FALSE)),"0")</f>
        <v>0</v>
      </c>
      <c r="BB73" s="192" t="str">
        <f>IF(AND($C73&lt;&gt;"",$G73&lt;&gt;""),(VLOOKUP($C73,'V-LOOKUP'!$C$122:$M$150,5,FALSE)),"0")</f>
        <v>0</v>
      </c>
      <c r="BC73" s="192" t="str">
        <f>IF(AND($C73&lt;&gt;"",$G73&lt;&gt;""),(VLOOKUP($C73,'V-LOOKUP'!$C$122:$M$150,6,FALSE)),"0")</f>
        <v>0</v>
      </c>
      <c r="BD73" s="192" t="str">
        <f>IF(AND($C73&lt;&gt;"",$G73&lt;&gt;""),(VLOOKUP($C73,'V-LOOKUP'!$C$122:$M$150,7,FALSE)),"0")</f>
        <v>0</v>
      </c>
      <c r="BE73" s="192" t="str">
        <f>IF(AND($C73&lt;&gt;"",$G73&lt;&gt;""),(VLOOKUP($C73,'V-LOOKUP'!$C$122:$M$150,8,FALSE)),"0")</f>
        <v>0</v>
      </c>
      <c r="BF73" s="192" t="str">
        <f>IF(AND($C73&lt;&gt;"",$G73&lt;&gt;""),(VLOOKUP($C73,'V-LOOKUP'!$C$122:$M$150,9,FALSE)),"0")</f>
        <v>0</v>
      </c>
      <c r="BG73" s="192" t="str">
        <f>IF(AND($C73&lt;&gt;"",$G73&lt;&gt;""),(VLOOKUP($C73,'V-LOOKUP'!$C$122:$M$150,10,FALSE)),"0")</f>
        <v>0</v>
      </c>
      <c r="BH73" s="192" t="str">
        <f>IF(AND($C73&lt;&gt;"",$G73&lt;&gt;""),(VLOOKUP($C73,'V-LOOKUP'!$C$122:$M$150,11,FALSE)),"0")</f>
        <v>0</v>
      </c>
      <c r="BI73" s="192" t="str">
        <f>IF(AND($C73&lt;&gt;"",$D73&lt;&gt;""),(VLOOKUP($C73,'V-LOOKUP'!$C$122:$N$150,12,FALSE)),"0")</f>
        <v>0</v>
      </c>
      <c r="BJ73" s="192" t="str">
        <f>IF(AND($C73&lt;&gt;"",$H73&lt;&gt;""),(VLOOKUP($C73,'V-LOOKUP'!$C$122:$M$150,4,FALSE)),"0")</f>
        <v>0</v>
      </c>
      <c r="BK73" s="192" t="str">
        <f>IF(AND($C73&lt;&gt;"",$H73&lt;&gt;""),(VLOOKUP($C73,'V-LOOKUP'!$C$122:$M$150,5,FALSE)),"0")</f>
        <v>0</v>
      </c>
      <c r="BL73" s="192" t="str">
        <f>IF(AND($C73&lt;&gt;"",$H73&lt;&gt;""),(VLOOKUP($C73,'V-LOOKUP'!$C$122:$M$150,6,FALSE)),"0")</f>
        <v>0</v>
      </c>
      <c r="BM73" s="192" t="str">
        <f>IF(AND($C73&lt;&gt;"",$H73&lt;&gt;""),(VLOOKUP($C73,'V-LOOKUP'!$C$122:$M$150,7,FALSE)),"0")</f>
        <v>0</v>
      </c>
      <c r="BN73" s="192" t="str">
        <f>IF(AND($C73&lt;&gt;"",$H73&lt;&gt;""),(VLOOKUP($C73,'V-LOOKUP'!$C$122:$M$150,8,FALSE)),"0")</f>
        <v>0</v>
      </c>
      <c r="BO73" s="192" t="str">
        <f>IF(AND($C73&lt;&gt;"",$H73&lt;&gt;""),(VLOOKUP($C73,'V-LOOKUP'!$C$122:$M$150,9,FALSE)),"0")</f>
        <v>0</v>
      </c>
      <c r="BP73" s="192" t="str">
        <f>IF(AND($C73&lt;&gt;"",$H73&lt;&gt;""),(VLOOKUP($C73,'V-LOOKUP'!$C$122:$M$150,10,FALSE)),"0")</f>
        <v>0</v>
      </c>
      <c r="BQ73" s="192" t="str">
        <f>IF(AND($C73&lt;&gt;"",$H73&lt;&gt;""),(VLOOKUP($C73,'V-LOOKUP'!$C$122:$M$150,11,FALSE)),"0")</f>
        <v>0</v>
      </c>
      <c r="BR73" s="192" t="str">
        <f>IF(AND($C73&lt;&gt;"",$D73&lt;&gt;""),(VLOOKUP($C73,'V-LOOKUP'!$C$122:$N$150,12,FALSE)),"0")</f>
        <v>0</v>
      </c>
      <c r="BS73" s="192" t="str">
        <f>IF(AND($C73&lt;&gt;"",$I73&lt;&gt;""),(VLOOKUP($C73,'V-LOOKUP'!$C$122:$M$150,4,FALSE)),"0")</f>
        <v>0</v>
      </c>
      <c r="BT73" s="192" t="str">
        <f>IF(AND($C73&lt;&gt;"",$I73&lt;&gt;""),(VLOOKUP($C73,'V-LOOKUP'!$C$122:$M$150,5,FALSE)),"0")</f>
        <v>0</v>
      </c>
      <c r="BU73" s="192" t="str">
        <f>IF(AND($C73&lt;&gt;"",$I73&lt;&gt;""),(VLOOKUP($C73,'V-LOOKUP'!$C$122:$M$150,6,FALSE)),"0")</f>
        <v>0</v>
      </c>
      <c r="BV73" s="192" t="str">
        <f>IF(AND($C73&lt;&gt;"",$I73&lt;&gt;""),(VLOOKUP($C73,'V-LOOKUP'!$C$122:$M$150,7,FALSE)),"0")</f>
        <v>0</v>
      </c>
      <c r="BW73" s="192" t="str">
        <f>IF(AND($C73&lt;&gt;"",$I73&lt;&gt;""),(VLOOKUP($C73,'V-LOOKUP'!$C$122:$M$150,8,FALSE)),"0")</f>
        <v>0</v>
      </c>
      <c r="BX73" s="192" t="str">
        <f>IF(AND($C73&lt;&gt;"",$I73&lt;&gt;""),(VLOOKUP($C73,'V-LOOKUP'!$C$122:$M$150,9,FALSE)),"0")</f>
        <v>0</v>
      </c>
      <c r="BY73" s="192" t="str">
        <f>IF(AND($C73&lt;&gt;"",$I73&lt;&gt;""),(VLOOKUP($C73,'V-LOOKUP'!$C$122:$M$150,10,FALSE)),"0")</f>
        <v>0</v>
      </c>
      <c r="BZ73" s="192" t="str">
        <f>IF(AND($C73&lt;&gt;"",$I73&lt;&gt;""),(VLOOKUP($C73,'V-LOOKUP'!$C$122:$M$150,11,FALSE)),"0")</f>
        <v>0</v>
      </c>
      <c r="CA73" s="192" t="str">
        <f>IF(AND($C73&lt;&gt;"",$D73&lt;&gt;""),(VLOOKUP($C73,'V-LOOKUP'!$C$122:$N$150,12,FALSE)),"0")</f>
        <v>0</v>
      </c>
      <c r="CB73" s="192" t="str">
        <f>IF(AND($C73&lt;&gt;"",$J73&lt;&gt;""),(VLOOKUP($C73,'V-LOOKUP'!$C$122:$M$150,4,FALSE)),"0")</f>
        <v>0</v>
      </c>
      <c r="CC73" s="192" t="str">
        <f>IF(AND($C73&lt;&gt;"",$J73&lt;&gt;""),(VLOOKUP($C73,'V-LOOKUP'!$C$122:$M$150,5,FALSE)),"0")</f>
        <v>0</v>
      </c>
      <c r="CD73" s="192" t="str">
        <f>IF(AND($C73&lt;&gt;"",$J73&lt;&gt;""),(VLOOKUP($C73,'V-LOOKUP'!$C$122:$M$150,6,FALSE)),"0")</f>
        <v>0</v>
      </c>
      <c r="CE73" s="192" t="str">
        <f>IF(AND($C73&lt;&gt;"",$J73&lt;&gt;""),(VLOOKUP($C73,'V-LOOKUP'!$C$122:$M$150,7,FALSE)),"0")</f>
        <v>0</v>
      </c>
      <c r="CF73" s="192" t="str">
        <f>IF(AND($C73&lt;&gt;"",$J73&lt;&gt;""),(VLOOKUP($C73,'V-LOOKUP'!$C$122:$M$150,8,FALSE)),"0")</f>
        <v>0</v>
      </c>
      <c r="CG73" s="192" t="str">
        <f>IF(AND($C73&lt;&gt;"",$J73&lt;&gt;""),(VLOOKUP($C73,'V-LOOKUP'!$C$122:$M$150,9,FALSE)),"0")</f>
        <v>0</v>
      </c>
      <c r="CH73" s="192" t="str">
        <f>IF(AND($C73&lt;&gt;"",$J73&lt;&gt;""),(VLOOKUP($C73,'V-LOOKUP'!$C$122:$M$150,10,FALSE)),"0")</f>
        <v>0</v>
      </c>
      <c r="CI73" s="192" t="str">
        <f>IF(AND($C73&lt;&gt;"",$J73&lt;&gt;""),(VLOOKUP($C73,'V-LOOKUP'!$C$122:$M$150,11,FALSE)),"0")</f>
        <v>0</v>
      </c>
      <c r="CJ73" s="192" t="str">
        <f>IF(AND($C73&lt;&gt;"",$D73&lt;&gt;""),(VLOOKUP($C73,'V-LOOKUP'!$C$122:$N$150,12,FALSE)),"0")</f>
        <v>0</v>
      </c>
      <c r="CK73" s="192" t="str">
        <f>IF(AND($C73&lt;&gt;"",$K73&lt;&gt;""),(VLOOKUP($C73,'V-LOOKUP'!$C$122:$M$150,4,FALSE)),"0")</f>
        <v>0</v>
      </c>
      <c r="CL73" s="192" t="str">
        <f>IF(AND($C73&lt;&gt;"",$K73&lt;&gt;""),(VLOOKUP($C73,'V-LOOKUP'!$C$122:$M$150,5,FALSE)),"0")</f>
        <v>0</v>
      </c>
      <c r="CM73" s="192" t="str">
        <f>IF(AND($C73&lt;&gt;"",$K73&lt;&gt;""),(VLOOKUP($C73,'V-LOOKUP'!$C$122:$M$150,6,FALSE)),"0")</f>
        <v>0</v>
      </c>
      <c r="CN73" s="192" t="str">
        <f>IF(AND($C73&lt;&gt;"",$K73&lt;&gt;""),(VLOOKUP($C73,'V-LOOKUP'!$C$122:$M$150,7,FALSE)),"0")</f>
        <v>0</v>
      </c>
      <c r="CO73" s="192" t="str">
        <f>IF(AND($C73&lt;&gt;"",$K73&lt;&gt;""),(VLOOKUP($C73,'V-LOOKUP'!$C$122:$M$150,8,FALSE)),"0")</f>
        <v>0</v>
      </c>
      <c r="CP73" s="192" t="str">
        <f>IF(AND($C73&lt;&gt;"",$K73&lt;&gt;""),(VLOOKUP($C73,'V-LOOKUP'!$C$122:$M$150,9,FALSE)),"0")</f>
        <v>0</v>
      </c>
      <c r="CQ73" s="192" t="str">
        <f>IF(AND($C73&lt;&gt;"",$K73&lt;&gt;""),(VLOOKUP($C73,'V-LOOKUP'!$C$122:$M$150,10,FALSE)),"0")</f>
        <v>0</v>
      </c>
      <c r="CR73" s="192" t="str">
        <f>IF(AND($C73&lt;&gt;"",$K73&lt;&gt;""),(VLOOKUP($C73,'V-LOOKUP'!$C$122:$M$150,11,FALSE)),"0")</f>
        <v>0</v>
      </c>
      <c r="CS73" s="192" t="str">
        <f>IF(AND($C73&lt;&gt;"",$D73&lt;&gt;""),(VLOOKUP($C73,'V-LOOKUP'!$C$122:$N$150,12,FALSE)),"0")</f>
        <v>0</v>
      </c>
      <c r="CT73" s="192" t="str">
        <f>IF(AND($C73&lt;&gt;"",$L73&lt;&gt;""),(VLOOKUP($C73,'V-LOOKUP'!$C$122:$M$150,4,FALSE)),"0")</f>
        <v>0</v>
      </c>
      <c r="CU73" s="192" t="str">
        <f>IF(AND($C73&lt;&gt;"",$L73&lt;&gt;""),(VLOOKUP($C73,'V-LOOKUP'!$C$122:$M$150,5,FALSE)),"0")</f>
        <v>0</v>
      </c>
      <c r="CV73" s="192" t="str">
        <f>IF(AND($C73&lt;&gt;"",$L73&lt;&gt;""),(VLOOKUP($C73,'V-LOOKUP'!$C$122:$M$150,6,FALSE)),"0")</f>
        <v>0</v>
      </c>
      <c r="CW73" s="192" t="str">
        <f>IF(AND($C73&lt;&gt;"",$L73&lt;&gt;""),(VLOOKUP($C73,'V-LOOKUP'!$C$122:$M$150,7,FALSE)),"0")</f>
        <v>0</v>
      </c>
      <c r="CX73" s="192" t="str">
        <f>IF(AND($C73&lt;&gt;"",$L73&lt;&gt;""),(VLOOKUP($C73,'V-LOOKUP'!$C$122:$M$150,8,FALSE)),"0")</f>
        <v>0</v>
      </c>
      <c r="CY73" s="192" t="str">
        <f>IF(AND($C73&lt;&gt;"",$L73&lt;&gt;""),(VLOOKUP($C73,'V-LOOKUP'!$C$122:$M$150,9,FALSE)),"0")</f>
        <v>0</v>
      </c>
      <c r="CZ73" s="192" t="str">
        <f>IF(AND($C73&lt;&gt;"",$L73&lt;&gt;""),(VLOOKUP($C73,'V-LOOKUP'!$C$122:$M$150,10,FALSE)),"0")</f>
        <v>0</v>
      </c>
      <c r="DA73" s="192" t="str">
        <f>IF(AND($C73&lt;&gt;"",$L73&lt;&gt;""),(VLOOKUP($C73,'V-LOOKUP'!$C$122:$M$150,11,FALSE)),"0")</f>
        <v>0</v>
      </c>
      <c r="DB73" s="192" t="str">
        <f>IF(AND($C73&lt;&gt;"",$D73&lt;&gt;""),(VLOOKUP($C73,'V-LOOKUP'!$C$122:$N$150,12,FALSE)),"0")</f>
        <v>0</v>
      </c>
      <c r="DC73" s="192" t="str">
        <f>IF(AND($C73&lt;&gt;"",$M73&lt;&gt;""),(VLOOKUP($C73,'V-LOOKUP'!$C$122:$M$150,4,FALSE)),"0")</f>
        <v>0</v>
      </c>
      <c r="DD73" s="192" t="str">
        <f>IF(AND($C73&lt;&gt;"",$M73&lt;&gt;""),(VLOOKUP($C73,'V-LOOKUP'!$C$122:$M$150,5,FALSE)),"0")</f>
        <v>0</v>
      </c>
      <c r="DE73" s="192" t="str">
        <f>IF(AND($C73&lt;&gt;"",$M73&lt;&gt;""),(VLOOKUP($C73,'V-LOOKUP'!$C$122:$M$150,6,FALSE)),"0")</f>
        <v>0</v>
      </c>
      <c r="DF73" s="192" t="str">
        <f>IF(AND($C73&lt;&gt;"",$M73&lt;&gt;""),(VLOOKUP($C73,'V-LOOKUP'!$C$122:$M$150,7,FALSE)),"0")</f>
        <v>0</v>
      </c>
      <c r="DG73" s="192" t="str">
        <f>IF(AND($C73&lt;&gt;"",$M73&lt;&gt;""),(VLOOKUP($C73,'V-LOOKUP'!$C$122:$M$150,8,FALSE)),"0")</f>
        <v>0</v>
      </c>
      <c r="DH73" s="192" t="str">
        <f>IF(AND($C73&lt;&gt;"",$M73&lt;&gt;""),(VLOOKUP($C73,'V-LOOKUP'!$C$122:$M$150,9,FALSE)),"0")</f>
        <v>0</v>
      </c>
      <c r="DI73" s="192" t="str">
        <f>IF(AND($C73&lt;&gt;"",$M73&lt;&gt;""),(VLOOKUP($C73,'V-LOOKUP'!$C$122:$M$150,10,FALSE)),"0")</f>
        <v>0</v>
      </c>
      <c r="DJ73" s="192" t="str">
        <f>IF(AND($C73&lt;&gt;"",$M73&lt;&gt;""),(VLOOKUP($C73,'V-LOOKUP'!$C$122:$M$150,11,FALSE)),"0")</f>
        <v>0</v>
      </c>
      <c r="DK73" s="192" t="str">
        <f>IF(AND($C73&lt;&gt;"",$D73&lt;&gt;""),(VLOOKUP($C73,'V-LOOKUP'!$C$122:$N$150,12,FALSE)),"0")</f>
        <v>0</v>
      </c>
      <c r="DL73" s="192" t="str">
        <f>IF(AND($C73&lt;&gt;"",$N73&lt;&gt;""),(VLOOKUP($C73,'V-LOOKUP'!$C$122:$M$150,4,FALSE)),"0")</f>
        <v>0</v>
      </c>
      <c r="DM73" s="192" t="str">
        <f>IF(AND($C73&lt;&gt;"",$N73&lt;&gt;""),(VLOOKUP($C73,'V-LOOKUP'!$C$122:$M$150,5,FALSE)),"0")</f>
        <v>0</v>
      </c>
      <c r="DN73" s="192" t="str">
        <f>IF(AND($C73&lt;&gt;"",$N73&lt;&gt;""),(VLOOKUP($C73,'V-LOOKUP'!$C$122:$M$150,6,FALSE)),"0")</f>
        <v>0</v>
      </c>
      <c r="DO73" s="192" t="str">
        <f>IF(AND($C73&lt;&gt;"",$N73&lt;&gt;""),(VLOOKUP($C73,'V-LOOKUP'!$C$122:$M$150,7,FALSE)),"0")</f>
        <v>0</v>
      </c>
      <c r="DP73" s="192" t="str">
        <f>IF(AND($C73&lt;&gt;"",$N73&lt;&gt;""),(VLOOKUP($C73,'V-LOOKUP'!$C$122:$M$150,8,FALSE)),"0")</f>
        <v>0</v>
      </c>
      <c r="DQ73" s="192" t="str">
        <f>IF(AND($C73&lt;&gt;"",$N73&lt;&gt;""),(VLOOKUP($C73,'V-LOOKUP'!$C$122:$M$150,9,FALSE)),"0")</f>
        <v>0</v>
      </c>
      <c r="DR73" s="192" t="str">
        <f>IF(AND($C73&lt;&gt;"",$N73&lt;&gt;""),(VLOOKUP($C73,'V-LOOKUP'!$C$122:$M$150,10,FALSE)),"0")</f>
        <v>0</v>
      </c>
      <c r="DS73" s="192" t="str">
        <f>IF(AND($C73&lt;&gt;"",$N73&lt;&gt;""),(VLOOKUP($C73,'V-LOOKUP'!$C$122:$M$150,11,FALSE)),"0")</f>
        <v>0</v>
      </c>
      <c r="DT73" s="192" t="str">
        <f>IF(AND($C73&lt;&gt;"",$D73&lt;&gt;""),(VLOOKUP($C73,'V-LOOKUP'!$C$122:$N$150,12,FALSE)),"0")</f>
        <v>0</v>
      </c>
      <c r="DU73" s="192" t="str">
        <f>IF(AND($C73&lt;&gt;"",$O73&lt;&gt;""),(VLOOKUP($C73,'V-LOOKUP'!$C$122:$M$150,4,FALSE)),"0")</f>
        <v>0</v>
      </c>
      <c r="DV73" s="192" t="str">
        <f>IF(AND($C73&lt;&gt;"",$O73&lt;&gt;""),(VLOOKUP($C73,'V-LOOKUP'!$C$122:$M$150,5,FALSE)),"0")</f>
        <v>0</v>
      </c>
      <c r="DW73" s="192" t="str">
        <f>IF(AND($C73&lt;&gt;"",$O73&lt;&gt;""),(VLOOKUP($C73,'V-LOOKUP'!$C$122:$M$150,6,FALSE)),"0")</f>
        <v>0</v>
      </c>
      <c r="DX73" s="192" t="str">
        <f>IF(AND($C73&lt;&gt;"",$O73&lt;&gt;""),(VLOOKUP($C73,'V-LOOKUP'!$C$122:$M$150,7,FALSE)),"0")</f>
        <v>0</v>
      </c>
      <c r="DY73" s="192" t="str">
        <f>IF(AND($C73&lt;&gt;"",$O73&lt;&gt;""),(VLOOKUP($C73,'V-LOOKUP'!$C$122:$M$150,8,FALSE)),"0")</f>
        <v>0</v>
      </c>
      <c r="DZ73" s="192" t="str">
        <f>IF(AND($C73&lt;&gt;"",$O73&lt;&gt;""),(VLOOKUP($C73,'V-LOOKUP'!$C$122:$M$150,9,FALSE)),"0")</f>
        <v>0</v>
      </c>
      <c r="EA73" s="192" t="str">
        <f>IF(AND($C73&lt;&gt;"",$O73&lt;&gt;""),(VLOOKUP($C73,'V-LOOKUP'!$C$122:$M$150,10,FALSE)),"0")</f>
        <v>0</v>
      </c>
      <c r="EB73" s="192" t="str">
        <f>IF(AND($C73&lt;&gt;"",$O73&lt;&gt;""),(VLOOKUP($C73,'V-LOOKUP'!$C$122:$M$150,11,FALSE)),"0")</f>
        <v>0</v>
      </c>
      <c r="EC73" s="192" t="str">
        <f>IF(AND($C73&lt;&gt;"",$D73&lt;&gt;""),(VLOOKUP($C73,'V-LOOKUP'!$C$122:$N$150,12,FALSE)),"0")</f>
        <v>0</v>
      </c>
      <c r="ED73" s="192" t="str">
        <f>IF(AND($C73&lt;&gt;"",$P73&lt;&gt;""),(VLOOKUP($C73,'V-LOOKUP'!$C$122:$M$150,4,FALSE)),"0")</f>
        <v>0</v>
      </c>
      <c r="EE73" s="192" t="str">
        <f>IF(AND($C73&lt;&gt;"",$P73&lt;&gt;""),(VLOOKUP($C73,'V-LOOKUP'!$C$122:$M$150,5,FALSE)),"0")</f>
        <v>0</v>
      </c>
      <c r="EF73" s="192" t="str">
        <f>IF(AND($C73&lt;&gt;"",$P73&lt;&gt;""),(VLOOKUP($C73,'V-LOOKUP'!$C$122:$M$150,6,FALSE)),"0")</f>
        <v>0</v>
      </c>
      <c r="EG73" s="192" t="str">
        <f>IF(AND($C73&lt;&gt;"",$P73&lt;&gt;""),(VLOOKUP($C73,'V-LOOKUP'!$C$122:$M$150,7,FALSE)),"0")</f>
        <v>0</v>
      </c>
      <c r="EH73" s="192" t="str">
        <f>IF(AND($C73&lt;&gt;"",$P73&lt;&gt;""),(VLOOKUP($C73,'V-LOOKUP'!$C$122:$M$150,8,FALSE)),"0")</f>
        <v>0</v>
      </c>
      <c r="EI73" s="192" t="str">
        <f>IF(AND($C73&lt;&gt;"",$P73&lt;&gt;""),(VLOOKUP($C73,'V-LOOKUP'!$C$122:$M$150,9,FALSE)),"0")</f>
        <v>0</v>
      </c>
      <c r="EJ73" s="192" t="str">
        <f>IF(AND($C73&lt;&gt;"",$P73&lt;&gt;""),(VLOOKUP($C73,'V-LOOKUP'!$C$122:$M$150,10,FALSE)),"0")</f>
        <v>0</v>
      </c>
      <c r="EK73" s="192" t="str">
        <f>IF(AND($C73&lt;&gt;"",$P73&lt;&gt;""),(VLOOKUP($C73,'V-LOOKUP'!$C$122:$M$150,11,FALSE)),"0")</f>
        <v>0</v>
      </c>
      <c r="EL73" s="192" t="str">
        <f>IF(AND($C73&lt;&gt;"",$D73&lt;&gt;""),(VLOOKUP($C73,'V-LOOKUP'!$C$122:$N$150,12,FALSE)),"0")</f>
        <v>0</v>
      </c>
      <c r="EM73" s="192" t="str">
        <f>IF(AND($C73&lt;&gt;"",$Q73&lt;&gt;""),(VLOOKUP($C73,'V-LOOKUP'!$C$122:$M$150,4,FALSE)),"0")</f>
        <v>0</v>
      </c>
      <c r="EN73" s="192" t="str">
        <f>IF(AND($C73&lt;&gt;"",$Q73&lt;&gt;""),(VLOOKUP($C73,'V-LOOKUP'!$C$122:$M$150,5,FALSE)),"0")</f>
        <v>0</v>
      </c>
      <c r="EO73" s="192" t="str">
        <f>IF(AND($C73&lt;&gt;"",$Q73&lt;&gt;""),(VLOOKUP($C73,'V-LOOKUP'!$C$122:$M$150,6,FALSE)),"0")</f>
        <v>0</v>
      </c>
      <c r="EP73" s="192" t="str">
        <f>IF(AND($C73&lt;&gt;"",$Q73&lt;&gt;""),(VLOOKUP($C73,'V-LOOKUP'!$C$122:$M$150,7,FALSE)),"0")</f>
        <v>0</v>
      </c>
      <c r="EQ73" s="192" t="str">
        <f>IF(AND($C73&lt;&gt;"",$Q73&lt;&gt;""),(VLOOKUP($C73,'V-LOOKUP'!$C$122:$M$150,8,FALSE)),"0")</f>
        <v>0</v>
      </c>
      <c r="ER73" s="192" t="str">
        <f>IF(AND($C73&lt;&gt;"",$Q73&lt;&gt;""),(VLOOKUP($C73,'V-LOOKUP'!$C$122:$M$150,9,FALSE)),"0")</f>
        <v>0</v>
      </c>
      <c r="ES73" s="192" t="str">
        <f>IF(AND($C73&lt;&gt;"",$Q73&lt;&gt;""),(VLOOKUP($C73,'V-LOOKUP'!$C$122:$M$150,10,FALSE)),"0")</f>
        <v>0</v>
      </c>
      <c r="ET73" s="192" t="str">
        <f>IF(AND($C73&lt;&gt;"",$Q73&lt;&gt;""),(VLOOKUP($C73,'V-LOOKUP'!$C$122:$M$150,11,FALSE)),"0")</f>
        <v>0</v>
      </c>
      <c r="EU73" s="192" t="str">
        <f>IF(AND($C73&lt;&gt;"",$D73&lt;&gt;""),(VLOOKUP($C73,'V-LOOKUP'!$C$122:$N$150,12,FALSE)),"0")</f>
        <v>0</v>
      </c>
      <c r="EV73" s="192" t="str">
        <f>IF(AND($C73&lt;&gt;"",$R73&lt;&gt;""),(VLOOKUP($C73,'V-LOOKUP'!$C$122:$M$150,4,FALSE)),"0")</f>
        <v>0</v>
      </c>
      <c r="EW73" s="192" t="str">
        <f>IF(AND($C73&lt;&gt;"",$R73&lt;&gt;""),(VLOOKUP($C73,'V-LOOKUP'!$C$122:$M$150,5,FALSE)),"0")</f>
        <v>0</v>
      </c>
      <c r="EX73" s="192" t="str">
        <f>IF(AND($C73&lt;&gt;"",$R73&lt;&gt;""),(VLOOKUP($C73,'V-LOOKUP'!$C$122:$M$150,6,FALSE)),"0")</f>
        <v>0</v>
      </c>
      <c r="EY73" s="192" t="str">
        <f>IF(AND($C73&lt;&gt;"",$R73&lt;&gt;""),(VLOOKUP($C73,'V-LOOKUP'!$C$122:$M$150,7,FALSE)),"0")</f>
        <v>0</v>
      </c>
      <c r="EZ73" s="192" t="str">
        <f>IF(AND($C73&lt;&gt;"",$R73&lt;&gt;""),(VLOOKUP($C73,'V-LOOKUP'!$C$122:$M$150,8,FALSE)),"0")</f>
        <v>0</v>
      </c>
      <c r="FA73" s="192" t="str">
        <f>IF(AND($C73&lt;&gt;"",$R73&lt;&gt;""),(VLOOKUP($C73,'V-LOOKUP'!$C$122:$M$150,9,FALSE)),"0")</f>
        <v>0</v>
      </c>
      <c r="FB73" s="192" t="str">
        <f>IF(AND($C73&lt;&gt;"",$R73&lt;&gt;""),(VLOOKUP($C73,'V-LOOKUP'!$C$122:$M$150,10,FALSE)),"0")</f>
        <v>0</v>
      </c>
      <c r="FC73" s="192" t="str">
        <f>IF(AND($C73&lt;&gt;"",$R73&lt;&gt;""),(VLOOKUP($C73,'V-LOOKUP'!$C$122:$M$150,11,FALSE)),"0")</f>
        <v>0</v>
      </c>
      <c r="FD73" s="192" t="str">
        <f>IF(AND($C73&lt;&gt;"",$D73&lt;&gt;""),(VLOOKUP($C73,'V-LOOKUP'!$C$122:$N$150,12,FALSE)),"0")</f>
        <v>0</v>
      </c>
      <c r="FE73" s="192" t="str">
        <f>IF(AND($C73&lt;&gt;"",$S73&lt;&gt;""),(VLOOKUP($C73,'V-LOOKUP'!$C$122:$M$150,4,FALSE)),"0")</f>
        <v>0</v>
      </c>
      <c r="FF73" s="192" t="str">
        <f>IF(AND($C73&lt;&gt;"",$S73&lt;&gt;""),(VLOOKUP($C73,'V-LOOKUP'!$C$122:$M$150,5,FALSE)),"0")</f>
        <v>0</v>
      </c>
      <c r="FG73" s="192" t="str">
        <f>IF(AND($C73&lt;&gt;"",$S73&lt;&gt;""),(VLOOKUP($C73,'V-LOOKUP'!$C$122:$M$150,6,FALSE)),"0")</f>
        <v>0</v>
      </c>
      <c r="FH73" s="192" t="str">
        <f>IF(AND($C73&lt;&gt;"",$S73&lt;&gt;""),(VLOOKUP($C73,'V-LOOKUP'!$C$122:$M$150,7,FALSE)),"0")</f>
        <v>0</v>
      </c>
      <c r="FI73" s="192" t="str">
        <f>IF(AND($C73&lt;&gt;"",$S73&lt;&gt;""),(VLOOKUP($C73,'V-LOOKUP'!$C$122:$M$150,8,FALSE)),"0")</f>
        <v>0</v>
      </c>
      <c r="FJ73" s="192" t="str">
        <f>IF(AND($C73&lt;&gt;"",$S73&lt;&gt;""),(VLOOKUP($C73,'V-LOOKUP'!$C$122:$M$150,9,FALSE)),"0")</f>
        <v>0</v>
      </c>
      <c r="FK73" s="192" t="str">
        <f>IF(AND($C73&lt;&gt;"",$S73&lt;&gt;""),(VLOOKUP($C73,'V-LOOKUP'!$C$122:$M$150,10,FALSE)),"0")</f>
        <v>0</v>
      </c>
      <c r="FL73" s="192" t="str">
        <f>IF(AND($C73&lt;&gt;"",$S73&lt;&gt;""),(VLOOKUP($C73,'V-LOOKUP'!$C$122:$M$150,11,FALSE)),"0")</f>
        <v>0</v>
      </c>
      <c r="FM73" s="192" t="str">
        <f>IF(AND($C73&lt;&gt;"",$D73&lt;&gt;""),(VLOOKUP($C73,'V-LOOKUP'!$C$122:$N$150,12,FALSE)),"0")</f>
        <v>0</v>
      </c>
      <c r="FN73" s="192" t="str">
        <f>IF(AND($C73&lt;&gt;"",$T73&lt;&gt;""),(VLOOKUP($C73,'V-LOOKUP'!$C$122:$M$150,4,FALSE)),"0")</f>
        <v>0</v>
      </c>
      <c r="FO73" s="192" t="str">
        <f>IF(AND($C73&lt;&gt;"",$T73&lt;&gt;""),(VLOOKUP($C73,'V-LOOKUP'!$C$122:$M$150,5,FALSE)),"0")</f>
        <v>0</v>
      </c>
      <c r="FP73" s="192" t="str">
        <f>IF(AND($C73&lt;&gt;"",$T73&lt;&gt;""),(VLOOKUP($C73,'V-LOOKUP'!$C$122:$M$150,6,FALSE)),"0")</f>
        <v>0</v>
      </c>
      <c r="FQ73" s="192" t="str">
        <f>IF(AND($C73&lt;&gt;"",$T73&lt;&gt;""),(VLOOKUP($C73,'V-LOOKUP'!$C$122:$M$150,7,FALSE)),"0")</f>
        <v>0</v>
      </c>
      <c r="FR73" s="192" t="str">
        <f>IF(AND($C73&lt;&gt;"",$T73&lt;&gt;""),(VLOOKUP($C73,'V-LOOKUP'!$C$122:$M$150,8,FALSE)),"0")</f>
        <v>0</v>
      </c>
      <c r="FS73" s="192" t="str">
        <f>IF(AND($C73&lt;&gt;"",$T73&lt;&gt;""),(VLOOKUP($C73,'V-LOOKUP'!$C$122:$M$150,9,FALSE)),"0")</f>
        <v>0</v>
      </c>
      <c r="FT73" s="192" t="str">
        <f>IF(AND($C73&lt;&gt;"",$T73&lt;&gt;""),(VLOOKUP($C73,'V-LOOKUP'!$C$122:$M$150,10,FALSE)),"0")</f>
        <v>0</v>
      </c>
      <c r="FU73" s="192" t="str">
        <f>IF(AND($C73&lt;&gt;"",$T73&lt;&gt;""),(VLOOKUP($C73,'V-LOOKUP'!$C$122:$M$150,11,FALSE)),"0")</f>
        <v>0</v>
      </c>
      <c r="FV73" s="192" t="str">
        <f>IF(AND($C73&lt;&gt;"",$D73&lt;&gt;""),(VLOOKUP($C73,'V-LOOKUP'!$C$122:$N$150,12,FALSE)),"0")</f>
        <v>0</v>
      </c>
      <c r="FW73" s="192" t="str">
        <f>IF(AND($C73&lt;&gt;"",$U73&lt;&gt;""),(VLOOKUP($C73,'V-LOOKUP'!$C$122:$M$150,4,FALSE)),"0")</f>
        <v>0</v>
      </c>
      <c r="FX73" s="192" t="str">
        <f>IF(AND($C73&lt;&gt;"",$U73&lt;&gt;""),(VLOOKUP($C73,'V-LOOKUP'!$C$122:$M$150,5,FALSE)),"0")</f>
        <v>0</v>
      </c>
      <c r="FY73" s="192" t="str">
        <f>IF(AND($C73&lt;&gt;"",$U73&lt;&gt;""),(VLOOKUP($C73,'V-LOOKUP'!$C$122:$M$150,6,FALSE)),"0")</f>
        <v>0</v>
      </c>
      <c r="FZ73" s="192" t="str">
        <f>IF(AND($C73&lt;&gt;"",$U73&lt;&gt;""),(VLOOKUP($C73,'V-LOOKUP'!$C$122:$M$150,7,FALSE)),"0")</f>
        <v>0</v>
      </c>
      <c r="GA73" s="192" t="str">
        <f>IF(AND($C73&lt;&gt;"",$U73&lt;&gt;""),(VLOOKUP($C73,'V-LOOKUP'!$C$122:$M$150,8,FALSE)),"0")</f>
        <v>0</v>
      </c>
      <c r="GB73" s="192" t="str">
        <f>IF(AND($C73&lt;&gt;"",$U73&lt;&gt;""),(VLOOKUP($C73,'V-LOOKUP'!$C$122:$M$150,9,FALSE)),"0")</f>
        <v>0</v>
      </c>
      <c r="GC73" s="192" t="str">
        <f>IF(AND($C73&lt;&gt;"",$U73&lt;&gt;""),(VLOOKUP($C73,'V-LOOKUP'!$C$122:$M$150,10,FALSE)),"0")</f>
        <v>0</v>
      </c>
      <c r="GD73" s="192" t="str">
        <f>IF(AND($C73&lt;&gt;"",$U73&lt;&gt;""),(VLOOKUP($C73,'V-LOOKUP'!$C$122:$M$150,11,FALSE)),"0")</f>
        <v>0</v>
      </c>
      <c r="GE73" s="192" t="str">
        <f>IF(AND($C73&lt;&gt;"",$D73&lt;&gt;""),(VLOOKUP($C73,'V-LOOKUP'!$C$122:$N$150,12,FALSE)),"0")</f>
        <v>0</v>
      </c>
      <c r="GF73" s="192" t="str">
        <f>IF(AND($C73&lt;&gt;"",$V73&lt;&gt;""),(VLOOKUP($C73,'V-LOOKUP'!$C$122:$M$150,4,FALSE)),"0")</f>
        <v>0</v>
      </c>
      <c r="GG73" s="192" t="str">
        <f>IF(AND($C73&lt;&gt;"",$V73&lt;&gt;""),(VLOOKUP($C73,'V-LOOKUP'!$C$122:$M$150,5,FALSE)),"0")</f>
        <v>0</v>
      </c>
      <c r="GH73" s="192" t="str">
        <f>IF(AND($C73&lt;&gt;"",$V73&lt;&gt;""),(VLOOKUP($C73,'V-LOOKUP'!$C$122:$M$150,6,FALSE)),"0")</f>
        <v>0</v>
      </c>
      <c r="GI73" s="192" t="str">
        <f>IF(AND($C73&lt;&gt;"",$V73&lt;&gt;""),(VLOOKUP($C73,'V-LOOKUP'!$C$122:$M$150,7,FALSE)),"0")</f>
        <v>0</v>
      </c>
      <c r="GJ73" s="192" t="str">
        <f>IF(AND($C73&lt;&gt;"",$V73&lt;&gt;""),(VLOOKUP($C73,'V-LOOKUP'!$C$122:$M$150,8,FALSE)),"0")</f>
        <v>0</v>
      </c>
      <c r="GK73" s="192" t="str">
        <f>IF(AND($C73&lt;&gt;"",$V73&lt;&gt;""),(VLOOKUP($C73,'V-LOOKUP'!$C$122:$M$150,9,FALSE)),"0")</f>
        <v>0</v>
      </c>
      <c r="GL73" s="192" t="str">
        <f>IF(AND($C73&lt;&gt;"",$V73&lt;&gt;""),(VLOOKUP($C73,'V-LOOKUP'!$C$122:$M$150,10,FALSE)),"0")</f>
        <v>0</v>
      </c>
      <c r="GM73" s="192" t="str">
        <f>IF(AND($C73&lt;&gt;"",$V73&lt;&gt;""),(VLOOKUP($C73,'V-LOOKUP'!$C$122:$M$150,11,FALSE)),"0")</f>
        <v>0</v>
      </c>
      <c r="GN73" s="192" t="str">
        <f>IF(AND($C73&lt;&gt;"",$D73&lt;&gt;""),(VLOOKUP($C73,'V-LOOKUP'!$C$122:$N$150,12,FALSE)),"0")</f>
        <v>0</v>
      </c>
      <c r="GO73" s="192" t="str">
        <f>IF(AND($C73&lt;&gt;"",$W73&lt;&gt;""),(VLOOKUP($C73,'V-LOOKUP'!$C$122:$M$150,4,FALSE)),"0")</f>
        <v>0</v>
      </c>
      <c r="GP73" s="192" t="str">
        <f>IF(AND($C73&lt;&gt;"",$W73&lt;&gt;""),(VLOOKUP($C73,'V-LOOKUP'!$C$122:$M$150,5,FALSE)),"0")</f>
        <v>0</v>
      </c>
      <c r="GQ73" s="192" t="str">
        <f>IF(AND($C73&lt;&gt;"",$W73&lt;&gt;""),(VLOOKUP($C73,'V-LOOKUP'!$C$122:$M$150,6,FALSE)),"0")</f>
        <v>0</v>
      </c>
      <c r="GR73" s="192" t="str">
        <f>IF(AND($C73&lt;&gt;"",$W73&lt;&gt;""),(VLOOKUP($C73,'V-LOOKUP'!$C$122:$M$150,7,FALSE)),"0")</f>
        <v>0</v>
      </c>
      <c r="GS73" s="192" t="str">
        <f>IF(AND($C73&lt;&gt;"",$W73&lt;&gt;""),(VLOOKUP($C73,'V-LOOKUP'!$C$122:$M$150,8,FALSE)),"0")</f>
        <v>0</v>
      </c>
      <c r="GT73" s="192" t="str">
        <f>IF(AND($C73&lt;&gt;"",$W73&lt;&gt;""),(VLOOKUP($C73,'V-LOOKUP'!$C$122:$M$150,9,FALSE)),"0")</f>
        <v>0</v>
      </c>
      <c r="GU73" s="192" t="str">
        <f>IF(AND($C73&lt;&gt;"",$W73&lt;&gt;""),(VLOOKUP($C73,'V-LOOKUP'!$C$122:$M$150,10,FALSE)),"0")</f>
        <v>0</v>
      </c>
      <c r="GV73" s="192" t="str">
        <f>IF(AND($C73&lt;&gt;"",$W73&lt;&gt;""),(VLOOKUP($C73,'V-LOOKUP'!$C$122:$M$150,11,FALSE)),"0")</f>
        <v>0</v>
      </c>
      <c r="GW73" s="192" t="str">
        <f>IF(AND($C73&lt;&gt;"",$D73&lt;&gt;""),(VLOOKUP($C73,'V-LOOKUP'!$C$122:$N$150,12,FALSE)),"0")</f>
        <v>0</v>
      </c>
    </row>
    <row r="74" spans="1:205" ht="14.65" customHeight="1">
      <c r="B74" s="245"/>
      <c r="C74" s="203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Y74" s="190"/>
      <c r="Z74" s="192" t="str">
        <f>IF(AND($C74&lt;&gt;"",$D74&lt;&gt;""),(VLOOKUP($C74,'V-LOOKUP'!$C$122:$M$150,4,FALSE)),"0")</f>
        <v>0</v>
      </c>
      <c r="AA74" s="192" t="str">
        <f>IF(AND($C74&lt;&gt;"",$D74&lt;&gt;""),(VLOOKUP($C74,'V-LOOKUP'!$C$122:$M$150,5,FALSE)),"0")</f>
        <v>0</v>
      </c>
      <c r="AB74" s="192" t="str">
        <f>IF(AND($C74&lt;&gt;"",$D74&lt;&gt;""),(VLOOKUP($C74,'V-LOOKUP'!$C$122:$M$150,6,FALSE)),"0")</f>
        <v>0</v>
      </c>
      <c r="AC74" s="192" t="str">
        <f>IF(AND($C74&lt;&gt;"",$D74&lt;&gt;""),(VLOOKUP($C74,'V-LOOKUP'!$C$122:$M$150,7,FALSE)),"0")</f>
        <v>0</v>
      </c>
      <c r="AD74" s="192" t="str">
        <f>IF(AND($C74&lt;&gt;"",$D74&lt;&gt;""),(VLOOKUP($C74,'V-LOOKUP'!$C$122:$M$150,8,FALSE)),"0")</f>
        <v>0</v>
      </c>
      <c r="AE74" s="192" t="str">
        <f>IF(AND($C74&lt;&gt;"",$D74&lt;&gt;""),(VLOOKUP($C74,'V-LOOKUP'!$C$122:$M$150,9,FALSE)),"0")</f>
        <v>0</v>
      </c>
      <c r="AF74" s="192" t="str">
        <f>IF(AND($C74&lt;&gt;"",$D74&lt;&gt;""),(VLOOKUP($C74,'V-LOOKUP'!$C$122:$M$150,10,FALSE)),"0")</f>
        <v>0</v>
      </c>
      <c r="AG74" s="192" t="str">
        <f>IF(AND($C74&lt;&gt;"",$D74&lt;&gt;""),(VLOOKUP($C74,'V-LOOKUP'!$C$122:$M$150,11,FALSE)),"0")</f>
        <v>0</v>
      </c>
      <c r="AH74" s="192" t="str">
        <f>IF(AND($C74&lt;&gt;"",$D74&lt;&gt;""),(VLOOKUP($C74,'V-LOOKUP'!$C$122:$N$150,12,FALSE)),"0")</f>
        <v>0</v>
      </c>
      <c r="AI74" s="192" t="str">
        <f>IF(AND($C74&lt;&gt;"",$E74&lt;&gt;""),(VLOOKUP($C74,'V-LOOKUP'!$C$122:$M$150,4,FALSE)),"0")</f>
        <v>0</v>
      </c>
      <c r="AJ74" s="192" t="str">
        <f>IF(AND($C74&lt;&gt;"",$E74&lt;&gt;""),(VLOOKUP($C74,'V-LOOKUP'!$C$122:$M$150,5,FALSE)),"0")</f>
        <v>0</v>
      </c>
      <c r="AK74" s="192" t="str">
        <f>IF(AND($C74&lt;&gt;"",$E74&lt;&gt;""),(VLOOKUP($C74,'V-LOOKUP'!$C$122:$M$150,6,FALSE)),"0")</f>
        <v>0</v>
      </c>
      <c r="AL74" s="192" t="str">
        <f>IF(AND($C74&lt;&gt;"",$E74&lt;&gt;""),(VLOOKUP($C74,'V-LOOKUP'!$C$122:$M$150,7,FALSE)),"0")</f>
        <v>0</v>
      </c>
      <c r="AM74" s="192" t="str">
        <f>IF(AND($C74&lt;&gt;"",$E74&lt;&gt;""),(VLOOKUP($C74,'V-LOOKUP'!$C$122:$M$150,8,FALSE)),"0")</f>
        <v>0</v>
      </c>
      <c r="AN74" s="192" t="str">
        <f>IF(AND($C74&lt;&gt;"",$E74&lt;&gt;""),(VLOOKUP($C74,'V-LOOKUP'!$C$122:$M$150,9,FALSE)),"0")</f>
        <v>0</v>
      </c>
      <c r="AO74" s="192" t="str">
        <f>IF(AND($C74&lt;&gt;"",$E74&lt;&gt;""),(VLOOKUP($C74,'V-LOOKUP'!$C$122:$M$150,10,FALSE)),"0")</f>
        <v>0</v>
      </c>
      <c r="AP74" s="192" t="str">
        <f>IF(AND($C74&lt;&gt;"",$E74&lt;&gt;""),(VLOOKUP($C74,'V-LOOKUP'!$C$122:$M$150,11,FALSE)),"0")</f>
        <v>0</v>
      </c>
      <c r="AQ74" s="192" t="str">
        <f>IF(AND($C74&lt;&gt;"",$D74&lt;&gt;""),(VLOOKUP($C74,'V-LOOKUP'!$C$122:$N$150,12,FALSE)),"0")</f>
        <v>0</v>
      </c>
      <c r="AR74" s="192" t="str">
        <f>IF(AND($C74&lt;&gt;"",$F74&lt;&gt;""),(VLOOKUP($C74,'V-LOOKUP'!$C$122:$M$150,4,FALSE)),"0")</f>
        <v>0</v>
      </c>
      <c r="AS74" s="192" t="str">
        <f>IF(AND($C74&lt;&gt;"",$F74&lt;&gt;""),(VLOOKUP($C74,'V-LOOKUP'!$C$122:$M$150,5,FALSE)),"0")</f>
        <v>0</v>
      </c>
      <c r="AT74" s="192" t="str">
        <f>IF(AND($C74&lt;&gt;"",$F74&lt;&gt;""),(VLOOKUP($C74,'V-LOOKUP'!$C$122:$M$150,6,FALSE)),"0")</f>
        <v>0</v>
      </c>
      <c r="AU74" s="192" t="str">
        <f>IF(AND($C74&lt;&gt;"",$F74&lt;&gt;""),(VLOOKUP($C74,'V-LOOKUP'!$C$122:$M$150,7,FALSE)),"0")</f>
        <v>0</v>
      </c>
      <c r="AV74" s="192" t="str">
        <f>IF(AND($C74&lt;&gt;"",$F74&lt;&gt;""),(VLOOKUP($C74,'V-LOOKUP'!$C$122:$M$150,8,FALSE)),"0")</f>
        <v>0</v>
      </c>
      <c r="AW74" s="192" t="str">
        <f>IF(AND($C74&lt;&gt;"",$F74&lt;&gt;""),(VLOOKUP($C74,'V-LOOKUP'!$C$122:$M$150,9,FALSE)),"0")</f>
        <v>0</v>
      </c>
      <c r="AX74" s="192" t="str">
        <f>IF(AND($C74&lt;&gt;"",$F74&lt;&gt;""),(VLOOKUP($C74,'V-LOOKUP'!$C$122:$M$150,10,FALSE)),"0")</f>
        <v>0</v>
      </c>
      <c r="AY74" s="192" t="str">
        <f>IF(AND($C74&lt;&gt;"",$F74&lt;&gt;""),(VLOOKUP($C74,'V-LOOKUP'!$C$122:$M$150,11,FALSE)),"0")</f>
        <v>0</v>
      </c>
      <c r="AZ74" s="192" t="str">
        <f>IF(AND($C74&lt;&gt;"",$D74&lt;&gt;""),(VLOOKUP($C74,'V-LOOKUP'!$C$122:$N$150,12,FALSE)),"0")</f>
        <v>0</v>
      </c>
      <c r="BA74" s="192" t="str">
        <f>IF(AND($C74&lt;&gt;"",$G74&lt;&gt;""),(VLOOKUP($C74,'V-LOOKUP'!$C$122:$M$150,4,FALSE)),"0")</f>
        <v>0</v>
      </c>
      <c r="BB74" s="192" t="str">
        <f>IF(AND($C74&lt;&gt;"",$G74&lt;&gt;""),(VLOOKUP($C74,'V-LOOKUP'!$C$122:$M$150,5,FALSE)),"0")</f>
        <v>0</v>
      </c>
      <c r="BC74" s="192" t="str">
        <f>IF(AND($C74&lt;&gt;"",$G74&lt;&gt;""),(VLOOKUP($C74,'V-LOOKUP'!$C$122:$M$150,6,FALSE)),"0")</f>
        <v>0</v>
      </c>
      <c r="BD74" s="192" t="str">
        <f>IF(AND($C74&lt;&gt;"",$G74&lt;&gt;""),(VLOOKUP($C74,'V-LOOKUP'!$C$122:$M$150,7,FALSE)),"0")</f>
        <v>0</v>
      </c>
      <c r="BE74" s="192" t="str">
        <f>IF(AND($C74&lt;&gt;"",$G74&lt;&gt;""),(VLOOKUP($C74,'V-LOOKUP'!$C$122:$M$150,8,FALSE)),"0")</f>
        <v>0</v>
      </c>
      <c r="BF74" s="192" t="str">
        <f>IF(AND($C74&lt;&gt;"",$G74&lt;&gt;""),(VLOOKUP($C74,'V-LOOKUP'!$C$122:$M$150,9,FALSE)),"0")</f>
        <v>0</v>
      </c>
      <c r="BG74" s="192" t="str">
        <f>IF(AND($C74&lt;&gt;"",$G74&lt;&gt;""),(VLOOKUP($C74,'V-LOOKUP'!$C$122:$M$150,10,FALSE)),"0")</f>
        <v>0</v>
      </c>
      <c r="BH74" s="192" t="str">
        <f>IF(AND($C74&lt;&gt;"",$G74&lt;&gt;""),(VLOOKUP($C74,'V-LOOKUP'!$C$122:$M$150,11,FALSE)),"0")</f>
        <v>0</v>
      </c>
      <c r="BI74" s="192" t="str">
        <f>IF(AND($C74&lt;&gt;"",$D74&lt;&gt;""),(VLOOKUP($C74,'V-LOOKUP'!$C$122:$N$150,12,FALSE)),"0")</f>
        <v>0</v>
      </c>
      <c r="BJ74" s="192" t="str">
        <f>IF(AND($C74&lt;&gt;"",$H74&lt;&gt;""),(VLOOKUP($C74,'V-LOOKUP'!$C$122:$M$150,4,FALSE)),"0")</f>
        <v>0</v>
      </c>
      <c r="BK74" s="192" t="str">
        <f>IF(AND($C74&lt;&gt;"",$H74&lt;&gt;""),(VLOOKUP($C74,'V-LOOKUP'!$C$122:$M$150,5,FALSE)),"0")</f>
        <v>0</v>
      </c>
      <c r="BL74" s="192" t="str">
        <f>IF(AND($C74&lt;&gt;"",$H74&lt;&gt;""),(VLOOKUP($C74,'V-LOOKUP'!$C$122:$M$150,6,FALSE)),"0")</f>
        <v>0</v>
      </c>
      <c r="BM74" s="192" t="str">
        <f>IF(AND($C74&lt;&gt;"",$H74&lt;&gt;""),(VLOOKUP($C74,'V-LOOKUP'!$C$122:$M$150,7,FALSE)),"0")</f>
        <v>0</v>
      </c>
      <c r="BN74" s="192" t="str">
        <f>IF(AND($C74&lt;&gt;"",$H74&lt;&gt;""),(VLOOKUP($C74,'V-LOOKUP'!$C$122:$M$150,8,FALSE)),"0")</f>
        <v>0</v>
      </c>
      <c r="BO74" s="192" t="str">
        <f>IF(AND($C74&lt;&gt;"",$H74&lt;&gt;""),(VLOOKUP($C74,'V-LOOKUP'!$C$122:$M$150,9,FALSE)),"0")</f>
        <v>0</v>
      </c>
      <c r="BP74" s="192" t="str">
        <f>IF(AND($C74&lt;&gt;"",$H74&lt;&gt;""),(VLOOKUP($C74,'V-LOOKUP'!$C$122:$M$150,10,FALSE)),"0")</f>
        <v>0</v>
      </c>
      <c r="BQ74" s="192" t="str">
        <f>IF(AND($C74&lt;&gt;"",$H74&lt;&gt;""),(VLOOKUP($C74,'V-LOOKUP'!$C$122:$M$150,11,FALSE)),"0")</f>
        <v>0</v>
      </c>
      <c r="BR74" s="192" t="str">
        <f>IF(AND($C74&lt;&gt;"",$D74&lt;&gt;""),(VLOOKUP($C74,'V-LOOKUP'!$C$122:$N$150,12,FALSE)),"0")</f>
        <v>0</v>
      </c>
      <c r="BS74" s="192" t="str">
        <f>IF(AND($C74&lt;&gt;"",$I74&lt;&gt;""),(VLOOKUP($C74,'V-LOOKUP'!$C$122:$M$150,4,FALSE)),"0")</f>
        <v>0</v>
      </c>
      <c r="BT74" s="192" t="str">
        <f>IF(AND($C74&lt;&gt;"",$I74&lt;&gt;""),(VLOOKUP($C74,'V-LOOKUP'!$C$122:$M$150,5,FALSE)),"0")</f>
        <v>0</v>
      </c>
      <c r="BU74" s="192" t="str">
        <f>IF(AND($C74&lt;&gt;"",$I74&lt;&gt;""),(VLOOKUP($C74,'V-LOOKUP'!$C$122:$M$150,6,FALSE)),"0")</f>
        <v>0</v>
      </c>
      <c r="BV74" s="192" t="str">
        <f>IF(AND($C74&lt;&gt;"",$I74&lt;&gt;""),(VLOOKUP($C74,'V-LOOKUP'!$C$122:$M$150,7,FALSE)),"0")</f>
        <v>0</v>
      </c>
      <c r="BW74" s="192" t="str">
        <f>IF(AND($C74&lt;&gt;"",$I74&lt;&gt;""),(VLOOKUP($C74,'V-LOOKUP'!$C$122:$M$150,8,FALSE)),"0")</f>
        <v>0</v>
      </c>
      <c r="BX74" s="192" t="str">
        <f>IF(AND($C74&lt;&gt;"",$I74&lt;&gt;""),(VLOOKUP($C74,'V-LOOKUP'!$C$122:$M$150,9,FALSE)),"0")</f>
        <v>0</v>
      </c>
      <c r="BY74" s="192" t="str">
        <f>IF(AND($C74&lt;&gt;"",$I74&lt;&gt;""),(VLOOKUP($C74,'V-LOOKUP'!$C$122:$M$150,10,FALSE)),"0")</f>
        <v>0</v>
      </c>
      <c r="BZ74" s="192" t="str">
        <f>IF(AND($C74&lt;&gt;"",$I74&lt;&gt;""),(VLOOKUP($C74,'V-LOOKUP'!$C$122:$M$150,11,FALSE)),"0")</f>
        <v>0</v>
      </c>
      <c r="CA74" s="192" t="str">
        <f>IF(AND($C74&lt;&gt;"",$D74&lt;&gt;""),(VLOOKUP($C74,'V-LOOKUP'!$C$122:$N$150,12,FALSE)),"0")</f>
        <v>0</v>
      </c>
      <c r="CB74" s="192" t="str">
        <f>IF(AND($C74&lt;&gt;"",$J74&lt;&gt;""),(VLOOKUP($C74,'V-LOOKUP'!$C$122:$M$150,4,FALSE)),"0")</f>
        <v>0</v>
      </c>
      <c r="CC74" s="192" t="str">
        <f>IF(AND($C74&lt;&gt;"",$J74&lt;&gt;""),(VLOOKUP($C74,'V-LOOKUP'!$C$122:$M$150,5,FALSE)),"0")</f>
        <v>0</v>
      </c>
      <c r="CD74" s="192" t="str">
        <f>IF(AND($C74&lt;&gt;"",$J74&lt;&gt;""),(VLOOKUP($C74,'V-LOOKUP'!$C$122:$M$150,6,FALSE)),"0")</f>
        <v>0</v>
      </c>
      <c r="CE74" s="192" t="str">
        <f>IF(AND($C74&lt;&gt;"",$J74&lt;&gt;""),(VLOOKUP($C74,'V-LOOKUP'!$C$122:$M$150,7,FALSE)),"0")</f>
        <v>0</v>
      </c>
      <c r="CF74" s="192" t="str">
        <f>IF(AND($C74&lt;&gt;"",$J74&lt;&gt;""),(VLOOKUP($C74,'V-LOOKUP'!$C$122:$M$150,8,FALSE)),"0")</f>
        <v>0</v>
      </c>
      <c r="CG74" s="192" t="str">
        <f>IF(AND($C74&lt;&gt;"",$J74&lt;&gt;""),(VLOOKUP($C74,'V-LOOKUP'!$C$122:$M$150,9,FALSE)),"0")</f>
        <v>0</v>
      </c>
      <c r="CH74" s="192" t="str">
        <f>IF(AND($C74&lt;&gt;"",$J74&lt;&gt;""),(VLOOKUP($C74,'V-LOOKUP'!$C$122:$M$150,10,FALSE)),"0")</f>
        <v>0</v>
      </c>
      <c r="CI74" s="192" t="str">
        <f>IF(AND($C74&lt;&gt;"",$J74&lt;&gt;""),(VLOOKUP($C74,'V-LOOKUP'!$C$122:$M$150,11,FALSE)),"0")</f>
        <v>0</v>
      </c>
      <c r="CJ74" s="192" t="str">
        <f>IF(AND($C74&lt;&gt;"",$D74&lt;&gt;""),(VLOOKUP($C74,'V-LOOKUP'!$C$122:$N$150,12,FALSE)),"0")</f>
        <v>0</v>
      </c>
      <c r="CK74" s="192" t="str">
        <f>IF(AND($C74&lt;&gt;"",$K74&lt;&gt;""),(VLOOKUP($C74,'V-LOOKUP'!$C$122:$M$150,4,FALSE)),"0")</f>
        <v>0</v>
      </c>
      <c r="CL74" s="192" t="str">
        <f>IF(AND($C74&lt;&gt;"",$K74&lt;&gt;""),(VLOOKUP($C74,'V-LOOKUP'!$C$122:$M$150,5,FALSE)),"0")</f>
        <v>0</v>
      </c>
      <c r="CM74" s="192" t="str">
        <f>IF(AND($C74&lt;&gt;"",$K74&lt;&gt;""),(VLOOKUP($C74,'V-LOOKUP'!$C$122:$M$150,6,FALSE)),"0")</f>
        <v>0</v>
      </c>
      <c r="CN74" s="192" t="str">
        <f>IF(AND($C74&lt;&gt;"",$K74&lt;&gt;""),(VLOOKUP($C74,'V-LOOKUP'!$C$122:$M$150,7,FALSE)),"0")</f>
        <v>0</v>
      </c>
      <c r="CO74" s="192" t="str">
        <f>IF(AND($C74&lt;&gt;"",$K74&lt;&gt;""),(VLOOKUP($C74,'V-LOOKUP'!$C$122:$M$150,8,FALSE)),"0")</f>
        <v>0</v>
      </c>
      <c r="CP74" s="192" t="str">
        <f>IF(AND($C74&lt;&gt;"",$K74&lt;&gt;""),(VLOOKUP($C74,'V-LOOKUP'!$C$122:$M$150,9,FALSE)),"0")</f>
        <v>0</v>
      </c>
      <c r="CQ74" s="192" t="str">
        <f>IF(AND($C74&lt;&gt;"",$K74&lt;&gt;""),(VLOOKUP($C74,'V-LOOKUP'!$C$122:$M$150,10,FALSE)),"0")</f>
        <v>0</v>
      </c>
      <c r="CR74" s="192" t="str">
        <f>IF(AND($C74&lt;&gt;"",$K74&lt;&gt;""),(VLOOKUP($C74,'V-LOOKUP'!$C$122:$M$150,11,FALSE)),"0")</f>
        <v>0</v>
      </c>
      <c r="CS74" s="192" t="str">
        <f>IF(AND($C74&lt;&gt;"",$D74&lt;&gt;""),(VLOOKUP($C74,'V-LOOKUP'!$C$122:$N$150,12,FALSE)),"0")</f>
        <v>0</v>
      </c>
      <c r="CT74" s="192" t="str">
        <f>IF(AND($C74&lt;&gt;"",$L74&lt;&gt;""),(VLOOKUP($C74,'V-LOOKUP'!$C$122:$M$150,4,FALSE)),"0")</f>
        <v>0</v>
      </c>
      <c r="CU74" s="192" t="str">
        <f>IF(AND($C74&lt;&gt;"",$L74&lt;&gt;""),(VLOOKUP($C74,'V-LOOKUP'!$C$122:$M$150,5,FALSE)),"0")</f>
        <v>0</v>
      </c>
      <c r="CV74" s="192" t="str">
        <f>IF(AND($C74&lt;&gt;"",$L74&lt;&gt;""),(VLOOKUP($C74,'V-LOOKUP'!$C$122:$M$150,6,FALSE)),"0")</f>
        <v>0</v>
      </c>
      <c r="CW74" s="192" t="str">
        <f>IF(AND($C74&lt;&gt;"",$L74&lt;&gt;""),(VLOOKUP($C74,'V-LOOKUP'!$C$122:$M$150,7,FALSE)),"0")</f>
        <v>0</v>
      </c>
      <c r="CX74" s="192" t="str">
        <f>IF(AND($C74&lt;&gt;"",$L74&lt;&gt;""),(VLOOKUP($C74,'V-LOOKUP'!$C$122:$M$150,8,FALSE)),"0")</f>
        <v>0</v>
      </c>
      <c r="CY74" s="192" t="str">
        <f>IF(AND($C74&lt;&gt;"",$L74&lt;&gt;""),(VLOOKUP($C74,'V-LOOKUP'!$C$122:$M$150,9,FALSE)),"0")</f>
        <v>0</v>
      </c>
      <c r="CZ74" s="192" t="str">
        <f>IF(AND($C74&lt;&gt;"",$L74&lt;&gt;""),(VLOOKUP($C74,'V-LOOKUP'!$C$122:$M$150,10,FALSE)),"0")</f>
        <v>0</v>
      </c>
      <c r="DA74" s="192" t="str">
        <f>IF(AND($C74&lt;&gt;"",$L74&lt;&gt;""),(VLOOKUP($C74,'V-LOOKUP'!$C$122:$M$150,11,FALSE)),"0")</f>
        <v>0</v>
      </c>
      <c r="DB74" s="192" t="str">
        <f>IF(AND($C74&lt;&gt;"",$D74&lt;&gt;""),(VLOOKUP($C74,'V-LOOKUP'!$C$122:$N$150,12,FALSE)),"0")</f>
        <v>0</v>
      </c>
      <c r="DC74" s="192" t="str">
        <f>IF(AND($C74&lt;&gt;"",$M74&lt;&gt;""),(VLOOKUP($C74,'V-LOOKUP'!$C$122:$M$150,4,FALSE)),"0")</f>
        <v>0</v>
      </c>
      <c r="DD74" s="192" t="str">
        <f>IF(AND($C74&lt;&gt;"",$M74&lt;&gt;""),(VLOOKUP($C74,'V-LOOKUP'!$C$122:$M$150,5,FALSE)),"0")</f>
        <v>0</v>
      </c>
      <c r="DE74" s="192" t="str">
        <f>IF(AND($C74&lt;&gt;"",$M74&lt;&gt;""),(VLOOKUP($C74,'V-LOOKUP'!$C$122:$M$150,6,FALSE)),"0")</f>
        <v>0</v>
      </c>
      <c r="DF74" s="192" t="str">
        <f>IF(AND($C74&lt;&gt;"",$M74&lt;&gt;""),(VLOOKUP($C74,'V-LOOKUP'!$C$122:$M$150,7,FALSE)),"0")</f>
        <v>0</v>
      </c>
      <c r="DG74" s="192" t="str">
        <f>IF(AND($C74&lt;&gt;"",$M74&lt;&gt;""),(VLOOKUP($C74,'V-LOOKUP'!$C$122:$M$150,8,FALSE)),"0")</f>
        <v>0</v>
      </c>
      <c r="DH74" s="192" t="str">
        <f>IF(AND($C74&lt;&gt;"",$M74&lt;&gt;""),(VLOOKUP($C74,'V-LOOKUP'!$C$122:$M$150,9,FALSE)),"0")</f>
        <v>0</v>
      </c>
      <c r="DI74" s="192" t="str">
        <f>IF(AND($C74&lt;&gt;"",$M74&lt;&gt;""),(VLOOKUP($C74,'V-LOOKUP'!$C$122:$M$150,10,FALSE)),"0")</f>
        <v>0</v>
      </c>
      <c r="DJ74" s="192" t="str">
        <f>IF(AND($C74&lt;&gt;"",$M74&lt;&gt;""),(VLOOKUP($C74,'V-LOOKUP'!$C$122:$M$150,11,FALSE)),"0")</f>
        <v>0</v>
      </c>
      <c r="DK74" s="192" t="str">
        <f>IF(AND($C74&lt;&gt;"",$D74&lt;&gt;""),(VLOOKUP($C74,'V-LOOKUP'!$C$122:$N$150,12,FALSE)),"0")</f>
        <v>0</v>
      </c>
      <c r="DL74" s="192" t="str">
        <f>IF(AND($C74&lt;&gt;"",$N74&lt;&gt;""),(VLOOKUP($C74,'V-LOOKUP'!$C$122:$M$150,4,FALSE)),"0")</f>
        <v>0</v>
      </c>
      <c r="DM74" s="192" t="str">
        <f>IF(AND($C74&lt;&gt;"",$N74&lt;&gt;""),(VLOOKUP($C74,'V-LOOKUP'!$C$122:$M$150,5,FALSE)),"0")</f>
        <v>0</v>
      </c>
      <c r="DN74" s="192" t="str">
        <f>IF(AND($C74&lt;&gt;"",$N74&lt;&gt;""),(VLOOKUP($C74,'V-LOOKUP'!$C$122:$M$150,6,FALSE)),"0")</f>
        <v>0</v>
      </c>
      <c r="DO74" s="192" t="str">
        <f>IF(AND($C74&lt;&gt;"",$N74&lt;&gt;""),(VLOOKUP($C74,'V-LOOKUP'!$C$122:$M$150,7,FALSE)),"0")</f>
        <v>0</v>
      </c>
      <c r="DP74" s="192" t="str">
        <f>IF(AND($C74&lt;&gt;"",$N74&lt;&gt;""),(VLOOKUP($C74,'V-LOOKUP'!$C$122:$M$150,8,FALSE)),"0")</f>
        <v>0</v>
      </c>
      <c r="DQ74" s="192" t="str">
        <f>IF(AND($C74&lt;&gt;"",$N74&lt;&gt;""),(VLOOKUP($C74,'V-LOOKUP'!$C$122:$M$150,9,FALSE)),"0")</f>
        <v>0</v>
      </c>
      <c r="DR74" s="192" t="str">
        <f>IF(AND($C74&lt;&gt;"",$N74&lt;&gt;""),(VLOOKUP($C74,'V-LOOKUP'!$C$122:$M$150,10,FALSE)),"0")</f>
        <v>0</v>
      </c>
      <c r="DS74" s="192" t="str">
        <f>IF(AND($C74&lt;&gt;"",$N74&lt;&gt;""),(VLOOKUP($C74,'V-LOOKUP'!$C$122:$M$150,11,FALSE)),"0")</f>
        <v>0</v>
      </c>
      <c r="DT74" s="192" t="str">
        <f>IF(AND($C74&lt;&gt;"",$D74&lt;&gt;""),(VLOOKUP($C74,'V-LOOKUP'!$C$122:$N$150,12,FALSE)),"0")</f>
        <v>0</v>
      </c>
      <c r="DU74" s="192" t="str">
        <f>IF(AND($C74&lt;&gt;"",$O74&lt;&gt;""),(VLOOKUP($C74,'V-LOOKUP'!$C$122:$M$150,4,FALSE)),"0")</f>
        <v>0</v>
      </c>
      <c r="DV74" s="192" t="str">
        <f>IF(AND($C74&lt;&gt;"",$O74&lt;&gt;""),(VLOOKUP($C74,'V-LOOKUP'!$C$122:$M$150,5,FALSE)),"0")</f>
        <v>0</v>
      </c>
      <c r="DW74" s="192" t="str">
        <f>IF(AND($C74&lt;&gt;"",$O74&lt;&gt;""),(VLOOKUP($C74,'V-LOOKUP'!$C$122:$M$150,6,FALSE)),"0")</f>
        <v>0</v>
      </c>
      <c r="DX74" s="192" t="str">
        <f>IF(AND($C74&lt;&gt;"",$O74&lt;&gt;""),(VLOOKUP($C74,'V-LOOKUP'!$C$122:$M$150,7,FALSE)),"0")</f>
        <v>0</v>
      </c>
      <c r="DY74" s="192" t="str">
        <f>IF(AND($C74&lt;&gt;"",$O74&lt;&gt;""),(VLOOKUP($C74,'V-LOOKUP'!$C$122:$M$150,8,FALSE)),"0")</f>
        <v>0</v>
      </c>
      <c r="DZ74" s="192" t="str">
        <f>IF(AND($C74&lt;&gt;"",$O74&lt;&gt;""),(VLOOKUP($C74,'V-LOOKUP'!$C$122:$M$150,9,FALSE)),"0")</f>
        <v>0</v>
      </c>
      <c r="EA74" s="192" t="str">
        <f>IF(AND($C74&lt;&gt;"",$O74&lt;&gt;""),(VLOOKUP($C74,'V-LOOKUP'!$C$122:$M$150,10,FALSE)),"0")</f>
        <v>0</v>
      </c>
      <c r="EB74" s="192" t="str">
        <f>IF(AND($C74&lt;&gt;"",$O74&lt;&gt;""),(VLOOKUP($C74,'V-LOOKUP'!$C$122:$M$150,11,FALSE)),"0")</f>
        <v>0</v>
      </c>
      <c r="EC74" s="192" t="str">
        <f>IF(AND($C74&lt;&gt;"",$D74&lt;&gt;""),(VLOOKUP($C74,'V-LOOKUP'!$C$122:$N$150,12,FALSE)),"0")</f>
        <v>0</v>
      </c>
      <c r="ED74" s="192" t="str">
        <f>IF(AND($C74&lt;&gt;"",$P74&lt;&gt;""),(VLOOKUP($C74,'V-LOOKUP'!$C$122:$M$150,4,FALSE)),"0")</f>
        <v>0</v>
      </c>
      <c r="EE74" s="192" t="str">
        <f>IF(AND($C74&lt;&gt;"",$P74&lt;&gt;""),(VLOOKUP($C74,'V-LOOKUP'!$C$122:$M$150,5,FALSE)),"0")</f>
        <v>0</v>
      </c>
      <c r="EF74" s="192" t="str">
        <f>IF(AND($C74&lt;&gt;"",$P74&lt;&gt;""),(VLOOKUP($C74,'V-LOOKUP'!$C$122:$M$150,6,FALSE)),"0")</f>
        <v>0</v>
      </c>
      <c r="EG74" s="192" t="str">
        <f>IF(AND($C74&lt;&gt;"",$P74&lt;&gt;""),(VLOOKUP($C74,'V-LOOKUP'!$C$122:$M$150,7,FALSE)),"0")</f>
        <v>0</v>
      </c>
      <c r="EH74" s="192" t="str">
        <f>IF(AND($C74&lt;&gt;"",$P74&lt;&gt;""),(VLOOKUP($C74,'V-LOOKUP'!$C$122:$M$150,8,FALSE)),"0")</f>
        <v>0</v>
      </c>
      <c r="EI74" s="192" t="str">
        <f>IF(AND($C74&lt;&gt;"",$P74&lt;&gt;""),(VLOOKUP($C74,'V-LOOKUP'!$C$122:$M$150,9,FALSE)),"0")</f>
        <v>0</v>
      </c>
      <c r="EJ74" s="192" t="str">
        <f>IF(AND($C74&lt;&gt;"",$P74&lt;&gt;""),(VLOOKUP($C74,'V-LOOKUP'!$C$122:$M$150,10,FALSE)),"0")</f>
        <v>0</v>
      </c>
      <c r="EK74" s="192" t="str">
        <f>IF(AND($C74&lt;&gt;"",$P74&lt;&gt;""),(VLOOKUP($C74,'V-LOOKUP'!$C$122:$M$150,11,FALSE)),"0")</f>
        <v>0</v>
      </c>
      <c r="EL74" s="192" t="str">
        <f>IF(AND($C74&lt;&gt;"",$D74&lt;&gt;""),(VLOOKUP($C74,'V-LOOKUP'!$C$122:$N$150,12,FALSE)),"0")</f>
        <v>0</v>
      </c>
      <c r="EM74" s="192" t="str">
        <f>IF(AND($C74&lt;&gt;"",$Q74&lt;&gt;""),(VLOOKUP($C74,'V-LOOKUP'!$C$122:$M$150,4,FALSE)),"0")</f>
        <v>0</v>
      </c>
      <c r="EN74" s="192" t="str">
        <f>IF(AND($C74&lt;&gt;"",$Q74&lt;&gt;""),(VLOOKUP($C74,'V-LOOKUP'!$C$122:$M$150,5,FALSE)),"0")</f>
        <v>0</v>
      </c>
      <c r="EO74" s="192" t="str">
        <f>IF(AND($C74&lt;&gt;"",$Q74&lt;&gt;""),(VLOOKUP($C74,'V-LOOKUP'!$C$122:$M$150,6,FALSE)),"0")</f>
        <v>0</v>
      </c>
      <c r="EP74" s="192" t="str">
        <f>IF(AND($C74&lt;&gt;"",$Q74&lt;&gt;""),(VLOOKUP($C74,'V-LOOKUP'!$C$122:$M$150,7,FALSE)),"0")</f>
        <v>0</v>
      </c>
      <c r="EQ74" s="192" t="str">
        <f>IF(AND($C74&lt;&gt;"",$Q74&lt;&gt;""),(VLOOKUP($C74,'V-LOOKUP'!$C$122:$M$150,8,FALSE)),"0")</f>
        <v>0</v>
      </c>
      <c r="ER74" s="192" t="str">
        <f>IF(AND($C74&lt;&gt;"",$Q74&lt;&gt;""),(VLOOKUP($C74,'V-LOOKUP'!$C$122:$M$150,9,FALSE)),"0")</f>
        <v>0</v>
      </c>
      <c r="ES74" s="192" t="str">
        <f>IF(AND($C74&lt;&gt;"",$Q74&lt;&gt;""),(VLOOKUP($C74,'V-LOOKUP'!$C$122:$M$150,10,FALSE)),"0")</f>
        <v>0</v>
      </c>
      <c r="ET74" s="192" t="str">
        <f>IF(AND($C74&lt;&gt;"",$Q74&lt;&gt;""),(VLOOKUP($C74,'V-LOOKUP'!$C$122:$M$150,11,FALSE)),"0")</f>
        <v>0</v>
      </c>
      <c r="EU74" s="192" t="str">
        <f>IF(AND($C74&lt;&gt;"",$D74&lt;&gt;""),(VLOOKUP($C74,'V-LOOKUP'!$C$122:$N$150,12,FALSE)),"0")</f>
        <v>0</v>
      </c>
      <c r="EV74" s="192" t="str">
        <f>IF(AND($C74&lt;&gt;"",$R74&lt;&gt;""),(VLOOKUP($C74,'V-LOOKUP'!$C$122:$M$150,4,FALSE)),"0")</f>
        <v>0</v>
      </c>
      <c r="EW74" s="192" t="str">
        <f>IF(AND($C74&lt;&gt;"",$R74&lt;&gt;""),(VLOOKUP($C74,'V-LOOKUP'!$C$122:$M$150,5,FALSE)),"0")</f>
        <v>0</v>
      </c>
      <c r="EX74" s="192" t="str">
        <f>IF(AND($C74&lt;&gt;"",$R74&lt;&gt;""),(VLOOKUP($C74,'V-LOOKUP'!$C$122:$M$150,6,FALSE)),"0")</f>
        <v>0</v>
      </c>
      <c r="EY74" s="192" t="str">
        <f>IF(AND($C74&lt;&gt;"",$R74&lt;&gt;""),(VLOOKUP($C74,'V-LOOKUP'!$C$122:$M$150,7,FALSE)),"0")</f>
        <v>0</v>
      </c>
      <c r="EZ74" s="192" t="str">
        <f>IF(AND($C74&lt;&gt;"",$R74&lt;&gt;""),(VLOOKUP($C74,'V-LOOKUP'!$C$122:$M$150,8,FALSE)),"0")</f>
        <v>0</v>
      </c>
      <c r="FA74" s="192" t="str">
        <f>IF(AND($C74&lt;&gt;"",$R74&lt;&gt;""),(VLOOKUP($C74,'V-LOOKUP'!$C$122:$M$150,9,FALSE)),"0")</f>
        <v>0</v>
      </c>
      <c r="FB74" s="192" t="str">
        <f>IF(AND($C74&lt;&gt;"",$R74&lt;&gt;""),(VLOOKUP($C74,'V-LOOKUP'!$C$122:$M$150,10,FALSE)),"0")</f>
        <v>0</v>
      </c>
      <c r="FC74" s="192" t="str">
        <f>IF(AND($C74&lt;&gt;"",$R74&lt;&gt;""),(VLOOKUP($C74,'V-LOOKUP'!$C$122:$M$150,11,FALSE)),"0")</f>
        <v>0</v>
      </c>
      <c r="FD74" s="192" t="str">
        <f>IF(AND($C74&lt;&gt;"",$D74&lt;&gt;""),(VLOOKUP($C74,'V-LOOKUP'!$C$122:$N$150,12,FALSE)),"0")</f>
        <v>0</v>
      </c>
      <c r="FE74" s="192" t="str">
        <f>IF(AND($C74&lt;&gt;"",$S74&lt;&gt;""),(VLOOKUP($C74,'V-LOOKUP'!$C$122:$M$150,4,FALSE)),"0")</f>
        <v>0</v>
      </c>
      <c r="FF74" s="192" t="str">
        <f>IF(AND($C74&lt;&gt;"",$S74&lt;&gt;""),(VLOOKUP($C74,'V-LOOKUP'!$C$122:$M$150,5,FALSE)),"0")</f>
        <v>0</v>
      </c>
      <c r="FG74" s="192" t="str">
        <f>IF(AND($C74&lt;&gt;"",$S74&lt;&gt;""),(VLOOKUP($C74,'V-LOOKUP'!$C$122:$M$150,6,FALSE)),"0")</f>
        <v>0</v>
      </c>
      <c r="FH74" s="192" t="str">
        <f>IF(AND($C74&lt;&gt;"",$S74&lt;&gt;""),(VLOOKUP($C74,'V-LOOKUP'!$C$122:$M$150,7,FALSE)),"0")</f>
        <v>0</v>
      </c>
      <c r="FI74" s="192" t="str">
        <f>IF(AND($C74&lt;&gt;"",$S74&lt;&gt;""),(VLOOKUP($C74,'V-LOOKUP'!$C$122:$M$150,8,FALSE)),"0")</f>
        <v>0</v>
      </c>
      <c r="FJ74" s="192" t="str">
        <f>IF(AND($C74&lt;&gt;"",$S74&lt;&gt;""),(VLOOKUP($C74,'V-LOOKUP'!$C$122:$M$150,9,FALSE)),"0")</f>
        <v>0</v>
      </c>
      <c r="FK74" s="192" t="str">
        <f>IF(AND($C74&lt;&gt;"",$S74&lt;&gt;""),(VLOOKUP($C74,'V-LOOKUP'!$C$122:$M$150,10,FALSE)),"0")</f>
        <v>0</v>
      </c>
      <c r="FL74" s="192" t="str">
        <f>IF(AND($C74&lt;&gt;"",$S74&lt;&gt;""),(VLOOKUP($C74,'V-LOOKUP'!$C$122:$M$150,11,FALSE)),"0")</f>
        <v>0</v>
      </c>
      <c r="FM74" s="192" t="str">
        <f>IF(AND($C74&lt;&gt;"",$D74&lt;&gt;""),(VLOOKUP($C74,'V-LOOKUP'!$C$122:$N$150,12,FALSE)),"0")</f>
        <v>0</v>
      </c>
      <c r="FN74" s="192" t="str">
        <f>IF(AND($C74&lt;&gt;"",$T74&lt;&gt;""),(VLOOKUP($C74,'V-LOOKUP'!$C$122:$M$150,4,FALSE)),"0")</f>
        <v>0</v>
      </c>
      <c r="FO74" s="192" t="str">
        <f>IF(AND($C74&lt;&gt;"",$T74&lt;&gt;""),(VLOOKUP($C74,'V-LOOKUP'!$C$122:$M$150,5,FALSE)),"0")</f>
        <v>0</v>
      </c>
      <c r="FP74" s="192" t="str">
        <f>IF(AND($C74&lt;&gt;"",$T74&lt;&gt;""),(VLOOKUP($C74,'V-LOOKUP'!$C$122:$M$150,6,FALSE)),"0")</f>
        <v>0</v>
      </c>
      <c r="FQ74" s="192" t="str">
        <f>IF(AND($C74&lt;&gt;"",$T74&lt;&gt;""),(VLOOKUP($C74,'V-LOOKUP'!$C$122:$M$150,7,FALSE)),"0")</f>
        <v>0</v>
      </c>
      <c r="FR74" s="192" t="str">
        <f>IF(AND($C74&lt;&gt;"",$T74&lt;&gt;""),(VLOOKUP($C74,'V-LOOKUP'!$C$122:$M$150,8,FALSE)),"0")</f>
        <v>0</v>
      </c>
      <c r="FS74" s="192" t="str">
        <f>IF(AND($C74&lt;&gt;"",$T74&lt;&gt;""),(VLOOKUP($C74,'V-LOOKUP'!$C$122:$M$150,9,FALSE)),"0")</f>
        <v>0</v>
      </c>
      <c r="FT74" s="192" t="str">
        <f>IF(AND($C74&lt;&gt;"",$T74&lt;&gt;""),(VLOOKUP($C74,'V-LOOKUP'!$C$122:$M$150,10,FALSE)),"0")</f>
        <v>0</v>
      </c>
      <c r="FU74" s="192" t="str">
        <f>IF(AND($C74&lt;&gt;"",$T74&lt;&gt;""),(VLOOKUP($C74,'V-LOOKUP'!$C$122:$M$150,11,FALSE)),"0")</f>
        <v>0</v>
      </c>
      <c r="FV74" s="192" t="str">
        <f>IF(AND($C74&lt;&gt;"",$D74&lt;&gt;""),(VLOOKUP($C74,'V-LOOKUP'!$C$122:$N$150,12,FALSE)),"0")</f>
        <v>0</v>
      </c>
      <c r="FW74" s="192" t="str">
        <f>IF(AND($C74&lt;&gt;"",$U74&lt;&gt;""),(VLOOKUP($C74,'V-LOOKUP'!$C$122:$M$150,4,FALSE)),"0")</f>
        <v>0</v>
      </c>
      <c r="FX74" s="192" t="str">
        <f>IF(AND($C74&lt;&gt;"",$U74&lt;&gt;""),(VLOOKUP($C74,'V-LOOKUP'!$C$122:$M$150,5,FALSE)),"0")</f>
        <v>0</v>
      </c>
      <c r="FY74" s="192" t="str">
        <f>IF(AND($C74&lt;&gt;"",$U74&lt;&gt;""),(VLOOKUP($C74,'V-LOOKUP'!$C$122:$M$150,6,FALSE)),"0")</f>
        <v>0</v>
      </c>
      <c r="FZ74" s="192" t="str">
        <f>IF(AND($C74&lt;&gt;"",$U74&lt;&gt;""),(VLOOKUP($C74,'V-LOOKUP'!$C$122:$M$150,7,FALSE)),"0")</f>
        <v>0</v>
      </c>
      <c r="GA74" s="192" t="str">
        <f>IF(AND($C74&lt;&gt;"",$U74&lt;&gt;""),(VLOOKUP($C74,'V-LOOKUP'!$C$122:$M$150,8,FALSE)),"0")</f>
        <v>0</v>
      </c>
      <c r="GB74" s="192" t="str">
        <f>IF(AND($C74&lt;&gt;"",$U74&lt;&gt;""),(VLOOKUP($C74,'V-LOOKUP'!$C$122:$M$150,9,FALSE)),"0")</f>
        <v>0</v>
      </c>
      <c r="GC74" s="192" t="str">
        <f>IF(AND($C74&lt;&gt;"",$U74&lt;&gt;""),(VLOOKUP($C74,'V-LOOKUP'!$C$122:$M$150,10,FALSE)),"0")</f>
        <v>0</v>
      </c>
      <c r="GD74" s="192" t="str">
        <f>IF(AND($C74&lt;&gt;"",$U74&lt;&gt;""),(VLOOKUP($C74,'V-LOOKUP'!$C$122:$M$150,11,FALSE)),"0")</f>
        <v>0</v>
      </c>
      <c r="GE74" s="192" t="str">
        <f>IF(AND($C74&lt;&gt;"",$D74&lt;&gt;""),(VLOOKUP($C74,'V-LOOKUP'!$C$122:$N$150,12,FALSE)),"0")</f>
        <v>0</v>
      </c>
      <c r="GF74" s="192" t="str">
        <f>IF(AND($C74&lt;&gt;"",$V74&lt;&gt;""),(VLOOKUP($C74,'V-LOOKUP'!$C$122:$M$150,4,FALSE)),"0")</f>
        <v>0</v>
      </c>
      <c r="GG74" s="192" t="str">
        <f>IF(AND($C74&lt;&gt;"",$V74&lt;&gt;""),(VLOOKUP($C74,'V-LOOKUP'!$C$122:$M$150,5,FALSE)),"0")</f>
        <v>0</v>
      </c>
      <c r="GH74" s="192" t="str">
        <f>IF(AND($C74&lt;&gt;"",$V74&lt;&gt;""),(VLOOKUP($C74,'V-LOOKUP'!$C$122:$M$150,6,FALSE)),"0")</f>
        <v>0</v>
      </c>
      <c r="GI74" s="192" t="str">
        <f>IF(AND($C74&lt;&gt;"",$V74&lt;&gt;""),(VLOOKUP($C74,'V-LOOKUP'!$C$122:$M$150,7,FALSE)),"0")</f>
        <v>0</v>
      </c>
      <c r="GJ74" s="192" t="str">
        <f>IF(AND($C74&lt;&gt;"",$V74&lt;&gt;""),(VLOOKUP($C74,'V-LOOKUP'!$C$122:$M$150,8,FALSE)),"0")</f>
        <v>0</v>
      </c>
      <c r="GK74" s="192" t="str">
        <f>IF(AND($C74&lt;&gt;"",$V74&lt;&gt;""),(VLOOKUP($C74,'V-LOOKUP'!$C$122:$M$150,9,FALSE)),"0")</f>
        <v>0</v>
      </c>
      <c r="GL74" s="192" t="str">
        <f>IF(AND($C74&lt;&gt;"",$V74&lt;&gt;""),(VLOOKUP($C74,'V-LOOKUP'!$C$122:$M$150,10,FALSE)),"0")</f>
        <v>0</v>
      </c>
      <c r="GM74" s="192" t="str">
        <f>IF(AND($C74&lt;&gt;"",$V74&lt;&gt;""),(VLOOKUP($C74,'V-LOOKUP'!$C$122:$M$150,11,FALSE)),"0")</f>
        <v>0</v>
      </c>
      <c r="GN74" s="192" t="str">
        <f>IF(AND($C74&lt;&gt;"",$D74&lt;&gt;""),(VLOOKUP($C74,'V-LOOKUP'!$C$122:$N$150,12,FALSE)),"0")</f>
        <v>0</v>
      </c>
      <c r="GO74" s="192" t="str">
        <f>IF(AND($C74&lt;&gt;"",$W74&lt;&gt;""),(VLOOKUP($C74,'V-LOOKUP'!$C$122:$M$150,4,FALSE)),"0")</f>
        <v>0</v>
      </c>
      <c r="GP74" s="192" t="str">
        <f>IF(AND($C74&lt;&gt;"",$W74&lt;&gt;""),(VLOOKUP($C74,'V-LOOKUP'!$C$122:$M$150,5,FALSE)),"0")</f>
        <v>0</v>
      </c>
      <c r="GQ74" s="192" t="str">
        <f>IF(AND($C74&lt;&gt;"",$W74&lt;&gt;""),(VLOOKUP($C74,'V-LOOKUP'!$C$122:$M$150,6,FALSE)),"0")</f>
        <v>0</v>
      </c>
      <c r="GR74" s="192" t="str">
        <f>IF(AND($C74&lt;&gt;"",$W74&lt;&gt;""),(VLOOKUP($C74,'V-LOOKUP'!$C$122:$M$150,7,FALSE)),"0")</f>
        <v>0</v>
      </c>
      <c r="GS74" s="192" t="str">
        <f>IF(AND($C74&lt;&gt;"",$W74&lt;&gt;""),(VLOOKUP($C74,'V-LOOKUP'!$C$122:$M$150,8,FALSE)),"0")</f>
        <v>0</v>
      </c>
      <c r="GT74" s="192" t="str">
        <f>IF(AND($C74&lt;&gt;"",$W74&lt;&gt;""),(VLOOKUP($C74,'V-LOOKUP'!$C$122:$M$150,9,FALSE)),"0")</f>
        <v>0</v>
      </c>
      <c r="GU74" s="192" t="str">
        <f>IF(AND($C74&lt;&gt;"",$W74&lt;&gt;""),(VLOOKUP($C74,'V-LOOKUP'!$C$122:$M$150,10,FALSE)),"0")</f>
        <v>0</v>
      </c>
      <c r="GV74" s="192" t="str">
        <f>IF(AND($C74&lt;&gt;"",$W74&lt;&gt;""),(VLOOKUP($C74,'V-LOOKUP'!$C$122:$M$150,11,FALSE)),"0")</f>
        <v>0</v>
      </c>
      <c r="GW74" s="192" t="str">
        <f>IF(AND($C74&lt;&gt;"",$D74&lt;&gt;""),(VLOOKUP($C74,'V-LOOKUP'!$C$122:$N$150,12,FALSE)),"0")</f>
        <v>0</v>
      </c>
    </row>
    <row r="75" spans="1:205" ht="14.65" customHeight="1">
      <c r="B75" s="245"/>
      <c r="C75" s="203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Y75" s="190"/>
      <c r="Z75" s="192" t="str">
        <f>IF(AND($C75&lt;&gt;"",$D75&lt;&gt;""),(VLOOKUP($C75,'V-LOOKUP'!$C$122:$M$150,4,FALSE)),"0")</f>
        <v>0</v>
      </c>
      <c r="AA75" s="192" t="str">
        <f>IF(AND($C75&lt;&gt;"",$D75&lt;&gt;""),(VLOOKUP($C75,'V-LOOKUP'!$C$122:$M$150,5,FALSE)),"0")</f>
        <v>0</v>
      </c>
      <c r="AB75" s="192" t="str">
        <f>IF(AND($C75&lt;&gt;"",$D75&lt;&gt;""),(VLOOKUP($C75,'V-LOOKUP'!$C$122:$M$150,6,FALSE)),"0")</f>
        <v>0</v>
      </c>
      <c r="AC75" s="192" t="str">
        <f>IF(AND($C75&lt;&gt;"",$D75&lt;&gt;""),(VLOOKUP($C75,'V-LOOKUP'!$C$122:$M$150,7,FALSE)),"0")</f>
        <v>0</v>
      </c>
      <c r="AD75" s="192" t="str">
        <f>IF(AND($C75&lt;&gt;"",$D75&lt;&gt;""),(VLOOKUP($C75,'V-LOOKUP'!$C$122:$M$150,8,FALSE)),"0")</f>
        <v>0</v>
      </c>
      <c r="AE75" s="192" t="str">
        <f>IF(AND($C75&lt;&gt;"",$D75&lt;&gt;""),(VLOOKUP($C75,'V-LOOKUP'!$C$122:$M$150,9,FALSE)),"0")</f>
        <v>0</v>
      </c>
      <c r="AF75" s="192" t="str">
        <f>IF(AND($C75&lt;&gt;"",$D75&lt;&gt;""),(VLOOKUP($C75,'V-LOOKUP'!$C$122:$M$150,10,FALSE)),"0")</f>
        <v>0</v>
      </c>
      <c r="AG75" s="192" t="str">
        <f>IF(AND($C75&lt;&gt;"",$D75&lt;&gt;""),(VLOOKUP($C75,'V-LOOKUP'!$C$122:$M$150,11,FALSE)),"0")</f>
        <v>0</v>
      </c>
      <c r="AH75" s="192" t="str">
        <f>IF(AND($C75&lt;&gt;"",$D75&lt;&gt;""),(VLOOKUP($C75,'V-LOOKUP'!$C$122:$N$150,12,FALSE)),"0")</f>
        <v>0</v>
      </c>
      <c r="AI75" s="192" t="str">
        <f>IF(AND($C75&lt;&gt;"",$E75&lt;&gt;""),(VLOOKUP($C75,'V-LOOKUP'!$C$122:$M$150,4,FALSE)),"0")</f>
        <v>0</v>
      </c>
      <c r="AJ75" s="192" t="str">
        <f>IF(AND($C75&lt;&gt;"",$E75&lt;&gt;""),(VLOOKUP($C75,'V-LOOKUP'!$C$122:$M$150,5,FALSE)),"0")</f>
        <v>0</v>
      </c>
      <c r="AK75" s="192" t="str">
        <f>IF(AND($C75&lt;&gt;"",$E75&lt;&gt;""),(VLOOKUP($C75,'V-LOOKUP'!$C$122:$M$150,6,FALSE)),"0")</f>
        <v>0</v>
      </c>
      <c r="AL75" s="192" t="str">
        <f>IF(AND($C75&lt;&gt;"",$E75&lt;&gt;""),(VLOOKUP($C75,'V-LOOKUP'!$C$122:$M$150,7,FALSE)),"0")</f>
        <v>0</v>
      </c>
      <c r="AM75" s="192" t="str">
        <f>IF(AND($C75&lt;&gt;"",$E75&lt;&gt;""),(VLOOKUP($C75,'V-LOOKUP'!$C$122:$M$150,8,FALSE)),"0")</f>
        <v>0</v>
      </c>
      <c r="AN75" s="192" t="str">
        <f>IF(AND($C75&lt;&gt;"",$E75&lt;&gt;""),(VLOOKUP($C75,'V-LOOKUP'!$C$122:$M$150,9,FALSE)),"0")</f>
        <v>0</v>
      </c>
      <c r="AO75" s="192" t="str">
        <f>IF(AND($C75&lt;&gt;"",$E75&lt;&gt;""),(VLOOKUP($C75,'V-LOOKUP'!$C$122:$M$150,10,FALSE)),"0")</f>
        <v>0</v>
      </c>
      <c r="AP75" s="192" t="str">
        <f>IF(AND($C75&lt;&gt;"",$E75&lt;&gt;""),(VLOOKUP($C75,'V-LOOKUP'!$C$122:$M$150,11,FALSE)),"0")</f>
        <v>0</v>
      </c>
      <c r="AQ75" s="192" t="str">
        <f>IF(AND($C75&lt;&gt;"",$D75&lt;&gt;""),(VLOOKUP($C75,'V-LOOKUP'!$C$122:$N$150,12,FALSE)),"0")</f>
        <v>0</v>
      </c>
      <c r="AR75" s="192" t="str">
        <f>IF(AND($C75&lt;&gt;"",$F75&lt;&gt;""),(VLOOKUP($C75,'V-LOOKUP'!$C$122:$M$150,4,FALSE)),"0")</f>
        <v>0</v>
      </c>
      <c r="AS75" s="192" t="str">
        <f>IF(AND($C75&lt;&gt;"",$F75&lt;&gt;""),(VLOOKUP($C75,'V-LOOKUP'!$C$122:$M$150,5,FALSE)),"0")</f>
        <v>0</v>
      </c>
      <c r="AT75" s="192" t="str">
        <f>IF(AND($C75&lt;&gt;"",$F75&lt;&gt;""),(VLOOKUP($C75,'V-LOOKUP'!$C$122:$M$150,6,FALSE)),"0")</f>
        <v>0</v>
      </c>
      <c r="AU75" s="192" t="str">
        <f>IF(AND($C75&lt;&gt;"",$F75&lt;&gt;""),(VLOOKUP($C75,'V-LOOKUP'!$C$122:$M$150,7,FALSE)),"0")</f>
        <v>0</v>
      </c>
      <c r="AV75" s="192" t="str">
        <f>IF(AND($C75&lt;&gt;"",$F75&lt;&gt;""),(VLOOKUP($C75,'V-LOOKUP'!$C$122:$M$150,8,FALSE)),"0")</f>
        <v>0</v>
      </c>
      <c r="AW75" s="192" t="str">
        <f>IF(AND($C75&lt;&gt;"",$F75&lt;&gt;""),(VLOOKUP($C75,'V-LOOKUP'!$C$122:$M$150,9,FALSE)),"0")</f>
        <v>0</v>
      </c>
      <c r="AX75" s="192" t="str">
        <f>IF(AND($C75&lt;&gt;"",$F75&lt;&gt;""),(VLOOKUP($C75,'V-LOOKUP'!$C$122:$M$150,10,FALSE)),"0")</f>
        <v>0</v>
      </c>
      <c r="AY75" s="192" t="str">
        <f>IF(AND($C75&lt;&gt;"",$F75&lt;&gt;""),(VLOOKUP($C75,'V-LOOKUP'!$C$122:$M$150,11,FALSE)),"0")</f>
        <v>0</v>
      </c>
      <c r="AZ75" s="192" t="str">
        <f>IF(AND($C75&lt;&gt;"",$D75&lt;&gt;""),(VLOOKUP($C75,'V-LOOKUP'!$C$122:$N$150,12,FALSE)),"0")</f>
        <v>0</v>
      </c>
      <c r="BA75" s="192" t="str">
        <f>IF(AND($C75&lt;&gt;"",$G75&lt;&gt;""),(VLOOKUP($C75,'V-LOOKUP'!$C$122:$M$150,4,FALSE)),"0")</f>
        <v>0</v>
      </c>
      <c r="BB75" s="192" t="str">
        <f>IF(AND($C75&lt;&gt;"",$G75&lt;&gt;""),(VLOOKUP($C75,'V-LOOKUP'!$C$122:$M$150,5,FALSE)),"0")</f>
        <v>0</v>
      </c>
      <c r="BC75" s="192" t="str">
        <f>IF(AND($C75&lt;&gt;"",$G75&lt;&gt;""),(VLOOKUP($C75,'V-LOOKUP'!$C$122:$M$150,6,FALSE)),"0")</f>
        <v>0</v>
      </c>
      <c r="BD75" s="192" t="str">
        <f>IF(AND($C75&lt;&gt;"",$G75&lt;&gt;""),(VLOOKUP($C75,'V-LOOKUP'!$C$122:$M$150,7,FALSE)),"0")</f>
        <v>0</v>
      </c>
      <c r="BE75" s="192" t="str">
        <f>IF(AND($C75&lt;&gt;"",$G75&lt;&gt;""),(VLOOKUP($C75,'V-LOOKUP'!$C$122:$M$150,8,FALSE)),"0")</f>
        <v>0</v>
      </c>
      <c r="BF75" s="192" t="str">
        <f>IF(AND($C75&lt;&gt;"",$G75&lt;&gt;""),(VLOOKUP($C75,'V-LOOKUP'!$C$122:$M$150,9,FALSE)),"0")</f>
        <v>0</v>
      </c>
      <c r="BG75" s="192" t="str">
        <f>IF(AND($C75&lt;&gt;"",$G75&lt;&gt;""),(VLOOKUP($C75,'V-LOOKUP'!$C$122:$M$150,10,FALSE)),"0")</f>
        <v>0</v>
      </c>
      <c r="BH75" s="192" t="str">
        <f>IF(AND($C75&lt;&gt;"",$G75&lt;&gt;""),(VLOOKUP($C75,'V-LOOKUP'!$C$122:$M$150,11,FALSE)),"0")</f>
        <v>0</v>
      </c>
      <c r="BI75" s="192" t="str">
        <f>IF(AND($C75&lt;&gt;"",$D75&lt;&gt;""),(VLOOKUP($C75,'V-LOOKUP'!$C$122:$N$150,12,FALSE)),"0")</f>
        <v>0</v>
      </c>
      <c r="BJ75" s="192" t="str">
        <f>IF(AND($C75&lt;&gt;"",$H75&lt;&gt;""),(VLOOKUP($C75,'V-LOOKUP'!$C$122:$M$150,4,FALSE)),"0")</f>
        <v>0</v>
      </c>
      <c r="BK75" s="192" t="str">
        <f>IF(AND($C75&lt;&gt;"",$H75&lt;&gt;""),(VLOOKUP($C75,'V-LOOKUP'!$C$122:$M$150,5,FALSE)),"0")</f>
        <v>0</v>
      </c>
      <c r="BL75" s="192" t="str">
        <f>IF(AND($C75&lt;&gt;"",$H75&lt;&gt;""),(VLOOKUP($C75,'V-LOOKUP'!$C$122:$M$150,6,FALSE)),"0")</f>
        <v>0</v>
      </c>
      <c r="BM75" s="192" t="str">
        <f>IF(AND($C75&lt;&gt;"",$H75&lt;&gt;""),(VLOOKUP($C75,'V-LOOKUP'!$C$122:$M$150,7,FALSE)),"0")</f>
        <v>0</v>
      </c>
      <c r="BN75" s="192" t="str">
        <f>IF(AND($C75&lt;&gt;"",$H75&lt;&gt;""),(VLOOKUP($C75,'V-LOOKUP'!$C$122:$M$150,8,FALSE)),"0")</f>
        <v>0</v>
      </c>
      <c r="BO75" s="192" t="str">
        <f>IF(AND($C75&lt;&gt;"",$H75&lt;&gt;""),(VLOOKUP($C75,'V-LOOKUP'!$C$122:$M$150,9,FALSE)),"0")</f>
        <v>0</v>
      </c>
      <c r="BP75" s="192" t="str">
        <f>IF(AND($C75&lt;&gt;"",$H75&lt;&gt;""),(VLOOKUP($C75,'V-LOOKUP'!$C$122:$M$150,10,FALSE)),"0")</f>
        <v>0</v>
      </c>
      <c r="BQ75" s="192" t="str">
        <f>IF(AND($C75&lt;&gt;"",$H75&lt;&gt;""),(VLOOKUP($C75,'V-LOOKUP'!$C$122:$M$150,11,FALSE)),"0")</f>
        <v>0</v>
      </c>
      <c r="BR75" s="192" t="str">
        <f>IF(AND($C75&lt;&gt;"",$D75&lt;&gt;""),(VLOOKUP($C75,'V-LOOKUP'!$C$122:$N$150,12,FALSE)),"0")</f>
        <v>0</v>
      </c>
      <c r="BS75" s="192" t="str">
        <f>IF(AND($C75&lt;&gt;"",$I75&lt;&gt;""),(VLOOKUP($C75,'V-LOOKUP'!$C$122:$M$150,4,FALSE)),"0")</f>
        <v>0</v>
      </c>
      <c r="BT75" s="192" t="str">
        <f>IF(AND($C75&lt;&gt;"",$I75&lt;&gt;""),(VLOOKUP($C75,'V-LOOKUP'!$C$122:$M$150,5,FALSE)),"0")</f>
        <v>0</v>
      </c>
      <c r="BU75" s="192" t="str">
        <f>IF(AND($C75&lt;&gt;"",$I75&lt;&gt;""),(VLOOKUP($C75,'V-LOOKUP'!$C$122:$M$150,6,FALSE)),"0")</f>
        <v>0</v>
      </c>
      <c r="BV75" s="192" t="str">
        <f>IF(AND($C75&lt;&gt;"",$I75&lt;&gt;""),(VLOOKUP($C75,'V-LOOKUP'!$C$122:$M$150,7,FALSE)),"0")</f>
        <v>0</v>
      </c>
      <c r="BW75" s="192" t="str">
        <f>IF(AND($C75&lt;&gt;"",$I75&lt;&gt;""),(VLOOKUP($C75,'V-LOOKUP'!$C$122:$M$150,8,FALSE)),"0")</f>
        <v>0</v>
      </c>
      <c r="BX75" s="192" t="str">
        <f>IF(AND($C75&lt;&gt;"",$I75&lt;&gt;""),(VLOOKUP($C75,'V-LOOKUP'!$C$122:$M$150,9,FALSE)),"0")</f>
        <v>0</v>
      </c>
      <c r="BY75" s="192" t="str">
        <f>IF(AND($C75&lt;&gt;"",$I75&lt;&gt;""),(VLOOKUP($C75,'V-LOOKUP'!$C$122:$M$150,10,FALSE)),"0")</f>
        <v>0</v>
      </c>
      <c r="BZ75" s="192" t="str">
        <f>IF(AND($C75&lt;&gt;"",$I75&lt;&gt;""),(VLOOKUP($C75,'V-LOOKUP'!$C$122:$M$150,11,FALSE)),"0")</f>
        <v>0</v>
      </c>
      <c r="CA75" s="192" t="str">
        <f>IF(AND($C75&lt;&gt;"",$D75&lt;&gt;""),(VLOOKUP($C75,'V-LOOKUP'!$C$122:$N$150,12,FALSE)),"0")</f>
        <v>0</v>
      </c>
      <c r="CB75" s="192" t="str">
        <f>IF(AND($C75&lt;&gt;"",$J75&lt;&gt;""),(VLOOKUP($C75,'V-LOOKUP'!$C$122:$M$150,4,FALSE)),"0")</f>
        <v>0</v>
      </c>
      <c r="CC75" s="192" t="str">
        <f>IF(AND($C75&lt;&gt;"",$J75&lt;&gt;""),(VLOOKUP($C75,'V-LOOKUP'!$C$122:$M$150,5,FALSE)),"0")</f>
        <v>0</v>
      </c>
      <c r="CD75" s="192" t="str">
        <f>IF(AND($C75&lt;&gt;"",$J75&lt;&gt;""),(VLOOKUP($C75,'V-LOOKUP'!$C$122:$M$150,6,FALSE)),"0")</f>
        <v>0</v>
      </c>
      <c r="CE75" s="192" t="str">
        <f>IF(AND($C75&lt;&gt;"",$J75&lt;&gt;""),(VLOOKUP($C75,'V-LOOKUP'!$C$122:$M$150,7,FALSE)),"0")</f>
        <v>0</v>
      </c>
      <c r="CF75" s="192" t="str">
        <f>IF(AND($C75&lt;&gt;"",$J75&lt;&gt;""),(VLOOKUP($C75,'V-LOOKUP'!$C$122:$M$150,8,FALSE)),"0")</f>
        <v>0</v>
      </c>
      <c r="CG75" s="192" t="str">
        <f>IF(AND($C75&lt;&gt;"",$J75&lt;&gt;""),(VLOOKUP($C75,'V-LOOKUP'!$C$122:$M$150,9,FALSE)),"0")</f>
        <v>0</v>
      </c>
      <c r="CH75" s="192" t="str">
        <f>IF(AND($C75&lt;&gt;"",$J75&lt;&gt;""),(VLOOKUP($C75,'V-LOOKUP'!$C$122:$M$150,10,FALSE)),"0")</f>
        <v>0</v>
      </c>
      <c r="CI75" s="192" t="str">
        <f>IF(AND($C75&lt;&gt;"",$J75&lt;&gt;""),(VLOOKUP($C75,'V-LOOKUP'!$C$122:$M$150,11,FALSE)),"0")</f>
        <v>0</v>
      </c>
      <c r="CJ75" s="192" t="str">
        <f>IF(AND($C75&lt;&gt;"",$D75&lt;&gt;""),(VLOOKUP($C75,'V-LOOKUP'!$C$122:$N$150,12,FALSE)),"0")</f>
        <v>0</v>
      </c>
      <c r="CK75" s="192" t="str">
        <f>IF(AND($C75&lt;&gt;"",$K75&lt;&gt;""),(VLOOKUP($C75,'V-LOOKUP'!$C$122:$M$150,4,FALSE)),"0")</f>
        <v>0</v>
      </c>
      <c r="CL75" s="192" t="str">
        <f>IF(AND($C75&lt;&gt;"",$K75&lt;&gt;""),(VLOOKUP($C75,'V-LOOKUP'!$C$122:$M$150,5,FALSE)),"0")</f>
        <v>0</v>
      </c>
      <c r="CM75" s="192" t="str">
        <f>IF(AND($C75&lt;&gt;"",$K75&lt;&gt;""),(VLOOKUP($C75,'V-LOOKUP'!$C$122:$M$150,6,FALSE)),"0")</f>
        <v>0</v>
      </c>
      <c r="CN75" s="192" t="str">
        <f>IF(AND($C75&lt;&gt;"",$K75&lt;&gt;""),(VLOOKUP($C75,'V-LOOKUP'!$C$122:$M$150,7,FALSE)),"0")</f>
        <v>0</v>
      </c>
      <c r="CO75" s="192" t="str">
        <f>IF(AND($C75&lt;&gt;"",$K75&lt;&gt;""),(VLOOKUP($C75,'V-LOOKUP'!$C$122:$M$150,8,FALSE)),"0")</f>
        <v>0</v>
      </c>
      <c r="CP75" s="192" t="str">
        <f>IF(AND($C75&lt;&gt;"",$K75&lt;&gt;""),(VLOOKUP($C75,'V-LOOKUP'!$C$122:$M$150,9,FALSE)),"0")</f>
        <v>0</v>
      </c>
      <c r="CQ75" s="192" t="str">
        <f>IF(AND($C75&lt;&gt;"",$K75&lt;&gt;""),(VLOOKUP($C75,'V-LOOKUP'!$C$122:$M$150,10,FALSE)),"0")</f>
        <v>0</v>
      </c>
      <c r="CR75" s="192" t="str">
        <f>IF(AND($C75&lt;&gt;"",$K75&lt;&gt;""),(VLOOKUP($C75,'V-LOOKUP'!$C$122:$M$150,11,FALSE)),"0")</f>
        <v>0</v>
      </c>
      <c r="CS75" s="192" t="str">
        <f>IF(AND($C75&lt;&gt;"",$D75&lt;&gt;""),(VLOOKUP($C75,'V-LOOKUP'!$C$122:$N$150,12,FALSE)),"0")</f>
        <v>0</v>
      </c>
      <c r="CT75" s="192" t="str">
        <f>IF(AND($C75&lt;&gt;"",$L75&lt;&gt;""),(VLOOKUP($C75,'V-LOOKUP'!$C$122:$M$150,4,FALSE)),"0")</f>
        <v>0</v>
      </c>
      <c r="CU75" s="192" t="str">
        <f>IF(AND($C75&lt;&gt;"",$L75&lt;&gt;""),(VLOOKUP($C75,'V-LOOKUP'!$C$122:$M$150,5,FALSE)),"0")</f>
        <v>0</v>
      </c>
      <c r="CV75" s="192" t="str">
        <f>IF(AND($C75&lt;&gt;"",$L75&lt;&gt;""),(VLOOKUP($C75,'V-LOOKUP'!$C$122:$M$150,6,FALSE)),"0")</f>
        <v>0</v>
      </c>
      <c r="CW75" s="192" t="str">
        <f>IF(AND($C75&lt;&gt;"",$L75&lt;&gt;""),(VLOOKUP($C75,'V-LOOKUP'!$C$122:$M$150,7,FALSE)),"0")</f>
        <v>0</v>
      </c>
      <c r="CX75" s="192" t="str">
        <f>IF(AND($C75&lt;&gt;"",$L75&lt;&gt;""),(VLOOKUP($C75,'V-LOOKUP'!$C$122:$M$150,8,FALSE)),"0")</f>
        <v>0</v>
      </c>
      <c r="CY75" s="192" t="str">
        <f>IF(AND($C75&lt;&gt;"",$L75&lt;&gt;""),(VLOOKUP($C75,'V-LOOKUP'!$C$122:$M$150,9,FALSE)),"0")</f>
        <v>0</v>
      </c>
      <c r="CZ75" s="192" t="str">
        <f>IF(AND($C75&lt;&gt;"",$L75&lt;&gt;""),(VLOOKUP($C75,'V-LOOKUP'!$C$122:$M$150,10,FALSE)),"0")</f>
        <v>0</v>
      </c>
      <c r="DA75" s="192" t="str">
        <f>IF(AND($C75&lt;&gt;"",$L75&lt;&gt;""),(VLOOKUP($C75,'V-LOOKUP'!$C$122:$M$150,11,FALSE)),"0")</f>
        <v>0</v>
      </c>
      <c r="DB75" s="192" t="str">
        <f>IF(AND($C75&lt;&gt;"",$D75&lt;&gt;""),(VLOOKUP($C75,'V-LOOKUP'!$C$122:$N$150,12,FALSE)),"0")</f>
        <v>0</v>
      </c>
      <c r="DC75" s="192" t="str">
        <f>IF(AND($C75&lt;&gt;"",$M75&lt;&gt;""),(VLOOKUP($C75,'V-LOOKUP'!$C$122:$M$150,4,FALSE)),"0")</f>
        <v>0</v>
      </c>
      <c r="DD75" s="192" t="str">
        <f>IF(AND($C75&lt;&gt;"",$M75&lt;&gt;""),(VLOOKUP($C75,'V-LOOKUP'!$C$122:$M$150,5,FALSE)),"0")</f>
        <v>0</v>
      </c>
      <c r="DE75" s="192" t="str">
        <f>IF(AND($C75&lt;&gt;"",$M75&lt;&gt;""),(VLOOKUP($C75,'V-LOOKUP'!$C$122:$M$150,6,FALSE)),"0")</f>
        <v>0</v>
      </c>
      <c r="DF75" s="192" t="str">
        <f>IF(AND($C75&lt;&gt;"",$M75&lt;&gt;""),(VLOOKUP($C75,'V-LOOKUP'!$C$122:$M$150,7,FALSE)),"0")</f>
        <v>0</v>
      </c>
      <c r="DG75" s="192" t="str">
        <f>IF(AND($C75&lt;&gt;"",$M75&lt;&gt;""),(VLOOKUP($C75,'V-LOOKUP'!$C$122:$M$150,8,FALSE)),"0")</f>
        <v>0</v>
      </c>
      <c r="DH75" s="192" t="str">
        <f>IF(AND($C75&lt;&gt;"",$M75&lt;&gt;""),(VLOOKUP($C75,'V-LOOKUP'!$C$122:$M$150,9,FALSE)),"0")</f>
        <v>0</v>
      </c>
      <c r="DI75" s="192" t="str">
        <f>IF(AND($C75&lt;&gt;"",$M75&lt;&gt;""),(VLOOKUP($C75,'V-LOOKUP'!$C$122:$M$150,10,FALSE)),"0")</f>
        <v>0</v>
      </c>
      <c r="DJ75" s="192" t="str">
        <f>IF(AND($C75&lt;&gt;"",$M75&lt;&gt;""),(VLOOKUP($C75,'V-LOOKUP'!$C$122:$M$150,11,FALSE)),"0")</f>
        <v>0</v>
      </c>
      <c r="DK75" s="192" t="str">
        <f>IF(AND($C75&lt;&gt;"",$D75&lt;&gt;""),(VLOOKUP($C75,'V-LOOKUP'!$C$122:$N$150,12,FALSE)),"0")</f>
        <v>0</v>
      </c>
      <c r="DL75" s="192" t="str">
        <f>IF(AND($C75&lt;&gt;"",$N75&lt;&gt;""),(VLOOKUP($C75,'V-LOOKUP'!$C$122:$M$150,4,FALSE)),"0")</f>
        <v>0</v>
      </c>
      <c r="DM75" s="192" t="str">
        <f>IF(AND($C75&lt;&gt;"",$N75&lt;&gt;""),(VLOOKUP($C75,'V-LOOKUP'!$C$122:$M$150,5,FALSE)),"0")</f>
        <v>0</v>
      </c>
      <c r="DN75" s="192" t="str">
        <f>IF(AND($C75&lt;&gt;"",$N75&lt;&gt;""),(VLOOKUP($C75,'V-LOOKUP'!$C$122:$M$150,6,FALSE)),"0")</f>
        <v>0</v>
      </c>
      <c r="DO75" s="192" t="str">
        <f>IF(AND($C75&lt;&gt;"",$N75&lt;&gt;""),(VLOOKUP($C75,'V-LOOKUP'!$C$122:$M$150,7,FALSE)),"0")</f>
        <v>0</v>
      </c>
      <c r="DP75" s="192" t="str">
        <f>IF(AND($C75&lt;&gt;"",$N75&lt;&gt;""),(VLOOKUP($C75,'V-LOOKUP'!$C$122:$M$150,8,FALSE)),"0")</f>
        <v>0</v>
      </c>
      <c r="DQ75" s="192" t="str">
        <f>IF(AND($C75&lt;&gt;"",$N75&lt;&gt;""),(VLOOKUP($C75,'V-LOOKUP'!$C$122:$M$150,9,FALSE)),"0")</f>
        <v>0</v>
      </c>
      <c r="DR75" s="192" t="str">
        <f>IF(AND($C75&lt;&gt;"",$N75&lt;&gt;""),(VLOOKUP($C75,'V-LOOKUP'!$C$122:$M$150,10,FALSE)),"0")</f>
        <v>0</v>
      </c>
      <c r="DS75" s="192" t="str">
        <f>IF(AND($C75&lt;&gt;"",$N75&lt;&gt;""),(VLOOKUP($C75,'V-LOOKUP'!$C$122:$M$150,11,FALSE)),"0")</f>
        <v>0</v>
      </c>
      <c r="DT75" s="192" t="str">
        <f>IF(AND($C75&lt;&gt;"",$D75&lt;&gt;""),(VLOOKUP($C75,'V-LOOKUP'!$C$122:$N$150,12,FALSE)),"0")</f>
        <v>0</v>
      </c>
      <c r="DU75" s="192" t="str">
        <f>IF(AND($C75&lt;&gt;"",$O75&lt;&gt;""),(VLOOKUP($C75,'V-LOOKUP'!$C$122:$M$150,4,FALSE)),"0")</f>
        <v>0</v>
      </c>
      <c r="DV75" s="192" t="str">
        <f>IF(AND($C75&lt;&gt;"",$O75&lt;&gt;""),(VLOOKUP($C75,'V-LOOKUP'!$C$122:$M$150,5,FALSE)),"0")</f>
        <v>0</v>
      </c>
      <c r="DW75" s="192" t="str">
        <f>IF(AND($C75&lt;&gt;"",$O75&lt;&gt;""),(VLOOKUP($C75,'V-LOOKUP'!$C$122:$M$150,6,FALSE)),"0")</f>
        <v>0</v>
      </c>
      <c r="DX75" s="192" t="str">
        <f>IF(AND($C75&lt;&gt;"",$O75&lt;&gt;""),(VLOOKUP($C75,'V-LOOKUP'!$C$122:$M$150,7,FALSE)),"0")</f>
        <v>0</v>
      </c>
      <c r="DY75" s="192" t="str">
        <f>IF(AND($C75&lt;&gt;"",$O75&lt;&gt;""),(VLOOKUP($C75,'V-LOOKUP'!$C$122:$M$150,8,FALSE)),"0")</f>
        <v>0</v>
      </c>
      <c r="DZ75" s="192" t="str">
        <f>IF(AND($C75&lt;&gt;"",$O75&lt;&gt;""),(VLOOKUP($C75,'V-LOOKUP'!$C$122:$M$150,9,FALSE)),"0")</f>
        <v>0</v>
      </c>
      <c r="EA75" s="192" t="str">
        <f>IF(AND($C75&lt;&gt;"",$O75&lt;&gt;""),(VLOOKUP($C75,'V-LOOKUP'!$C$122:$M$150,10,FALSE)),"0")</f>
        <v>0</v>
      </c>
      <c r="EB75" s="192" t="str">
        <f>IF(AND($C75&lt;&gt;"",$O75&lt;&gt;""),(VLOOKUP($C75,'V-LOOKUP'!$C$122:$M$150,11,FALSE)),"0")</f>
        <v>0</v>
      </c>
      <c r="EC75" s="192" t="str">
        <f>IF(AND($C75&lt;&gt;"",$D75&lt;&gt;""),(VLOOKUP($C75,'V-LOOKUP'!$C$122:$N$150,12,FALSE)),"0")</f>
        <v>0</v>
      </c>
      <c r="ED75" s="192" t="str">
        <f>IF(AND($C75&lt;&gt;"",$P75&lt;&gt;""),(VLOOKUP($C75,'V-LOOKUP'!$C$122:$M$150,4,FALSE)),"0")</f>
        <v>0</v>
      </c>
      <c r="EE75" s="192" t="str">
        <f>IF(AND($C75&lt;&gt;"",$P75&lt;&gt;""),(VLOOKUP($C75,'V-LOOKUP'!$C$122:$M$150,5,FALSE)),"0")</f>
        <v>0</v>
      </c>
      <c r="EF75" s="192" t="str">
        <f>IF(AND($C75&lt;&gt;"",$P75&lt;&gt;""),(VLOOKUP($C75,'V-LOOKUP'!$C$122:$M$150,6,FALSE)),"0")</f>
        <v>0</v>
      </c>
      <c r="EG75" s="192" t="str">
        <f>IF(AND($C75&lt;&gt;"",$P75&lt;&gt;""),(VLOOKUP($C75,'V-LOOKUP'!$C$122:$M$150,7,FALSE)),"0")</f>
        <v>0</v>
      </c>
      <c r="EH75" s="192" t="str">
        <f>IF(AND($C75&lt;&gt;"",$P75&lt;&gt;""),(VLOOKUP($C75,'V-LOOKUP'!$C$122:$M$150,8,FALSE)),"0")</f>
        <v>0</v>
      </c>
      <c r="EI75" s="192" t="str">
        <f>IF(AND($C75&lt;&gt;"",$P75&lt;&gt;""),(VLOOKUP($C75,'V-LOOKUP'!$C$122:$M$150,9,FALSE)),"0")</f>
        <v>0</v>
      </c>
      <c r="EJ75" s="192" t="str">
        <f>IF(AND($C75&lt;&gt;"",$P75&lt;&gt;""),(VLOOKUP($C75,'V-LOOKUP'!$C$122:$M$150,10,FALSE)),"0")</f>
        <v>0</v>
      </c>
      <c r="EK75" s="192" t="str">
        <f>IF(AND($C75&lt;&gt;"",$P75&lt;&gt;""),(VLOOKUP($C75,'V-LOOKUP'!$C$122:$M$150,11,FALSE)),"0")</f>
        <v>0</v>
      </c>
      <c r="EL75" s="192" t="str">
        <f>IF(AND($C75&lt;&gt;"",$D75&lt;&gt;""),(VLOOKUP($C75,'V-LOOKUP'!$C$122:$N$150,12,FALSE)),"0")</f>
        <v>0</v>
      </c>
      <c r="EM75" s="192" t="str">
        <f>IF(AND($C75&lt;&gt;"",$Q75&lt;&gt;""),(VLOOKUP($C75,'V-LOOKUP'!$C$122:$M$150,4,FALSE)),"0")</f>
        <v>0</v>
      </c>
      <c r="EN75" s="192" t="str">
        <f>IF(AND($C75&lt;&gt;"",$Q75&lt;&gt;""),(VLOOKUP($C75,'V-LOOKUP'!$C$122:$M$150,5,FALSE)),"0")</f>
        <v>0</v>
      </c>
      <c r="EO75" s="192" t="str">
        <f>IF(AND($C75&lt;&gt;"",$Q75&lt;&gt;""),(VLOOKUP($C75,'V-LOOKUP'!$C$122:$M$150,6,FALSE)),"0")</f>
        <v>0</v>
      </c>
      <c r="EP75" s="192" t="str">
        <f>IF(AND($C75&lt;&gt;"",$Q75&lt;&gt;""),(VLOOKUP($C75,'V-LOOKUP'!$C$122:$M$150,7,FALSE)),"0")</f>
        <v>0</v>
      </c>
      <c r="EQ75" s="192" t="str">
        <f>IF(AND($C75&lt;&gt;"",$Q75&lt;&gt;""),(VLOOKUP($C75,'V-LOOKUP'!$C$122:$M$150,8,FALSE)),"0")</f>
        <v>0</v>
      </c>
      <c r="ER75" s="192" t="str">
        <f>IF(AND($C75&lt;&gt;"",$Q75&lt;&gt;""),(VLOOKUP($C75,'V-LOOKUP'!$C$122:$M$150,9,FALSE)),"0")</f>
        <v>0</v>
      </c>
      <c r="ES75" s="192" t="str">
        <f>IF(AND($C75&lt;&gt;"",$Q75&lt;&gt;""),(VLOOKUP($C75,'V-LOOKUP'!$C$122:$M$150,10,FALSE)),"0")</f>
        <v>0</v>
      </c>
      <c r="ET75" s="192" t="str">
        <f>IF(AND($C75&lt;&gt;"",$Q75&lt;&gt;""),(VLOOKUP($C75,'V-LOOKUP'!$C$122:$M$150,11,FALSE)),"0")</f>
        <v>0</v>
      </c>
      <c r="EU75" s="192" t="str">
        <f>IF(AND($C75&lt;&gt;"",$D75&lt;&gt;""),(VLOOKUP($C75,'V-LOOKUP'!$C$122:$N$150,12,FALSE)),"0")</f>
        <v>0</v>
      </c>
      <c r="EV75" s="192" t="str">
        <f>IF(AND($C75&lt;&gt;"",$R75&lt;&gt;""),(VLOOKUP($C75,'V-LOOKUP'!$C$122:$M$150,4,FALSE)),"0")</f>
        <v>0</v>
      </c>
      <c r="EW75" s="192" t="str">
        <f>IF(AND($C75&lt;&gt;"",$R75&lt;&gt;""),(VLOOKUP($C75,'V-LOOKUP'!$C$122:$M$150,5,FALSE)),"0")</f>
        <v>0</v>
      </c>
      <c r="EX75" s="192" t="str">
        <f>IF(AND($C75&lt;&gt;"",$R75&lt;&gt;""),(VLOOKUP($C75,'V-LOOKUP'!$C$122:$M$150,6,FALSE)),"0")</f>
        <v>0</v>
      </c>
      <c r="EY75" s="192" t="str">
        <f>IF(AND($C75&lt;&gt;"",$R75&lt;&gt;""),(VLOOKUP($C75,'V-LOOKUP'!$C$122:$M$150,7,FALSE)),"0")</f>
        <v>0</v>
      </c>
      <c r="EZ75" s="192" t="str">
        <f>IF(AND($C75&lt;&gt;"",$R75&lt;&gt;""),(VLOOKUP($C75,'V-LOOKUP'!$C$122:$M$150,8,FALSE)),"0")</f>
        <v>0</v>
      </c>
      <c r="FA75" s="192" t="str">
        <f>IF(AND($C75&lt;&gt;"",$R75&lt;&gt;""),(VLOOKUP($C75,'V-LOOKUP'!$C$122:$M$150,9,FALSE)),"0")</f>
        <v>0</v>
      </c>
      <c r="FB75" s="192" t="str">
        <f>IF(AND($C75&lt;&gt;"",$R75&lt;&gt;""),(VLOOKUP($C75,'V-LOOKUP'!$C$122:$M$150,10,FALSE)),"0")</f>
        <v>0</v>
      </c>
      <c r="FC75" s="192" t="str">
        <f>IF(AND($C75&lt;&gt;"",$R75&lt;&gt;""),(VLOOKUP($C75,'V-LOOKUP'!$C$122:$M$150,11,FALSE)),"0")</f>
        <v>0</v>
      </c>
      <c r="FD75" s="192" t="str">
        <f>IF(AND($C75&lt;&gt;"",$D75&lt;&gt;""),(VLOOKUP($C75,'V-LOOKUP'!$C$122:$N$150,12,FALSE)),"0")</f>
        <v>0</v>
      </c>
      <c r="FE75" s="192" t="str">
        <f>IF(AND($C75&lt;&gt;"",$S75&lt;&gt;""),(VLOOKUP($C75,'V-LOOKUP'!$C$122:$M$150,4,FALSE)),"0")</f>
        <v>0</v>
      </c>
      <c r="FF75" s="192" t="str">
        <f>IF(AND($C75&lt;&gt;"",$S75&lt;&gt;""),(VLOOKUP($C75,'V-LOOKUP'!$C$122:$M$150,5,FALSE)),"0")</f>
        <v>0</v>
      </c>
      <c r="FG75" s="192" t="str">
        <f>IF(AND($C75&lt;&gt;"",$S75&lt;&gt;""),(VLOOKUP($C75,'V-LOOKUP'!$C$122:$M$150,6,FALSE)),"0")</f>
        <v>0</v>
      </c>
      <c r="FH75" s="192" t="str">
        <f>IF(AND($C75&lt;&gt;"",$S75&lt;&gt;""),(VLOOKUP($C75,'V-LOOKUP'!$C$122:$M$150,7,FALSE)),"0")</f>
        <v>0</v>
      </c>
      <c r="FI75" s="192" t="str">
        <f>IF(AND($C75&lt;&gt;"",$S75&lt;&gt;""),(VLOOKUP($C75,'V-LOOKUP'!$C$122:$M$150,8,FALSE)),"0")</f>
        <v>0</v>
      </c>
      <c r="FJ75" s="192" t="str">
        <f>IF(AND($C75&lt;&gt;"",$S75&lt;&gt;""),(VLOOKUP($C75,'V-LOOKUP'!$C$122:$M$150,9,FALSE)),"0")</f>
        <v>0</v>
      </c>
      <c r="FK75" s="192" t="str">
        <f>IF(AND($C75&lt;&gt;"",$S75&lt;&gt;""),(VLOOKUP($C75,'V-LOOKUP'!$C$122:$M$150,10,FALSE)),"0")</f>
        <v>0</v>
      </c>
      <c r="FL75" s="192" t="str">
        <f>IF(AND($C75&lt;&gt;"",$S75&lt;&gt;""),(VLOOKUP($C75,'V-LOOKUP'!$C$122:$M$150,11,FALSE)),"0")</f>
        <v>0</v>
      </c>
      <c r="FM75" s="192" t="str">
        <f>IF(AND($C75&lt;&gt;"",$D75&lt;&gt;""),(VLOOKUP($C75,'V-LOOKUP'!$C$122:$N$150,12,FALSE)),"0")</f>
        <v>0</v>
      </c>
      <c r="FN75" s="192" t="str">
        <f>IF(AND($C75&lt;&gt;"",$T75&lt;&gt;""),(VLOOKUP($C75,'V-LOOKUP'!$C$122:$M$150,4,FALSE)),"0")</f>
        <v>0</v>
      </c>
      <c r="FO75" s="192" t="str">
        <f>IF(AND($C75&lt;&gt;"",$T75&lt;&gt;""),(VLOOKUP($C75,'V-LOOKUP'!$C$122:$M$150,5,FALSE)),"0")</f>
        <v>0</v>
      </c>
      <c r="FP75" s="192" t="str">
        <f>IF(AND($C75&lt;&gt;"",$T75&lt;&gt;""),(VLOOKUP($C75,'V-LOOKUP'!$C$122:$M$150,6,FALSE)),"0")</f>
        <v>0</v>
      </c>
      <c r="FQ75" s="192" t="str">
        <f>IF(AND($C75&lt;&gt;"",$T75&lt;&gt;""),(VLOOKUP($C75,'V-LOOKUP'!$C$122:$M$150,7,FALSE)),"0")</f>
        <v>0</v>
      </c>
      <c r="FR75" s="192" t="str">
        <f>IF(AND($C75&lt;&gt;"",$T75&lt;&gt;""),(VLOOKUP($C75,'V-LOOKUP'!$C$122:$M$150,8,FALSE)),"0")</f>
        <v>0</v>
      </c>
      <c r="FS75" s="192" t="str">
        <f>IF(AND($C75&lt;&gt;"",$T75&lt;&gt;""),(VLOOKUP($C75,'V-LOOKUP'!$C$122:$M$150,9,FALSE)),"0")</f>
        <v>0</v>
      </c>
      <c r="FT75" s="192" t="str">
        <f>IF(AND($C75&lt;&gt;"",$T75&lt;&gt;""),(VLOOKUP($C75,'V-LOOKUP'!$C$122:$M$150,10,FALSE)),"0")</f>
        <v>0</v>
      </c>
      <c r="FU75" s="192" t="str">
        <f>IF(AND($C75&lt;&gt;"",$T75&lt;&gt;""),(VLOOKUP($C75,'V-LOOKUP'!$C$122:$M$150,11,FALSE)),"0")</f>
        <v>0</v>
      </c>
      <c r="FV75" s="192" t="str">
        <f>IF(AND($C75&lt;&gt;"",$D75&lt;&gt;""),(VLOOKUP($C75,'V-LOOKUP'!$C$122:$N$150,12,FALSE)),"0")</f>
        <v>0</v>
      </c>
      <c r="FW75" s="192" t="str">
        <f>IF(AND($C75&lt;&gt;"",$U75&lt;&gt;""),(VLOOKUP($C75,'V-LOOKUP'!$C$122:$M$150,4,FALSE)),"0")</f>
        <v>0</v>
      </c>
      <c r="FX75" s="192" t="str">
        <f>IF(AND($C75&lt;&gt;"",$U75&lt;&gt;""),(VLOOKUP($C75,'V-LOOKUP'!$C$122:$M$150,5,FALSE)),"0")</f>
        <v>0</v>
      </c>
      <c r="FY75" s="192" t="str">
        <f>IF(AND($C75&lt;&gt;"",$U75&lt;&gt;""),(VLOOKUP($C75,'V-LOOKUP'!$C$122:$M$150,6,FALSE)),"0")</f>
        <v>0</v>
      </c>
      <c r="FZ75" s="192" t="str">
        <f>IF(AND($C75&lt;&gt;"",$U75&lt;&gt;""),(VLOOKUP($C75,'V-LOOKUP'!$C$122:$M$150,7,FALSE)),"0")</f>
        <v>0</v>
      </c>
      <c r="GA75" s="192" t="str">
        <f>IF(AND($C75&lt;&gt;"",$U75&lt;&gt;""),(VLOOKUP($C75,'V-LOOKUP'!$C$122:$M$150,8,FALSE)),"0")</f>
        <v>0</v>
      </c>
      <c r="GB75" s="192" t="str">
        <f>IF(AND($C75&lt;&gt;"",$U75&lt;&gt;""),(VLOOKUP($C75,'V-LOOKUP'!$C$122:$M$150,9,FALSE)),"0")</f>
        <v>0</v>
      </c>
      <c r="GC75" s="192" t="str">
        <f>IF(AND($C75&lt;&gt;"",$U75&lt;&gt;""),(VLOOKUP($C75,'V-LOOKUP'!$C$122:$M$150,10,FALSE)),"0")</f>
        <v>0</v>
      </c>
      <c r="GD75" s="192" t="str">
        <f>IF(AND($C75&lt;&gt;"",$U75&lt;&gt;""),(VLOOKUP($C75,'V-LOOKUP'!$C$122:$M$150,11,FALSE)),"0")</f>
        <v>0</v>
      </c>
      <c r="GE75" s="192" t="str">
        <f>IF(AND($C75&lt;&gt;"",$D75&lt;&gt;""),(VLOOKUP($C75,'V-LOOKUP'!$C$122:$N$150,12,FALSE)),"0")</f>
        <v>0</v>
      </c>
      <c r="GF75" s="192" t="str">
        <f>IF(AND($C75&lt;&gt;"",$V75&lt;&gt;""),(VLOOKUP($C75,'V-LOOKUP'!$C$122:$M$150,4,FALSE)),"0")</f>
        <v>0</v>
      </c>
      <c r="GG75" s="192" t="str">
        <f>IF(AND($C75&lt;&gt;"",$V75&lt;&gt;""),(VLOOKUP($C75,'V-LOOKUP'!$C$122:$M$150,5,FALSE)),"0")</f>
        <v>0</v>
      </c>
      <c r="GH75" s="192" t="str">
        <f>IF(AND($C75&lt;&gt;"",$V75&lt;&gt;""),(VLOOKUP($C75,'V-LOOKUP'!$C$122:$M$150,6,FALSE)),"0")</f>
        <v>0</v>
      </c>
      <c r="GI75" s="192" t="str">
        <f>IF(AND($C75&lt;&gt;"",$V75&lt;&gt;""),(VLOOKUP($C75,'V-LOOKUP'!$C$122:$M$150,7,FALSE)),"0")</f>
        <v>0</v>
      </c>
      <c r="GJ75" s="192" t="str">
        <f>IF(AND($C75&lt;&gt;"",$V75&lt;&gt;""),(VLOOKUP($C75,'V-LOOKUP'!$C$122:$M$150,8,FALSE)),"0")</f>
        <v>0</v>
      </c>
      <c r="GK75" s="192" t="str">
        <f>IF(AND($C75&lt;&gt;"",$V75&lt;&gt;""),(VLOOKUP($C75,'V-LOOKUP'!$C$122:$M$150,9,FALSE)),"0")</f>
        <v>0</v>
      </c>
      <c r="GL75" s="192" t="str">
        <f>IF(AND($C75&lt;&gt;"",$V75&lt;&gt;""),(VLOOKUP($C75,'V-LOOKUP'!$C$122:$M$150,10,FALSE)),"0")</f>
        <v>0</v>
      </c>
      <c r="GM75" s="192" t="str">
        <f>IF(AND($C75&lt;&gt;"",$V75&lt;&gt;""),(VLOOKUP($C75,'V-LOOKUP'!$C$122:$M$150,11,FALSE)),"0")</f>
        <v>0</v>
      </c>
      <c r="GN75" s="192" t="str">
        <f>IF(AND($C75&lt;&gt;"",$D75&lt;&gt;""),(VLOOKUP($C75,'V-LOOKUP'!$C$122:$N$150,12,FALSE)),"0")</f>
        <v>0</v>
      </c>
      <c r="GO75" s="192" t="str">
        <f>IF(AND($C75&lt;&gt;"",$W75&lt;&gt;""),(VLOOKUP($C75,'V-LOOKUP'!$C$122:$M$150,4,FALSE)),"0")</f>
        <v>0</v>
      </c>
      <c r="GP75" s="192" t="str">
        <f>IF(AND($C75&lt;&gt;"",$W75&lt;&gt;""),(VLOOKUP($C75,'V-LOOKUP'!$C$122:$M$150,5,FALSE)),"0")</f>
        <v>0</v>
      </c>
      <c r="GQ75" s="192" t="str">
        <f>IF(AND($C75&lt;&gt;"",$W75&lt;&gt;""),(VLOOKUP($C75,'V-LOOKUP'!$C$122:$M$150,6,FALSE)),"0")</f>
        <v>0</v>
      </c>
      <c r="GR75" s="192" t="str">
        <f>IF(AND($C75&lt;&gt;"",$W75&lt;&gt;""),(VLOOKUP($C75,'V-LOOKUP'!$C$122:$M$150,7,FALSE)),"0")</f>
        <v>0</v>
      </c>
      <c r="GS75" s="192" t="str">
        <f>IF(AND($C75&lt;&gt;"",$W75&lt;&gt;""),(VLOOKUP($C75,'V-LOOKUP'!$C$122:$M$150,8,FALSE)),"0")</f>
        <v>0</v>
      </c>
      <c r="GT75" s="192" t="str">
        <f>IF(AND($C75&lt;&gt;"",$W75&lt;&gt;""),(VLOOKUP($C75,'V-LOOKUP'!$C$122:$M$150,9,FALSE)),"0")</f>
        <v>0</v>
      </c>
      <c r="GU75" s="192" t="str">
        <f>IF(AND($C75&lt;&gt;"",$W75&lt;&gt;""),(VLOOKUP($C75,'V-LOOKUP'!$C$122:$M$150,10,FALSE)),"0")</f>
        <v>0</v>
      </c>
      <c r="GV75" s="192" t="str">
        <f>IF(AND($C75&lt;&gt;"",$W75&lt;&gt;""),(VLOOKUP($C75,'V-LOOKUP'!$C$122:$M$150,11,FALSE)),"0")</f>
        <v>0</v>
      </c>
      <c r="GW75" s="192" t="str">
        <f>IF(AND($C75&lt;&gt;"",$D75&lt;&gt;""),(VLOOKUP($C75,'V-LOOKUP'!$C$122:$N$150,12,FALSE)),"0")</f>
        <v>0</v>
      </c>
    </row>
    <row r="76" spans="1:205" ht="14.65" customHeight="1">
      <c r="B76" s="245"/>
      <c r="C76" s="203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Y76" s="190"/>
      <c r="Z76" s="192" t="str">
        <f>IF(AND($C76&lt;&gt;"",$D76&lt;&gt;""),(VLOOKUP($C76,'V-LOOKUP'!$C$122:$M$150,4,FALSE)),"0")</f>
        <v>0</v>
      </c>
      <c r="AA76" s="192" t="str">
        <f>IF(AND($C76&lt;&gt;"",$D76&lt;&gt;""),(VLOOKUP($C76,'V-LOOKUP'!$C$122:$M$150,5,FALSE)),"0")</f>
        <v>0</v>
      </c>
      <c r="AB76" s="192" t="str">
        <f>IF(AND($C76&lt;&gt;"",$D76&lt;&gt;""),(VLOOKUP($C76,'V-LOOKUP'!$C$122:$M$150,6,FALSE)),"0")</f>
        <v>0</v>
      </c>
      <c r="AC76" s="192" t="str">
        <f>IF(AND($C76&lt;&gt;"",$D76&lt;&gt;""),(VLOOKUP($C76,'V-LOOKUP'!$C$122:$M$150,7,FALSE)),"0")</f>
        <v>0</v>
      </c>
      <c r="AD76" s="192" t="str">
        <f>IF(AND($C76&lt;&gt;"",$D76&lt;&gt;""),(VLOOKUP($C76,'V-LOOKUP'!$C$122:$M$150,8,FALSE)),"0")</f>
        <v>0</v>
      </c>
      <c r="AE76" s="192" t="str">
        <f>IF(AND($C76&lt;&gt;"",$D76&lt;&gt;""),(VLOOKUP($C76,'V-LOOKUP'!$C$122:$M$150,9,FALSE)),"0")</f>
        <v>0</v>
      </c>
      <c r="AF76" s="192" t="str">
        <f>IF(AND($C76&lt;&gt;"",$D76&lt;&gt;""),(VLOOKUP($C76,'V-LOOKUP'!$C$122:$M$150,10,FALSE)),"0")</f>
        <v>0</v>
      </c>
      <c r="AG76" s="192" t="str">
        <f>IF(AND($C76&lt;&gt;"",$D76&lt;&gt;""),(VLOOKUP($C76,'V-LOOKUP'!$C$122:$M$150,11,FALSE)),"0")</f>
        <v>0</v>
      </c>
      <c r="AH76" s="192" t="str">
        <f>IF(AND($C76&lt;&gt;"",$D76&lt;&gt;""),(VLOOKUP($C76,'V-LOOKUP'!$C$122:$N$150,12,FALSE)),"0")</f>
        <v>0</v>
      </c>
      <c r="AI76" s="192" t="str">
        <f>IF(AND($C76&lt;&gt;"",$E76&lt;&gt;""),(VLOOKUP($C76,'V-LOOKUP'!$C$122:$M$150,4,FALSE)),"0")</f>
        <v>0</v>
      </c>
      <c r="AJ76" s="192" t="str">
        <f>IF(AND($C76&lt;&gt;"",$E76&lt;&gt;""),(VLOOKUP($C76,'V-LOOKUP'!$C$122:$M$150,5,FALSE)),"0")</f>
        <v>0</v>
      </c>
      <c r="AK76" s="192" t="str">
        <f>IF(AND($C76&lt;&gt;"",$E76&lt;&gt;""),(VLOOKUP($C76,'V-LOOKUP'!$C$122:$M$150,6,FALSE)),"0")</f>
        <v>0</v>
      </c>
      <c r="AL76" s="192" t="str">
        <f>IF(AND($C76&lt;&gt;"",$E76&lt;&gt;""),(VLOOKUP($C76,'V-LOOKUP'!$C$122:$M$150,7,FALSE)),"0")</f>
        <v>0</v>
      </c>
      <c r="AM76" s="192" t="str">
        <f>IF(AND($C76&lt;&gt;"",$E76&lt;&gt;""),(VLOOKUP($C76,'V-LOOKUP'!$C$122:$M$150,8,FALSE)),"0")</f>
        <v>0</v>
      </c>
      <c r="AN76" s="192" t="str">
        <f>IF(AND($C76&lt;&gt;"",$E76&lt;&gt;""),(VLOOKUP($C76,'V-LOOKUP'!$C$122:$M$150,9,FALSE)),"0")</f>
        <v>0</v>
      </c>
      <c r="AO76" s="192" t="str">
        <f>IF(AND($C76&lt;&gt;"",$E76&lt;&gt;""),(VLOOKUP($C76,'V-LOOKUP'!$C$122:$M$150,10,FALSE)),"0")</f>
        <v>0</v>
      </c>
      <c r="AP76" s="192" t="str">
        <f>IF(AND($C76&lt;&gt;"",$E76&lt;&gt;""),(VLOOKUP($C76,'V-LOOKUP'!$C$122:$M$150,11,FALSE)),"0")</f>
        <v>0</v>
      </c>
      <c r="AQ76" s="192" t="str">
        <f>IF(AND($C76&lt;&gt;"",$D76&lt;&gt;""),(VLOOKUP($C76,'V-LOOKUP'!$C$122:$N$150,12,FALSE)),"0")</f>
        <v>0</v>
      </c>
      <c r="AR76" s="192" t="str">
        <f>IF(AND($C76&lt;&gt;"",$F76&lt;&gt;""),(VLOOKUP($C76,'V-LOOKUP'!$C$122:$M$150,4,FALSE)),"0")</f>
        <v>0</v>
      </c>
      <c r="AS76" s="192" t="str">
        <f>IF(AND($C76&lt;&gt;"",$F76&lt;&gt;""),(VLOOKUP($C76,'V-LOOKUP'!$C$122:$M$150,5,FALSE)),"0")</f>
        <v>0</v>
      </c>
      <c r="AT76" s="192" t="str">
        <f>IF(AND($C76&lt;&gt;"",$F76&lt;&gt;""),(VLOOKUP($C76,'V-LOOKUP'!$C$122:$M$150,6,FALSE)),"0")</f>
        <v>0</v>
      </c>
      <c r="AU76" s="192" t="str">
        <f>IF(AND($C76&lt;&gt;"",$F76&lt;&gt;""),(VLOOKUP($C76,'V-LOOKUP'!$C$122:$M$150,7,FALSE)),"0")</f>
        <v>0</v>
      </c>
      <c r="AV76" s="192" t="str">
        <f>IF(AND($C76&lt;&gt;"",$F76&lt;&gt;""),(VLOOKUP($C76,'V-LOOKUP'!$C$122:$M$150,8,FALSE)),"0")</f>
        <v>0</v>
      </c>
      <c r="AW76" s="192" t="str">
        <f>IF(AND($C76&lt;&gt;"",$F76&lt;&gt;""),(VLOOKUP($C76,'V-LOOKUP'!$C$122:$M$150,9,FALSE)),"0")</f>
        <v>0</v>
      </c>
      <c r="AX76" s="192" t="str">
        <f>IF(AND($C76&lt;&gt;"",$F76&lt;&gt;""),(VLOOKUP($C76,'V-LOOKUP'!$C$122:$M$150,10,FALSE)),"0")</f>
        <v>0</v>
      </c>
      <c r="AY76" s="192" t="str">
        <f>IF(AND($C76&lt;&gt;"",$F76&lt;&gt;""),(VLOOKUP($C76,'V-LOOKUP'!$C$122:$M$150,11,FALSE)),"0")</f>
        <v>0</v>
      </c>
      <c r="AZ76" s="192" t="str">
        <f>IF(AND($C76&lt;&gt;"",$D76&lt;&gt;""),(VLOOKUP($C76,'V-LOOKUP'!$C$122:$N$150,12,FALSE)),"0")</f>
        <v>0</v>
      </c>
      <c r="BA76" s="192" t="str">
        <f>IF(AND($C76&lt;&gt;"",$G76&lt;&gt;""),(VLOOKUP($C76,'V-LOOKUP'!$C$122:$M$150,4,FALSE)),"0")</f>
        <v>0</v>
      </c>
      <c r="BB76" s="192" t="str">
        <f>IF(AND($C76&lt;&gt;"",$G76&lt;&gt;""),(VLOOKUP($C76,'V-LOOKUP'!$C$122:$M$150,5,FALSE)),"0")</f>
        <v>0</v>
      </c>
      <c r="BC76" s="192" t="str">
        <f>IF(AND($C76&lt;&gt;"",$G76&lt;&gt;""),(VLOOKUP($C76,'V-LOOKUP'!$C$122:$M$150,6,FALSE)),"0")</f>
        <v>0</v>
      </c>
      <c r="BD76" s="192" t="str">
        <f>IF(AND($C76&lt;&gt;"",$G76&lt;&gt;""),(VLOOKUP($C76,'V-LOOKUP'!$C$122:$M$150,7,FALSE)),"0")</f>
        <v>0</v>
      </c>
      <c r="BE76" s="192" t="str">
        <f>IF(AND($C76&lt;&gt;"",$G76&lt;&gt;""),(VLOOKUP($C76,'V-LOOKUP'!$C$122:$M$150,8,FALSE)),"0")</f>
        <v>0</v>
      </c>
      <c r="BF76" s="192" t="str">
        <f>IF(AND($C76&lt;&gt;"",$G76&lt;&gt;""),(VLOOKUP($C76,'V-LOOKUP'!$C$122:$M$150,9,FALSE)),"0")</f>
        <v>0</v>
      </c>
      <c r="BG76" s="192" t="str">
        <f>IF(AND($C76&lt;&gt;"",$G76&lt;&gt;""),(VLOOKUP($C76,'V-LOOKUP'!$C$122:$M$150,10,FALSE)),"0")</f>
        <v>0</v>
      </c>
      <c r="BH76" s="192" t="str">
        <f>IF(AND($C76&lt;&gt;"",$G76&lt;&gt;""),(VLOOKUP($C76,'V-LOOKUP'!$C$122:$M$150,11,FALSE)),"0")</f>
        <v>0</v>
      </c>
      <c r="BI76" s="192" t="str">
        <f>IF(AND($C76&lt;&gt;"",$D76&lt;&gt;""),(VLOOKUP($C76,'V-LOOKUP'!$C$122:$N$150,12,FALSE)),"0")</f>
        <v>0</v>
      </c>
      <c r="BJ76" s="192" t="str">
        <f>IF(AND($C76&lt;&gt;"",$H76&lt;&gt;""),(VLOOKUP($C76,'V-LOOKUP'!$C$122:$M$150,4,FALSE)),"0")</f>
        <v>0</v>
      </c>
      <c r="BK76" s="192" t="str">
        <f>IF(AND($C76&lt;&gt;"",$H76&lt;&gt;""),(VLOOKUP($C76,'V-LOOKUP'!$C$122:$M$150,5,FALSE)),"0")</f>
        <v>0</v>
      </c>
      <c r="BL76" s="192" t="str">
        <f>IF(AND($C76&lt;&gt;"",$H76&lt;&gt;""),(VLOOKUP($C76,'V-LOOKUP'!$C$122:$M$150,6,FALSE)),"0")</f>
        <v>0</v>
      </c>
      <c r="BM76" s="192" t="str">
        <f>IF(AND($C76&lt;&gt;"",$H76&lt;&gt;""),(VLOOKUP($C76,'V-LOOKUP'!$C$122:$M$150,7,FALSE)),"0")</f>
        <v>0</v>
      </c>
      <c r="BN76" s="192" t="str">
        <f>IF(AND($C76&lt;&gt;"",$H76&lt;&gt;""),(VLOOKUP($C76,'V-LOOKUP'!$C$122:$M$150,8,FALSE)),"0")</f>
        <v>0</v>
      </c>
      <c r="BO76" s="192" t="str">
        <f>IF(AND($C76&lt;&gt;"",$H76&lt;&gt;""),(VLOOKUP($C76,'V-LOOKUP'!$C$122:$M$150,9,FALSE)),"0")</f>
        <v>0</v>
      </c>
      <c r="BP76" s="192" t="str">
        <f>IF(AND($C76&lt;&gt;"",$H76&lt;&gt;""),(VLOOKUP($C76,'V-LOOKUP'!$C$122:$M$150,10,FALSE)),"0")</f>
        <v>0</v>
      </c>
      <c r="BQ76" s="192" t="str">
        <f>IF(AND($C76&lt;&gt;"",$H76&lt;&gt;""),(VLOOKUP($C76,'V-LOOKUP'!$C$122:$M$150,11,FALSE)),"0")</f>
        <v>0</v>
      </c>
      <c r="BR76" s="192" t="str">
        <f>IF(AND($C76&lt;&gt;"",$D76&lt;&gt;""),(VLOOKUP($C76,'V-LOOKUP'!$C$122:$N$150,12,FALSE)),"0")</f>
        <v>0</v>
      </c>
      <c r="BS76" s="192" t="str">
        <f>IF(AND($C76&lt;&gt;"",$I76&lt;&gt;""),(VLOOKUP($C76,'V-LOOKUP'!$C$122:$M$150,4,FALSE)),"0")</f>
        <v>0</v>
      </c>
      <c r="BT76" s="192" t="str">
        <f>IF(AND($C76&lt;&gt;"",$I76&lt;&gt;""),(VLOOKUP($C76,'V-LOOKUP'!$C$122:$M$150,5,FALSE)),"0")</f>
        <v>0</v>
      </c>
      <c r="BU76" s="192" t="str">
        <f>IF(AND($C76&lt;&gt;"",$I76&lt;&gt;""),(VLOOKUP($C76,'V-LOOKUP'!$C$122:$M$150,6,FALSE)),"0")</f>
        <v>0</v>
      </c>
      <c r="BV76" s="192" t="str">
        <f>IF(AND($C76&lt;&gt;"",$I76&lt;&gt;""),(VLOOKUP($C76,'V-LOOKUP'!$C$122:$M$150,7,FALSE)),"0")</f>
        <v>0</v>
      </c>
      <c r="BW76" s="192" t="str">
        <f>IF(AND($C76&lt;&gt;"",$I76&lt;&gt;""),(VLOOKUP($C76,'V-LOOKUP'!$C$122:$M$150,8,FALSE)),"0")</f>
        <v>0</v>
      </c>
      <c r="BX76" s="192" t="str">
        <f>IF(AND($C76&lt;&gt;"",$I76&lt;&gt;""),(VLOOKUP($C76,'V-LOOKUP'!$C$122:$M$150,9,FALSE)),"0")</f>
        <v>0</v>
      </c>
      <c r="BY76" s="192" t="str">
        <f>IF(AND($C76&lt;&gt;"",$I76&lt;&gt;""),(VLOOKUP($C76,'V-LOOKUP'!$C$122:$M$150,10,FALSE)),"0")</f>
        <v>0</v>
      </c>
      <c r="BZ76" s="192" t="str">
        <f>IF(AND($C76&lt;&gt;"",$I76&lt;&gt;""),(VLOOKUP($C76,'V-LOOKUP'!$C$122:$M$150,11,FALSE)),"0")</f>
        <v>0</v>
      </c>
      <c r="CA76" s="192" t="str">
        <f>IF(AND($C76&lt;&gt;"",$D76&lt;&gt;""),(VLOOKUP($C76,'V-LOOKUP'!$C$122:$N$150,12,FALSE)),"0")</f>
        <v>0</v>
      </c>
      <c r="CB76" s="192" t="str">
        <f>IF(AND($C76&lt;&gt;"",$J76&lt;&gt;""),(VLOOKUP($C76,'V-LOOKUP'!$C$122:$M$150,4,FALSE)),"0")</f>
        <v>0</v>
      </c>
      <c r="CC76" s="192" t="str">
        <f>IF(AND($C76&lt;&gt;"",$J76&lt;&gt;""),(VLOOKUP($C76,'V-LOOKUP'!$C$122:$M$150,5,FALSE)),"0")</f>
        <v>0</v>
      </c>
      <c r="CD76" s="192" t="str">
        <f>IF(AND($C76&lt;&gt;"",$J76&lt;&gt;""),(VLOOKUP($C76,'V-LOOKUP'!$C$122:$M$150,6,FALSE)),"0")</f>
        <v>0</v>
      </c>
      <c r="CE76" s="192" t="str">
        <f>IF(AND($C76&lt;&gt;"",$J76&lt;&gt;""),(VLOOKUP($C76,'V-LOOKUP'!$C$122:$M$150,7,FALSE)),"0")</f>
        <v>0</v>
      </c>
      <c r="CF76" s="192" t="str">
        <f>IF(AND($C76&lt;&gt;"",$J76&lt;&gt;""),(VLOOKUP($C76,'V-LOOKUP'!$C$122:$M$150,8,FALSE)),"0")</f>
        <v>0</v>
      </c>
      <c r="CG76" s="192" t="str">
        <f>IF(AND($C76&lt;&gt;"",$J76&lt;&gt;""),(VLOOKUP($C76,'V-LOOKUP'!$C$122:$M$150,9,FALSE)),"0")</f>
        <v>0</v>
      </c>
      <c r="CH76" s="192" t="str">
        <f>IF(AND($C76&lt;&gt;"",$J76&lt;&gt;""),(VLOOKUP($C76,'V-LOOKUP'!$C$122:$M$150,10,FALSE)),"0")</f>
        <v>0</v>
      </c>
      <c r="CI76" s="192" t="str">
        <f>IF(AND($C76&lt;&gt;"",$J76&lt;&gt;""),(VLOOKUP($C76,'V-LOOKUP'!$C$122:$M$150,11,FALSE)),"0")</f>
        <v>0</v>
      </c>
      <c r="CJ76" s="192" t="str">
        <f>IF(AND($C76&lt;&gt;"",$D76&lt;&gt;""),(VLOOKUP($C76,'V-LOOKUP'!$C$122:$N$150,12,FALSE)),"0")</f>
        <v>0</v>
      </c>
      <c r="CK76" s="192" t="str">
        <f>IF(AND($C76&lt;&gt;"",$K76&lt;&gt;""),(VLOOKUP($C76,'V-LOOKUP'!$C$122:$M$150,4,FALSE)),"0")</f>
        <v>0</v>
      </c>
      <c r="CL76" s="192" t="str">
        <f>IF(AND($C76&lt;&gt;"",$K76&lt;&gt;""),(VLOOKUP($C76,'V-LOOKUP'!$C$122:$M$150,5,FALSE)),"0")</f>
        <v>0</v>
      </c>
      <c r="CM76" s="192" t="str">
        <f>IF(AND($C76&lt;&gt;"",$K76&lt;&gt;""),(VLOOKUP($C76,'V-LOOKUP'!$C$122:$M$150,6,FALSE)),"0")</f>
        <v>0</v>
      </c>
      <c r="CN76" s="192" t="str">
        <f>IF(AND($C76&lt;&gt;"",$K76&lt;&gt;""),(VLOOKUP($C76,'V-LOOKUP'!$C$122:$M$150,7,FALSE)),"0")</f>
        <v>0</v>
      </c>
      <c r="CO76" s="192" t="str">
        <f>IF(AND($C76&lt;&gt;"",$K76&lt;&gt;""),(VLOOKUP($C76,'V-LOOKUP'!$C$122:$M$150,8,FALSE)),"0")</f>
        <v>0</v>
      </c>
      <c r="CP76" s="192" t="str">
        <f>IF(AND($C76&lt;&gt;"",$K76&lt;&gt;""),(VLOOKUP($C76,'V-LOOKUP'!$C$122:$M$150,9,FALSE)),"0")</f>
        <v>0</v>
      </c>
      <c r="CQ76" s="192" t="str">
        <f>IF(AND($C76&lt;&gt;"",$K76&lt;&gt;""),(VLOOKUP($C76,'V-LOOKUP'!$C$122:$M$150,10,FALSE)),"0")</f>
        <v>0</v>
      </c>
      <c r="CR76" s="192" t="str">
        <f>IF(AND($C76&lt;&gt;"",$K76&lt;&gt;""),(VLOOKUP($C76,'V-LOOKUP'!$C$122:$M$150,11,FALSE)),"0")</f>
        <v>0</v>
      </c>
      <c r="CS76" s="192" t="str">
        <f>IF(AND($C76&lt;&gt;"",$D76&lt;&gt;""),(VLOOKUP($C76,'V-LOOKUP'!$C$122:$N$150,12,FALSE)),"0")</f>
        <v>0</v>
      </c>
      <c r="CT76" s="192" t="str">
        <f>IF(AND($C76&lt;&gt;"",$L76&lt;&gt;""),(VLOOKUP($C76,'V-LOOKUP'!$C$122:$M$150,4,FALSE)),"0")</f>
        <v>0</v>
      </c>
      <c r="CU76" s="192" t="str">
        <f>IF(AND($C76&lt;&gt;"",$L76&lt;&gt;""),(VLOOKUP($C76,'V-LOOKUP'!$C$122:$M$150,5,FALSE)),"0")</f>
        <v>0</v>
      </c>
      <c r="CV76" s="192" t="str">
        <f>IF(AND($C76&lt;&gt;"",$L76&lt;&gt;""),(VLOOKUP($C76,'V-LOOKUP'!$C$122:$M$150,6,FALSE)),"0")</f>
        <v>0</v>
      </c>
      <c r="CW76" s="192" t="str">
        <f>IF(AND($C76&lt;&gt;"",$L76&lt;&gt;""),(VLOOKUP($C76,'V-LOOKUP'!$C$122:$M$150,7,FALSE)),"0")</f>
        <v>0</v>
      </c>
      <c r="CX76" s="192" t="str">
        <f>IF(AND($C76&lt;&gt;"",$L76&lt;&gt;""),(VLOOKUP($C76,'V-LOOKUP'!$C$122:$M$150,8,FALSE)),"0")</f>
        <v>0</v>
      </c>
      <c r="CY76" s="192" t="str">
        <f>IF(AND($C76&lt;&gt;"",$L76&lt;&gt;""),(VLOOKUP($C76,'V-LOOKUP'!$C$122:$M$150,9,FALSE)),"0")</f>
        <v>0</v>
      </c>
      <c r="CZ76" s="192" t="str">
        <f>IF(AND($C76&lt;&gt;"",$L76&lt;&gt;""),(VLOOKUP($C76,'V-LOOKUP'!$C$122:$M$150,10,FALSE)),"0")</f>
        <v>0</v>
      </c>
      <c r="DA76" s="192" t="str">
        <f>IF(AND($C76&lt;&gt;"",$L76&lt;&gt;""),(VLOOKUP($C76,'V-LOOKUP'!$C$122:$M$150,11,FALSE)),"0")</f>
        <v>0</v>
      </c>
      <c r="DB76" s="192" t="str">
        <f>IF(AND($C76&lt;&gt;"",$D76&lt;&gt;""),(VLOOKUP($C76,'V-LOOKUP'!$C$122:$N$150,12,FALSE)),"0")</f>
        <v>0</v>
      </c>
      <c r="DC76" s="192" t="str">
        <f>IF(AND($C76&lt;&gt;"",$M76&lt;&gt;""),(VLOOKUP($C76,'V-LOOKUP'!$C$122:$M$150,4,FALSE)),"0")</f>
        <v>0</v>
      </c>
      <c r="DD76" s="192" t="str">
        <f>IF(AND($C76&lt;&gt;"",$M76&lt;&gt;""),(VLOOKUP($C76,'V-LOOKUP'!$C$122:$M$150,5,FALSE)),"0")</f>
        <v>0</v>
      </c>
      <c r="DE76" s="192" t="str">
        <f>IF(AND($C76&lt;&gt;"",$M76&lt;&gt;""),(VLOOKUP($C76,'V-LOOKUP'!$C$122:$M$150,6,FALSE)),"0")</f>
        <v>0</v>
      </c>
      <c r="DF76" s="192" t="str">
        <f>IF(AND($C76&lt;&gt;"",$M76&lt;&gt;""),(VLOOKUP($C76,'V-LOOKUP'!$C$122:$M$150,7,FALSE)),"0")</f>
        <v>0</v>
      </c>
      <c r="DG76" s="192" t="str">
        <f>IF(AND($C76&lt;&gt;"",$M76&lt;&gt;""),(VLOOKUP($C76,'V-LOOKUP'!$C$122:$M$150,8,FALSE)),"0")</f>
        <v>0</v>
      </c>
      <c r="DH76" s="192" t="str">
        <f>IF(AND($C76&lt;&gt;"",$M76&lt;&gt;""),(VLOOKUP($C76,'V-LOOKUP'!$C$122:$M$150,9,FALSE)),"0")</f>
        <v>0</v>
      </c>
      <c r="DI76" s="192" t="str">
        <f>IF(AND($C76&lt;&gt;"",$M76&lt;&gt;""),(VLOOKUP($C76,'V-LOOKUP'!$C$122:$M$150,10,FALSE)),"0")</f>
        <v>0</v>
      </c>
      <c r="DJ76" s="192" t="str">
        <f>IF(AND($C76&lt;&gt;"",$M76&lt;&gt;""),(VLOOKUP($C76,'V-LOOKUP'!$C$122:$M$150,11,FALSE)),"0")</f>
        <v>0</v>
      </c>
      <c r="DK76" s="192" t="str">
        <f>IF(AND($C76&lt;&gt;"",$D76&lt;&gt;""),(VLOOKUP($C76,'V-LOOKUP'!$C$122:$N$150,12,FALSE)),"0")</f>
        <v>0</v>
      </c>
      <c r="DL76" s="192" t="str">
        <f>IF(AND($C76&lt;&gt;"",$N76&lt;&gt;""),(VLOOKUP($C76,'V-LOOKUP'!$C$122:$M$150,4,FALSE)),"0")</f>
        <v>0</v>
      </c>
      <c r="DM76" s="192" t="str">
        <f>IF(AND($C76&lt;&gt;"",$N76&lt;&gt;""),(VLOOKUP($C76,'V-LOOKUP'!$C$122:$M$150,5,FALSE)),"0")</f>
        <v>0</v>
      </c>
      <c r="DN76" s="192" t="str">
        <f>IF(AND($C76&lt;&gt;"",$N76&lt;&gt;""),(VLOOKUP($C76,'V-LOOKUP'!$C$122:$M$150,6,FALSE)),"0")</f>
        <v>0</v>
      </c>
      <c r="DO76" s="192" t="str">
        <f>IF(AND($C76&lt;&gt;"",$N76&lt;&gt;""),(VLOOKUP($C76,'V-LOOKUP'!$C$122:$M$150,7,FALSE)),"0")</f>
        <v>0</v>
      </c>
      <c r="DP76" s="192" t="str">
        <f>IF(AND($C76&lt;&gt;"",$N76&lt;&gt;""),(VLOOKUP($C76,'V-LOOKUP'!$C$122:$M$150,8,FALSE)),"0")</f>
        <v>0</v>
      </c>
      <c r="DQ76" s="192" t="str">
        <f>IF(AND($C76&lt;&gt;"",$N76&lt;&gt;""),(VLOOKUP($C76,'V-LOOKUP'!$C$122:$M$150,9,FALSE)),"0")</f>
        <v>0</v>
      </c>
      <c r="DR76" s="192" t="str">
        <f>IF(AND($C76&lt;&gt;"",$N76&lt;&gt;""),(VLOOKUP($C76,'V-LOOKUP'!$C$122:$M$150,10,FALSE)),"0")</f>
        <v>0</v>
      </c>
      <c r="DS76" s="192" t="str">
        <f>IF(AND($C76&lt;&gt;"",$N76&lt;&gt;""),(VLOOKUP($C76,'V-LOOKUP'!$C$122:$M$150,11,FALSE)),"0")</f>
        <v>0</v>
      </c>
      <c r="DT76" s="192" t="str">
        <f>IF(AND($C76&lt;&gt;"",$D76&lt;&gt;""),(VLOOKUP($C76,'V-LOOKUP'!$C$122:$N$150,12,FALSE)),"0")</f>
        <v>0</v>
      </c>
      <c r="DU76" s="192" t="str">
        <f>IF(AND($C76&lt;&gt;"",$O76&lt;&gt;""),(VLOOKUP($C76,'V-LOOKUP'!$C$122:$M$150,4,FALSE)),"0")</f>
        <v>0</v>
      </c>
      <c r="DV76" s="192" t="str">
        <f>IF(AND($C76&lt;&gt;"",$O76&lt;&gt;""),(VLOOKUP($C76,'V-LOOKUP'!$C$122:$M$150,5,FALSE)),"0")</f>
        <v>0</v>
      </c>
      <c r="DW76" s="192" t="str">
        <f>IF(AND($C76&lt;&gt;"",$O76&lt;&gt;""),(VLOOKUP($C76,'V-LOOKUP'!$C$122:$M$150,6,FALSE)),"0")</f>
        <v>0</v>
      </c>
      <c r="DX76" s="192" t="str">
        <f>IF(AND($C76&lt;&gt;"",$O76&lt;&gt;""),(VLOOKUP($C76,'V-LOOKUP'!$C$122:$M$150,7,FALSE)),"0")</f>
        <v>0</v>
      </c>
      <c r="DY76" s="192" t="str">
        <f>IF(AND($C76&lt;&gt;"",$O76&lt;&gt;""),(VLOOKUP($C76,'V-LOOKUP'!$C$122:$M$150,8,FALSE)),"0")</f>
        <v>0</v>
      </c>
      <c r="DZ76" s="192" t="str">
        <f>IF(AND($C76&lt;&gt;"",$O76&lt;&gt;""),(VLOOKUP($C76,'V-LOOKUP'!$C$122:$M$150,9,FALSE)),"0")</f>
        <v>0</v>
      </c>
      <c r="EA76" s="192" t="str">
        <f>IF(AND($C76&lt;&gt;"",$O76&lt;&gt;""),(VLOOKUP($C76,'V-LOOKUP'!$C$122:$M$150,10,FALSE)),"0")</f>
        <v>0</v>
      </c>
      <c r="EB76" s="192" t="str">
        <f>IF(AND($C76&lt;&gt;"",$O76&lt;&gt;""),(VLOOKUP($C76,'V-LOOKUP'!$C$122:$M$150,11,FALSE)),"0")</f>
        <v>0</v>
      </c>
      <c r="EC76" s="192" t="str">
        <f>IF(AND($C76&lt;&gt;"",$D76&lt;&gt;""),(VLOOKUP($C76,'V-LOOKUP'!$C$122:$N$150,12,FALSE)),"0")</f>
        <v>0</v>
      </c>
      <c r="ED76" s="192" t="str">
        <f>IF(AND($C76&lt;&gt;"",$P76&lt;&gt;""),(VLOOKUP($C76,'V-LOOKUP'!$C$122:$M$150,4,FALSE)),"0")</f>
        <v>0</v>
      </c>
      <c r="EE76" s="192" t="str">
        <f>IF(AND($C76&lt;&gt;"",$P76&lt;&gt;""),(VLOOKUP($C76,'V-LOOKUP'!$C$122:$M$150,5,FALSE)),"0")</f>
        <v>0</v>
      </c>
      <c r="EF76" s="192" t="str">
        <f>IF(AND($C76&lt;&gt;"",$P76&lt;&gt;""),(VLOOKUP($C76,'V-LOOKUP'!$C$122:$M$150,6,FALSE)),"0")</f>
        <v>0</v>
      </c>
      <c r="EG76" s="192" t="str">
        <f>IF(AND($C76&lt;&gt;"",$P76&lt;&gt;""),(VLOOKUP($C76,'V-LOOKUP'!$C$122:$M$150,7,FALSE)),"0")</f>
        <v>0</v>
      </c>
      <c r="EH76" s="192" t="str">
        <f>IF(AND($C76&lt;&gt;"",$P76&lt;&gt;""),(VLOOKUP($C76,'V-LOOKUP'!$C$122:$M$150,8,FALSE)),"0")</f>
        <v>0</v>
      </c>
      <c r="EI76" s="192" t="str">
        <f>IF(AND($C76&lt;&gt;"",$P76&lt;&gt;""),(VLOOKUP($C76,'V-LOOKUP'!$C$122:$M$150,9,FALSE)),"0")</f>
        <v>0</v>
      </c>
      <c r="EJ76" s="192" t="str">
        <f>IF(AND($C76&lt;&gt;"",$P76&lt;&gt;""),(VLOOKUP($C76,'V-LOOKUP'!$C$122:$M$150,10,FALSE)),"0")</f>
        <v>0</v>
      </c>
      <c r="EK76" s="192" t="str">
        <f>IF(AND($C76&lt;&gt;"",$P76&lt;&gt;""),(VLOOKUP($C76,'V-LOOKUP'!$C$122:$M$150,11,FALSE)),"0")</f>
        <v>0</v>
      </c>
      <c r="EL76" s="192" t="str">
        <f>IF(AND($C76&lt;&gt;"",$D76&lt;&gt;""),(VLOOKUP($C76,'V-LOOKUP'!$C$122:$N$150,12,FALSE)),"0")</f>
        <v>0</v>
      </c>
      <c r="EM76" s="192" t="str">
        <f>IF(AND($C76&lt;&gt;"",$Q76&lt;&gt;""),(VLOOKUP($C76,'V-LOOKUP'!$C$122:$M$150,4,FALSE)),"0")</f>
        <v>0</v>
      </c>
      <c r="EN76" s="192" t="str">
        <f>IF(AND($C76&lt;&gt;"",$Q76&lt;&gt;""),(VLOOKUP($C76,'V-LOOKUP'!$C$122:$M$150,5,FALSE)),"0")</f>
        <v>0</v>
      </c>
      <c r="EO76" s="192" t="str">
        <f>IF(AND($C76&lt;&gt;"",$Q76&lt;&gt;""),(VLOOKUP($C76,'V-LOOKUP'!$C$122:$M$150,6,FALSE)),"0")</f>
        <v>0</v>
      </c>
      <c r="EP76" s="192" t="str">
        <f>IF(AND($C76&lt;&gt;"",$Q76&lt;&gt;""),(VLOOKUP($C76,'V-LOOKUP'!$C$122:$M$150,7,FALSE)),"0")</f>
        <v>0</v>
      </c>
      <c r="EQ76" s="192" t="str">
        <f>IF(AND($C76&lt;&gt;"",$Q76&lt;&gt;""),(VLOOKUP($C76,'V-LOOKUP'!$C$122:$M$150,8,FALSE)),"0")</f>
        <v>0</v>
      </c>
      <c r="ER76" s="192" t="str">
        <f>IF(AND($C76&lt;&gt;"",$Q76&lt;&gt;""),(VLOOKUP($C76,'V-LOOKUP'!$C$122:$M$150,9,FALSE)),"0")</f>
        <v>0</v>
      </c>
      <c r="ES76" s="192" t="str">
        <f>IF(AND($C76&lt;&gt;"",$Q76&lt;&gt;""),(VLOOKUP($C76,'V-LOOKUP'!$C$122:$M$150,10,FALSE)),"0")</f>
        <v>0</v>
      </c>
      <c r="ET76" s="192" t="str">
        <f>IF(AND($C76&lt;&gt;"",$Q76&lt;&gt;""),(VLOOKUP($C76,'V-LOOKUP'!$C$122:$M$150,11,FALSE)),"0")</f>
        <v>0</v>
      </c>
      <c r="EU76" s="192" t="str">
        <f>IF(AND($C76&lt;&gt;"",$D76&lt;&gt;""),(VLOOKUP($C76,'V-LOOKUP'!$C$122:$N$150,12,FALSE)),"0")</f>
        <v>0</v>
      </c>
      <c r="EV76" s="192" t="str">
        <f>IF(AND($C76&lt;&gt;"",$R76&lt;&gt;""),(VLOOKUP($C76,'V-LOOKUP'!$C$122:$M$150,4,FALSE)),"0")</f>
        <v>0</v>
      </c>
      <c r="EW76" s="192" t="str">
        <f>IF(AND($C76&lt;&gt;"",$R76&lt;&gt;""),(VLOOKUP($C76,'V-LOOKUP'!$C$122:$M$150,5,FALSE)),"0")</f>
        <v>0</v>
      </c>
      <c r="EX76" s="192" t="str">
        <f>IF(AND($C76&lt;&gt;"",$R76&lt;&gt;""),(VLOOKUP($C76,'V-LOOKUP'!$C$122:$M$150,6,FALSE)),"0")</f>
        <v>0</v>
      </c>
      <c r="EY76" s="192" t="str">
        <f>IF(AND($C76&lt;&gt;"",$R76&lt;&gt;""),(VLOOKUP($C76,'V-LOOKUP'!$C$122:$M$150,7,FALSE)),"0")</f>
        <v>0</v>
      </c>
      <c r="EZ76" s="192" t="str">
        <f>IF(AND($C76&lt;&gt;"",$R76&lt;&gt;""),(VLOOKUP($C76,'V-LOOKUP'!$C$122:$M$150,8,FALSE)),"0")</f>
        <v>0</v>
      </c>
      <c r="FA76" s="192" t="str">
        <f>IF(AND($C76&lt;&gt;"",$R76&lt;&gt;""),(VLOOKUP($C76,'V-LOOKUP'!$C$122:$M$150,9,FALSE)),"0")</f>
        <v>0</v>
      </c>
      <c r="FB76" s="192" t="str">
        <f>IF(AND($C76&lt;&gt;"",$R76&lt;&gt;""),(VLOOKUP($C76,'V-LOOKUP'!$C$122:$M$150,10,FALSE)),"0")</f>
        <v>0</v>
      </c>
      <c r="FC76" s="192" t="str">
        <f>IF(AND($C76&lt;&gt;"",$R76&lt;&gt;""),(VLOOKUP($C76,'V-LOOKUP'!$C$122:$M$150,11,FALSE)),"0")</f>
        <v>0</v>
      </c>
      <c r="FD76" s="192" t="str">
        <f>IF(AND($C76&lt;&gt;"",$D76&lt;&gt;""),(VLOOKUP($C76,'V-LOOKUP'!$C$122:$N$150,12,FALSE)),"0")</f>
        <v>0</v>
      </c>
      <c r="FE76" s="192" t="str">
        <f>IF(AND($C76&lt;&gt;"",$S76&lt;&gt;""),(VLOOKUP($C76,'V-LOOKUP'!$C$122:$M$150,4,FALSE)),"0")</f>
        <v>0</v>
      </c>
      <c r="FF76" s="192" t="str">
        <f>IF(AND($C76&lt;&gt;"",$S76&lt;&gt;""),(VLOOKUP($C76,'V-LOOKUP'!$C$122:$M$150,5,FALSE)),"0")</f>
        <v>0</v>
      </c>
      <c r="FG76" s="192" t="str">
        <f>IF(AND($C76&lt;&gt;"",$S76&lt;&gt;""),(VLOOKUP($C76,'V-LOOKUP'!$C$122:$M$150,6,FALSE)),"0")</f>
        <v>0</v>
      </c>
      <c r="FH76" s="192" t="str">
        <f>IF(AND($C76&lt;&gt;"",$S76&lt;&gt;""),(VLOOKUP($C76,'V-LOOKUP'!$C$122:$M$150,7,FALSE)),"0")</f>
        <v>0</v>
      </c>
      <c r="FI76" s="192" t="str">
        <f>IF(AND($C76&lt;&gt;"",$S76&lt;&gt;""),(VLOOKUP($C76,'V-LOOKUP'!$C$122:$M$150,8,FALSE)),"0")</f>
        <v>0</v>
      </c>
      <c r="FJ76" s="192" t="str">
        <f>IF(AND($C76&lt;&gt;"",$S76&lt;&gt;""),(VLOOKUP($C76,'V-LOOKUP'!$C$122:$M$150,9,FALSE)),"0")</f>
        <v>0</v>
      </c>
      <c r="FK76" s="192" t="str">
        <f>IF(AND($C76&lt;&gt;"",$S76&lt;&gt;""),(VLOOKUP($C76,'V-LOOKUP'!$C$122:$M$150,10,FALSE)),"0")</f>
        <v>0</v>
      </c>
      <c r="FL76" s="192" t="str">
        <f>IF(AND($C76&lt;&gt;"",$S76&lt;&gt;""),(VLOOKUP($C76,'V-LOOKUP'!$C$122:$M$150,11,FALSE)),"0")</f>
        <v>0</v>
      </c>
      <c r="FM76" s="192" t="str">
        <f>IF(AND($C76&lt;&gt;"",$D76&lt;&gt;""),(VLOOKUP($C76,'V-LOOKUP'!$C$122:$N$150,12,FALSE)),"0")</f>
        <v>0</v>
      </c>
      <c r="FN76" s="192" t="str">
        <f>IF(AND($C76&lt;&gt;"",$T76&lt;&gt;""),(VLOOKUP($C76,'V-LOOKUP'!$C$122:$M$150,4,FALSE)),"0")</f>
        <v>0</v>
      </c>
      <c r="FO76" s="192" t="str">
        <f>IF(AND($C76&lt;&gt;"",$T76&lt;&gt;""),(VLOOKUP($C76,'V-LOOKUP'!$C$122:$M$150,5,FALSE)),"0")</f>
        <v>0</v>
      </c>
      <c r="FP76" s="192" t="str">
        <f>IF(AND($C76&lt;&gt;"",$T76&lt;&gt;""),(VLOOKUP($C76,'V-LOOKUP'!$C$122:$M$150,6,FALSE)),"0")</f>
        <v>0</v>
      </c>
      <c r="FQ76" s="192" t="str">
        <f>IF(AND($C76&lt;&gt;"",$T76&lt;&gt;""),(VLOOKUP($C76,'V-LOOKUP'!$C$122:$M$150,7,FALSE)),"0")</f>
        <v>0</v>
      </c>
      <c r="FR76" s="192" t="str">
        <f>IF(AND($C76&lt;&gt;"",$T76&lt;&gt;""),(VLOOKUP($C76,'V-LOOKUP'!$C$122:$M$150,8,FALSE)),"0")</f>
        <v>0</v>
      </c>
      <c r="FS76" s="192" t="str">
        <f>IF(AND($C76&lt;&gt;"",$T76&lt;&gt;""),(VLOOKUP($C76,'V-LOOKUP'!$C$122:$M$150,9,FALSE)),"0")</f>
        <v>0</v>
      </c>
      <c r="FT76" s="192" t="str">
        <f>IF(AND($C76&lt;&gt;"",$T76&lt;&gt;""),(VLOOKUP($C76,'V-LOOKUP'!$C$122:$M$150,10,FALSE)),"0")</f>
        <v>0</v>
      </c>
      <c r="FU76" s="192" t="str">
        <f>IF(AND($C76&lt;&gt;"",$T76&lt;&gt;""),(VLOOKUP($C76,'V-LOOKUP'!$C$122:$M$150,11,FALSE)),"0")</f>
        <v>0</v>
      </c>
      <c r="FV76" s="192" t="str">
        <f>IF(AND($C76&lt;&gt;"",$D76&lt;&gt;""),(VLOOKUP($C76,'V-LOOKUP'!$C$122:$N$150,12,FALSE)),"0")</f>
        <v>0</v>
      </c>
      <c r="FW76" s="192" t="str">
        <f>IF(AND($C76&lt;&gt;"",$U76&lt;&gt;""),(VLOOKUP($C76,'V-LOOKUP'!$C$122:$M$150,4,FALSE)),"0")</f>
        <v>0</v>
      </c>
      <c r="FX76" s="192" t="str">
        <f>IF(AND($C76&lt;&gt;"",$U76&lt;&gt;""),(VLOOKUP($C76,'V-LOOKUP'!$C$122:$M$150,5,FALSE)),"0")</f>
        <v>0</v>
      </c>
      <c r="FY76" s="192" t="str">
        <f>IF(AND($C76&lt;&gt;"",$U76&lt;&gt;""),(VLOOKUP($C76,'V-LOOKUP'!$C$122:$M$150,6,FALSE)),"0")</f>
        <v>0</v>
      </c>
      <c r="FZ76" s="192" t="str">
        <f>IF(AND($C76&lt;&gt;"",$U76&lt;&gt;""),(VLOOKUP($C76,'V-LOOKUP'!$C$122:$M$150,7,FALSE)),"0")</f>
        <v>0</v>
      </c>
      <c r="GA76" s="192" t="str">
        <f>IF(AND($C76&lt;&gt;"",$U76&lt;&gt;""),(VLOOKUP($C76,'V-LOOKUP'!$C$122:$M$150,8,FALSE)),"0")</f>
        <v>0</v>
      </c>
      <c r="GB76" s="192" t="str">
        <f>IF(AND($C76&lt;&gt;"",$U76&lt;&gt;""),(VLOOKUP($C76,'V-LOOKUP'!$C$122:$M$150,9,FALSE)),"0")</f>
        <v>0</v>
      </c>
      <c r="GC76" s="192" t="str">
        <f>IF(AND($C76&lt;&gt;"",$U76&lt;&gt;""),(VLOOKUP($C76,'V-LOOKUP'!$C$122:$M$150,10,FALSE)),"0")</f>
        <v>0</v>
      </c>
      <c r="GD76" s="192" t="str">
        <f>IF(AND($C76&lt;&gt;"",$U76&lt;&gt;""),(VLOOKUP($C76,'V-LOOKUP'!$C$122:$M$150,11,FALSE)),"0")</f>
        <v>0</v>
      </c>
      <c r="GE76" s="192" t="str">
        <f>IF(AND($C76&lt;&gt;"",$D76&lt;&gt;""),(VLOOKUP($C76,'V-LOOKUP'!$C$122:$N$150,12,FALSE)),"0")</f>
        <v>0</v>
      </c>
      <c r="GF76" s="192" t="str">
        <f>IF(AND($C76&lt;&gt;"",$V76&lt;&gt;""),(VLOOKUP($C76,'V-LOOKUP'!$C$122:$M$150,4,FALSE)),"0")</f>
        <v>0</v>
      </c>
      <c r="GG76" s="192" t="str">
        <f>IF(AND($C76&lt;&gt;"",$V76&lt;&gt;""),(VLOOKUP($C76,'V-LOOKUP'!$C$122:$M$150,5,FALSE)),"0")</f>
        <v>0</v>
      </c>
      <c r="GH76" s="192" t="str">
        <f>IF(AND($C76&lt;&gt;"",$V76&lt;&gt;""),(VLOOKUP($C76,'V-LOOKUP'!$C$122:$M$150,6,FALSE)),"0")</f>
        <v>0</v>
      </c>
      <c r="GI76" s="192" t="str">
        <f>IF(AND($C76&lt;&gt;"",$V76&lt;&gt;""),(VLOOKUP($C76,'V-LOOKUP'!$C$122:$M$150,7,FALSE)),"0")</f>
        <v>0</v>
      </c>
      <c r="GJ76" s="192" t="str">
        <f>IF(AND($C76&lt;&gt;"",$V76&lt;&gt;""),(VLOOKUP($C76,'V-LOOKUP'!$C$122:$M$150,8,FALSE)),"0")</f>
        <v>0</v>
      </c>
      <c r="GK76" s="192" t="str">
        <f>IF(AND($C76&lt;&gt;"",$V76&lt;&gt;""),(VLOOKUP($C76,'V-LOOKUP'!$C$122:$M$150,9,FALSE)),"0")</f>
        <v>0</v>
      </c>
      <c r="GL76" s="192" t="str">
        <f>IF(AND($C76&lt;&gt;"",$V76&lt;&gt;""),(VLOOKUP($C76,'V-LOOKUP'!$C$122:$M$150,10,FALSE)),"0")</f>
        <v>0</v>
      </c>
      <c r="GM76" s="192" t="str">
        <f>IF(AND($C76&lt;&gt;"",$V76&lt;&gt;""),(VLOOKUP($C76,'V-LOOKUP'!$C$122:$M$150,11,FALSE)),"0")</f>
        <v>0</v>
      </c>
      <c r="GN76" s="192" t="str">
        <f>IF(AND($C76&lt;&gt;"",$D76&lt;&gt;""),(VLOOKUP($C76,'V-LOOKUP'!$C$122:$N$150,12,FALSE)),"0")</f>
        <v>0</v>
      </c>
      <c r="GO76" s="192" t="str">
        <f>IF(AND($C76&lt;&gt;"",$W76&lt;&gt;""),(VLOOKUP($C76,'V-LOOKUP'!$C$122:$M$150,4,FALSE)),"0")</f>
        <v>0</v>
      </c>
      <c r="GP76" s="192" t="str">
        <f>IF(AND($C76&lt;&gt;"",$W76&lt;&gt;""),(VLOOKUP($C76,'V-LOOKUP'!$C$122:$M$150,5,FALSE)),"0")</f>
        <v>0</v>
      </c>
      <c r="GQ76" s="192" t="str">
        <f>IF(AND($C76&lt;&gt;"",$W76&lt;&gt;""),(VLOOKUP($C76,'V-LOOKUP'!$C$122:$M$150,6,FALSE)),"0")</f>
        <v>0</v>
      </c>
      <c r="GR76" s="192" t="str">
        <f>IF(AND($C76&lt;&gt;"",$W76&lt;&gt;""),(VLOOKUP($C76,'V-LOOKUP'!$C$122:$M$150,7,FALSE)),"0")</f>
        <v>0</v>
      </c>
      <c r="GS76" s="192" t="str">
        <f>IF(AND($C76&lt;&gt;"",$W76&lt;&gt;""),(VLOOKUP($C76,'V-LOOKUP'!$C$122:$M$150,8,FALSE)),"0")</f>
        <v>0</v>
      </c>
      <c r="GT76" s="192" t="str">
        <f>IF(AND($C76&lt;&gt;"",$W76&lt;&gt;""),(VLOOKUP($C76,'V-LOOKUP'!$C$122:$M$150,9,FALSE)),"0")</f>
        <v>0</v>
      </c>
      <c r="GU76" s="192" t="str">
        <f>IF(AND($C76&lt;&gt;"",$W76&lt;&gt;""),(VLOOKUP($C76,'V-LOOKUP'!$C$122:$M$150,10,FALSE)),"0")</f>
        <v>0</v>
      </c>
      <c r="GV76" s="192" t="str">
        <f>IF(AND($C76&lt;&gt;"",$W76&lt;&gt;""),(VLOOKUP($C76,'V-LOOKUP'!$C$122:$M$150,11,FALSE)),"0")</f>
        <v>0</v>
      </c>
      <c r="GW76" s="192" t="str">
        <f>IF(AND($C76&lt;&gt;"",$D76&lt;&gt;""),(VLOOKUP($C76,'V-LOOKUP'!$C$122:$N$150,12,FALSE)),"0")</f>
        <v>0</v>
      </c>
    </row>
    <row r="77" spans="1:205" ht="14.65" customHeight="1">
      <c r="B77" s="245"/>
      <c r="C77" s="203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Y77" s="190"/>
      <c r="Z77" s="192" t="str">
        <f>IF(AND($C77&lt;&gt;"",$D77&lt;&gt;""),(VLOOKUP($C77,'V-LOOKUP'!$C$122:$M$150,4,FALSE)),"0")</f>
        <v>0</v>
      </c>
      <c r="AA77" s="192" t="str">
        <f>IF(AND($C77&lt;&gt;"",$D77&lt;&gt;""),(VLOOKUP($C77,'V-LOOKUP'!$C$122:$M$150,5,FALSE)),"0")</f>
        <v>0</v>
      </c>
      <c r="AB77" s="192" t="str">
        <f>IF(AND($C77&lt;&gt;"",$D77&lt;&gt;""),(VLOOKUP($C77,'V-LOOKUP'!$C$122:$M$150,6,FALSE)),"0")</f>
        <v>0</v>
      </c>
      <c r="AC77" s="192" t="str">
        <f>IF(AND($C77&lt;&gt;"",$D77&lt;&gt;""),(VLOOKUP($C77,'V-LOOKUP'!$C$122:$M$150,7,FALSE)),"0")</f>
        <v>0</v>
      </c>
      <c r="AD77" s="192" t="str">
        <f>IF(AND($C77&lt;&gt;"",$D77&lt;&gt;""),(VLOOKUP($C77,'V-LOOKUP'!$C$122:$M$150,8,FALSE)),"0")</f>
        <v>0</v>
      </c>
      <c r="AE77" s="192" t="str">
        <f>IF(AND($C77&lt;&gt;"",$D77&lt;&gt;""),(VLOOKUP($C77,'V-LOOKUP'!$C$122:$M$150,9,FALSE)),"0")</f>
        <v>0</v>
      </c>
      <c r="AF77" s="192" t="str">
        <f>IF(AND($C77&lt;&gt;"",$D77&lt;&gt;""),(VLOOKUP($C77,'V-LOOKUP'!$C$122:$M$150,10,FALSE)),"0")</f>
        <v>0</v>
      </c>
      <c r="AG77" s="192" t="str">
        <f>IF(AND($C77&lt;&gt;"",$D77&lt;&gt;""),(VLOOKUP($C77,'V-LOOKUP'!$C$122:$M$150,11,FALSE)),"0")</f>
        <v>0</v>
      </c>
      <c r="AH77" s="192" t="str">
        <f>IF(AND($C77&lt;&gt;"",$D77&lt;&gt;""),(VLOOKUP($C77,'V-LOOKUP'!$C$122:$N$150,12,FALSE)),"0")</f>
        <v>0</v>
      </c>
      <c r="AI77" s="192" t="str">
        <f>IF(AND($C77&lt;&gt;"",$E77&lt;&gt;""),(VLOOKUP($C77,'V-LOOKUP'!$C$122:$M$150,4,FALSE)),"0")</f>
        <v>0</v>
      </c>
      <c r="AJ77" s="192" t="str">
        <f>IF(AND($C77&lt;&gt;"",$E77&lt;&gt;""),(VLOOKUP($C77,'V-LOOKUP'!$C$122:$M$150,5,FALSE)),"0")</f>
        <v>0</v>
      </c>
      <c r="AK77" s="192" t="str">
        <f>IF(AND($C77&lt;&gt;"",$E77&lt;&gt;""),(VLOOKUP($C77,'V-LOOKUP'!$C$122:$M$150,6,FALSE)),"0")</f>
        <v>0</v>
      </c>
      <c r="AL77" s="192" t="str">
        <f>IF(AND($C77&lt;&gt;"",$E77&lt;&gt;""),(VLOOKUP($C77,'V-LOOKUP'!$C$122:$M$150,7,FALSE)),"0")</f>
        <v>0</v>
      </c>
      <c r="AM77" s="192" t="str">
        <f>IF(AND($C77&lt;&gt;"",$E77&lt;&gt;""),(VLOOKUP($C77,'V-LOOKUP'!$C$122:$M$150,8,FALSE)),"0")</f>
        <v>0</v>
      </c>
      <c r="AN77" s="192" t="str">
        <f>IF(AND($C77&lt;&gt;"",$E77&lt;&gt;""),(VLOOKUP($C77,'V-LOOKUP'!$C$122:$M$150,9,FALSE)),"0")</f>
        <v>0</v>
      </c>
      <c r="AO77" s="192" t="str">
        <f>IF(AND($C77&lt;&gt;"",$E77&lt;&gt;""),(VLOOKUP($C77,'V-LOOKUP'!$C$122:$M$150,10,FALSE)),"0")</f>
        <v>0</v>
      </c>
      <c r="AP77" s="192" t="str">
        <f>IF(AND($C77&lt;&gt;"",$E77&lt;&gt;""),(VLOOKUP($C77,'V-LOOKUP'!$C$122:$M$150,11,FALSE)),"0")</f>
        <v>0</v>
      </c>
      <c r="AQ77" s="192" t="str">
        <f>IF(AND($C77&lt;&gt;"",$D77&lt;&gt;""),(VLOOKUP($C77,'V-LOOKUP'!$C$122:$N$150,12,FALSE)),"0")</f>
        <v>0</v>
      </c>
      <c r="AR77" s="192" t="str">
        <f>IF(AND($C77&lt;&gt;"",$F77&lt;&gt;""),(VLOOKUP($C77,'V-LOOKUP'!$C$122:$M$150,4,FALSE)),"0")</f>
        <v>0</v>
      </c>
      <c r="AS77" s="192" t="str">
        <f>IF(AND($C77&lt;&gt;"",$F77&lt;&gt;""),(VLOOKUP($C77,'V-LOOKUP'!$C$122:$M$150,5,FALSE)),"0")</f>
        <v>0</v>
      </c>
      <c r="AT77" s="192" t="str">
        <f>IF(AND($C77&lt;&gt;"",$F77&lt;&gt;""),(VLOOKUP($C77,'V-LOOKUP'!$C$122:$M$150,6,FALSE)),"0")</f>
        <v>0</v>
      </c>
      <c r="AU77" s="192" t="str">
        <f>IF(AND($C77&lt;&gt;"",$F77&lt;&gt;""),(VLOOKUP($C77,'V-LOOKUP'!$C$122:$M$150,7,FALSE)),"0")</f>
        <v>0</v>
      </c>
      <c r="AV77" s="192" t="str">
        <f>IF(AND($C77&lt;&gt;"",$F77&lt;&gt;""),(VLOOKUP($C77,'V-LOOKUP'!$C$122:$M$150,8,FALSE)),"0")</f>
        <v>0</v>
      </c>
      <c r="AW77" s="192" t="str">
        <f>IF(AND($C77&lt;&gt;"",$F77&lt;&gt;""),(VLOOKUP($C77,'V-LOOKUP'!$C$122:$M$150,9,FALSE)),"0")</f>
        <v>0</v>
      </c>
      <c r="AX77" s="192" t="str">
        <f>IF(AND($C77&lt;&gt;"",$F77&lt;&gt;""),(VLOOKUP($C77,'V-LOOKUP'!$C$122:$M$150,10,FALSE)),"0")</f>
        <v>0</v>
      </c>
      <c r="AY77" s="192" t="str">
        <f>IF(AND($C77&lt;&gt;"",$F77&lt;&gt;""),(VLOOKUP($C77,'V-LOOKUP'!$C$122:$M$150,11,FALSE)),"0")</f>
        <v>0</v>
      </c>
      <c r="AZ77" s="192" t="str">
        <f>IF(AND($C77&lt;&gt;"",$D77&lt;&gt;""),(VLOOKUP($C77,'V-LOOKUP'!$C$122:$N$150,12,FALSE)),"0")</f>
        <v>0</v>
      </c>
      <c r="BA77" s="192" t="str">
        <f>IF(AND($C77&lt;&gt;"",$G77&lt;&gt;""),(VLOOKUP($C77,'V-LOOKUP'!$C$122:$M$150,4,FALSE)),"0")</f>
        <v>0</v>
      </c>
      <c r="BB77" s="192" t="str">
        <f>IF(AND($C77&lt;&gt;"",$G77&lt;&gt;""),(VLOOKUP($C77,'V-LOOKUP'!$C$122:$M$150,5,FALSE)),"0")</f>
        <v>0</v>
      </c>
      <c r="BC77" s="192" t="str">
        <f>IF(AND($C77&lt;&gt;"",$G77&lt;&gt;""),(VLOOKUP($C77,'V-LOOKUP'!$C$122:$M$150,6,FALSE)),"0")</f>
        <v>0</v>
      </c>
      <c r="BD77" s="192" t="str">
        <f>IF(AND($C77&lt;&gt;"",$G77&lt;&gt;""),(VLOOKUP($C77,'V-LOOKUP'!$C$122:$M$150,7,FALSE)),"0")</f>
        <v>0</v>
      </c>
      <c r="BE77" s="192" t="str">
        <f>IF(AND($C77&lt;&gt;"",$G77&lt;&gt;""),(VLOOKUP($C77,'V-LOOKUP'!$C$122:$M$150,8,FALSE)),"0")</f>
        <v>0</v>
      </c>
      <c r="BF77" s="192" t="str">
        <f>IF(AND($C77&lt;&gt;"",$G77&lt;&gt;""),(VLOOKUP($C77,'V-LOOKUP'!$C$122:$M$150,9,FALSE)),"0")</f>
        <v>0</v>
      </c>
      <c r="BG77" s="192" t="str">
        <f>IF(AND($C77&lt;&gt;"",$G77&lt;&gt;""),(VLOOKUP($C77,'V-LOOKUP'!$C$122:$M$150,10,FALSE)),"0")</f>
        <v>0</v>
      </c>
      <c r="BH77" s="192" t="str">
        <f>IF(AND($C77&lt;&gt;"",$G77&lt;&gt;""),(VLOOKUP($C77,'V-LOOKUP'!$C$122:$M$150,11,FALSE)),"0")</f>
        <v>0</v>
      </c>
      <c r="BI77" s="192" t="str">
        <f>IF(AND($C77&lt;&gt;"",$D77&lt;&gt;""),(VLOOKUP($C77,'V-LOOKUP'!$C$122:$N$150,12,FALSE)),"0")</f>
        <v>0</v>
      </c>
      <c r="BJ77" s="192" t="str">
        <f>IF(AND($C77&lt;&gt;"",$H77&lt;&gt;""),(VLOOKUP($C77,'V-LOOKUP'!$C$122:$M$150,4,FALSE)),"0")</f>
        <v>0</v>
      </c>
      <c r="BK77" s="192" t="str">
        <f>IF(AND($C77&lt;&gt;"",$H77&lt;&gt;""),(VLOOKUP($C77,'V-LOOKUP'!$C$122:$M$150,5,FALSE)),"0")</f>
        <v>0</v>
      </c>
      <c r="BL77" s="192" t="str">
        <f>IF(AND($C77&lt;&gt;"",$H77&lt;&gt;""),(VLOOKUP($C77,'V-LOOKUP'!$C$122:$M$150,6,FALSE)),"0")</f>
        <v>0</v>
      </c>
      <c r="BM77" s="192" t="str">
        <f>IF(AND($C77&lt;&gt;"",$H77&lt;&gt;""),(VLOOKUP($C77,'V-LOOKUP'!$C$122:$M$150,7,FALSE)),"0")</f>
        <v>0</v>
      </c>
      <c r="BN77" s="192" t="str">
        <f>IF(AND($C77&lt;&gt;"",$H77&lt;&gt;""),(VLOOKUP($C77,'V-LOOKUP'!$C$122:$M$150,8,FALSE)),"0")</f>
        <v>0</v>
      </c>
      <c r="BO77" s="192" t="str">
        <f>IF(AND($C77&lt;&gt;"",$H77&lt;&gt;""),(VLOOKUP($C77,'V-LOOKUP'!$C$122:$M$150,9,FALSE)),"0")</f>
        <v>0</v>
      </c>
      <c r="BP77" s="192" t="str">
        <f>IF(AND($C77&lt;&gt;"",$H77&lt;&gt;""),(VLOOKUP($C77,'V-LOOKUP'!$C$122:$M$150,10,FALSE)),"0")</f>
        <v>0</v>
      </c>
      <c r="BQ77" s="192" t="str">
        <f>IF(AND($C77&lt;&gt;"",$H77&lt;&gt;""),(VLOOKUP($C77,'V-LOOKUP'!$C$122:$M$150,11,FALSE)),"0")</f>
        <v>0</v>
      </c>
      <c r="BR77" s="192" t="str">
        <f>IF(AND($C77&lt;&gt;"",$D77&lt;&gt;""),(VLOOKUP($C77,'V-LOOKUP'!$C$122:$N$150,12,FALSE)),"0")</f>
        <v>0</v>
      </c>
      <c r="BS77" s="192" t="str">
        <f>IF(AND($C77&lt;&gt;"",$I77&lt;&gt;""),(VLOOKUP($C77,'V-LOOKUP'!$C$122:$M$150,4,FALSE)),"0")</f>
        <v>0</v>
      </c>
      <c r="BT77" s="192" t="str">
        <f>IF(AND($C77&lt;&gt;"",$I77&lt;&gt;""),(VLOOKUP($C77,'V-LOOKUP'!$C$122:$M$150,5,FALSE)),"0")</f>
        <v>0</v>
      </c>
      <c r="BU77" s="192" t="str">
        <f>IF(AND($C77&lt;&gt;"",$I77&lt;&gt;""),(VLOOKUP($C77,'V-LOOKUP'!$C$122:$M$150,6,FALSE)),"0")</f>
        <v>0</v>
      </c>
      <c r="BV77" s="192" t="str">
        <f>IF(AND($C77&lt;&gt;"",$I77&lt;&gt;""),(VLOOKUP($C77,'V-LOOKUP'!$C$122:$M$150,7,FALSE)),"0")</f>
        <v>0</v>
      </c>
      <c r="BW77" s="192" t="str">
        <f>IF(AND($C77&lt;&gt;"",$I77&lt;&gt;""),(VLOOKUP($C77,'V-LOOKUP'!$C$122:$M$150,8,FALSE)),"0")</f>
        <v>0</v>
      </c>
      <c r="BX77" s="192" t="str">
        <f>IF(AND($C77&lt;&gt;"",$I77&lt;&gt;""),(VLOOKUP($C77,'V-LOOKUP'!$C$122:$M$150,9,FALSE)),"0")</f>
        <v>0</v>
      </c>
      <c r="BY77" s="192" t="str">
        <f>IF(AND($C77&lt;&gt;"",$I77&lt;&gt;""),(VLOOKUP($C77,'V-LOOKUP'!$C$122:$M$150,10,FALSE)),"0")</f>
        <v>0</v>
      </c>
      <c r="BZ77" s="192" t="str">
        <f>IF(AND($C77&lt;&gt;"",$I77&lt;&gt;""),(VLOOKUP($C77,'V-LOOKUP'!$C$122:$M$150,11,FALSE)),"0")</f>
        <v>0</v>
      </c>
      <c r="CA77" s="192" t="str">
        <f>IF(AND($C77&lt;&gt;"",$D77&lt;&gt;""),(VLOOKUP($C77,'V-LOOKUP'!$C$122:$N$150,12,FALSE)),"0")</f>
        <v>0</v>
      </c>
      <c r="CB77" s="192" t="str">
        <f>IF(AND($C77&lt;&gt;"",$J77&lt;&gt;""),(VLOOKUP($C77,'V-LOOKUP'!$C$122:$M$150,4,FALSE)),"0")</f>
        <v>0</v>
      </c>
      <c r="CC77" s="192" t="str">
        <f>IF(AND($C77&lt;&gt;"",$J77&lt;&gt;""),(VLOOKUP($C77,'V-LOOKUP'!$C$122:$M$150,5,FALSE)),"0")</f>
        <v>0</v>
      </c>
      <c r="CD77" s="192" t="str">
        <f>IF(AND($C77&lt;&gt;"",$J77&lt;&gt;""),(VLOOKUP($C77,'V-LOOKUP'!$C$122:$M$150,6,FALSE)),"0")</f>
        <v>0</v>
      </c>
      <c r="CE77" s="192" t="str">
        <f>IF(AND($C77&lt;&gt;"",$J77&lt;&gt;""),(VLOOKUP($C77,'V-LOOKUP'!$C$122:$M$150,7,FALSE)),"0")</f>
        <v>0</v>
      </c>
      <c r="CF77" s="192" t="str">
        <f>IF(AND($C77&lt;&gt;"",$J77&lt;&gt;""),(VLOOKUP($C77,'V-LOOKUP'!$C$122:$M$150,8,FALSE)),"0")</f>
        <v>0</v>
      </c>
      <c r="CG77" s="192" t="str">
        <f>IF(AND($C77&lt;&gt;"",$J77&lt;&gt;""),(VLOOKUP($C77,'V-LOOKUP'!$C$122:$M$150,9,FALSE)),"0")</f>
        <v>0</v>
      </c>
      <c r="CH77" s="192" t="str">
        <f>IF(AND($C77&lt;&gt;"",$J77&lt;&gt;""),(VLOOKUP($C77,'V-LOOKUP'!$C$122:$M$150,10,FALSE)),"0")</f>
        <v>0</v>
      </c>
      <c r="CI77" s="192" t="str">
        <f>IF(AND($C77&lt;&gt;"",$J77&lt;&gt;""),(VLOOKUP($C77,'V-LOOKUP'!$C$122:$M$150,11,FALSE)),"0")</f>
        <v>0</v>
      </c>
      <c r="CJ77" s="192" t="str">
        <f>IF(AND($C77&lt;&gt;"",$D77&lt;&gt;""),(VLOOKUP($C77,'V-LOOKUP'!$C$122:$N$150,12,FALSE)),"0")</f>
        <v>0</v>
      </c>
      <c r="CK77" s="192" t="str">
        <f>IF(AND($C77&lt;&gt;"",$K77&lt;&gt;""),(VLOOKUP($C77,'V-LOOKUP'!$C$122:$M$150,4,FALSE)),"0")</f>
        <v>0</v>
      </c>
      <c r="CL77" s="192" t="str">
        <f>IF(AND($C77&lt;&gt;"",$K77&lt;&gt;""),(VLOOKUP($C77,'V-LOOKUP'!$C$122:$M$150,5,FALSE)),"0")</f>
        <v>0</v>
      </c>
      <c r="CM77" s="192" t="str">
        <f>IF(AND($C77&lt;&gt;"",$K77&lt;&gt;""),(VLOOKUP($C77,'V-LOOKUP'!$C$122:$M$150,6,FALSE)),"0")</f>
        <v>0</v>
      </c>
      <c r="CN77" s="192" t="str">
        <f>IF(AND($C77&lt;&gt;"",$K77&lt;&gt;""),(VLOOKUP($C77,'V-LOOKUP'!$C$122:$M$150,7,FALSE)),"0")</f>
        <v>0</v>
      </c>
      <c r="CO77" s="192" t="str">
        <f>IF(AND($C77&lt;&gt;"",$K77&lt;&gt;""),(VLOOKUP($C77,'V-LOOKUP'!$C$122:$M$150,8,FALSE)),"0")</f>
        <v>0</v>
      </c>
      <c r="CP77" s="192" t="str">
        <f>IF(AND($C77&lt;&gt;"",$K77&lt;&gt;""),(VLOOKUP($C77,'V-LOOKUP'!$C$122:$M$150,9,FALSE)),"0")</f>
        <v>0</v>
      </c>
      <c r="CQ77" s="192" t="str">
        <f>IF(AND($C77&lt;&gt;"",$K77&lt;&gt;""),(VLOOKUP($C77,'V-LOOKUP'!$C$122:$M$150,10,FALSE)),"0")</f>
        <v>0</v>
      </c>
      <c r="CR77" s="192" t="str">
        <f>IF(AND($C77&lt;&gt;"",$K77&lt;&gt;""),(VLOOKUP($C77,'V-LOOKUP'!$C$122:$M$150,11,FALSE)),"0")</f>
        <v>0</v>
      </c>
      <c r="CS77" s="192" t="str">
        <f>IF(AND($C77&lt;&gt;"",$D77&lt;&gt;""),(VLOOKUP($C77,'V-LOOKUP'!$C$122:$N$150,12,FALSE)),"0")</f>
        <v>0</v>
      </c>
      <c r="CT77" s="192" t="str">
        <f>IF(AND($C77&lt;&gt;"",$L77&lt;&gt;""),(VLOOKUP($C77,'V-LOOKUP'!$C$122:$M$150,4,FALSE)),"0")</f>
        <v>0</v>
      </c>
      <c r="CU77" s="192" t="str">
        <f>IF(AND($C77&lt;&gt;"",$L77&lt;&gt;""),(VLOOKUP($C77,'V-LOOKUP'!$C$122:$M$150,5,FALSE)),"0")</f>
        <v>0</v>
      </c>
      <c r="CV77" s="192" t="str">
        <f>IF(AND($C77&lt;&gt;"",$L77&lt;&gt;""),(VLOOKUP($C77,'V-LOOKUP'!$C$122:$M$150,6,FALSE)),"0")</f>
        <v>0</v>
      </c>
      <c r="CW77" s="192" t="str">
        <f>IF(AND($C77&lt;&gt;"",$L77&lt;&gt;""),(VLOOKUP($C77,'V-LOOKUP'!$C$122:$M$150,7,FALSE)),"0")</f>
        <v>0</v>
      </c>
      <c r="CX77" s="192" t="str">
        <f>IF(AND($C77&lt;&gt;"",$L77&lt;&gt;""),(VLOOKUP($C77,'V-LOOKUP'!$C$122:$M$150,8,FALSE)),"0")</f>
        <v>0</v>
      </c>
      <c r="CY77" s="192" t="str">
        <f>IF(AND($C77&lt;&gt;"",$L77&lt;&gt;""),(VLOOKUP($C77,'V-LOOKUP'!$C$122:$M$150,9,FALSE)),"0")</f>
        <v>0</v>
      </c>
      <c r="CZ77" s="192" t="str">
        <f>IF(AND($C77&lt;&gt;"",$L77&lt;&gt;""),(VLOOKUP($C77,'V-LOOKUP'!$C$122:$M$150,10,FALSE)),"0")</f>
        <v>0</v>
      </c>
      <c r="DA77" s="192" t="str">
        <f>IF(AND($C77&lt;&gt;"",$L77&lt;&gt;""),(VLOOKUP($C77,'V-LOOKUP'!$C$122:$M$150,11,FALSE)),"0")</f>
        <v>0</v>
      </c>
      <c r="DB77" s="192" t="str">
        <f>IF(AND($C77&lt;&gt;"",$D77&lt;&gt;""),(VLOOKUP($C77,'V-LOOKUP'!$C$122:$N$150,12,FALSE)),"0")</f>
        <v>0</v>
      </c>
      <c r="DC77" s="192" t="str">
        <f>IF(AND($C77&lt;&gt;"",$M77&lt;&gt;""),(VLOOKUP($C77,'V-LOOKUP'!$C$122:$M$150,4,FALSE)),"0")</f>
        <v>0</v>
      </c>
      <c r="DD77" s="192" t="str">
        <f>IF(AND($C77&lt;&gt;"",$M77&lt;&gt;""),(VLOOKUP($C77,'V-LOOKUP'!$C$122:$M$150,5,FALSE)),"0")</f>
        <v>0</v>
      </c>
      <c r="DE77" s="192" t="str">
        <f>IF(AND($C77&lt;&gt;"",$M77&lt;&gt;""),(VLOOKUP($C77,'V-LOOKUP'!$C$122:$M$150,6,FALSE)),"0")</f>
        <v>0</v>
      </c>
      <c r="DF77" s="192" t="str">
        <f>IF(AND($C77&lt;&gt;"",$M77&lt;&gt;""),(VLOOKUP($C77,'V-LOOKUP'!$C$122:$M$150,7,FALSE)),"0")</f>
        <v>0</v>
      </c>
      <c r="DG77" s="192" t="str">
        <f>IF(AND($C77&lt;&gt;"",$M77&lt;&gt;""),(VLOOKUP($C77,'V-LOOKUP'!$C$122:$M$150,8,FALSE)),"0")</f>
        <v>0</v>
      </c>
      <c r="DH77" s="192" t="str">
        <f>IF(AND($C77&lt;&gt;"",$M77&lt;&gt;""),(VLOOKUP($C77,'V-LOOKUP'!$C$122:$M$150,9,FALSE)),"0")</f>
        <v>0</v>
      </c>
      <c r="DI77" s="192" t="str">
        <f>IF(AND($C77&lt;&gt;"",$M77&lt;&gt;""),(VLOOKUP($C77,'V-LOOKUP'!$C$122:$M$150,10,FALSE)),"0")</f>
        <v>0</v>
      </c>
      <c r="DJ77" s="192" t="str">
        <f>IF(AND($C77&lt;&gt;"",$M77&lt;&gt;""),(VLOOKUP($C77,'V-LOOKUP'!$C$122:$M$150,11,FALSE)),"0")</f>
        <v>0</v>
      </c>
      <c r="DK77" s="192" t="str">
        <f>IF(AND($C77&lt;&gt;"",$D77&lt;&gt;""),(VLOOKUP($C77,'V-LOOKUP'!$C$122:$N$150,12,FALSE)),"0")</f>
        <v>0</v>
      </c>
      <c r="DL77" s="192" t="str">
        <f>IF(AND($C77&lt;&gt;"",$N77&lt;&gt;""),(VLOOKUP($C77,'V-LOOKUP'!$C$122:$M$150,4,FALSE)),"0")</f>
        <v>0</v>
      </c>
      <c r="DM77" s="192" t="str">
        <f>IF(AND($C77&lt;&gt;"",$N77&lt;&gt;""),(VLOOKUP($C77,'V-LOOKUP'!$C$122:$M$150,5,FALSE)),"0")</f>
        <v>0</v>
      </c>
      <c r="DN77" s="192" t="str">
        <f>IF(AND($C77&lt;&gt;"",$N77&lt;&gt;""),(VLOOKUP($C77,'V-LOOKUP'!$C$122:$M$150,6,FALSE)),"0")</f>
        <v>0</v>
      </c>
      <c r="DO77" s="192" t="str">
        <f>IF(AND($C77&lt;&gt;"",$N77&lt;&gt;""),(VLOOKUP($C77,'V-LOOKUP'!$C$122:$M$150,7,FALSE)),"0")</f>
        <v>0</v>
      </c>
      <c r="DP77" s="192" t="str">
        <f>IF(AND($C77&lt;&gt;"",$N77&lt;&gt;""),(VLOOKUP($C77,'V-LOOKUP'!$C$122:$M$150,8,FALSE)),"0")</f>
        <v>0</v>
      </c>
      <c r="DQ77" s="192" t="str">
        <f>IF(AND($C77&lt;&gt;"",$N77&lt;&gt;""),(VLOOKUP($C77,'V-LOOKUP'!$C$122:$M$150,9,FALSE)),"0")</f>
        <v>0</v>
      </c>
      <c r="DR77" s="192" t="str">
        <f>IF(AND($C77&lt;&gt;"",$N77&lt;&gt;""),(VLOOKUP($C77,'V-LOOKUP'!$C$122:$M$150,10,FALSE)),"0")</f>
        <v>0</v>
      </c>
      <c r="DS77" s="192" t="str">
        <f>IF(AND($C77&lt;&gt;"",$N77&lt;&gt;""),(VLOOKUP($C77,'V-LOOKUP'!$C$122:$M$150,11,FALSE)),"0")</f>
        <v>0</v>
      </c>
      <c r="DT77" s="192" t="str">
        <f>IF(AND($C77&lt;&gt;"",$D77&lt;&gt;""),(VLOOKUP($C77,'V-LOOKUP'!$C$122:$N$150,12,FALSE)),"0")</f>
        <v>0</v>
      </c>
      <c r="DU77" s="192" t="str">
        <f>IF(AND($C77&lt;&gt;"",$O77&lt;&gt;""),(VLOOKUP($C77,'V-LOOKUP'!$C$122:$M$150,4,FALSE)),"0")</f>
        <v>0</v>
      </c>
      <c r="DV77" s="192" t="str">
        <f>IF(AND($C77&lt;&gt;"",$O77&lt;&gt;""),(VLOOKUP($C77,'V-LOOKUP'!$C$122:$M$150,5,FALSE)),"0")</f>
        <v>0</v>
      </c>
      <c r="DW77" s="192" t="str">
        <f>IF(AND($C77&lt;&gt;"",$O77&lt;&gt;""),(VLOOKUP($C77,'V-LOOKUP'!$C$122:$M$150,6,FALSE)),"0")</f>
        <v>0</v>
      </c>
      <c r="DX77" s="192" t="str">
        <f>IF(AND($C77&lt;&gt;"",$O77&lt;&gt;""),(VLOOKUP($C77,'V-LOOKUP'!$C$122:$M$150,7,FALSE)),"0")</f>
        <v>0</v>
      </c>
      <c r="DY77" s="192" t="str">
        <f>IF(AND($C77&lt;&gt;"",$O77&lt;&gt;""),(VLOOKUP($C77,'V-LOOKUP'!$C$122:$M$150,8,FALSE)),"0")</f>
        <v>0</v>
      </c>
      <c r="DZ77" s="192" t="str">
        <f>IF(AND($C77&lt;&gt;"",$O77&lt;&gt;""),(VLOOKUP($C77,'V-LOOKUP'!$C$122:$M$150,9,FALSE)),"0")</f>
        <v>0</v>
      </c>
      <c r="EA77" s="192" t="str">
        <f>IF(AND($C77&lt;&gt;"",$O77&lt;&gt;""),(VLOOKUP($C77,'V-LOOKUP'!$C$122:$M$150,10,FALSE)),"0")</f>
        <v>0</v>
      </c>
      <c r="EB77" s="192" t="str">
        <f>IF(AND($C77&lt;&gt;"",$O77&lt;&gt;""),(VLOOKUP($C77,'V-LOOKUP'!$C$122:$M$150,11,FALSE)),"0")</f>
        <v>0</v>
      </c>
      <c r="EC77" s="192" t="str">
        <f>IF(AND($C77&lt;&gt;"",$D77&lt;&gt;""),(VLOOKUP($C77,'V-LOOKUP'!$C$122:$N$150,12,FALSE)),"0")</f>
        <v>0</v>
      </c>
      <c r="ED77" s="192" t="str">
        <f>IF(AND($C77&lt;&gt;"",$P77&lt;&gt;""),(VLOOKUP($C77,'V-LOOKUP'!$C$122:$M$150,4,FALSE)),"0")</f>
        <v>0</v>
      </c>
      <c r="EE77" s="192" t="str">
        <f>IF(AND($C77&lt;&gt;"",$P77&lt;&gt;""),(VLOOKUP($C77,'V-LOOKUP'!$C$122:$M$150,5,FALSE)),"0")</f>
        <v>0</v>
      </c>
      <c r="EF77" s="192" t="str">
        <f>IF(AND($C77&lt;&gt;"",$P77&lt;&gt;""),(VLOOKUP($C77,'V-LOOKUP'!$C$122:$M$150,6,FALSE)),"0")</f>
        <v>0</v>
      </c>
      <c r="EG77" s="192" t="str">
        <f>IF(AND($C77&lt;&gt;"",$P77&lt;&gt;""),(VLOOKUP($C77,'V-LOOKUP'!$C$122:$M$150,7,FALSE)),"0")</f>
        <v>0</v>
      </c>
      <c r="EH77" s="192" t="str">
        <f>IF(AND($C77&lt;&gt;"",$P77&lt;&gt;""),(VLOOKUP($C77,'V-LOOKUP'!$C$122:$M$150,8,FALSE)),"0")</f>
        <v>0</v>
      </c>
      <c r="EI77" s="192" t="str">
        <f>IF(AND($C77&lt;&gt;"",$P77&lt;&gt;""),(VLOOKUP($C77,'V-LOOKUP'!$C$122:$M$150,9,FALSE)),"0")</f>
        <v>0</v>
      </c>
      <c r="EJ77" s="192" t="str">
        <f>IF(AND($C77&lt;&gt;"",$P77&lt;&gt;""),(VLOOKUP($C77,'V-LOOKUP'!$C$122:$M$150,10,FALSE)),"0")</f>
        <v>0</v>
      </c>
      <c r="EK77" s="192" t="str">
        <f>IF(AND($C77&lt;&gt;"",$P77&lt;&gt;""),(VLOOKUP($C77,'V-LOOKUP'!$C$122:$M$150,11,FALSE)),"0")</f>
        <v>0</v>
      </c>
      <c r="EL77" s="192" t="str">
        <f>IF(AND($C77&lt;&gt;"",$D77&lt;&gt;""),(VLOOKUP($C77,'V-LOOKUP'!$C$122:$N$150,12,FALSE)),"0")</f>
        <v>0</v>
      </c>
      <c r="EM77" s="192" t="str">
        <f>IF(AND($C77&lt;&gt;"",$Q77&lt;&gt;""),(VLOOKUP($C77,'V-LOOKUP'!$C$122:$M$150,4,FALSE)),"0")</f>
        <v>0</v>
      </c>
      <c r="EN77" s="192" t="str">
        <f>IF(AND($C77&lt;&gt;"",$Q77&lt;&gt;""),(VLOOKUP($C77,'V-LOOKUP'!$C$122:$M$150,5,FALSE)),"0")</f>
        <v>0</v>
      </c>
      <c r="EO77" s="192" t="str">
        <f>IF(AND($C77&lt;&gt;"",$Q77&lt;&gt;""),(VLOOKUP($C77,'V-LOOKUP'!$C$122:$M$150,6,FALSE)),"0")</f>
        <v>0</v>
      </c>
      <c r="EP77" s="192" t="str">
        <f>IF(AND($C77&lt;&gt;"",$Q77&lt;&gt;""),(VLOOKUP($C77,'V-LOOKUP'!$C$122:$M$150,7,FALSE)),"0")</f>
        <v>0</v>
      </c>
      <c r="EQ77" s="192" t="str">
        <f>IF(AND($C77&lt;&gt;"",$Q77&lt;&gt;""),(VLOOKUP($C77,'V-LOOKUP'!$C$122:$M$150,8,FALSE)),"0")</f>
        <v>0</v>
      </c>
      <c r="ER77" s="192" t="str">
        <f>IF(AND($C77&lt;&gt;"",$Q77&lt;&gt;""),(VLOOKUP($C77,'V-LOOKUP'!$C$122:$M$150,9,FALSE)),"0")</f>
        <v>0</v>
      </c>
      <c r="ES77" s="192" t="str">
        <f>IF(AND($C77&lt;&gt;"",$Q77&lt;&gt;""),(VLOOKUP($C77,'V-LOOKUP'!$C$122:$M$150,10,FALSE)),"0")</f>
        <v>0</v>
      </c>
      <c r="ET77" s="192" t="str">
        <f>IF(AND($C77&lt;&gt;"",$Q77&lt;&gt;""),(VLOOKUP($C77,'V-LOOKUP'!$C$122:$M$150,11,FALSE)),"0")</f>
        <v>0</v>
      </c>
      <c r="EU77" s="192" t="str">
        <f>IF(AND($C77&lt;&gt;"",$D77&lt;&gt;""),(VLOOKUP($C77,'V-LOOKUP'!$C$122:$N$150,12,FALSE)),"0")</f>
        <v>0</v>
      </c>
      <c r="EV77" s="192" t="str">
        <f>IF(AND($C77&lt;&gt;"",$R77&lt;&gt;""),(VLOOKUP($C77,'V-LOOKUP'!$C$122:$M$150,4,FALSE)),"0")</f>
        <v>0</v>
      </c>
      <c r="EW77" s="192" t="str">
        <f>IF(AND($C77&lt;&gt;"",$R77&lt;&gt;""),(VLOOKUP($C77,'V-LOOKUP'!$C$122:$M$150,5,FALSE)),"0")</f>
        <v>0</v>
      </c>
      <c r="EX77" s="192" t="str">
        <f>IF(AND($C77&lt;&gt;"",$R77&lt;&gt;""),(VLOOKUP($C77,'V-LOOKUP'!$C$122:$M$150,6,FALSE)),"0")</f>
        <v>0</v>
      </c>
      <c r="EY77" s="192" t="str">
        <f>IF(AND($C77&lt;&gt;"",$R77&lt;&gt;""),(VLOOKUP($C77,'V-LOOKUP'!$C$122:$M$150,7,FALSE)),"0")</f>
        <v>0</v>
      </c>
      <c r="EZ77" s="192" t="str">
        <f>IF(AND($C77&lt;&gt;"",$R77&lt;&gt;""),(VLOOKUP($C77,'V-LOOKUP'!$C$122:$M$150,8,FALSE)),"0")</f>
        <v>0</v>
      </c>
      <c r="FA77" s="192" t="str">
        <f>IF(AND($C77&lt;&gt;"",$R77&lt;&gt;""),(VLOOKUP($C77,'V-LOOKUP'!$C$122:$M$150,9,FALSE)),"0")</f>
        <v>0</v>
      </c>
      <c r="FB77" s="192" t="str">
        <f>IF(AND($C77&lt;&gt;"",$R77&lt;&gt;""),(VLOOKUP($C77,'V-LOOKUP'!$C$122:$M$150,10,FALSE)),"0")</f>
        <v>0</v>
      </c>
      <c r="FC77" s="192" t="str">
        <f>IF(AND($C77&lt;&gt;"",$R77&lt;&gt;""),(VLOOKUP($C77,'V-LOOKUP'!$C$122:$M$150,11,FALSE)),"0")</f>
        <v>0</v>
      </c>
      <c r="FD77" s="192" t="str">
        <f>IF(AND($C77&lt;&gt;"",$D77&lt;&gt;""),(VLOOKUP($C77,'V-LOOKUP'!$C$122:$N$150,12,FALSE)),"0")</f>
        <v>0</v>
      </c>
      <c r="FE77" s="192" t="str">
        <f>IF(AND($C77&lt;&gt;"",$S77&lt;&gt;""),(VLOOKUP($C77,'V-LOOKUP'!$C$122:$M$150,4,FALSE)),"0")</f>
        <v>0</v>
      </c>
      <c r="FF77" s="192" t="str">
        <f>IF(AND($C77&lt;&gt;"",$S77&lt;&gt;""),(VLOOKUP($C77,'V-LOOKUP'!$C$122:$M$150,5,FALSE)),"0")</f>
        <v>0</v>
      </c>
      <c r="FG77" s="192" t="str">
        <f>IF(AND($C77&lt;&gt;"",$S77&lt;&gt;""),(VLOOKUP($C77,'V-LOOKUP'!$C$122:$M$150,6,FALSE)),"0")</f>
        <v>0</v>
      </c>
      <c r="FH77" s="192" t="str">
        <f>IF(AND($C77&lt;&gt;"",$S77&lt;&gt;""),(VLOOKUP($C77,'V-LOOKUP'!$C$122:$M$150,7,FALSE)),"0")</f>
        <v>0</v>
      </c>
      <c r="FI77" s="192" t="str">
        <f>IF(AND($C77&lt;&gt;"",$S77&lt;&gt;""),(VLOOKUP($C77,'V-LOOKUP'!$C$122:$M$150,8,FALSE)),"0")</f>
        <v>0</v>
      </c>
      <c r="FJ77" s="192" t="str">
        <f>IF(AND($C77&lt;&gt;"",$S77&lt;&gt;""),(VLOOKUP($C77,'V-LOOKUP'!$C$122:$M$150,9,FALSE)),"0")</f>
        <v>0</v>
      </c>
      <c r="FK77" s="192" t="str">
        <f>IF(AND($C77&lt;&gt;"",$S77&lt;&gt;""),(VLOOKUP($C77,'V-LOOKUP'!$C$122:$M$150,10,FALSE)),"0")</f>
        <v>0</v>
      </c>
      <c r="FL77" s="192" t="str">
        <f>IF(AND($C77&lt;&gt;"",$S77&lt;&gt;""),(VLOOKUP($C77,'V-LOOKUP'!$C$122:$M$150,11,FALSE)),"0")</f>
        <v>0</v>
      </c>
      <c r="FM77" s="192" t="str">
        <f>IF(AND($C77&lt;&gt;"",$D77&lt;&gt;""),(VLOOKUP($C77,'V-LOOKUP'!$C$122:$N$150,12,FALSE)),"0")</f>
        <v>0</v>
      </c>
      <c r="FN77" s="192" t="str">
        <f>IF(AND($C77&lt;&gt;"",$T77&lt;&gt;""),(VLOOKUP($C77,'V-LOOKUP'!$C$122:$M$150,4,FALSE)),"0")</f>
        <v>0</v>
      </c>
      <c r="FO77" s="192" t="str">
        <f>IF(AND($C77&lt;&gt;"",$T77&lt;&gt;""),(VLOOKUP($C77,'V-LOOKUP'!$C$122:$M$150,5,FALSE)),"0")</f>
        <v>0</v>
      </c>
      <c r="FP77" s="192" t="str">
        <f>IF(AND($C77&lt;&gt;"",$T77&lt;&gt;""),(VLOOKUP($C77,'V-LOOKUP'!$C$122:$M$150,6,FALSE)),"0")</f>
        <v>0</v>
      </c>
      <c r="FQ77" s="192" t="str">
        <f>IF(AND($C77&lt;&gt;"",$T77&lt;&gt;""),(VLOOKUP($C77,'V-LOOKUP'!$C$122:$M$150,7,FALSE)),"0")</f>
        <v>0</v>
      </c>
      <c r="FR77" s="192" t="str">
        <f>IF(AND($C77&lt;&gt;"",$T77&lt;&gt;""),(VLOOKUP($C77,'V-LOOKUP'!$C$122:$M$150,8,FALSE)),"0")</f>
        <v>0</v>
      </c>
      <c r="FS77" s="192" t="str">
        <f>IF(AND($C77&lt;&gt;"",$T77&lt;&gt;""),(VLOOKUP($C77,'V-LOOKUP'!$C$122:$M$150,9,FALSE)),"0")</f>
        <v>0</v>
      </c>
      <c r="FT77" s="192" t="str">
        <f>IF(AND($C77&lt;&gt;"",$T77&lt;&gt;""),(VLOOKUP($C77,'V-LOOKUP'!$C$122:$M$150,10,FALSE)),"0")</f>
        <v>0</v>
      </c>
      <c r="FU77" s="192" t="str">
        <f>IF(AND($C77&lt;&gt;"",$T77&lt;&gt;""),(VLOOKUP($C77,'V-LOOKUP'!$C$122:$M$150,11,FALSE)),"0")</f>
        <v>0</v>
      </c>
      <c r="FV77" s="192" t="str">
        <f>IF(AND($C77&lt;&gt;"",$D77&lt;&gt;""),(VLOOKUP($C77,'V-LOOKUP'!$C$122:$N$150,12,FALSE)),"0")</f>
        <v>0</v>
      </c>
      <c r="FW77" s="192" t="str">
        <f>IF(AND($C77&lt;&gt;"",$U77&lt;&gt;""),(VLOOKUP($C77,'V-LOOKUP'!$C$122:$M$150,4,FALSE)),"0")</f>
        <v>0</v>
      </c>
      <c r="FX77" s="192" t="str">
        <f>IF(AND($C77&lt;&gt;"",$U77&lt;&gt;""),(VLOOKUP($C77,'V-LOOKUP'!$C$122:$M$150,5,FALSE)),"0")</f>
        <v>0</v>
      </c>
      <c r="FY77" s="192" t="str">
        <f>IF(AND($C77&lt;&gt;"",$U77&lt;&gt;""),(VLOOKUP($C77,'V-LOOKUP'!$C$122:$M$150,6,FALSE)),"0")</f>
        <v>0</v>
      </c>
      <c r="FZ77" s="192" t="str">
        <f>IF(AND($C77&lt;&gt;"",$U77&lt;&gt;""),(VLOOKUP($C77,'V-LOOKUP'!$C$122:$M$150,7,FALSE)),"0")</f>
        <v>0</v>
      </c>
      <c r="GA77" s="192" t="str">
        <f>IF(AND($C77&lt;&gt;"",$U77&lt;&gt;""),(VLOOKUP($C77,'V-LOOKUP'!$C$122:$M$150,8,FALSE)),"0")</f>
        <v>0</v>
      </c>
      <c r="GB77" s="192" t="str">
        <f>IF(AND($C77&lt;&gt;"",$U77&lt;&gt;""),(VLOOKUP($C77,'V-LOOKUP'!$C$122:$M$150,9,FALSE)),"0")</f>
        <v>0</v>
      </c>
      <c r="GC77" s="192" t="str">
        <f>IF(AND($C77&lt;&gt;"",$U77&lt;&gt;""),(VLOOKUP($C77,'V-LOOKUP'!$C$122:$M$150,10,FALSE)),"0")</f>
        <v>0</v>
      </c>
      <c r="GD77" s="192" t="str">
        <f>IF(AND($C77&lt;&gt;"",$U77&lt;&gt;""),(VLOOKUP($C77,'V-LOOKUP'!$C$122:$M$150,11,FALSE)),"0")</f>
        <v>0</v>
      </c>
      <c r="GE77" s="192" t="str">
        <f>IF(AND($C77&lt;&gt;"",$D77&lt;&gt;""),(VLOOKUP($C77,'V-LOOKUP'!$C$122:$N$150,12,FALSE)),"0")</f>
        <v>0</v>
      </c>
      <c r="GF77" s="192" t="str">
        <f>IF(AND($C77&lt;&gt;"",$V77&lt;&gt;""),(VLOOKUP($C77,'V-LOOKUP'!$C$122:$M$150,4,FALSE)),"0")</f>
        <v>0</v>
      </c>
      <c r="GG77" s="192" t="str">
        <f>IF(AND($C77&lt;&gt;"",$V77&lt;&gt;""),(VLOOKUP($C77,'V-LOOKUP'!$C$122:$M$150,5,FALSE)),"0")</f>
        <v>0</v>
      </c>
      <c r="GH77" s="192" t="str">
        <f>IF(AND($C77&lt;&gt;"",$V77&lt;&gt;""),(VLOOKUP($C77,'V-LOOKUP'!$C$122:$M$150,6,FALSE)),"0")</f>
        <v>0</v>
      </c>
      <c r="GI77" s="192" t="str">
        <f>IF(AND($C77&lt;&gt;"",$V77&lt;&gt;""),(VLOOKUP($C77,'V-LOOKUP'!$C$122:$M$150,7,FALSE)),"0")</f>
        <v>0</v>
      </c>
      <c r="GJ77" s="192" t="str">
        <f>IF(AND($C77&lt;&gt;"",$V77&lt;&gt;""),(VLOOKUP($C77,'V-LOOKUP'!$C$122:$M$150,8,FALSE)),"0")</f>
        <v>0</v>
      </c>
      <c r="GK77" s="192" t="str">
        <f>IF(AND($C77&lt;&gt;"",$V77&lt;&gt;""),(VLOOKUP($C77,'V-LOOKUP'!$C$122:$M$150,9,FALSE)),"0")</f>
        <v>0</v>
      </c>
      <c r="GL77" s="192" t="str">
        <f>IF(AND($C77&lt;&gt;"",$V77&lt;&gt;""),(VLOOKUP($C77,'V-LOOKUP'!$C$122:$M$150,10,FALSE)),"0")</f>
        <v>0</v>
      </c>
      <c r="GM77" s="192" t="str">
        <f>IF(AND($C77&lt;&gt;"",$V77&lt;&gt;""),(VLOOKUP($C77,'V-LOOKUP'!$C$122:$M$150,11,FALSE)),"0")</f>
        <v>0</v>
      </c>
      <c r="GN77" s="192" t="str">
        <f>IF(AND($C77&lt;&gt;"",$D77&lt;&gt;""),(VLOOKUP($C77,'V-LOOKUP'!$C$122:$N$150,12,FALSE)),"0")</f>
        <v>0</v>
      </c>
      <c r="GO77" s="192" t="str">
        <f>IF(AND($C77&lt;&gt;"",$W77&lt;&gt;""),(VLOOKUP($C77,'V-LOOKUP'!$C$122:$M$150,4,FALSE)),"0")</f>
        <v>0</v>
      </c>
      <c r="GP77" s="192" t="str">
        <f>IF(AND($C77&lt;&gt;"",$W77&lt;&gt;""),(VLOOKUP($C77,'V-LOOKUP'!$C$122:$M$150,5,FALSE)),"0")</f>
        <v>0</v>
      </c>
      <c r="GQ77" s="192" t="str">
        <f>IF(AND($C77&lt;&gt;"",$W77&lt;&gt;""),(VLOOKUP($C77,'V-LOOKUP'!$C$122:$M$150,6,FALSE)),"0")</f>
        <v>0</v>
      </c>
      <c r="GR77" s="192" t="str">
        <f>IF(AND($C77&lt;&gt;"",$W77&lt;&gt;""),(VLOOKUP($C77,'V-LOOKUP'!$C$122:$M$150,7,FALSE)),"0")</f>
        <v>0</v>
      </c>
      <c r="GS77" s="192" t="str">
        <f>IF(AND($C77&lt;&gt;"",$W77&lt;&gt;""),(VLOOKUP($C77,'V-LOOKUP'!$C$122:$M$150,8,FALSE)),"0")</f>
        <v>0</v>
      </c>
      <c r="GT77" s="192" t="str">
        <f>IF(AND($C77&lt;&gt;"",$W77&lt;&gt;""),(VLOOKUP($C77,'V-LOOKUP'!$C$122:$M$150,9,FALSE)),"0")</f>
        <v>0</v>
      </c>
      <c r="GU77" s="192" t="str">
        <f>IF(AND($C77&lt;&gt;"",$W77&lt;&gt;""),(VLOOKUP($C77,'V-LOOKUP'!$C$122:$M$150,10,FALSE)),"0")</f>
        <v>0</v>
      </c>
      <c r="GV77" s="192" t="str">
        <f>IF(AND($C77&lt;&gt;"",$W77&lt;&gt;""),(VLOOKUP($C77,'V-LOOKUP'!$C$122:$M$150,11,FALSE)),"0")</f>
        <v>0</v>
      </c>
      <c r="GW77" s="192" t="str">
        <f>IF(AND($C77&lt;&gt;"",$D77&lt;&gt;""),(VLOOKUP($C77,'V-LOOKUP'!$C$122:$N$150,12,FALSE)),"0")</f>
        <v>0</v>
      </c>
    </row>
    <row r="78" spans="1:205" ht="14.65" customHeight="1">
      <c r="B78" s="245"/>
      <c r="C78" s="203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Y78" s="190"/>
      <c r="Z78" s="192" t="str">
        <f>IF(AND($C78&lt;&gt;"",$D78&lt;&gt;""),(VLOOKUP($C78,'V-LOOKUP'!$C$122:$M$150,4,FALSE)),"0")</f>
        <v>0</v>
      </c>
      <c r="AA78" s="192" t="str">
        <f>IF(AND($C78&lt;&gt;"",$D78&lt;&gt;""),(VLOOKUP($C78,'V-LOOKUP'!$C$122:$M$150,5,FALSE)),"0")</f>
        <v>0</v>
      </c>
      <c r="AB78" s="192" t="str">
        <f>IF(AND($C78&lt;&gt;"",$D78&lt;&gt;""),(VLOOKUP($C78,'V-LOOKUP'!$C$122:$M$150,6,FALSE)),"0")</f>
        <v>0</v>
      </c>
      <c r="AC78" s="192" t="str">
        <f>IF(AND($C78&lt;&gt;"",$D78&lt;&gt;""),(VLOOKUP($C78,'V-LOOKUP'!$C$122:$M$150,7,FALSE)),"0")</f>
        <v>0</v>
      </c>
      <c r="AD78" s="192" t="str">
        <f>IF(AND($C78&lt;&gt;"",$D78&lt;&gt;""),(VLOOKUP($C78,'V-LOOKUP'!$C$122:$M$150,8,FALSE)),"0")</f>
        <v>0</v>
      </c>
      <c r="AE78" s="192" t="str">
        <f>IF(AND($C78&lt;&gt;"",$D78&lt;&gt;""),(VLOOKUP($C78,'V-LOOKUP'!$C$122:$M$150,9,FALSE)),"0")</f>
        <v>0</v>
      </c>
      <c r="AF78" s="192" t="str">
        <f>IF(AND($C78&lt;&gt;"",$D78&lt;&gt;""),(VLOOKUP($C78,'V-LOOKUP'!$C$122:$M$150,10,FALSE)),"0")</f>
        <v>0</v>
      </c>
      <c r="AG78" s="192" t="str">
        <f>IF(AND($C78&lt;&gt;"",$D78&lt;&gt;""),(VLOOKUP($C78,'V-LOOKUP'!$C$122:$M$150,11,FALSE)),"0")</f>
        <v>0</v>
      </c>
      <c r="AH78" s="192" t="str">
        <f>IF(AND($C78&lt;&gt;"",$D78&lt;&gt;""),(VLOOKUP($C78,'V-LOOKUP'!$C$122:$N$150,12,FALSE)),"0")</f>
        <v>0</v>
      </c>
      <c r="AI78" s="192" t="str">
        <f>IF(AND($C78&lt;&gt;"",$E78&lt;&gt;""),(VLOOKUP($C78,'V-LOOKUP'!$C$122:$M$150,4,FALSE)),"0")</f>
        <v>0</v>
      </c>
      <c r="AJ78" s="192" t="str">
        <f>IF(AND($C78&lt;&gt;"",$E78&lt;&gt;""),(VLOOKUP($C78,'V-LOOKUP'!$C$122:$M$150,5,FALSE)),"0")</f>
        <v>0</v>
      </c>
      <c r="AK78" s="192" t="str">
        <f>IF(AND($C78&lt;&gt;"",$E78&lt;&gt;""),(VLOOKUP($C78,'V-LOOKUP'!$C$122:$M$150,6,FALSE)),"0")</f>
        <v>0</v>
      </c>
      <c r="AL78" s="192" t="str">
        <f>IF(AND($C78&lt;&gt;"",$E78&lt;&gt;""),(VLOOKUP($C78,'V-LOOKUP'!$C$122:$M$150,7,FALSE)),"0")</f>
        <v>0</v>
      </c>
      <c r="AM78" s="192" t="str">
        <f>IF(AND($C78&lt;&gt;"",$E78&lt;&gt;""),(VLOOKUP($C78,'V-LOOKUP'!$C$122:$M$150,8,FALSE)),"0")</f>
        <v>0</v>
      </c>
      <c r="AN78" s="192" t="str">
        <f>IF(AND($C78&lt;&gt;"",$E78&lt;&gt;""),(VLOOKUP($C78,'V-LOOKUP'!$C$122:$M$150,9,FALSE)),"0")</f>
        <v>0</v>
      </c>
      <c r="AO78" s="192" t="str">
        <f>IF(AND($C78&lt;&gt;"",$E78&lt;&gt;""),(VLOOKUP($C78,'V-LOOKUP'!$C$122:$M$150,10,FALSE)),"0")</f>
        <v>0</v>
      </c>
      <c r="AP78" s="192" t="str">
        <f>IF(AND($C78&lt;&gt;"",$E78&lt;&gt;""),(VLOOKUP($C78,'V-LOOKUP'!$C$122:$M$150,11,FALSE)),"0")</f>
        <v>0</v>
      </c>
      <c r="AQ78" s="192" t="str">
        <f>IF(AND($C78&lt;&gt;"",$D78&lt;&gt;""),(VLOOKUP($C78,'V-LOOKUP'!$C$122:$N$150,12,FALSE)),"0")</f>
        <v>0</v>
      </c>
      <c r="AR78" s="192" t="str">
        <f>IF(AND($C78&lt;&gt;"",$F78&lt;&gt;""),(VLOOKUP($C78,'V-LOOKUP'!$C$122:$M$150,4,FALSE)),"0")</f>
        <v>0</v>
      </c>
      <c r="AS78" s="192" t="str">
        <f>IF(AND($C78&lt;&gt;"",$F78&lt;&gt;""),(VLOOKUP($C78,'V-LOOKUP'!$C$122:$M$150,5,FALSE)),"0")</f>
        <v>0</v>
      </c>
      <c r="AT78" s="192" t="str">
        <f>IF(AND($C78&lt;&gt;"",$F78&lt;&gt;""),(VLOOKUP($C78,'V-LOOKUP'!$C$122:$M$150,6,FALSE)),"0")</f>
        <v>0</v>
      </c>
      <c r="AU78" s="192" t="str">
        <f>IF(AND($C78&lt;&gt;"",$F78&lt;&gt;""),(VLOOKUP($C78,'V-LOOKUP'!$C$122:$M$150,7,FALSE)),"0")</f>
        <v>0</v>
      </c>
      <c r="AV78" s="192" t="str">
        <f>IF(AND($C78&lt;&gt;"",$F78&lt;&gt;""),(VLOOKUP($C78,'V-LOOKUP'!$C$122:$M$150,8,FALSE)),"0")</f>
        <v>0</v>
      </c>
      <c r="AW78" s="192" t="str">
        <f>IF(AND($C78&lt;&gt;"",$F78&lt;&gt;""),(VLOOKUP($C78,'V-LOOKUP'!$C$122:$M$150,9,FALSE)),"0")</f>
        <v>0</v>
      </c>
      <c r="AX78" s="192" t="str">
        <f>IF(AND($C78&lt;&gt;"",$F78&lt;&gt;""),(VLOOKUP($C78,'V-LOOKUP'!$C$122:$M$150,10,FALSE)),"0")</f>
        <v>0</v>
      </c>
      <c r="AY78" s="192" t="str">
        <f>IF(AND($C78&lt;&gt;"",$F78&lt;&gt;""),(VLOOKUP($C78,'V-LOOKUP'!$C$122:$M$150,11,FALSE)),"0")</f>
        <v>0</v>
      </c>
      <c r="AZ78" s="192" t="str">
        <f>IF(AND($C78&lt;&gt;"",$D78&lt;&gt;""),(VLOOKUP($C78,'V-LOOKUP'!$C$122:$N$150,12,FALSE)),"0")</f>
        <v>0</v>
      </c>
      <c r="BA78" s="192" t="str">
        <f>IF(AND($C78&lt;&gt;"",$G78&lt;&gt;""),(VLOOKUP($C78,'V-LOOKUP'!$C$122:$M$150,4,FALSE)),"0")</f>
        <v>0</v>
      </c>
      <c r="BB78" s="192" t="str">
        <f>IF(AND($C78&lt;&gt;"",$G78&lt;&gt;""),(VLOOKUP($C78,'V-LOOKUP'!$C$122:$M$150,5,FALSE)),"0")</f>
        <v>0</v>
      </c>
      <c r="BC78" s="192" t="str">
        <f>IF(AND($C78&lt;&gt;"",$G78&lt;&gt;""),(VLOOKUP($C78,'V-LOOKUP'!$C$122:$M$150,6,FALSE)),"0")</f>
        <v>0</v>
      </c>
      <c r="BD78" s="192" t="str">
        <f>IF(AND($C78&lt;&gt;"",$G78&lt;&gt;""),(VLOOKUP($C78,'V-LOOKUP'!$C$122:$M$150,7,FALSE)),"0")</f>
        <v>0</v>
      </c>
      <c r="BE78" s="192" t="str">
        <f>IF(AND($C78&lt;&gt;"",$G78&lt;&gt;""),(VLOOKUP($C78,'V-LOOKUP'!$C$122:$M$150,8,FALSE)),"0")</f>
        <v>0</v>
      </c>
      <c r="BF78" s="192" t="str">
        <f>IF(AND($C78&lt;&gt;"",$G78&lt;&gt;""),(VLOOKUP($C78,'V-LOOKUP'!$C$122:$M$150,9,FALSE)),"0")</f>
        <v>0</v>
      </c>
      <c r="BG78" s="192" t="str">
        <f>IF(AND($C78&lt;&gt;"",$G78&lt;&gt;""),(VLOOKUP($C78,'V-LOOKUP'!$C$122:$M$150,10,FALSE)),"0")</f>
        <v>0</v>
      </c>
      <c r="BH78" s="192" t="str">
        <f>IF(AND($C78&lt;&gt;"",$G78&lt;&gt;""),(VLOOKUP($C78,'V-LOOKUP'!$C$122:$M$150,11,FALSE)),"0")</f>
        <v>0</v>
      </c>
      <c r="BI78" s="192" t="str">
        <f>IF(AND($C78&lt;&gt;"",$D78&lt;&gt;""),(VLOOKUP($C78,'V-LOOKUP'!$C$122:$N$150,12,FALSE)),"0")</f>
        <v>0</v>
      </c>
      <c r="BJ78" s="192" t="str">
        <f>IF(AND($C78&lt;&gt;"",$H78&lt;&gt;""),(VLOOKUP($C78,'V-LOOKUP'!$C$122:$M$150,4,FALSE)),"0")</f>
        <v>0</v>
      </c>
      <c r="BK78" s="192" t="str">
        <f>IF(AND($C78&lt;&gt;"",$H78&lt;&gt;""),(VLOOKUP($C78,'V-LOOKUP'!$C$122:$M$150,5,FALSE)),"0")</f>
        <v>0</v>
      </c>
      <c r="BL78" s="192" t="str">
        <f>IF(AND($C78&lt;&gt;"",$H78&lt;&gt;""),(VLOOKUP($C78,'V-LOOKUP'!$C$122:$M$150,6,FALSE)),"0")</f>
        <v>0</v>
      </c>
      <c r="BM78" s="192" t="str">
        <f>IF(AND($C78&lt;&gt;"",$H78&lt;&gt;""),(VLOOKUP($C78,'V-LOOKUP'!$C$122:$M$150,7,FALSE)),"0")</f>
        <v>0</v>
      </c>
      <c r="BN78" s="192" t="str">
        <f>IF(AND($C78&lt;&gt;"",$H78&lt;&gt;""),(VLOOKUP($C78,'V-LOOKUP'!$C$122:$M$150,8,FALSE)),"0")</f>
        <v>0</v>
      </c>
      <c r="BO78" s="192" t="str">
        <f>IF(AND($C78&lt;&gt;"",$H78&lt;&gt;""),(VLOOKUP($C78,'V-LOOKUP'!$C$122:$M$150,9,FALSE)),"0")</f>
        <v>0</v>
      </c>
      <c r="BP78" s="192" t="str">
        <f>IF(AND($C78&lt;&gt;"",$H78&lt;&gt;""),(VLOOKUP($C78,'V-LOOKUP'!$C$122:$M$150,10,FALSE)),"0")</f>
        <v>0</v>
      </c>
      <c r="BQ78" s="192" t="str">
        <f>IF(AND($C78&lt;&gt;"",$H78&lt;&gt;""),(VLOOKUP($C78,'V-LOOKUP'!$C$122:$M$150,11,FALSE)),"0")</f>
        <v>0</v>
      </c>
      <c r="BR78" s="192" t="str">
        <f>IF(AND($C78&lt;&gt;"",$D78&lt;&gt;""),(VLOOKUP($C78,'V-LOOKUP'!$C$122:$N$150,12,FALSE)),"0")</f>
        <v>0</v>
      </c>
      <c r="BS78" s="192" t="str">
        <f>IF(AND($C78&lt;&gt;"",$I78&lt;&gt;""),(VLOOKUP($C78,'V-LOOKUP'!$C$122:$M$150,4,FALSE)),"0")</f>
        <v>0</v>
      </c>
      <c r="BT78" s="192" t="str">
        <f>IF(AND($C78&lt;&gt;"",$I78&lt;&gt;""),(VLOOKUP($C78,'V-LOOKUP'!$C$122:$M$150,5,FALSE)),"0")</f>
        <v>0</v>
      </c>
      <c r="BU78" s="192" t="str">
        <f>IF(AND($C78&lt;&gt;"",$I78&lt;&gt;""),(VLOOKUP($C78,'V-LOOKUP'!$C$122:$M$150,6,FALSE)),"0")</f>
        <v>0</v>
      </c>
      <c r="BV78" s="192" t="str">
        <f>IF(AND($C78&lt;&gt;"",$I78&lt;&gt;""),(VLOOKUP($C78,'V-LOOKUP'!$C$122:$M$150,7,FALSE)),"0")</f>
        <v>0</v>
      </c>
      <c r="BW78" s="192" t="str">
        <f>IF(AND($C78&lt;&gt;"",$I78&lt;&gt;""),(VLOOKUP($C78,'V-LOOKUP'!$C$122:$M$150,8,FALSE)),"0")</f>
        <v>0</v>
      </c>
      <c r="BX78" s="192" t="str">
        <f>IF(AND($C78&lt;&gt;"",$I78&lt;&gt;""),(VLOOKUP($C78,'V-LOOKUP'!$C$122:$M$150,9,FALSE)),"0")</f>
        <v>0</v>
      </c>
      <c r="BY78" s="192" t="str">
        <f>IF(AND($C78&lt;&gt;"",$I78&lt;&gt;""),(VLOOKUP($C78,'V-LOOKUP'!$C$122:$M$150,10,FALSE)),"0")</f>
        <v>0</v>
      </c>
      <c r="BZ78" s="192" t="str">
        <f>IF(AND($C78&lt;&gt;"",$I78&lt;&gt;""),(VLOOKUP($C78,'V-LOOKUP'!$C$122:$M$150,11,FALSE)),"0")</f>
        <v>0</v>
      </c>
      <c r="CA78" s="192" t="str">
        <f>IF(AND($C78&lt;&gt;"",$D78&lt;&gt;""),(VLOOKUP($C78,'V-LOOKUP'!$C$122:$N$150,12,FALSE)),"0")</f>
        <v>0</v>
      </c>
      <c r="CB78" s="192" t="str">
        <f>IF(AND($C78&lt;&gt;"",$J78&lt;&gt;""),(VLOOKUP($C78,'V-LOOKUP'!$C$122:$M$150,4,FALSE)),"0")</f>
        <v>0</v>
      </c>
      <c r="CC78" s="192" t="str">
        <f>IF(AND($C78&lt;&gt;"",$J78&lt;&gt;""),(VLOOKUP($C78,'V-LOOKUP'!$C$122:$M$150,5,FALSE)),"0")</f>
        <v>0</v>
      </c>
      <c r="CD78" s="192" t="str">
        <f>IF(AND($C78&lt;&gt;"",$J78&lt;&gt;""),(VLOOKUP($C78,'V-LOOKUP'!$C$122:$M$150,6,FALSE)),"0")</f>
        <v>0</v>
      </c>
      <c r="CE78" s="192" t="str">
        <f>IF(AND($C78&lt;&gt;"",$J78&lt;&gt;""),(VLOOKUP($C78,'V-LOOKUP'!$C$122:$M$150,7,FALSE)),"0")</f>
        <v>0</v>
      </c>
      <c r="CF78" s="192" t="str">
        <f>IF(AND($C78&lt;&gt;"",$J78&lt;&gt;""),(VLOOKUP($C78,'V-LOOKUP'!$C$122:$M$150,8,FALSE)),"0")</f>
        <v>0</v>
      </c>
      <c r="CG78" s="192" t="str">
        <f>IF(AND($C78&lt;&gt;"",$J78&lt;&gt;""),(VLOOKUP($C78,'V-LOOKUP'!$C$122:$M$150,9,FALSE)),"0")</f>
        <v>0</v>
      </c>
      <c r="CH78" s="192" t="str">
        <f>IF(AND($C78&lt;&gt;"",$J78&lt;&gt;""),(VLOOKUP($C78,'V-LOOKUP'!$C$122:$M$150,10,FALSE)),"0")</f>
        <v>0</v>
      </c>
      <c r="CI78" s="192" t="str">
        <f>IF(AND($C78&lt;&gt;"",$J78&lt;&gt;""),(VLOOKUP($C78,'V-LOOKUP'!$C$122:$M$150,11,FALSE)),"0")</f>
        <v>0</v>
      </c>
      <c r="CJ78" s="192" t="str">
        <f>IF(AND($C78&lt;&gt;"",$D78&lt;&gt;""),(VLOOKUP($C78,'V-LOOKUP'!$C$122:$N$150,12,FALSE)),"0")</f>
        <v>0</v>
      </c>
      <c r="CK78" s="192" t="str">
        <f>IF(AND($C78&lt;&gt;"",$K78&lt;&gt;""),(VLOOKUP($C78,'V-LOOKUP'!$C$122:$M$150,4,FALSE)),"0")</f>
        <v>0</v>
      </c>
      <c r="CL78" s="192" t="str">
        <f>IF(AND($C78&lt;&gt;"",$K78&lt;&gt;""),(VLOOKUP($C78,'V-LOOKUP'!$C$122:$M$150,5,FALSE)),"0")</f>
        <v>0</v>
      </c>
      <c r="CM78" s="192" t="str">
        <f>IF(AND($C78&lt;&gt;"",$K78&lt;&gt;""),(VLOOKUP($C78,'V-LOOKUP'!$C$122:$M$150,6,FALSE)),"0")</f>
        <v>0</v>
      </c>
      <c r="CN78" s="192" t="str">
        <f>IF(AND($C78&lt;&gt;"",$K78&lt;&gt;""),(VLOOKUP($C78,'V-LOOKUP'!$C$122:$M$150,7,FALSE)),"0")</f>
        <v>0</v>
      </c>
      <c r="CO78" s="192" t="str">
        <f>IF(AND($C78&lt;&gt;"",$K78&lt;&gt;""),(VLOOKUP($C78,'V-LOOKUP'!$C$122:$M$150,8,FALSE)),"0")</f>
        <v>0</v>
      </c>
      <c r="CP78" s="192" t="str">
        <f>IF(AND($C78&lt;&gt;"",$K78&lt;&gt;""),(VLOOKUP($C78,'V-LOOKUP'!$C$122:$M$150,9,FALSE)),"0")</f>
        <v>0</v>
      </c>
      <c r="CQ78" s="192" t="str">
        <f>IF(AND($C78&lt;&gt;"",$K78&lt;&gt;""),(VLOOKUP($C78,'V-LOOKUP'!$C$122:$M$150,10,FALSE)),"0")</f>
        <v>0</v>
      </c>
      <c r="CR78" s="192" t="str">
        <f>IF(AND($C78&lt;&gt;"",$K78&lt;&gt;""),(VLOOKUP($C78,'V-LOOKUP'!$C$122:$M$150,11,FALSE)),"0")</f>
        <v>0</v>
      </c>
      <c r="CS78" s="192" t="str">
        <f>IF(AND($C78&lt;&gt;"",$D78&lt;&gt;""),(VLOOKUP($C78,'V-LOOKUP'!$C$122:$N$150,12,FALSE)),"0")</f>
        <v>0</v>
      </c>
      <c r="CT78" s="192" t="str">
        <f>IF(AND($C78&lt;&gt;"",$L78&lt;&gt;""),(VLOOKUP($C78,'V-LOOKUP'!$C$122:$M$150,4,FALSE)),"0")</f>
        <v>0</v>
      </c>
      <c r="CU78" s="192" t="str">
        <f>IF(AND($C78&lt;&gt;"",$L78&lt;&gt;""),(VLOOKUP($C78,'V-LOOKUP'!$C$122:$M$150,5,FALSE)),"0")</f>
        <v>0</v>
      </c>
      <c r="CV78" s="192" t="str">
        <f>IF(AND($C78&lt;&gt;"",$L78&lt;&gt;""),(VLOOKUP($C78,'V-LOOKUP'!$C$122:$M$150,6,FALSE)),"0")</f>
        <v>0</v>
      </c>
      <c r="CW78" s="192" t="str">
        <f>IF(AND($C78&lt;&gt;"",$L78&lt;&gt;""),(VLOOKUP($C78,'V-LOOKUP'!$C$122:$M$150,7,FALSE)),"0")</f>
        <v>0</v>
      </c>
      <c r="CX78" s="192" t="str">
        <f>IF(AND($C78&lt;&gt;"",$L78&lt;&gt;""),(VLOOKUP($C78,'V-LOOKUP'!$C$122:$M$150,8,FALSE)),"0")</f>
        <v>0</v>
      </c>
      <c r="CY78" s="192" t="str">
        <f>IF(AND($C78&lt;&gt;"",$L78&lt;&gt;""),(VLOOKUP($C78,'V-LOOKUP'!$C$122:$M$150,9,FALSE)),"0")</f>
        <v>0</v>
      </c>
      <c r="CZ78" s="192" t="str">
        <f>IF(AND($C78&lt;&gt;"",$L78&lt;&gt;""),(VLOOKUP($C78,'V-LOOKUP'!$C$122:$M$150,10,FALSE)),"0")</f>
        <v>0</v>
      </c>
      <c r="DA78" s="192" t="str">
        <f>IF(AND($C78&lt;&gt;"",$L78&lt;&gt;""),(VLOOKUP($C78,'V-LOOKUP'!$C$122:$M$150,11,FALSE)),"0")</f>
        <v>0</v>
      </c>
      <c r="DB78" s="192" t="str">
        <f>IF(AND($C78&lt;&gt;"",$D78&lt;&gt;""),(VLOOKUP($C78,'V-LOOKUP'!$C$122:$N$150,12,FALSE)),"0")</f>
        <v>0</v>
      </c>
      <c r="DC78" s="192" t="str">
        <f>IF(AND($C78&lt;&gt;"",$M78&lt;&gt;""),(VLOOKUP($C78,'V-LOOKUP'!$C$122:$M$150,4,FALSE)),"0")</f>
        <v>0</v>
      </c>
      <c r="DD78" s="192" t="str">
        <f>IF(AND($C78&lt;&gt;"",$M78&lt;&gt;""),(VLOOKUP($C78,'V-LOOKUP'!$C$122:$M$150,5,FALSE)),"0")</f>
        <v>0</v>
      </c>
      <c r="DE78" s="192" t="str">
        <f>IF(AND($C78&lt;&gt;"",$M78&lt;&gt;""),(VLOOKUP($C78,'V-LOOKUP'!$C$122:$M$150,6,FALSE)),"0")</f>
        <v>0</v>
      </c>
      <c r="DF78" s="192" t="str">
        <f>IF(AND($C78&lt;&gt;"",$M78&lt;&gt;""),(VLOOKUP($C78,'V-LOOKUP'!$C$122:$M$150,7,FALSE)),"0")</f>
        <v>0</v>
      </c>
      <c r="DG78" s="192" t="str">
        <f>IF(AND($C78&lt;&gt;"",$M78&lt;&gt;""),(VLOOKUP($C78,'V-LOOKUP'!$C$122:$M$150,8,FALSE)),"0")</f>
        <v>0</v>
      </c>
      <c r="DH78" s="192" t="str">
        <f>IF(AND($C78&lt;&gt;"",$M78&lt;&gt;""),(VLOOKUP($C78,'V-LOOKUP'!$C$122:$M$150,9,FALSE)),"0")</f>
        <v>0</v>
      </c>
      <c r="DI78" s="192" t="str">
        <f>IF(AND($C78&lt;&gt;"",$M78&lt;&gt;""),(VLOOKUP($C78,'V-LOOKUP'!$C$122:$M$150,10,FALSE)),"0")</f>
        <v>0</v>
      </c>
      <c r="DJ78" s="192" t="str">
        <f>IF(AND($C78&lt;&gt;"",$M78&lt;&gt;""),(VLOOKUP($C78,'V-LOOKUP'!$C$122:$M$150,11,FALSE)),"0")</f>
        <v>0</v>
      </c>
      <c r="DK78" s="192" t="str">
        <f>IF(AND($C78&lt;&gt;"",$D78&lt;&gt;""),(VLOOKUP($C78,'V-LOOKUP'!$C$122:$N$150,12,FALSE)),"0")</f>
        <v>0</v>
      </c>
      <c r="DL78" s="192" t="str">
        <f>IF(AND($C78&lt;&gt;"",$N78&lt;&gt;""),(VLOOKUP($C78,'V-LOOKUP'!$C$122:$M$150,4,FALSE)),"0")</f>
        <v>0</v>
      </c>
      <c r="DM78" s="192" t="str">
        <f>IF(AND($C78&lt;&gt;"",$N78&lt;&gt;""),(VLOOKUP($C78,'V-LOOKUP'!$C$122:$M$150,5,FALSE)),"0")</f>
        <v>0</v>
      </c>
      <c r="DN78" s="192" t="str">
        <f>IF(AND($C78&lt;&gt;"",$N78&lt;&gt;""),(VLOOKUP($C78,'V-LOOKUP'!$C$122:$M$150,6,FALSE)),"0")</f>
        <v>0</v>
      </c>
      <c r="DO78" s="192" t="str">
        <f>IF(AND($C78&lt;&gt;"",$N78&lt;&gt;""),(VLOOKUP($C78,'V-LOOKUP'!$C$122:$M$150,7,FALSE)),"0")</f>
        <v>0</v>
      </c>
      <c r="DP78" s="192" t="str">
        <f>IF(AND($C78&lt;&gt;"",$N78&lt;&gt;""),(VLOOKUP($C78,'V-LOOKUP'!$C$122:$M$150,8,FALSE)),"0")</f>
        <v>0</v>
      </c>
      <c r="DQ78" s="192" t="str">
        <f>IF(AND($C78&lt;&gt;"",$N78&lt;&gt;""),(VLOOKUP($C78,'V-LOOKUP'!$C$122:$M$150,9,FALSE)),"0")</f>
        <v>0</v>
      </c>
      <c r="DR78" s="192" t="str">
        <f>IF(AND($C78&lt;&gt;"",$N78&lt;&gt;""),(VLOOKUP($C78,'V-LOOKUP'!$C$122:$M$150,10,FALSE)),"0")</f>
        <v>0</v>
      </c>
      <c r="DS78" s="192" t="str">
        <f>IF(AND($C78&lt;&gt;"",$N78&lt;&gt;""),(VLOOKUP($C78,'V-LOOKUP'!$C$122:$M$150,11,FALSE)),"0")</f>
        <v>0</v>
      </c>
      <c r="DT78" s="192" t="str">
        <f>IF(AND($C78&lt;&gt;"",$D78&lt;&gt;""),(VLOOKUP($C78,'V-LOOKUP'!$C$122:$N$150,12,FALSE)),"0")</f>
        <v>0</v>
      </c>
      <c r="DU78" s="192" t="str">
        <f>IF(AND($C78&lt;&gt;"",$O78&lt;&gt;""),(VLOOKUP($C78,'V-LOOKUP'!$C$122:$M$150,4,FALSE)),"0")</f>
        <v>0</v>
      </c>
      <c r="DV78" s="192" t="str">
        <f>IF(AND($C78&lt;&gt;"",$O78&lt;&gt;""),(VLOOKUP($C78,'V-LOOKUP'!$C$122:$M$150,5,FALSE)),"0")</f>
        <v>0</v>
      </c>
      <c r="DW78" s="192" t="str">
        <f>IF(AND($C78&lt;&gt;"",$O78&lt;&gt;""),(VLOOKUP($C78,'V-LOOKUP'!$C$122:$M$150,6,FALSE)),"0")</f>
        <v>0</v>
      </c>
      <c r="DX78" s="192" t="str">
        <f>IF(AND($C78&lt;&gt;"",$O78&lt;&gt;""),(VLOOKUP($C78,'V-LOOKUP'!$C$122:$M$150,7,FALSE)),"0")</f>
        <v>0</v>
      </c>
      <c r="DY78" s="192" t="str">
        <f>IF(AND($C78&lt;&gt;"",$O78&lt;&gt;""),(VLOOKUP($C78,'V-LOOKUP'!$C$122:$M$150,8,FALSE)),"0")</f>
        <v>0</v>
      </c>
      <c r="DZ78" s="192" t="str">
        <f>IF(AND($C78&lt;&gt;"",$O78&lt;&gt;""),(VLOOKUP($C78,'V-LOOKUP'!$C$122:$M$150,9,FALSE)),"0")</f>
        <v>0</v>
      </c>
      <c r="EA78" s="192" t="str">
        <f>IF(AND($C78&lt;&gt;"",$O78&lt;&gt;""),(VLOOKUP($C78,'V-LOOKUP'!$C$122:$M$150,10,FALSE)),"0")</f>
        <v>0</v>
      </c>
      <c r="EB78" s="192" t="str">
        <f>IF(AND($C78&lt;&gt;"",$O78&lt;&gt;""),(VLOOKUP($C78,'V-LOOKUP'!$C$122:$M$150,11,FALSE)),"0")</f>
        <v>0</v>
      </c>
      <c r="EC78" s="192" t="str">
        <f>IF(AND($C78&lt;&gt;"",$D78&lt;&gt;""),(VLOOKUP($C78,'V-LOOKUP'!$C$122:$N$150,12,FALSE)),"0")</f>
        <v>0</v>
      </c>
      <c r="ED78" s="192" t="str">
        <f>IF(AND($C78&lt;&gt;"",$P78&lt;&gt;""),(VLOOKUP($C78,'V-LOOKUP'!$C$122:$M$150,4,FALSE)),"0")</f>
        <v>0</v>
      </c>
      <c r="EE78" s="192" t="str">
        <f>IF(AND($C78&lt;&gt;"",$P78&lt;&gt;""),(VLOOKUP($C78,'V-LOOKUP'!$C$122:$M$150,5,FALSE)),"0")</f>
        <v>0</v>
      </c>
      <c r="EF78" s="192" t="str">
        <f>IF(AND($C78&lt;&gt;"",$P78&lt;&gt;""),(VLOOKUP($C78,'V-LOOKUP'!$C$122:$M$150,6,FALSE)),"0")</f>
        <v>0</v>
      </c>
      <c r="EG78" s="192" t="str">
        <f>IF(AND($C78&lt;&gt;"",$P78&lt;&gt;""),(VLOOKUP($C78,'V-LOOKUP'!$C$122:$M$150,7,FALSE)),"0")</f>
        <v>0</v>
      </c>
      <c r="EH78" s="192" t="str">
        <f>IF(AND($C78&lt;&gt;"",$P78&lt;&gt;""),(VLOOKUP($C78,'V-LOOKUP'!$C$122:$M$150,8,FALSE)),"0")</f>
        <v>0</v>
      </c>
      <c r="EI78" s="192" t="str">
        <f>IF(AND($C78&lt;&gt;"",$P78&lt;&gt;""),(VLOOKUP($C78,'V-LOOKUP'!$C$122:$M$150,9,FALSE)),"0")</f>
        <v>0</v>
      </c>
      <c r="EJ78" s="192" t="str">
        <f>IF(AND($C78&lt;&gt;"",$P78&lt;&gt;""),(VLOOKUP($C78,'V-LOOKUP'!$C$122:$M$150,10,FALSE)),"0")</f>
        <v>0</v>
      </c>
      <c r="EK78" s="192" t="str">
        <f>IF(AND($C78&lt;&gt;"",$P78&lt;&gt;""),(VLOOKUP($C78,'V-LOOKUP'!$C$122:$M$150,11,FALSE)),"0")</f>
        <v>0</v>
      </c>
      <c r="EL78" s="192" t="str">
        <f>IF(AND($C78&lt;&gt;"",$D78&lt;&gt;""),(VLOOKUP($C78,'V-LOOKUP'!$C$122:$N$150,12,FALSE)),"0")</f>
        <v>0</v>
      </c>
      <c r="EM78" s="192" t="str">
        <f>IF(AND($C78&lt;&gt;"",$Q78&lt;&gt;""),(VLOOKUP($C78,'V-LOOKUP'!$C$122:$M$150,4,FALSE)),"0")</f>
        <v>0</v>
      </c>
      <c r="EN78" s="192" t="str">
        <f>IF(AND($C78&lt;&gt;"",$Q78&lt;&gt;""),(VLOOKUP($C78,'V-LOOKUP'!$C$122:$M$150,5,FALSE)),"0")</f>
        <v>0</v>
      </c>
      <c r="EO78" s="192" t="str">
        <f>IF(AND($C78&lt;&gt;"",$Q78&lt;&gt;""),(VLOOKUP($C78,'V-LOOKUP'!$C$122:$M$150,6,FALSE)),"0")</f>
        <v>0</v>
      </c>
      <c r="EP78" s="192" t="str">
        <f>IF(AND($C78&lt;&gt;"",$Q78&lt;&gt;""),(VLOOKUP($C78,'V-LOOKUP'!$C$122:$M$150,7,FALSE)),"0")</f>
        <v>0</v>
      </c>
      <c r="EQ78" s="192" t="str">
        <f>IF(AND($C78&lt;&gt;"",$Q78&lt;&gt;""),(VLOOKUP($C78,'V-LOOKUP'!$C$122:$M$150,8,FALSE)),"0")</f>
        <v>0</v>
      </c>
      <c r="ER78" s="192" t="str">
        <f>IF(AND($C78&lt;&gt;"",$Q78&lt;&gt;""),(VLOOKUP($C78,'V-LOOKUP'!$C$122:$M$150,9,FALSE)),"0")</f>
        <v>0</v>
      </c>
      <c r="ES78" s="192" t="str">
        <f>IF(AND($C78&lt;&gt;"",$Q78&lt;&gt;""),(VLOOKUP($C78,'V-LOOKUP'!$C$122:$M$150,10,FALSE)),"0")</f>
        <v>0</v>
      </c>
      <c r="ET78" s="192" t="str">
        <f>IF(AND($C78&lt;&gt;"",$Q78&lt;&gt;""),(VLOOKUP($C78,'V-LOOKUP'!$C$122:$M$150,11,FALSE)),"0")</f>
        <v>0</v>
      </c>
      <c r="EU78" s="192" t="str">
        <f>IF(AND($C78&lt;&gt;"",$D78&lt;&gt;""),(VLOOKUP($C78,'V-LOOKUP'!$C$122:$N$150,12,FALSE)),"0")</f>
        <v>0</v>
      </c>
      <c r="EV78" s="192" t="str">
        <f>IF(AND($C78&lt;&gt;"",$R78&lt;&gt;""),(VLOOKUP($C78,'V-LOOKUP'!$C$122:$M$150,4,FALSE)),"0")</f>
        <v>0</v>
      </c>
      <c r="EW78" s="192" t="str">
        <f>IF(AND($C78&lt;&gt;"",$R78&lt;&gt;""),(VLOOKUP($C78,'V-LOOKUP'!$C$122:$M$150,5,FALSE)),"0")</f>
        <v>0</v>
      </c>
      <c r="EX78" s="192" t="str">
        <f>IF(AND($C78&lt;&gt;"",$R78&lt;&gt;""),(VLOOKUP($C78,'V-LOOKUP'!$C$122:$M$150,6,FALSE)),"0")</f>
        <v>0</v>
      </c>
      <c r="EY78" s="192" t="str">
        <f>IF(AND($C78&lt;&gt;"",$R78&lt;&gt;""),(VLOOKUP($C78,'V-LOOKUP'!$C$122:$M$150,7,FALSE)),"0")</f>
        <v>0</v>
      </c>
      <c r="EZ78" s="192" t="str">
        <f>IF(AND($C78&lt;&gt;"",$R78&lt;&gt;""),(VLOOKUP($C78,'V-LOOKUP'!$C$122:$M$150,8,FALSE)),"0")</f>
        <v>0</v>
      </c>
      <c r="FA78" s="192" t="str">
        <f>IF(AND($C78&lt;&gt;"",$R78&lt;&gt;""),(VLOOKUP($C78,'V-LOOKUP'!$C$122:$M$150,9,FALSE)),"0")</f>
        <v>0</v>
      </c>
      <c r="FB78" s="192" t="str">
        <f>IF(AND($C78&lt;&gt;"",$R78&lt;&gt;""),(VLOOKUP($C78,'V-LOOKUP'!$C$122:$M$150,10,FALSE)),"0")</f>
        <v>0</v>
      </c>
      <c r="FC78" s="192" t="str">
        <f>IF(AND($C78&lt;&gt;"",$R78&lt;&gt;""),(VLOOKUP($C78,'V-LOOKUP'!$C$122:$M$150,11,FALSE)),"0")</f>
        <v>0</v>
      </c>
      <c r="FD78" s="192" t="str">
        <f>IF(AND($C78&lt;&gt;"",$D78&lt;&gt;""),(VLOOKUP($C78,'V-LOOKUP'!$C$122:$N$150,12,FALSE)),"0")</f>
        <v>0</v>
      </c>
      <c r="FE78" s="192" t="str">
        <f>IF(AND($C78&lt;&gt;"",$S78&lt;&gt;""),(VLOOKUP($C78,'V-LOOKUP'!$C$122:$M$150,4,FALSE)),"0")</f>
        <v>0</v>
      </c>
      <c r="FF78" s="192" t="str">
        <f>IF(AND($C78&lt;&gt;"",$S78&lt;&gt;""),(VLOOKUP($C78,'V-LOOKUP'!$C$122:$M$150,5,FALSE)),"0")</f>
        <v>0</v>
      </c>
      <c r="FG78" s="192" t="str">
        <f>IF(AND($C78&lt;&gt;"",$S78&lt;&gt;""),(VLOOKUP($C78,'V-LOOKUP'!$C$122:$M$150,6,FALSE)),"0")</f>
        <v>0</v>
      </c>
      <c r="FH78" s="192" t="str">
        <f>IF(AND($C78&lt;&gt;"",$S78&lt;&gt;""),(VLOOKUP($C78,'V-LOOKUP'!$C$122:$M$150,7,FALSE)),"0")</f>
        <v>0</v>
      </c>
      <c r="FI78" s="192" t="str">
        <f>IF(AND($C78&lt;&gt;"",$S78&lt;&gt;""),(VLOOKUP($C78,'V-LOOKUP'!$C$122:$M$150,8,FALSE)),"0")</f>
        <v>0</v>
      </c>
      <c r="FJ78" s="192" t="str">
        <f>IF(AND($C78&lt;&gt;"",$S78&lt;&gt;""),(VLOOKUP($C78,'V-LOOKUP'!$C$122:$M$150,9,FALSE)),"0")</f>
        <v>0</v>
      </c>
      <c r="FK78" s="192" t="str">
        <f>IF(AND($C78&lt;&gt;"",$S78&lt;&gt;""),(VLOOKUP($C78,'V-LOOKUP'!$C$122:$M$150,10,FALSE)),"0")</f>
        <v>0</v>
      </c>
      <c r="FL78" s="192" t="str">
        <f>IF(AND($C78&lt;&gt;"",$S78&lt;&gt;""),(VLOOKUP($C78,'V-LOOKUP'!$C$122:$M$150,11,FALSE)),"0")</f>
        <v>0</v>
      </c>
      <c r="FM78" s="192" t="str">
        <f>IF(AND($C78&lt;&gt;"",$D78&lt;&gt;""),(VLOOKUP($C78,'V-LOOKUP'!$C$122:$N$150,12,FALSE)),"0")</f>
        <v>0</v>
      </c>
      <c r="FN78" s="192" t="str">
        <f>IF(AND($C78&lt;&gt;"",$T78&lt;&gt;""),(VLOOKUP($C78,'V-LOOKUP'!$C$122:$M$150,4,FALSE)),"0")</f>
        <v>0</v>
      </c>
      <c r="FO78" s="192" t="str">
        <f>IF(AND($C78&lt;&gt;"",$T78&lt;&gt;""),(VLOOKUP($C78,'V-LOOKUP'!$C$122:$M$150,5,FALSE)),"0")</f>
        <v>0</v>
      </c>
      <c r="FP78" s="192" t="str">
        <f>IF(AND($C78&lt;&gt;"",$T78&lt;&gt;""),(VLOOKUP($C78,'V-LOOKUP'!$C$122:$M$150,6,FALSE)),"0")</f>
        <v>0</v>
      </c>
      <c r="FQ78" s="192" t="str">
        <f>IF(AND($C78&lt;&gt;"",$T78&lt;&gt;""),(VLOOKUP($C78,'V-LOOKUP'!$C$122:$M$150,7,FALSE)),"0")</f>
        <v>0</v>
      </c>
      <c r="FR78" s="192" t="str">
        <f>IF(AND($C78&lt;&gt;"",$T78&lt;&gt;""),(VLOOKUP($C78,'V-LOOKUP'!$C$122:$M$150,8,FALSE)),"0")</f>
        <v>0</v>
      </c>
      <c r="FS78" s="192" t="str">
        <f>IF(AND($C78&lt;&gt;"",$T78&lt;&gt;""),(VLOOKUP($C78,'V-LOOKUP'!$C$122:$M$150,9,FALSE)),"0")</f>
        <v>0</v>
      </c>
      <c r="FT78" s="192" t="str">
        <f>IF(AND($C78&lt;&gt;"",$T78&lt;&gt;""),(VLOOKUP($C78,'V-LOOKUP'!$C$122:$M$150,10,FALSE)),"0")</f>
        <v>0</v>
      </c>
      <c r="FU78" s="192" t="str">
        <f>IF(AND($C78&lt;&gt;"",$T78&lt;&gt;""),(VLOOKUP($C78,'V-LOOKUP'!$C$122:$M$150,11,FALSE)),"0")</f>
        <v>0</v>
      </c>
      <c r="FV78" s="192" t="str">
        <f>IF(AND($C78&lt;&gt;"",$D78&lt;&gt;""),(VLOOKUP($C78,'V-LOOKUP'!$C$122:$N$150,12,FALSE)),"0")</f>
        <v>0</v>
      </c>
      <c r="FW78" s="192" t="str">
        <f>IF(AND($C78&lt;&gt;"",$U78&lt;&gt;""),(VLOOKUP($C78,'V-LOOKUP'!$C$122:$M$150,4,FALSE)),"0")</f>
        <v>0</v>
      </c>
      <c r="FX78" s="192" t="str">
        <f>IF(AND($C78&lt;&gt;"",$U78&lt;&gt;""),(VLOOKUP($C78,'V-LOOKUP'!$C$122:$M$150,5,FALSE)),"0")</f>
        <v>0</v>
      </c>
      <c r="FY78" s="192" t="str">
        <f>IF(AND($C78&lt;&gt;"",$U78&lt;&gt;""),(VLOOKUP($C78,'V-LOOKUP'!$C$122:$M$150,6,FALSE)),"0")</f>
        <v>0</v>
      </c>
      <c r="FZ78" s="192" t="str">
        <f>IF(AND($C78&lt;&gt;"",$U78&lt;&gt;""),(VLOOKUP($C78,'V-LOOKUP'!$C$122:$M$150,7,FALSE)),"0")</f>
        <v>0</v>
      </c>
      <c r="GA78" s="192" t="str">
        <f>IF(AND($C78&lt;&gt;"",$U78&lt;&gt;""),(VLOOKUP($C78,'V-LOOKUP'!$C$122:$M$150,8,FALSE)),"0")</f>
        <v>0</v>
      </c>
      <c r="GB78" s="192" t="str">
        <f>IF(AND($C78&lt;&gt;"",$U78&lt;&gt;""),(VLOOKUP($C78,'V-LOOKUP'!$C$122:$M$150,9,FALSE)),"0")</f>
        <v>0</v>
      </c>
      <c r="GC78" s="192" t="str">
        <f>IF(AND($C78&lt;&gt;"",$U78&lt;&gt;""),(VLOOKUP($C78,'V-LOOKUP'!$C$122:$M$150,10,FALSE)),"0")</f>
        <v>0</v>
      </c>
      <c r="GD78" s="192" t="str">
        <f>IF(AND($C78&lt;&gt;"",$U78&lt;&gt;""),(VLOOKUP($C78,'V-LOOKUP'!$C$122:$M$150,11,FALSE)),"0")</f>
        <v>0</v>
      </c>
      <c r="GE78" s="192" t="str">
        <f>IF(AND($C78&lt;&gt;"",$D78&lt;&gt;""),(VLOOKUP($C78,'V-LOOKUP'!$C$122:$N$150,12,FALSE)),"0")</f>
        <v>0</v>
      </c>
      <c r="GF78" s="192" t="str">
        <f>IF(AND($C78&lt;&gt;"",$V78&lt;&gt;""),(VLOOKUP($C78,'V-LOOKUP'!$C$122:$M$150,4,FALSE)),"0")</f>
        <v>0</v>
      </c>
      <c r="GG78" s="192" t="str">
        <f>IF(AND($C78&lt;&gt;"",$V78&lt;&gt;""),(VLOOKUP($C78,'V-LOOKUP'!$C$122:$M$150,5,FALSE)),"0")</f>
        <v>0</v>
      </c>
      <c r="GH78" s="192" t="str">
        <f>IF(AND($C78&lt;&gt;"",$V78&lt;&gt;""),(VLOOKUP($C78,'V-LOOKUP'!$C$122:$M$150,6,FALSE)),"0")</f>
        <v>0</v>
      </c>
      <c r="GI78" s="192" t="str">
        <f>IF(AND($C78&lt;&gt;"",$V78&lt;&gt;""),(VLOOKUP($C78,'V-LOOKUP'!$C$122:$M$150,7,FALSE)),"0")</f>
        <v>0</v>
      </c>
      <c r="GJ78" s="192" t="str">
        <f>IF(AND($C78&lt;&gt;"",$V78&lt;&gt;""),(VLOOKUP($C78,'V-LOOKUP'!$C$122:$M$150,8,FALSE)),"0")</f>
        <v>0</v>
      </c>
      <c r="GK78" s="192" t="str">
        <f>IF(AND($C78&lt;&gt;"",$V78&lt;&gt;""),(VLOOKUP($C78,'V-LOOKUP'!$C$122:$M$150,9,FALSE)),"0")</f>
        <v>0</v>
      </c>
      <c r="GL78" s="192" t="str">
        <f>IF(AND($C78&lt;&gt;"",$V78&lt;&gt;""),(VLOOKUP($C78,'V-LOOKUP'!$C$122:$M$150,10,FALSE)),"0")</f>
        <v>0</v>
      </c>
      <c r="GM78" s="192" t="str">
        <f>IF(AND($C78&lt;&gt;"",$V78&lt;&gt;""),(VLOOKUP($C78,'V-LOOKUP'!$C$122:$M$150,11,FALSE)),"0")</f>
        <v>0</v>
      </c>
      <c r="GN78" s="192" t="str">
        <f>IF(AND($C78&lt;&gt;"",$D78&lt;&gt;""),(VLOOKUP($C78,'V-LOOKUP'!$C$122:$N$150,12,FALSE)),"0")</f>
        <v>0</v>
      </c>
      <c r="GO78" s="192" t="str">
        <f>IF(AND($C78&lt;&gt;"",$W78&lt;&gt;""),(VLOOKUP($C78,'V-LOOKUP'!$C$122:$M$150,4,FALSE)),"0")</f>
        <v>0</v>
      </c>
      <c r="GP78" s="192" t="str">
        <f>IF(AND($C78&lt;&gt;"",$W78&lt;&gt;""),(VLOOKUP($C78,'V-LOOKUP'!$C$122:$M$150,5,FALSE)),"0")</f>
        <v>0</v>
      </c>
      <c r="GQ78" s="192" t="str">
        <f>IF(AND($C78&lt;&gt;"",$W78&lt;&gt;""),(VLOOKUP($C78,'V-LOOKUP'!$C$122:$M$150,6,FALSE)),"0")</f>
        <v>0</v>
      </c>
      <c r="GR78" s="192" t="str">
        <f>IF(AND($C78&lt;&gt;"",$W78&lt;&gt;""),(VLOOKUP($C78,'V-LOOKUP'!$C$122:$M$150,7,FALSE)),"0")</f>
        <v>0</v>
      </c>
      <c r="GS78" s="192" t="str">
        <f>IF(AND($C78&lt;&gt;"",$W78&lt;&gt;""),(VLOOKUP($C78,'V-LOOKUP'!$C$122:$M$150,8,FALSE)),"0")</f>
        <v>0</v>
      </c>
      <c r="GT78" s="192" t="str">
        <f>IF(AND($C78&lt;&gt;"",$W78&lt;&gt;""),(VLOOKUP($C78,'V-LOOKUP'!$C$122:$M$150,9,FALSE)),"0")</f>
        <v>0</v>
      </c>
      <c r="GU78" s="192" t="str">
        <f>IF(AND($C78&lt;&gt;"",$W78&lt;&gt;""),(VLOOKUP($C78,'V-LOOKUP'!$C$122:$M$150,10,FALSE)),"0")</f>
        <v>0</v>
      </c>
      <c r="GV78" s="192" t="str">
        <f>IF(AND($C78&lt;&gt;"",$W78&lt;&gt;""),(VLOOKUP($C78,'V-LOOKUP'!$C$122:$M$150,11,FALSE)),"0")</f>
        <v>0</v>
      </c>
      <c r="GW78" s="192" t="str">
        <f>IF(AND($C78&lt;&gt;"",$D78&lt;&gt;""),(VLOOKUP($C78,'V-LOOKUP'!$C$122:$N$150,12,FALSE)),"0")</f>
        <v>0</v>
      </c>
    </row>
    <row r="79" spans="1:205" ht="14.65" customHeight="1">
      <c r="B79" s="245"/>
      <c r="C79" s="203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Y79" s="190"/>
      <c r="Z79" s="192" t="str">
        <f>IF(AND($C79&lt;&gt;"",$D79&lt;&gt;""),(VLOOKUP($C79,'V-LOOKUP'!$C$122:$M$150,4,FALSE)),"0")</f>
        <v>0</v>
      </c>
      <c r="AA79" s="192" t="str">
        <f>IF(AND($C79&lt;&gt;"",$D79&lt;&gt;""),(VLOOKUP($C79,'V-LOOKUP'!$C$122:$M$150,5,FALSE)),"0")</f>
        <v>0</v>
      </c>
      <c r="AB79" s="192" t="str">
        <f>IF(AND($C79&lt;&gt;"",$D79&lt;&gt;""),(VLOOKUP($C79,'V-LOOKUP'!$C$122:$M$150,6,FALSE)),"0")</f>
        <v>0</v>
      </c>
      <c r="AC79" s="192" t="str">
        <f>IF(AND($C79&lt;&gt;"",$D79&lt;&gt;""),(VLOOKUP($C79,'V-LOOKUP'!$C$122:$M$150,7,FALSE)),"0")</f>
        <v>0</v>
      </c>
      <c r="AD79" s="192" t="str">
        <f>IF(AND($C79&lt;&gt;"",$D79&lt;&gt;""),(VLOOKUP($C79,'V-LOOKUP'!$C$122:$M$150,8,FALSE)),"0")</f>
        <v>0</v>
      </c>
      <c r="AE79" s="192" t="str">
        <f>IF(AND($C79&lt;&gt;"",$D79&lt;&gt;""),(VLOOKUP($C79,'V-LOOKUP'!$C$122:$M$150,9,FALSE)),"0")</f>
        <v>0</v>
      </c>
      <c r="AF79" s="192" t="str">
        <f>IF(AND($C79&lt;&gt;"",$D79&lt;&gt;""),(VLOOKUP($C79,'V-LOOKUP'!$C$122:$M$150,10,FALSE)),"0")</f>
        <v>0</v>
      </c>
      <c r="AG79" s="192" t="str">
        <f>IF(AND($C79&lt;&gt;"",$D79&lt;&gt;""),(VLOOKUP($C79,'V-LOOKUP'!$C$122:$M$150,11,FALSE)),"0")</f>
        <v>0</v>
      </c>
      <c r="AH79" s="192" t="str">
        <f>IF(AND($C79&lt;&gt;"",$D79&lt;&gt;""),(VLOOKUP($C79,'V-LOOKUP'!$C$122:$N$150,12,FALSE)),"0")</f>
        <v>0</v>
      </c>
      <c r="AI79" s="192" t="str">
        <f>IF(AND($C79&lt;&gt;"",$E79&lt;&gt;""),(VLOOKUP($C79,'V-LOOKUP'!$C$122:$M$150,4,FALSE)),"0")</f>
        <v>0</v>
      </c>
      <c r="AJ79" s="192" t="str">
        <f>IF(AND($C79&lt;&gt;"",$E79&lt;&gt;""),(VLOOKUP($C79,'V-LOOKUP'!$C$122:$M$150,5,FALSE)),"0")</f>
        <v>0</v>
      </c>
      <c r="AK79" s="192" t="str">
        <f>IF(AND($C79&lt;&gt;"",$E79&lt;&gt;""),(VLOOKUP($C79,'V-LOOKUP'!$C$122:$M$150,6,FALSE)),"0")</f>
        <v>0</v>
      </c>
      <c r="AL79" s="192" t="str">
        <f>IF(AND($C79&lt;&gt;"",$E79&lt;&gt;""),(VLOOKUP($C79,'V-LOOKUP'!$C$122:$M$150,7,FALSE)),"0")</f>
        <v>0</v>
      </c>
      <c r="AM79" s="192" t="str">
        <f>IF(AND($C79&lt;&gt;"",$E79&lt;&gt;""),(VLOOKUP($C79,'V-LOOKUP'!$C$122:$M$150,8,FALSE)),"0")</f>
        <v>0</v>
      </c>
      <c r="AN79" s="192" t="str">
        <f>IF(AND($C79&lt;&gt;"",$E79&lt;&gt;""),(VLOOKUP($C79,'V-LOOKUP'!$C$122:$M$150,9,FALSE)),"0")</f>
        <v>0</v>
      </c>
      <c r="AO79" s="192" t="str">
        <f>IF(AND($C79&lt;&gt;"",$E79&lt;&gt;""),(VLOOKUP($C79,'V-LOOKUP'!$C$122:$M$150,10,FALSE)),"0")</f>
        <v>0</v>
      </c>
      <c r="AP79" s="192" t="str">
        <f>IF(AND($C79&lt;&gt;"",$E79&lt;&gt;""),(VLOOKUP($C79,'V-LOOKUP'!$C$122:$M$150,11,FALSE)),"0")</f>
        <v>0</v>
      </c>
      <c r="AQ79" s="192" t="str">
        <f>IF(AND($C79&lt;&gt;"",$D79&lt;&gt;""),(VLOOKUP($C79,'V-LOOKUP'!$C$122:$N$150,12,FALSE)),"0")</f>
        <v>0</v>
      </c>
      <c r="AR79" s="192" t="str">
        <f>IF(AND($C79&lt;&gt;"",$F79&lt;&gt;""),(VLOOKUP($C79,'V-LOOKUP'!$C$122:$M$150,4,FALSE)),"0")</f>
        <v>0</v>
      </c>
      <c r="AS79" s="192" t="str">
        <f>IF(AND($C79&lt;&gt;"",$F79&lt;&gt;""),(VLOOKUP($C79,'V-LOOKUP'!$C$122:$M$150,5,FALSE)),"0")</f>
        <v>0</v>
      </c>
      <c r="AT79" s="192" t="str">
        <f>IF(AND($C79&lt;&gt;"",$F79&lt;&gt;""),(VLOOKUP($C79,'V-LOOKUP'!$C$122:$M$150,6,FALSE)),"0")</f>
        <v>0</v>
      </c>
      <c r="AU79" s="192" t="str">
        <f>IF(AND($C79&lt;&gt;"",$F79&lt;&gt;""),(VLOOKUP($C79,'V-LOOKUP'!$C$122:$M$150,7,FALSE)),"0")</f>
        <v>0</v>
      </c>
      <c r="AV79" s="192" t="str">
        <f>IF(AND($C79&lt;&gt;"",$F79&lt;&gt;""),(VLOOKUP($C79,'V-LOOKUP'!$C$122:$M$150,8,FALSE)),"0")</f>
        <v>0</v>
      </c>
      <c r="AW79" s="192" t="str">
        <f>IF(AND($C79&lt;&gt;"",$F79&lt;&gt;""),(VLOOKUP($C79,'V-LOOKUP'!$C$122:$M$150,9,FALSE)),"0")</f>
        <v>0</v>
      </c>
      <c r="AX79" s="192" t="str">
        <f>IF(AND($C79&lt;&gt;"",$F79&lt;&gt;""),(VLOOKUP($C79,'V-LOOKUP'!$C$122:$M$150,10,FALSE)),"0")</f>
        <v>0</v>
      </c>
      <c r="AY79" s="192" t="str">
        <f>IF(AND($C79&lt;&gt;"",$F79&lt;&gt;""),(VLOOKUP($C79,'V-LOOKUP'!$C$122:$M$150,11,FALSE)),"0")</f>
        <v>0</v>
      </c>
      <c r="AZ79" s="192" t="str">
        <f>IF(AND($C79&lt;&gt;"",$D79&lt;&gt;""),(VLOOKUP($C79,'V-LOOKUP'!$C$122:$N$150,12,FALSE)),"0")</f>
        <v>0</v>
      </c>
      <c r="BA79" s="192" t="str">
        <f>IF(AND($C79&lt;&gt;"",$G79&lt;&gt;""),(VLOOKUP($C79,'V-LOOKUP'!$C$122:$M$150,4,FALSE)),"0")</f>
        <v>0</v>
      </c>
      <c r="BB79" s="192" t="str">
        <f>IF(AND($C79&lt;&gt;"",$G79&lt;&gt;""),(VLOOKUP($C79,'V-LOOKUP'!$C$122:$M$150,5,FALSE)),"0")</f>
        <v>0</v>
      </c>
      <c r="BC79" s="192" t="str">
        <f>IF(AND($C79&lt;&gt;"",$G79&lt;&gt;""),(VLOOKUP($C79,'V-LOOKUP'!$C$122:$M$150,6,FALSE)),"0")</f>
        <v>0</v>
      </c>
      <c r="BD79" s="192" t="str">
        <f>IF(AND($C79&lt;&gt;"",$G79&lt;&gt;""),(VLOOKUP($C79,'V-LOOKUP'!$C$122:$M$150,7,FALSE)),"0")</f>
        <v>0</v>
      </c>
      <c r="BE79" s="192" t="str">
        <f>IF(AND($C79&lt;&gt;"",$G79&lt;&gt;""),(VLOOKUP($C79,'V-LOOKUP'!$C$122:$M$150,8,FALSE)),"0")</f>
        <v>0</v>
      </c>
      <c r="BF79" s="192" t="str">
        <f>IF(AND($C79&lt;&gt;"",$G79&lt;&gt;""),(VLOOKUP($C79,'V-LOOKUP'!$C$122:$M$150,9,FALSE)),"0")</f>
        <v>0</v>
      </c>
      <c r="BG79" s="192" t="str">
        <f>IF(AND($C79&lt;&gt;"",$G79&lt;&gt;""),(VLOOKUP($C79,'V-LOOKUP'!$C$122:$M$150,10,FALSE)),"0")</f>
        <v>0</v>
      </c>
      <c r="BH79" s="192" t="str">
        <f>IF(AND($C79&lt;&gt;"",$G79&lt;&gt;""),(VLOOKUP($C79,'V-LOOKUP'!$C$122:$M$150,11,FALSE)),"0")</f>
        <v>0</v>
      </c>
      <c r="BI79" s="192" t="str">
        <f>IF(AND($C79&lt;&gt;"",$D79&lt;&gt;""),(VLOOKUP($C79,'V-LOOKUP'!$C$122:$N$150,12,FALSE)),"0")</f>
        <v>0</v>
      </c>
      <c r="BJ79" s="192" t="str">
        <f>IF(AND($C79&lt;&gt;"",$H79&lt;&gt;""),(VLOOKUP($C79,'V-LOOKUP'!$C$122:$M$150,4,FALSE)),"0")</f>
        <v>0</v>
      </c>
      <c r="BK79" s="192" t="str">
        <f>IF(AND($C79&lt;&gt;"",$H79&lt;&gt;""),(VLOOKUP($C79,'V-LOOKUP'!$C$122:$M$150,5,FALSE)),"0")</f>
        <v>0</v>
      </c>
      <c r="BL79" s="192" t="str">
        <f>IF(AND($C79&lt;&gt;"",$H79&lt;&gt;""),(VLOOKUP($C79,'V-LOOKUP'!$C$122:$M$150,6,FALSE)),"0")</f>
        <v>0</v>
      </c>
      <c r="BM79" s="192" t="str">
        <f>IF(AND($C79&lt;&gt;"",$H79&lt;&gt;""),(VLOOKUP($C79,'V-LOOKUP'!$C$122:$M$150,7,FALSE)),"0")</f>
        <v>0</v>
      </c>
      <c r="BN79" s="192" t="str">
        <f>IF(AND($C79&lt;&gt;"",$H79&lt;&gt;""),(VLOOKUP($C79,'V-LOOKUP'!$C$122:$M$150,8,FALSE)),"0")</f>
        <v>0</v>
      </c>
      <c r="BO79" s="192" t="str">
        <f>IF(AND($C79&lt;&gt;"",$H79&lt;&gt;""),(VLOOKUP($C79,'V-LOOKUP'!$C$122:$M$150,9,FALSE)),"0")</f>
        <v>0</v>
      </c>
      <c r="BP79" s="192" t="str">
        <f>IF(AND($C79&lt;&gt;"",$H79&lt;&gt;""),(VLOOKUP($C79,'V-LOOKUP'!$C$122:$M$150,10,FALSE)),"0")</f>
        <v>0</v>
      </c>
      <c r="BQ79" s="192" t="str">
        <f>IF(AND($C79&lt;&gt;"",$H79&lt;&gt;""),(VLOOKUP($C79,'V-LOOKUP'!$C$122:$M$150,11,FALSE)),"0")</f>
        <v>0</v>
      </c>
      <c r="BR79" s="192" t="str">
        <f>IF(AND($C79&lt;&gt;"",$D79&lt;&gt;""),(VLOOKUP($C79,'V-LOOKUP'!$C$122:$N$150,12,FALSE)),"0")</f>
        <v>0</v>
      </c>
      <c r="BS79" s="192" t="str">
        <f>IF(AND($C79&lt;&gt;"",$I79&lt;&gt;""),(VLOOKUP($C79,'V-LOOKUP'!$C$122:$M$150,4,FALSE)),"0")</f>
        <v>0</v>
      </c>
      <c r="BT79" s="192" t="str">
        <f>IF(AND($C79&lt;&gt;"",$I79&lt;&gt;""),(VLOOKUP($C79,'V-LOOKUP'!$C$122:$M$150,5,FALSE)),"0")</f>
        <v>0</v>
      </c>
      <c r="BU79" s="192" t="str">
        <f>IF(AND($C79&lt;&gt;"",$I79&lt;&gt;""),(VLOOKUP($C79,'V-LOOKUP'!$C$122:$M$150,6,FALSE)),"0")</f>
        <v>0</v>
      </c>
      <c r="BV79" s="192" t="str">
        <f>IF(AND($C79&lt;&gt;"",$I79&lt;&gt;""),(VLOOKUP($C79,'V-LOOKUP'!$C$122:$M$150,7,FALSE)),"0")</f>
        <v>0</v>
      </c>
      <c r="BW79" s="192" t="str">
        <f>IF(AND($C79&lt;&gt;"",$I79&lt;&gt;""),(VLOOKUP($C79,'V-LOOKUP'!$C$122:$M$150,8,FALSE)),"0")</f>
        <v>0</v>
      </c>
      <c r="BX79" s="192" t="str">
        <f>IF(AND($C79&lt;&gt;"",$I79&lt;&gt;""),(VLOOKUP($C79,'V-LOOKUP'!$C$122:$M$150,9,FALSE)),"0")</f>
        <v>0</v>
      </c>
      <c r="BY79" s="192" t="str">
        <f>IF(AND($C79&lt;&gt;"",$I79&lt;&gt;""),(VLOOKUP($C79,'V-LOOKUP'!$C$122:$M$150,10,FALSE)),"0")</f>
        <v>0</v>
      </c>
      <c r="BZ79" s="192" t="str">
        <f>IF(AND($C79&lt;&gt;"",$I79&lt;&gt;""),(VLOOKUP($C79,'V-LOOKUP'!$C$122:$M$150,11,FALSE)),"0")</f>
        <v>0</v>
      </c>
      <c r="CA79" s="192" t="str">
        <f>IF(AND($C79&lt;&gt;"",$D79&lt;&gt;""),(VLOOKUP($C79,'V-LOOKUP'!$C$122:$N$150,12,FALSE)),"0")</f>
        <v>0</v>
      </c>
      <c r="CB79" s="192" t="str">
        <f>IF(AND($C79&lt;&gt;"",$J79&lt;&gt;""),(VLOOKUP($C79,'V-LOOKUP'!$C$122:$M$150,4,FALSE)),"0")</f>
        <v>0</v>
      </c>
      <c r="CC79" s="192" t="str">
        <f>IF(AND($C79&lt;&gt;"",$J79&lt;&gt;""),(VLOOKUP($C79,'V-LOOKUP'!$C$122:$M$150,5,FALSE)),"0")</f>
        <v>0</v>
      </c>
      <c r="CD79" s="192" t="str">
        <f>IF(AND($C79&lt;&gt;"",$J79&lt;&gt;""),(VLOOKUP($C79,'V-LOOKUP'!$C$122:$M$150,6,FALSE)),"0")</f>
        <v>0</v>
      </c>
      <c r="CE79" s="192" t="str">
        <f>IF(AND($C79&lt;&gt;"",$J79&lt;&gt;""),(VLOOKUP($C79,'V-LOOKUP'!$C$122:$M$150,7,FALSE)),"0")</f>
        <v>0</v>
      </c>
      <c r="CF79" s="192" t="str">
        <f>IF(AND($C79&lt;&gt;"",$J79&lt;&gt;""),(VLOOKUP($C79,'V-LOOKUP'!$C$122:$M$150,8,FALSE)),"0")</f>
        <v>0</v>
      </c>
      <c r="CG79" s="192" t="str">
        <f>IF(AND($C79&lt;&gt;"",$J79&lt;&gt;""),(VLOOKUP($C79,'V-LOOKUP'!$C$122:$M$150,9,FALSE)),"0")</f>
        <v>0</v>
      </c>
      <c r="CH79" s="192" t="str">
        <f>IF(AND($C79&lt;&gt;"",$J79&lt;&gt;""),(VLOOKUP($C79,'V-LOOKUP'!$C$122:$M$150,10,FALSE)),"0")</f>
        <v>0</v>
      </c>
      <c r="CI79" s="192" t="str">
        <f>IF(AND($C79&lt;&gt;"",$J79&lt;&gt;""),(VLOOKUP($C79,'V-LOOKUP'!$C$122:$M$150,11,FALSE)),"0")</f>
        <v>0</v>
      </c>
      <c r="CJ79" s="192" t="str">
        <f>IF(AND($C79&lt;&gt;"",$D79&lt;&gt;""),(VLOOKUP($C79,'V-LOOKUP'!$C$122:$N$150,12,FALSE)),"0")</f>
        <v>0</v>
      </c>
      <c r="CK79" s="192" t="str">
        <f>IF(AND($C79&lt;&gt;"",$K79&lt;&gt;""),(VLOOKUP($C79,'V-LOOKUP'!$C$122:$M$150,4,FALSE)),"0")</f>
        <v>0</v>
      </c>
      <c r="CL79" s="192" t="str">
        <f>IF(AND($C79&lt;&gt;"",$K79&lt;&gt;""),(VLOOKUP($C79,'V-LOOKUP'!$C$122:$M$150,5,FALSE)),"0")</f>
        <v>0</v>
      </c>
      <c r="CM79" s="192" t="str">
        <f>IF(AND($C79&lt;&gt;"",$K79&lt;&gt;""),(VLOOKUP($C79,'V-LOOKUP'!$C$122:$M$150,6,FALSE)),"0")</f>
        <v>0</v>
      </c>
      <c r="CN79" s="192" t="str">
        <f>IF(AND($C79&lt;&gt;"",$K79&lt;&gt;""),(VLOOKUP($C79,'V-LOOKUP'!$C$122:$M$150,7,FALSE)),"0")</f>
        <v>0</v>
      </c>
      <c r="CO79" s="192" t="str">
        <f>IF(AND($C79&lt;&gt;"",$K79&lt;&gt;""),(VLOOKUP($C79,'V-LOOKUP'!$C$122:$M$150,8,FALSE)),"0")</f>
        <v>0</v>
      </c>
      <c r="CP79" s="192" t="str">
        <f>IF(AND($C79&lt;&gt;"",$K79&lt;&gt;""),(VLOOKUP($C79,'V-LOOKUP'!$C$122:$M$150,9,FALSE)),"0")</f>
        <v>0</v>
      </c>
      <c r="CQ79" s="192" t="str">
        <f>IF(AND($C79&lt;&gt;"",$K79&lt;&gt;""),(VLOOKUP($C79,'V-LOOKUP'!$C$122:$M$150,10,FALSE)),"0")</f>
        <v>0</v>
      </c>
      <c r="CR79" s="192" t="str">
        <f>IF(AND($C79&lt;&gt;"",$K79&lt;&gt;""),(VLOOKUP($C79,'V-LOOKUP'!$C$122:$M$150,11,FALSE)),"0")</f>
        <v>0</v>
      </c>
      <c r="CS79" s="192" t="str">
        <f>IF(AND($C79&lt;&gt;"",$D79&lt;&gt;""),(VLOOKUP($C79,'V-LOOKUP'!$C$122:$N$150,12,FALSE)),"0")</f>
        <v>0</v>
      </c>
      <c r="CT79" s="192" t="str">
        <f>IF(AND($C79&lt;&gt;"",$L79&lt;&gt;""),(VLOOKUP($C79,'V-LOOKUP'!$C$122:$M$150,4,FALSE)),"0")</f>
        <v>0</v>
      </c>
      <c r="CU79" s="192" t="str">
        <f>IF(AND($C79&lt;&gt;"",$L79&lt;&gt;""),(VLOOKUP($C79,'V-LOOKUP'!$C$122:$M$150,5,FALSE)),"0")</f>
        <v>0</v>
      </c>
      <c r="CV79" s="192" t="str">
        <f>IF(AND($C79&lt;&gt;"",$L79&lt;&gt;""),(VLOOKUP($C79,'V-LOOKUP'!$C$122:$M$150,6,FALSE)),"0")</f>
        <v>0</v>
      </c>
      <c r="CW79" s="192" t="str">
        <f>IF(AND($C79&lt;&gt;"",$L79&lt;&gt;""),(VLOOKUP($C79,'V-LOOKUP'!$C$122:$M$150,7,FALSE)),"0")</f>
        <v>0</v>
      </c>
      <c r="CX79" s="192" t="str">
        <f>IF(AND($C79&lt;&gt;"",$L79&lt;&gt;""),(VLOOKUP($C79,'V-LOOKUP'!$C$122:$M$150,8,FALSE)),"0")</f>
        <v>0</v>
      </c>
      <c r="CY79" s="192" t="str">
        <f>IF(AND($C79&lt;&gt;"",$L79&lt;&gt;""),(VLOOKUP($C79,'V-LOOKUP'!$C$122:$M$150,9,FALSE)),"0")</f>
        <v>0</v>
      </c>
      <c r="CZ79" s="192" t="str">
        <f>IF(AND($C79&lt;&gt;"",$L79&lt;&gt;""),(VLOOKUP($C79,'V-LOOKUP'!$C$122:$M$150,10,FALSE)),"0")</f>
        <v>0</v>
      </c>
      <c r="DA79" s="192" t="str">
        <f>IF(AND($C79&lt;&gt;"",$L79&lt;&gt;""),(VLOOKUP($C79,'V-LOOKUP'!$C$122:$M$150,11,FALSE)),"0")</f>
        <v>0</v>
      </c>
      <c r="DB79" s="192" t="str">
        <f>IF(AND($C79&lt;&gt;"",$D79&lt;&gt;""),(VLOOKUP($C79,'V-LOOKUP'!$C$122:$N$150,12,FALSE)),"0")</f>
        <v>0</v>
      </c>
      <c r="DC79" s="192" t="str">
        <f>IF(AND($C79&lt;&gt;"",$M79&lt;&gt;""),(VLOOKUP($C79,'V-LOOKUP'!$C$122:$M$150,4,FALSE)),"0")</f>
        <v>0</v>
      </c>
      <c r="DD79" s="192" t="str">
        <f>IF(AND($C79&lt;&gt;"",$M79&lt;&gt;""),(VLOOKUP($C79,'V-LOOKUP'!$C$122:$M$150,5,FALSE)),"0")</f>
        <v>0</v>
      </c>
      <c r="DE79" s="192" t="str">
        <f>IF(AND($C79&lt;&gt;"",$M79&lt;&gt;""),(VLOOKUP($C79,'V-LOOKUP'!$C$122:$M$150,6,FALSE)),"0")</f>
        <v>0</v>
      </c>
      <c r="DF79" s="192" t="str">
        <f>IF(AND($C79&lt;&gt;"",$M79&lt;&gt;""),(VLOOKUP($C79,'V-LOOKUP'!$C$122:$M$150,7,FALSE)),"0")</f>
        <v>0</v>
      </c>
      <c r="DG79" s="192" t="str">
        <f>IF(AND($C79&lt;&gt;"",$M79&lt;&gt;""),(VLOOKUP($C79,'V-LOOKUP'!$C$122:$M$150,8,FALSE)),"0")</f>
        <v>0</v>
      </c>
      <c r="DH79" s="192" t="str">
        <f>IF(AND($C79&lt;&gt;"",$M79&lt;&gt;""),(VLOOKUP($C79,'V-LOOKUP'!$C$122:$M$150,9,FALSE)),"0")</f>
        <v>0</v>
      </c>
      <c r="DI79" s="192" t="str">
        <f>IF(AND($C79&lt;&gt;"",$M79&lt;&gt;""),(VLOOKUP($C79,'V-LOOKUP'!$C$122:$M$150,10,FALSE)),"0")</f>
        <v>0</v>
      </c>
      <c r="DJ79" s="192" t="str">
        <f>IF(AND($C79&lt;&gt;"",$M79&lt;&gt;""),(VLOOKUP($C79,'V-LOOKUP'!$C$122:$M$150,11,FALSE)),"0")</f>
        <v>0</v>
      </c>
      <c r="DK79" s="192" t="str">
        <f>IF(AND($C79&lt;&gt;"",$D79&lt;&gt;""),(VLOOKUP($C79,'V-LOOKUP'!$C$122:$N$150,12,FALSE)),"0")</f>
        <v>0</v>
      </c>
      <c r="DL79" s="192" t="str">
        <f>IF(AND($C79&lt;&gt;"",$N79&lt;&gt;""),(VLOOKUP($C79,'V-LOOKUP'!$C$122:$M$150,4,FALSE)),"0")</f>
        <v>0</v>
      </c>
      <c r="DM79" s="192" t="str">
        <f>IF(AND($C79&lt;&gt;"",$N79&lt;&gt;""),(VLOOKUP($C79,'V-LOOKUP'!$C$122:$M$150,5,FALSE)),"0")</f>
        <v>0</v>
      </c>
      <c r="DN79" s="192" t="str">
        <f>IF(AND($C79&lt;&gt;"",$N79&lt;&gt;""),(VLOOKUP($C79,'V-LOOKUP'!$C$122:$M$150,6,FALSE)),"0")</f>
        <v>0</v>
      </c>
      <c r="DO79" s="192" t="str">
        <f>IF(AND($C79&lt;&gt;"",$N79&lt;&gt;""),(VLOOKUP($C79,'V-LOOKUP'!$C$122:$M$150,7,FALSE)),"0")</f>
        <v>0</v>
      </c>
      <c r="DP79" s="192" t="str">
        <f>IF(AND($C79&lt;&gt;"",$N79&lt;&gt;""),(VLOOKUP($C79,'V-LOOKUP'!$C$122:$M$150,8,FALSE)),"0")</f>
        <v>0</v>
      </c>
      <c r="DQ79" s="192" t="str">
        <f>IF(AND($C79&lt;&gt;"",$N79&lt;&gt;""),(VLOOKUP($C79,'V-LOOKUP'!$C$122:$M$150,9,FALSE)),"0")</f>
        <v>0</v>
      </c>
      <c r="DR79" s="192" t="str">
        <f>IF(AND($C79&lt;&gt;"",$N79&lt;&gt;""),(VLOOKUP($C79,'V-LOOKUP'!$C$122:$M$150,10,FALSE)),"0")</f>
        <v>0</v>
      </c>
      <c r="DS79" s="192" t="str">
        <f>IF(AND($C79&lt;&gt;"",$N79&lt;&gt;""),(VLOOKUP($C79,'V-LOOKUP'!$C$122:$M$150,11,FALSE)),"0")</f>
        <v>0</v>
      </c>
      <c r="DT79" s="192" t="str">
        <f>IF(AND($C79&lt;&gt;"",$D79&lt;&gt;""),(VLOOKUP($C79,'V-LOOKUP'!$C$122:$N$150,12,FALSE)),"0")</f>
        <v>0</v>
      </c>
      <c r="DU79" s="192" t="str">
        <f>IF(AND($C79&lt;&gt;"",$O79&lt;&gt;""),(VLOOKUP($C79,'V-LOOKUP'!$C$122:$M$150,4,FALSE)),"0")</f>
        <v>0</v>
      </c>
      <c r="DV79" s="192" t="str">
        <f>IF(AND($C79&lt;&gt;"",$O79&lt;&gt;""),(VLOOKUP($C79,'V-LOOKUP'!$C$122:$M$150,5,FALSE)),"0")</f>
        <v>0</v>
      </c>
      <c r="DW79" s="192" t="str">
        <f>IF(AND($C79&lt;&gt;"",$O79&lt;&gt;""),(VLOOKUP($C79,'V-LOOKUP'!$C$122:$M$150,6,FALSE)),"0")</f>
        <v>0</v>
      </c>
      <c r="DX79" s="192" t="str">
        <f>IF(AND($C79&lt;&gt;"",$O79&lt;&gt;""),(VLOOKUP($C79,'V-LOOKUP'!$C$122:$M$150,7,FALSE)),"0")</f>
        <v>0</v>
      </c>
      <c r="DY79" s="192" t="str">
        <f>IF(AND($C79&lt;&gt;"",$O79&lt;&gt;""),(VLOOKUP($C79,'V-LOOKUP'!$C$122:$M$150,8,FALSE)),"0")</f>
        <v>0</v>
      </c>
      <c r="DZ79" s="192" t="str">
        <f>IF(AND($C79&lt;&gt;"",$O79&lt;&gt;""),(VLOOKUP($C79,'V-LOOKUP'!$C$122:$M$150,9,FALSE)),"0")</f>
        <v>0</v>
      </c>
      <c r="EA79" s="192" t="str">
        <f>IF(AND($C79&lt;&gt;"",$O79&lt;&gt;""),(VLOOKUP($C79,'V-LOOKUP'!$C$122:$M$150,10,FALSE)),"0")</f>
        <v>0</v>
      </c>
      <c r="EB79" s="192" t="str">
        <f>IF(AND($C79&lt;&gt;"",$O79&lt;&gt;""),(VLOOKUP($C79,'V-LOOKUP'!$C$122:$M$150,11,FALSE)),"0")</f>
        <v>0</v>
      </c>
      <c r="EC79" s="192" t="str">
        <f>IF(AND($C79&lt;&gt;"",$D79&lt;&gt;""),(VLOOKUP($C79,'V-LOOKUP'!$C$122:$N$150,12,FALSE)),"0")</f>
        <v>0</v>
      </c>
      <c r="ED79" s="192" t="str">
        <f>IF(AND($C79&lt;&gt;"",$P79&lt;&gt;""),(VLOOKUP($C79,'V-LOOKUP'!$C$122:$M$150,4,FALSE)),"0")</f>
        <v>0</v>
      </c>
      <c r="EE79" s="192" t="str">
        <f>IF(AND($C79&lt;&gt;"",$P79&lt;&gt;""),(VLOOKUP($C79,'V-LOOKUP'!$C$122:$M$150,5,FALSE)),"0")</f>
        <v>0</v>
      </c>
      <c r="EF79" s="192" t="str">
        <f>IF(AND($C79&lt;&gt;"",$P79&lt;&gt;""),(VLOOKUP($C79,'V-LOOKUP'!$C$122:$M$150,6,FALSE)),"0")</f>
        <v>0</v>
      </c>
      <c r="EG79" s="192" t="str">
        <f>IF(AND($C79&lt;&gt;"",$P79&lt;&gt;""),(VLOOKUP($C79,'V-LOOKUP'!$C$122:$M$150,7,FALSE)),"0")</f>
        <v>0</v>
      </c>
      <c r="EH79" s="192" t="str">
        <f>IF(AND($C79&lt;&gt;"",$P79&lt;&gt;""),(VLOOKUP($C79,'V-LOOKUP'!$C$122:$M$150,8,FALSE)),"0")</f>
        <v>0</v>
      </c>
      <c r="EI79" s="192" t="str">
        <f>IF(AND($C79&lt;&gt;"",$P79&lt;&gt;""),(VLOOKUP($C79,'V-LOOKUP'!$C$122:$M$150,9,FALSE)),"0")</f>
        <v>0</v>
      </c>
      <c r="EJ79" s="192" t="str">
        <f>IF(AND($C79&lt;&gt;"",$P79&lt;&gt;""),(VLOOKUP($C79,'V-LOOKUP'!$C$122:$M$150,10,FALSE)),"0")</f>
        <v>0</v>
      </c>
      <c r="EK79" s="192" t="str">
        <f>IF(AND($C79&lt;&gt;"",$P79&lt;&gt;""),(VLOOKUP($C79,'V-LOOKUP'!$C$122:$M$150,11,FALSE)),"0")</f>
        <v>0</v>
      </c>
      <c r="EL79" s="192" t="str">
        <f>IF(AND($C79&lt;&gt;"",$D79&lt;&gt;""),(VLOOKUP($C79,'V-LOOKUP'!$C$122:$N$150,12,FALSE)),"0")</f>
        <v>0</v>
      </c>
      <c r="EM79" s="192" t="str">
        <f>IF(AND($C79&lt;&gt;"",$Q79&lt;&gt;""),(VLOOKUP($C79,'V-LOOKUP'!$C$122:$M$150,4,FALSE)),"0")</f>
        <v>0</v>
      </c>
      <c r="EN79" s="192" t="str">
        <f>IF(AND($C79&lt;&gt;"",$Q79&lt;&gt;""),(VLOOKUP($C79,'V-LOOKUP'!$C$122:$M$150,5,FALSE)),"0")</f>
        <v>0</v>
      </c>
      <c r="EO79" s="192" t="str">
        <f>IF(AND($C79&lt;&gt;"",$Q79&lt;&gt;""),(VLOOKUP($C79,'V-LOOKUP'!$C$122:$M$150,6,FALSE)),"0")</f>
        <v>0</v>
      </c>
      <c r="EP79" s="192" t="str">
        <f>IF(AND($C79&lt;&gt;"",$Q79&lt;&gt;""),(VLOOKUP($C79,'V-LOOKUP'!$C$122:$M$150,7,FALSE)),"0")</f>
        <v>0</v>
      </c>
      <c r="EQ79" s="192" t="str">
        <f>IF(AND($C79&lt;&gt;"",$Q79&lt;&gt;""),(VLOOKUP($C79,'V-LOOKUP'!$C$122:$M$150,8,FALSE)),"0")</f>
        <v>0</v>
      </c>
      <c r="ER79" s="192" t="str">
        <f>IF(AND($C79&lt;&gt;"",$Q79&lt;&gt;""),(VLOOKUP($C79,'V-LOOKUP'!$C$122:$M$150,9,FALSE)),"0")</f>
        <v>0</v>
      </c>
      <c r="ES79" s="192" t="str">
        <f>IF(AND($C79&lt;&gt;"",$Q79&lt;&gt;""),(VLOOKUP($C79,'V-LOOKUP'!$C$122:$M$150,10,FALSE)),"0")</f>
        <v>0</v>
      </c>
      <c r="ET79" s="192" t="str">
        <f>IF(AND($C79&lt;&gt;"",$Q79&lt;&gt;""),(VLOOKUP($C79,'V-LOOKUP'!$C$122:$M$150,11,FALSE)),"0")</f>
        <v>0</v>
      </c>
      <c r="EU79" s="192" t="str">
        <f>IF(AND($C79&lt;&gt;"",$D79&lt;&gt;""),(VLOOKUP($C79,'V-LOOKUP'!$C$122:$N$150,12,FALSE)),"0")</f>
        <v>0</v>
      </c>
      <c r="EV79" s="192" t="str">
        <f>IF(AND($C79&lt;&gt;"",$R79&lt;&gt;""),(VLOOKUP($C79,'V-LOOKUP'!$C$122:$M$150,4,FALSE)),"0")</f>
        <v>0</v>
      </c>
      <c r="EW79" s="192" t="str">
        <f>IF(AND($C79&lt;&gt;"",$R79&lt;&gt;""),(VLOOKUP($C79,'V-LOOKUP'!$C$122:$M$150,5,FALSE)),"0")</f>
        <v>0</v>
      </c>
      <c r="EX79" s="192" t="str">
        <f>IF(AND($C79&lt;&gt;"",$R79&lt;&gt;""),(VLOOKUP($C79,'V-LOOKUP'!$C$122:$M$150,6,FALSE)),"0")</f>
        <v>0</v>
      </c>
      <c r="EY79" s="192" t="str">
        <f>IF(AND($C79&lt;&gt;"",$R79&lt;&gt;""),(VLOOKUP($C79,'V-LOOKUP'!$C$122:$M$150,7,FALSE)),"0")</f>
        <v>0</v>
      </c>
      <c r="EZ79" s="192" t="str">
        <f>IF(AND($C79&lt;&gt;"",$R79&lt;&gt;""),(VLOOKUP($C79,'V-LOOKUP'!$C$122:$M$150,8,FALSE)),"0")</f>
        <v>0</v>
      </c>
      <c r="FA79" s="192" t="str">
        <f>IF(AND($C79&lt;&gt;"",$R79&lt;&gt;""),(VLOOKUP($C79,'V-LOOKUP'!$C$122:$M$150,9,FALSE)),"0")</f>
        <v>0</v>
      </c>
      <c r="FB79" s="192" t="str">
        <f>IF(AND($C79&lt;&gt;"",$R79&lt;&gt;""),(VLOOKUP($C79,'V-LOOKUP'!$C$122:$M$150,10,FALSE)),"0")</f>
        <v>0</v>
      </c>
      <c r="FC79" s="192" t="str">
        <f>IF(AND($C79&lt;&gt;"",$R79&lt;&gt;""),(VLOOKUP($C79,'V-LOOKUP'!$C$122:$M$150,11,FALSE)),"0")</f>
        <v>0</v>
      </c>
      <c r="FD79" s="192" t="str">
        <f>IF(AND($C79&lt;&gt;"",$D79&lt;&gt;""),(VLOOKUP($C79,'V-LOOKUP'!$C$122:$N$150,12,FALSE)),"0")</f>
        <v>0</v>
      </c>
      <c r="FE79" s="192" t="str">
        <f>IF(AND($C79&lt;&gt;"",$S79&lt;&gt;""),(VLOOKUP($C79,'V-LOOKUP'!$C$122:$M$150,4,FALSE)),"0")</f>
        <v>0</v>
      </c>
      <c r="FF79" s="192" t="str">
        <f>IF(AND($C79&lt;&gt;"",$S79&lt;&gt;""),(VLOOKUP($C79,'V-LOOKUP'!$C$122:$M$150,5,FALSE)),"0")</f>
        <v>0</v>
      </c>
      <c r="FG79" s="192" t="str">
        <f>IF(AND($C79&lt;&gt;"",$S79&lt;&gt;""),(VLOOKUP($C79,'V-LOOKUP'!$C$122:$M$150,6,FALSE)),"0")</f>
        <v>0</v>
      </c>
      <c r="FH79" s="192" t="str">
        <f>IF(AND($C79&lt;&gt;"",$S79&lt;&gt;""),(VLOOKUP($C79,'V-LOOKUP'!$C$122:$M$150,7,FALSE)),"0")</f>
        <v>0</v>
      </c>
      <c r="FI79" s="192" t="str">
        <f>IF(AND($C79&lt;&gt;"",$S79&lt;&gt;""),(VLOOKUP($C79,'V-LOOKUP'!$C$122:$M$150,8,FALSE)),"0")</f>
        <v>0</v>
      </c>
      <c r="FJ79" s="192" t="str">
        <f>IF(AND($C79&lt;&gt;"",$S79&lt;&gt;""),(VLOOKUP($C79,'V-LOOKUP'!$C$122:$M$150,9,FALSE)),"0")</f>
        <v>0</v>
      </c>
      <c r="FK79" s="192" t="str">
        <f>IF(AND($C79&lt;&gt;"",$S79&lt;&gt;""),(VLOOKUP($C79,'V-LOOKUP'!$C$122:$M$150,10,FALSE)),"0")</f>
        <v>0</v>
      </c>
      <c r="FL79" s="192" t="str">
        <f>IF(AND($C79&lt;&gt;"",$S79&lt;&gt;""),(VLOOKUP($C79,'V-LOOKUP'!$C$122:$M$150,11,FALSE)),"0")</f>
        <v>0</v>
      </c>
      <c r="FM79" s="192" t="str">
        <f>IF(AND($C79&lt;&gt;"",$D79&lt;&gt;""),(VLOOKUP($C79,'V-LOOKUP'!$C$122:$N$150,12,FALSE)),"0")</f>
        <v>0</v>
      </c>
      <c r="FN79" s="192" t="str">
        <f>IF(AND($C79&lt;&gt;"",$T79&lt;&gt;""),(VLOOKUP($C79,'V-LOOKUP'!$C$122:$M$150,4,FALSE)),"0")</f>
        <v>0</v>
      </c>
      <c r="FO79" s="192" t="str">
        <f>IF(AND($C79&lt;&gt;"",$T79&lt;&gt;""),(VLOOKUP($C79,'V-LOOKUP'!$C$122:$M$150,5,FALSE)),"0")</f>
        <v>0</v>
      </c>
      <c r="FP79" s="192" t="str">
        <f>IF(AND($C79&lt;&gt;"",$T79&lt;&gt;""),(VLOOKUP($C79,'V-LOOKUP'!$C$122:$M$150,6,FALSE)),"0")</f>
        <v>0</v>
      </c>
      <c r="FQ79" s="192" t="str">
        <f>IF(AND($C79&lt;&gt;"",$T79&lt;&gt;""),(VLOOKUP($C79,'V-LOOKUP'!$C$122:$M$150,7,FALSE)),"0")</f>
        <v>0</v>
      </c>
      <c r="FR79" s="192" t="str">
        <f>IF(AND($C79&lt;&gt;"",$T79&lt;&gt;""),(VLOOKUP($C79,'V-LOOKUP'!$C$122:$M$150,8,FALSE)),"0")</f>
        <v>0</v>
      </c>
      <c r="FS79" s="192" t="str">
        <f>IF(AND($C79&lt;&gt;"",$T79&lt;&gt;""),(VLOOKUP($C79,'V-LOOKUP'!$C$122:$M$150,9,FALSE)),"0")</f>
        <v>0</v>
      </c>
      <c r="FT79" s="192" t="str">
        <f>IF(AND($C79&lt;&gt;"",$T79&lt;&gt;""),(VLOOKUP($C79,'V-LOOKUP'!$C$122:$M$150,10,FALSE)),"0")</f>
        <v>0</v>
      </c>
      <c r="FU79" s="192" t="str">
        <f>IF(AND($C79&lt;&gt;"",$T79&lt;&gt;""),(VLOOKUP($C79,'V-LOOKUP'!$C$122:$M$150,11,FALSE)),"0")</f>
        <v>0</v>
      </c>
      <c r="FV79" s="192" t="str">
        <f>IF(AND($C79&lt;&gt;"",$D79&lt;&gt;""),(VLOOKUP($C79,'V-LOOKUP'!$C$122:$N$150,12,FALSE)),"0")</f>
        <v>0</v>
      </c>
      <c r="FW79" s="192" t="str">
        <f>IF(AND($C79&lt;&gt;"",$U79&lt;&gt;""),(VLOOKUP($C79,'V-LOOKUP'!$C$122:$M$150,4,FALSE)),"0")</f>
        <v>0</v>
      </c>
      <c r="FX79" s="192" t="str">
        <f>IF(AND($C79&lt;&gt;"",$U79&lt;&gt;""),(VLOOKUP($C79,'V-LOOKUP'!$C$122:$M$150,5,FALSE)),"0")</f>
        <v>0</v>
      </c>
      <c r="FY79" s="192" t="str">
        <f>IF(AND($C79&lt;&gt;"",$U79&lt;&gt;""),(VLOOKUP($C79,'V-LOOKUP'!$C$122:$M$150,6,FALSE)),"0")</f>
        <v>0</v>
      </c>
      <c r="FZ79" s="192" t="str">
        <f>IF(AND($C79&lt;&gt;"",$U79&lt;&gt;""),(VLOOKUP($C79,'V-LOOKUP'!$C$122:$M$150,7,FALSE)),"0")</f>
        <v>0</v>
      </c>
      <c r="GA79" s="192" t="str">
        <f>IF(AND($C79&lt;&gt;"",$U79&lt;&gt;""),(VLOOKUP($C79,'V-LOOKUP'!$C$122:$M$150,8,FALSE)),"0")</f>
        <v>0</v>
      </c>
      <c r="GB79" s="192" t="str">
        <f>IF(AND($C79&lt;&gt;"",$U79&lt;&gt;""),(VLOOKUP($C79,'V-LOOKUP'!$C$122:$M$150,9,FALSE)),"0")</f>
        <v>0</v>
      </c>
      <c r="GC79" s="192" t="str">
        <f>IF(AND($C79&lt;&gt;"",$U79&lt;&gt;""),(VLOOKUP($C79,'V-LOOKUP'!$C$122:$M$150,10,FALSE)),"0")</f>
        <v>0</v>
      </c>
      <c r="GD79" s="192" t="str">
        <f>IF(AND($C79&lt;&gt;"",$U79&lt;&gt;""),(VLOOKUP($C79,'V-LOOKUP'!$C$122:$M$150,11,FALSE)),"0")</f>
        <v>0</v>
      </c>
      <c r="GE79" s="192" t="str">
        <f>IF(AND($C79&lt;&gt;"",$D79&lt;&gt;""),(VLOOKUP($C79,'V-LOOKUP'!$C$122:$N$150,12,FALSE)),"0")</f>
        <v>0</v>
      </c>
      <c r="GF79" s="192" t="str">
        <f>IF(AND($C79&lt;&gt;"",$V79&lt;&gt;""),(VLOOKUP($C79,'V-LOOKUP'!$C$122:$M$150,4,FALSE)),"0")</f>
        <v>0</v>
      </c>
      <c r="GG79" s="192" t="str">
        <f>IF(AND($C79&lt;&gt;"",$V79&lt;&gt;""),(VLOOKUP($C79,'V-LOOKUP'!$C$122:$M$150,5,FALSE)),"0")</f>
        <v>0</v>
      </c>
      <c r="GH79" s="192" t="str">
        <f>IF(AND($C79&lt;&gt;"",$V79&lt;&gt;""),(VLOOKUP($C79,'V-LOOKUP'!$C$122:$M$150,6,FALSE)),"0")</f>
        <v>0</v>
      </c>
      <c r="GI79" s="192" t="str">
        <f>IF(AND($C79&lt;&gt;"",$V79&lt;&gt;""),(VLOOKUP($C79,'V-LOOKUP'!$C$122:$M$150,7,FALSE)),"0")</f>
        <v>0</v>
      </c>
      <c r="GJ79" s="192" t="str">
        <f>IF(AND($C79&lt;&gt;"",$V79&lt;&gt;""),(VLOOKUP($C79,'V-LOOKUP'!$C$122:$M$150,8,FALSE)),"0")</f>
        <v>0</v>
      </c>
      <c r="GK79" s="192" t="str">
        <f>IF(AND($C79&lt;&gt;"",$V79&lt;&gt;""),(VLOOKUP($C79,'V-LOOKUP'!$C$122:$M$150,9,FALSE)),"0")</f>
        <v>0</v>
      </c>
      <c r="GL79" s="192" t="str">
        <f>IF(AND($C79&lt;&gt;"",$V79&lt;&gt;""),(VLOOKUP($C79,'V-LOOKUP'!$C$122:$M$150,10,FALSE)),"0")</f>
        <v>0</v>
      </c>
      <c r="GM79" s="192" t="str">
        <f>IF(AND($C79&lt;&gt;"",$V79&lt;&gt;""),(VLOOKUP($C79,'V-LOOKUP'!$C$122:$M$150,11,FALSE)),"0")</f>
        <v>0</v>
      </c>
      <c r="GN79" s="192" t="str">
        <f>IF(AND($C79&lt;&gt;"",$D79&lt;&gt;""),(VLOOKUP($C79,'V-LOOKUP'!$C$122:$N$150,12,FALSE)),"0")</f>
        <v>0</v>
      </c>
      <c r="GO79" s="192" t="str">
        <f>IF(AND($C79&lt;&gt;"",$W79&lt;&gt;""),(VLOOKUP($C79,'V-LOOKUP'!$C$122:$M$150,4,FALSE)),"0")</f>
        <v>0</v>
      </c>
      <c r="GP79" s="192" t="str">
        <f>IF(AND($C79&lt;&gt;"",$W79&lt;&gt;""),(VLOOKUP($C79,'V-LOOKUP'!$C$122:$M$150,5,FALSE)),"0")</f>
        <v>0</v>
      </c>
      <c r="GQ79" s="192" t="str">
        <f>IF(AND($C79&lt;&gt;"",$W79&lt;&gt;""),(VLOOKUP($C79,'V-LOOKUP'!$C$122:$M$150,6,FALSE)),"0")</f>
        <v>0</v>
      </c>
      <c r="GR79" s="192" t="str">
        <f>IF(AND($C79&lt;&gt;"",$W79&lt;&gt;""),(VLOOKUP($C79,'V-LOOKUP'!$C$122:$M$150,7,FALSE)),"0")</f>
        <v>0</v>
      </c>
      <c r="GS79" s="192" t="str">
        <f>IF(AND($C79&lt;&gt;"",$W79&lt;&gt;""),(VLOOKUP($C79,'V-LOOKUP'!$C$122:$M$150,8,FALSE)),"0")</f>
        <v>0</v>
      </c>
      <c r="GT79" s="192" t="str">
        <f>IF(AND($C79&lt;&gt;"",$W79&lt;&gt;""),(VLOOKUP($C79,'V-LOOKUP'!$C$122:$M$150,9,FALSE)),"0")</f>
        <v>0</v>
      </c>
      <c r="GU79" s="192" t="str">
        <f>IF(AND($C79&lt;&gt;"",$W79&lt;&gt;""),(VLOOKUP($C79,'V-LOOKUP'!$C$122:$M$150,10,FALSE)),"0")</f>
        <v>0</v>
      </c>
      <c r="GV79" s="192" t="str">
        <f>IF(AND($C79&lt;&gt;"",$W79&lt;&gt;""),(VLOOKUP($C79,'V-LOOKUP'!$C$122:$M$150,11,FALSE)),"0")</f>
        <v>0</v>
      </c>
      <c r="GW79" s="192" t="str">
        <f>IF(AND($C79&lt;&gt;"",$D79&lt;&gt;""),(VLOOKUP($C79,'V-LOOKUP'!$C$122:$N$150,12,FALSE)),"0")</f>
        <v>0</v>
      </c>
    </row>
    <row r="80" spans="1:205" ht="14.65" customHeight="1">
      <c r="B80" s="246"/>
      <c r="C80" s="203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Y80" s="190"/>
      <c r="Z80" s="192" t="str">
        <f>IF(AND($C80&lt;&gt;"",$D80&lt;&gt;""),(VLOOKUP($C80,'V-LOOKUP'!$C$122:$M$150,4,FALSE)),"0")</f>
        <v>0</v>
      </c>
      <c r="AA80" s="192" t="str">
        <f>IF(AND($C80&lt;&gt;"",$D80&lt;&gt;""),(VLOOKUP($C80,'V-LOOKUP'!$C$122:$M$150,5,FALSE)),"0")</f>
        <v>0</v>
      </c>
      <c r="AB80" s="192" t="str">
        <f>IF(AND($C80&lt;&gt;"",$D80&lt;&gt;""),(VLOOKUP($C80,'V-LOOKUP'!$C$122:$M$150,6,FALSE)),"0")</f>
        <v>0</v>
      </c>
      <c r="AC80" s="192" t="str">
        <f>IF(AND($C80&lt;&gt;"",$D80&lt;&gt;""),(VLOOKUP($C80,'V-LOOKUP'!$C$122:$M$150,7,FALSE)),"0")</f>
        <v>0</v>
      </c>
      <c r="AD80" s="192" t="str">
        <f>IF(AND($C80&lt;&gt;"",$D80&lt;&gt;""),(VLOOKUP($C80,'V-LOOKUP'!$C$122:$M$150,8,FALSE)),"0")</f>
        <v>0</v>
      </c>
      <c r="AE80" s="192" t="str">
        <f>IF(AND($C80&lt;&gt;"",$D80&lt;&gt;""),(VLOOKUP($C80,'V-LOOKUP'!$C$122:$M$150,9,FALSE)),"0")</f>
        <v>0</v>
      </c>
      <c r="AF80" s="192" t="str">
        <f>IF(AND($C80&lt;&gt;"",$D80&lt;&gt;""),(VLOOKUP($C80,'V-LOOKUP'!$C$122:$M$150,10,FALSE)),"0")</f>
        <v>0</v>
      </c>
      <c r="AG80" s="192" t="str">
        <f>IF(AND($C80&lt;&gt;"",$D80&lt;&gt;""),(VLOOKUP($C80,'V-LOOKUP'!$C$122:$M$150,11,FALSE)),"0")</f>
        <v>0</v>
      </c>
      <c r="AH80" s="192" t="str">
        <f>IF(AND($C80&lt;&gt;"",$D80&lt;&gt;""),(VLOOKUP($C80,'V-LOOKUP'!$C$122:$N$150,12,FALSE)),"0")</f>
        <v>0</v>
      </c>
      <c r="AI80" s="192" t="str">
        <f>IF(AND($C80&lt;&gt;"",$E80&lt;&gt;""),(VLOOKUP($C80,'V-LOOKUP'!$C$122:$M$150,4,FALSE)),"0")</f>
        <v>0</v>
      </c>
      <c r="AJ80" s="192" t="str">
        <f>IF(AND($C80&lt;&gt;"",$E80&lt;&gt;""),(VLOOKUP($C80,'V-LOOKUP'!$C$122:$M$150,5,FALSE)),"0")</f>
        <v>0</v>
      </c>
      <c r="AK80" s="192" t="str">
        <f>IF(AND($C80&lt;&gt;"",$E80&lt;&gt;""),(VLOOKUP($C80,'V-LOOKUP'!$C$122:$M$150,6,FALSE)),"0")</f>
        <v>0</v>
      </c>
      <c r="AL80" s="192" t="str">
        <f>IF(AND($C80&lt;&gt;"",$E80&lt;&gt;""),(VLOOKUP($C80,'V-LOOKUP'!$C$122:$M$150,7,FALSE)),"0")</f>
        <v>0</v>
      </c>
      <c r="AM80" s="192" t="str">
        <f>IF(AND($C80&lt;&gt;"",$E80&lt;&gt;""),(VLOOKUP($C80,'V-LOOKUP'!$C$122:$M$150,8,FALSE)),"0")</f>
        <v>0</v>
      </c>
      <c r="AN80" s="192" t="str">
        <f>IF(AND($C80&lt;&gt;"",$E80&lt;&gt;""),(VLOOKUP($C80,'V-LOOKUP'!$C$122:$M$150,9,FALSE)),"0")</f>
        <v>0</v>
      </c>
      <c r="AO80" s="192" t="str">
        <f>IF(AND($C80&lt;&gt;"",$E80&lt;&gt;""),(VLOOKUP($C80,'V-LOOKUP'!$C$122:$M$150,10,FALSE)),"0")</f>
        <v>0</v>
      </c>
      <c r="AP80" s="192" t="str">
        <f>IF(AND($C80&lt;&gt;"",$E80&lt;&gt;""),(VLOOKUP($C80,'V-LOOKUP'!$C$122:$M$150,11,FALSE)),"0")</f>
        <v>0</v>
      </c>
      <c r="AQ80" s="192" t="str">
        <f>IF(AND($C80&lt;&gt;"",$D80&lt;&gt;""),(VLOOKUP($C80,'V-LOOKUP'!$C$122:$N$150,12,FALSE)),"0")</f>
        <v>0</v>
      </c>
      <c r="AR80" s="192" t="str">
        <f>IF(AND($C80&lt;&gt;"",$F80&lt;&gt;""),(VLOOKUP($C80,'V-LOOKUP'!$C$122:$M$150,4,FALSE)),"0")</f>
        <v>0</v>
      </c>
      <c r="AS80" s="192" t="str">
        <f>IF(AND($C80&lt;&gt;"",$F80&lt;&gt;""),(VLOOKUP($C80,'V-LOOKUP'!$C$122:$M$150,5,FALSE)),"0")</f>
        <v>0</v>
      </c>
      <c r="AT80" s="192" t="str">
        <f>IF(AND($C80&lt;&gt;"",$F80&lt;&gt;""),(VLOOKUP($C80,'V-LOOKUP'!$C$122:$M$150,6,FALSE)),"0")</f>
        <v>0</v>
      </c>
      <c r="AU80" s="192" t="str">
        <f>IF(AND($C80&lt;&gt;"",$F80&lt;&gt;""),(VLOOKUP($C80,'V-LOOKUP'!$C$122:$M$150,7,FALSE)),"0")</f>
        <v>0</v>
      </c>
      <c r="AV80" s="192" t="str">
        <f>IF(AND($C80&lt;&gt;"",$F80&lt;&gt;""),(VLOOKUP($C80,'V-LOOKUP'!$C$122:$M$150,8,FALSE)),"0")</f>
        <v>0</v>
      </c>
      <c r="AW80" s="192" t="str">
        <f>IF(AND($C80&lt;&gt;"",$F80&lt;&gt;""),(VLOOKUP($C80,'V-LOOKUP'!$C$122:$M$150,9,FALSE)),"0")</f>
        <v>0</v>
      </c>
      <c r="AX80" s="192" t="str">
        <f>IF(AND($C80&lt;&gt;"",$F80&lt;&gt;""),(VLOOKUP($C80,'V-LOOKUP'!$C$122:$M$150,10,FALSE)),"0")</f>
        <v>0</v>
      </c>
      <c r="AY80" s="192" t="str">
        <f>IF(AND($C80&lt;&gt;"",$F80&lt;&gt;""),(VLOOKUP($C80,'V-LOOKUP'!$C$122:$M$150,11,FALSE)),"0")</f>
        <v>0</v>
      </c>
      <c r="AZ80" s="192" t="str">
        <f>IF(AND($C80&lt;&gt;"",$D80&lt;&gt;""),(VLOOKUP($C80,'V-LOOKUP'!$C$122:$N$150,12,FALSE)),"0")</f>
        <v>0</v>
      </c>
      <c r="BA80" s="192" t="str">
        <f>IF(AND($C80&lt;&gt;"",$G80&lt;&gt;""),(VLOOKUP($C80,'V-LOOKUP'!$C$122:$M$150,4,FALSE)),"0")</f>
        <v>0</v>
      </c>
      <c r="BB80" s="192" t="str">
        <f>IF(AND($C80&lt;&gt;"",$G80&lt;&gt;""),(VLOOKUP($C80,'V-LOOKUP'!$C$122:$M$150,5,FALSE)),"0")</f>
        <v>0</v>
      </c>
      <c r="BC80" s="192" t="str">
        <f>IF(AND($C80&lt;&gt;"",$G80&lt;&gt;""),(VLOOKUP($C80,'V-LOOKUP'!$C$122:$M$150,6,FALSE)),"0")</f>
        <v>0</v>
      </c>
      <c r="BD80" s="192" t="str">
        <f>IF(AND($C80&lt;&gt;"",$G80&lt;&gt;""),(VLOOKUP($C80,'V-LOOKUP'!$C$122:$M$150,7,FALSE)),"0")</f>
        <v>0</v>
      </c>
      <c r="BE80" s="192" t="str">
        <f>IF(AND($C80&lt;&gt;"",$G80&lt;&gt;""),(VLOOKUP($C80,'V-LOOKUP'!$C$122:$M$150,8,FALSE)),"0")</f>
        <v>0</v>
      </c>
      <c r="BF80" s="192" t="str">
        <f>IF(AND($C80&lt;&gt;"",$G80&lt;&gt;""),(VLOOKUP($C80,'V-LOOKUP'!$C$122:$M$150,9,FALSE)),"0")</f>
        <v>0</v>
      </c>
      <c r="BG80" s="192" t="str">
        <f>IF(AND($C80&lt;&gt;"",$G80&lt;&gt;""),(VLOOKUP($C80,'V-LOOKUP'!$C$122:$M$150,10,FALSE)),"0")</f>
        <v>0</v>
      </c>
      <c r="BH80" s="192" t="str">
        <f>IF(AND($C80&lt;&gt;"",$G80&lt;&gt;""),(VLOOKUP($C80,'V-LOOKUP'!$C$122:$M$150,11,FALSE)),"0")</f>
        <v>0</v>
      </c>
      <c r="BI80" s="192" t="str">
        <f>IF(AND($C80&lt;&gt;"",$D80&lt;&gt;""),(VLOOKUP($C80,'V-LOOKUP'!$C$122:$N$150,12,FALSE)),"0")</f>
        <v>0</v>
      </c>
      <c r="BJ80" s="192" t="str">
        <f>IF(AND($C80&lt;&gt;"",$H80&lt;&gt;""),(VLOOKUP($C80,'V-LOOKUP'!$C$122:$M$150,4,FALSE)),"0")</f>
        <v>0</v>
      </c>
      <c r="BK80" s="192" t="str">
        <f>IF(AND($C80&lt;&gt;"",$H80&lt;&gt;""),(VLOOKUP($C80,'V-LOOKUP'!$C$122:$M$150,5,FALSE)),"0")</f>
        <v>0</v>
      </c>
      <c r="BL80" s="192" t="str">
        <f>IF(AND($C80&lt;&gt;"",$H80&lt;&gt;""),(VLOOKUP($C80,'V-LOOKUP'!$C$122:$M$150,6,FALSE)),"0")</f>
        <v>0</v>
      </c>
      <c r="BM80" s="192" t="str">
        <f>IF(AND($C80&lt;&gt;"",$H80&lt;&gt;""),(VLOOKUP($C80,'V-LOOKUP'!$C$122:$M$150,7,FALSE)),"0")</f>
        <v>0</v>
      </c>
      <c r="BN80" s="192" t="str">
        <f>IF(AND($C80&lt;&gt;"",$H80&lt;&gt;""),(VLOOKUP($C80,'V-LOOKUP'!$C$122:$M$150,8,FALSE)),"0")</f>
        <v>0</v>
      </c>
      <c r="BO80" s="192" t="str">
        <f>IF(AND($C80&lt;&gt;"",$H80&lt;&gt;""),(VLOOKUP($C80,'V-LOOKUP'!$C$122:$M$150,9,FALSE)),"0")</f>
        <v>0</v>
      </c>
      <c r="BP80" s="192" t="str">
        <f>IF(AND($C80&lt;&gt;"",$H80&lt;&gt;""),(VLOOKUP($C80,'V-LOOKUP'!$C$122:$M$150,10,FALSE)),"0")</f>
        <v>0</v>
      </c>
      <c r="BQ80" s="192" t="str">
        <f>IF(AND($C80&lt;&gt;"",$H80&lt;&gt;""),(VLOOKUP($C80,'V-LOOKUP'!$C$122:$M$150,11,FALSE)),"0")</f>
        <v>0</v>
      </c>
      <c r="BR80" s="192" t="str">
        <f>IF(AND($C80&lt;&gt;"",$D80&lt;&gt;""),(VLOOKUP($C80,'V-LOOKUP'!$C$122:$N$150,12,FALSE)),"0")</f>
        <v>0</v>
      </c>
      <c r="BS80" s="192" t="str">
        <f>IF(AND($C80&lt;&gt;"",$I80&lt;&gt;""),(VLOOKUP($C80,'V-LOOKUP'!$C$122:$M$150,4,FALSE)),"0")</f>
        <v>0</v>
      </c>
      <c r="BT80" s="192" t="str">
        <f>IF(AND($C80&lt;&gt;"",$I80&lt;&gt;""),(VLOOKUP($C80,'V-LOOKUP'!$C$122:$M$150,5,FALSE)),"0")</f>
        <v>0</v>
      </c>
      <c r="BU80" s="192" t="str">
        <f>IF(AND($C80&lt;&gt;"",$I80&lt;&gt;""),(VLOOKUP($C80,'V-LOOKUP'!$C$122:$M$150,6,FALSE)),"0")</f>
        <v>0</v>
      </c>
      <c r="BV80" s="192" t="str">
        <f>IF(AND($C80&lt;&gt;"",$I80&lt;&gt;""),(VLOOKUP($C80,'V-LOOKUP'!$C$122:$M$150,7,FALSE)),"0")</f>
        <v>0</v>
      </c>
      <c r="BW80" s="192" t="str">
        <f>IF(AND($C80&lt;&gt;"",$I80&lt;&gt;""),(VLOOKUP($C80,'V-LOOKUP'!$C$122:$M$150,8,FALSE)),"0")</f>
        <v>0</v>
      </c>
      <c r="BX80" s="192" t="str">
        <f>IF(AND($C80&lt;&gt;"",$I80&lt;&gt;""),(VLOOKUP($C80,'V-LOOKUP'!$C$122:$M$150,9,FALSE)),"0")</f>
        <v>0</v>
      </c>
      <c r="BY80" s="192" t="str">
        <f>IF(AND($C80&lt;&gt;"",$I80&lt;&gt;""),(VLOOKUP($C80,'V-LOOKUP'!$C$122:$M$150,10,FALSE)),"0")</f>
        <v>0</v>
      </c>
      <c r="BZ80" s="192" t="str">
        <f>IF(AND($C80&lt;&gt;"",$I80&lt;&gt;""),(VLOOKUP($C80,'V-LOOKUP'!$C$122:$M$150,11,FALSE)),"0")</f>
        <v>0</v>
      </c>
      <c r="CA80" s="192" t="str">
        <f>IF(AND($C80&lt;&gt;"",$D80&lt;&gt;""),(VLOOKUP($C80,'V-LOOKUP'!$C$122:$N$150,12,FALSE)),"0")</f>
        <v>0</v>
      </c>
      <c r="CB80" s="192" t="str">
        <f>IF(AND($C80&lt;&gt;"",$J80&lt;&gt;""),(VLOOKUP($C80,'V-LOOKUP'!$C$122:$M$150,4,FALSE)),"0")</f>
        <v>0</v>
      </c>
      <c r="CC80" s="192" t="str">
        <f>IF(AND($C80&lt;&gt;"",$J80&lt;&gt;""),(VLOOKUP($C80,'V-LOOKUP'!$C$122:$M$150,5,FALSE)),"0")</f>
        <v>0</v>
      </c>
      <c r="CD80" s="192" t="str">
        <f>IF(AND($C80&lt;&gt;"",$J80&lt;&gt;""),(VLOOKUP($C80,'V-LOOKUP'!$C$122:$M$150,6,FALSE)),"0")</f>
        <v>0</v>
      </c>
      <c r="CE80" s="192" t="str">
        <f>IF(AND($C80&lt;&gt;"",$J80&lt;&gt;""),(VLOOKUP($C80,'V-LOOKUP'!$C$122:$M$150,7,FALSE)),"0")</f>
        <v>0</v>
      </c>
      <c r="CF80" s="192" t="str">
        <f>IF(AND($C80&lt;&gt;"",$J80&lt;&gt;""),(VLOOKUP($C80,'V-LOOKUP'!$C$122:$M$150,8,FALSE)),"0")</f>
        <v>0</v>
      </c>
      <c r="CG80" s="192" t="str">
        <f>IF(AND($C80&lt;&gt;"",$J80&lt;&gt;""),(VLOOKUP($C80,'V-LOOKUP'!$C$122:$M$150,9,FALSE)),"0")</f>
        <v>0</v>
      </c>
      <c r="CH80" s="192" t="str">
        <f>IF(AND($C80&lt;&gt;"",$J80&lt;&gt;""),(VLOOKUP($C80,'V-LOOKUP'!$C$122:$M$150,10,FALSE)),"0")</f>
        <v>0</v>
      </c>
      <c r="CI80" s="192" t="str">
        <f>IF(AND($C80&lt;&gt;"",$J80&lt;&gt;""),(VLOOKUP($C80,'V-LOOKUP'!$C$122:$M$150,11,FALSE)),"0")</f>
        <v>0</v>
      </c>
      <c r="CJ80" s="192" t="str">
        <f>IF(AND($C80&lt;&gt;"",$D80&lt;&gt;""),(VLOOKUP($C80,'V-LOOKUP'!$C$122:$N$150,12,FALSE)),"0")</f>
        <v>0</v>
      </c>
      <c r="CK80" s="192" t="str">
        <f>IF(AND($C80&lt;&gt;"",$K80&lt;&gt;""),(VLOOKUP($C80,'V-LOOKUP'!$C$122:$M$150,4,FALSE)),"0")</f>
        <v>0</v>
      </c>
      <c r="CL80" s="192" t="str">
        <f>IF(AND($C80&lt;&gt;"",$K80&lt;&gt;""),(VLOOKUP($C80,'V-LOOKUP'!$C$122:$M$150,5,FALSE)),"0")</f>
        <v>0</v>
      </c>
      <c r="CM80" s="192" t="str">
        <f>IF(AND($C80&lt;&gt;"",$K80&lt;&gt;""),(VLOOKUP($C80,'V-LOOKUP'!$C$122:$M$150,6,FALSE)),"0")</f>
        <v>0</v>
      </c>
      <c r="CN80" s="192" t="str">
        <f>IF(AND($C80&lt;&gt;"",$K80&lt;&gt;""),(VLOOKUP($C80,'V-LOOKUP'!$C$122:$M$150,7,FALSE)),"0")</f>
        <v>0</v>
      </c>
      <c r="CO80" s="192" t="str">
        <f>IF(AND($C80&lt;&gt;"",$K80&lt;&gt;""),(VLOOKUP($C80,'V-LOOKUP'!$C$122:$M$150,8,FALSE)),"0")</f>
        <v>0</v>
      </c>
      <c r="CP80" s="192" t="str">
        <f>IF(AND($C80&lt;&gt;"",$K80&lt;&gt;""),(VLOOKUP($C80,'V-LOOKUP'!$C$122:$M$150,9,FALSE)),"0")</f>
        <v>0</v>
      </c>
      <c r="CQ80" s="192" t="str">
        <f>IF(AND($C80&lt;&gt;"",$K80&lt;&gt;""),(VLOOKUP($C80,'V-LOOKUP'!$C$122:$M$150,10,FALSE)),"0")</f>
        <v>0</v>
      </c>
      <c r="CR80" s="192" t="str">
        <f>IF(AND($C80&lt;&gt;"",$K80&lt;&gt;""),(VLOOKUP($C80,'V-LOOKUP'!$C$122:$M$150,11,FALSE)),"0")</f>
        <v>0</v>
      </c>
      <c r="CS80" s="192" t="str">
        <f>IF(AND($C80&lt;&gt;"",$D80&lt;&gt;""),(VLOOKUP($C80,'V-LOOKUP'!$C$122:$N$150,12,FALSE)),"0")</f>
        <v>0</v>
      </c>
      <c r="CT80" s="192" t="str">
        <f>IF(AND($C80&lt;&gt;"",$L80&lt;&gt;""),(VLOOKUP($C80,'V-LOOKUP'!$C$122:$M$150,4,FALSE)),"0")</f>
        <v>0</v>
      </c>
      <c r="CU80" s="192" t="str">
        <f>IF(AND($C80&lt;&gt;"",$L80&lt;&gt;""),(VLOOKUP($C80,'V-LOOKUP'!$C$122:$M$150,5,FALSE)),"0")</f>
        <v>0</v>
      </c>
      <c r="CV80" s="192" t="str">
        <f>IF(AND($C80&lt;&gt;"",$L80&lt;&gt;""),(VLOOKUP($C80,'V-LOOKUP'!$C$122:$M$150,6,FALSE)),"0")</f>
        <v>0</v>
      </c>
      <c r="CW80" s="192" t="str">
        <f>IF(AND($C80&lt;&gt;"",$L80&lt;&gt;""),(VLOOKUP($C80,'V-LOOKUP'!$C$122:$M$150,7,FALSE)),"0")</f>
        <v>0</v>
      </c>
      <c r="CX80" s="192" t="str">
        <f>IF(AND($C80&lt;&gt;"",$L80&lt;&gt;""),(VLOOKUP($C80,'V-LOOKUP'!$C$122:$M$150,8,FALSE)),"0")</f>
        <v>0</v>
      </c>
      <c r="CY80" s="192" t="str">
        <f>IF(AND($C80&lt;&gt;"",$L80&lt;&gt;""),(VLOOKUP($C80,'V-LOOKUP'!$C$122:$M$150,9,FALSE)),"0")</f>
        <v>0</v>
      </c>
      <c r="CZ80" s="192" t="str">
        <f>IF(AND($C80&lt;&gt;"",$L80&lt;&gt;""),(VLOOKUP($C80,'V-LOOKUP'!$C$122:$M$150,10,FALSE)),"0")</f>
        <v>0</v>
      </c>
      <c r="DA80" s="192" t="str">
        <f>IF(AND($C80&lt;&gt;"",$L80&lt;&gt;""),(VLOOKUP($C80,'V-LOOKUP'!$C$122:$M$150,11,FALSE)),"0")</f>
        <v>0</v>
      </c>
      <c r="DB80" s="192" t="str">
        <f>IF(AND($C80&lt;&gt;"",$D80&lt;&gt;""),(VLOOKUP($C80,'V-LOOKUP'!$C$122:$N$150,12,FALSE)),"0")</f>
        <v>0</v>
      </c>
      <c r="DC80" s="192" t="str">
        <f>IF(AND($C80&lt;&gt;"",$M80&lt;&gt;""),(VLOOKUP($C80,'V-LOOKUP'!$C$122:$M$150,4,FALSE)),"0")</f>
        <v>0</v>
      </c>
      <c r="DD80" s="192" t="str">
        <f>IF(AND($C80&lt;&gt;"",$M80&lt;&gt;""),(VLOOKUP($C80,'V-LOOKUP'!$C$122:$M$150,5,FALSE)),"0")</f>
        <v>0</v>
      </c>
      <c r="DE80" s="192" t="str">
        <f>IF(AND($C80&lt;&gt;"",$M80&lt;&gt;""),(VLOOKUP($C80,'V-LOOKUP'!$C$122:$M$150,6,FALSE)),"0")</f>
        <v>0</v>
      </c>
      <c r="DF80" s="192" t="str">
        <f>IF(AND($C80&lt;&gt;"",$M80&lt;&gt;""),(VLOOKUP($C80,'V-LOOKUP'!$C$122:$M$150,7,FALSE)),"0")</f>
        <v>0</v>
      </c>
      <c r="DG80" s="192" t="str">
        <f>IF(AND($C80&lt;&gt;"",$M80&lt;&gt;""),(VLOOKUP($C80,'V-LOOKUP'!$C$122:$M$150,8,FALSE)),"0")</f>
        <v>0</v>
      </c>
      <c r="DH80" s="192" t="str">
        <f>IF(AND($C80&lt;&gt;"",$M80&lt;&gt;""),(VLOOKUP($C80,'V-LOOKUP'!$C$122:$M$150,9,FALSE)),"0")</f>
        <v>0</v>
      </c>
      <c r="DI80" s="192" t="str">
        <f>IF(AND($C80&lt;&gt;"",$M80&lt;&gt;""),(VLOOKUP($C80,'V-LOOKUP'!$C$122:$M$150,10,FALSE)),"0")</f>
        <v>0</v>
      </c>
      <c r="DJ80" s="192" t="str">
        <f>IF(AND($C80&lt;&gt;"",$M80&lt;&gt;""),(VLOOKUP($C80,'V-LOOKUP'!$C$122:$M$150,11,FALSE)),"0")</f>
        <v>0</v>
      </c>
      <c r="DK80" s="192" t="str">
        <f>IF(AND($C80&lt;&gt;"",$D80&lt;&gt;""),(VLOOKUP($C80,'V-LOOKUP'!$C$122:$N$150,12,FALSE)),"0")</f>
        <v>0</v>
      </c>
      <c r="DL80" s="192" t="str">
        <f>IF(AND($C80&lt;&gt;"",$N80&lt;&gt;""),(VLOOKUP($C80,'V-LOOKUP'!$C$122:$M$150,4,FALSE)),"0")</f>
        <v>0</v>
      </c>
      <c r="DM80" s="192" t="str">
        <f>IF(AND($C80&lt;&gt;"",$N80&lt;&gt;""),(VLOOKUP($C80,'V-LOOKUP'!$C$122:$M$150,5,FALSE)),"0")</f>
        <v>0</v>
      </c>
      <c r="DN80" s="192" t="str">
        <f>IF(AND($C80&lt;&gt;"",$N80&lt;&gt;""),(VLOOKUP($C80,'V-LOOKUP'!$C$122:$M$150,6,FALSE)),"0")</f>
        <v>0</v>
      </c>
      <c r="DO80" s="192" t="str">
        <f>IF(AND($C80&lt;&gt;"",$N80&lt;&gt;""),(VLOOKUP($C80,'V-LOOKUP'!$C$122:$M$150,7,FALSE)),"0")</f>
        <v>0</v>
      </c>
      <c r="DP80" s="192" t="str">
        <f>IF(AND($C80&lt;&gt;"",$N80&lt;&gt;""),(VLOOKUP($C80,'V-LOOKUP'!$C$122:$M$150,8,FALSE)),"0")</f>
        <v>0</v>
      </c>
      <c r="DQ80" s="192" t="str">
        <f>IF(AND($C80&lt;&gt;"",$N80&lt;&gt;""),(VLOOKUP($C80,'V-LOOKUP'!$C$122:$M$150,9,FALSE)),"0")</f>
        <v>0</v>
      </c>
      <c r="DR80" s="192" t="str">
        <f>IF(AND($C80&lt;&gt;"",$N80&lt;&gt;""),(VLOOKUP($C80,'V-LOOKUP'!$C$122:$M$150,10,FALSE)),"0")</f>
        <v>0</v>
      </c>
      <c r="DS80" s="192" t="str">
        <f>IF(AND($C80&lt;&gt;"",$N80&lt;&gt;""),(VLOOKUP($C80,'V-LOOKUP'!$C$122:$M$150,11,FALSE)),"0")</f>
        <v>0</v>
      </c>
      <c r="DT80" s="192" t="str">
        <f>IF(AND($C80&lt;&gt;"",$D80&lt;&gt;""),(VLOOKUP($C80,'V-LOOKUP'!$C$122:$N$150,12,FALSE)),"0")</f>
        <v>0</v>
      </c>
      <c r="DU80" s="192" t="str">
        <f>IF(AND($C80&lt;&gt;"",$O80&lt;&gt;""),(VLOOKUP($C80,'V-LOOKUP'!$C$122:$M$150,4,FALSE)),"0")</f>
        <v>0</v>
      </c>
      <c r="DV80" s="192" t="str">
        <f>IF(AND($C80&lt;&gt;"",$O80&lt;&gt;""),(VLOOKUP($C80,'V-LOOKUP'!$C$122:$M$150,5,FALSE)),"0")</f>
        <v>0</v>
      </c>
      <c r="DW80" s="192" t="str">
        <f>IF(AND($C80&lt;&gt;"",$O80&lt;&gt;""),(VLOOKUP($C80,'V-LOOKUP'!$C$122:$M$150,6,FALSE)),"0")</f>
        <v>0</v>
      </c>
      <c r="DX80" s="192" t="str">
        <f>IF(AND($C80&lt;&gt;"",$O80&lt;&gt;""),(VLOOKUP($C80,'V-LOOKUP'!$C$122:$M$150,7,FALSE)),"0")</f>
        <v>0</v>
      </c>
      <c r="DY80" s="192" t="str">
        <f>IF(AND($C80&lt;&gt;"",$O80&lt;&gt;""),(VLOOKUP($C80,'V-LOOKUP'!$C$122:$M$150,8,FALSE)),"0")</f>
        <v>0</v>
      </c>
      <c r="DZ80" s="192" t="str">
        <f>IF(AND($C80&lt;&gt;"",$O80&lt;&gt;""),(VLOOKUP($C80,'V-LOOKUP'!$C$122:$M$150,9,FALSE)),"0")</f>
        <v>0</v>
      </c>
      <c r="EA80" s="192" t="str">
        <f>IF(AND($C80&lt;&gt;"",$O80&lt;&gt;""),(VLOOKUP($C80,'V-LOOKUP'!$C$122:$M$150,10,FALSE)),"0")</f>
        <v>0</v>
      </c>
      <c r="EB80" s="192" t="str">
        <f>IF(AND($C80&lt;&gt;"",$O80&lt;&gt;""),(VLOOKUP($C80,'V-LOOKUP'!$C$122:$M$150,11,FALSE)),"0")</f>
        <v>0</v>
      </c>
      <c r="EC80" s="192" t="str">
        <f>IF(AND($C80&lt;&gt;"",$D80&lt;&gt;""),(VLOOKUP($C80,'V-LOOKUP'!$C$122:$N$150,12,FALSE)),"0")</f>
        <v>0</v>
      </c>
      <c r="ED80" s="192" t="str">
        <f>IF(AND($C80&lt;&gt;"",$P80&lt;&gt;""),(VLOOKUP($C80,'V-LOOKUP'!$C$122:$M$150,4,FALSE)),"0")</f>
        <v>0</v>
      </c>
      <c r="EE80" s="192" t="str">
        <f>IF(AND($C80&lt;&gt;"",$P80&lt;&gt;""),(VLOOKUP($C80,'V-LOOKUP'!$C$122:$M$150,5,FALSE)),"0")</f>
        <v>0</v>
      </c>
      <c r="EF80" s="192" t="str">
        <f>IF(AND($C80&lt;&gt;"",$P80&lt;&gt;""),(VLOOKUP($C80,'V-LOOKUP'!$C$122:$M$150,6,FALSE)),"0")</f>
        <v>0</v>
      </c>
      <c r="EG80" s="192" t="str">
        <f>IF(AND($C80&lt;&gt;"",$P80&lt;&gt;""),(VLOOKUP($C80,'V-LOOKUP'!$C$122:$M$150,7,FALSE)),"0")</f>
        <v>0</v>
      </c>
      <c r="EH80" s="192" t="str">
        <f>IF(AND($C80&lt;&gt;"",$P80&lt;&gt;""),(VLOOKUP($C80,'V-LOOKUP'!$C$122:$M$150,8,FALSE)),"0")</f>
        <v>0</v>
      </c>
      <c r="EI80" s="192" t="str">
        <f>IF(AND($C80&lt;&gt;"",$P80&lt;&gt;""),(VLOOKUP($C80,'V-LOOKUP'!$C$122:$M$150,9,FALSE)),"0")</f>
        <v>0</v>
      </c>
      <c r="EJ80" s="192" t="str">
        <f>IF(AND($C80&lt;&gt;"",$P80&lt;&gt;""),(VLOOKUP($C80,'V-LOOKUP'!$C$122:$M$150,10,FALSE)),"0")</f>
        <v>0</v>
      </c>
      <c r="EK80" s="192" t="str">
        <f>IF(AND($C80&lt;&gt;"",$P80&lt;&gt;""),(VLOOKUP($C80,'V-LOOKUP'!$C$122:$M$150,11,FALSE)),"0")</f>
        <v>0</v>
      </c>
      <c r="EL80" s="192" t="str">
        <f>IF(AND($C80&lt;&gt;"",$D80&lt;&gt;""),(VLOOKUP($C80,'V-LOOKUP'!$C$122:$N$150,12,FALSE)),"0")</f>
        <v>0</v>
      </c>
      <c r="EM80" s="192" t="str">
        <f>IF(AND($C80&lt;&gt;"",$Q80&lt;&gt;""),(VLOOKUP($C80,'V-LOOKUP'!$C$122:$M$150,4,FALSE)),"0")</f>
        <v>0</v>
      </c>
      <c r="EN80" s="192" t="str">
        <f>IF(AND($C80&lt;&gt;"",$Q80&lt;&gt;""),(VLOOKUP($C80,'V-LOOKUP'!$C$122:$M$150,5,FALSE)),"0")</f>
        <v>0</v>
      </c>
      <c r="EO80" s="192" t="str">
        <f>IF(AND($C80&lt;&gt;"",$Q80&lt;&gt;""),(VLOOKUP($C80,'V-LOOKUP'!$C$122:$M$150,6,FALSE)),"0")</f>
        <v>0</v>
      </c>
      <c r="EP80" s="192" t="str">
        <f>IF(AND($C80&lt;&gt;"",$Q80&lt;&gt;""),(VLOOKUP($C80,'V-LOOKUP'!$C$122:$M$150,7,FALSE)),"0")</f>
        <v>0</v>
      </c>
      <c r="EQ80" s="192" t="str">
        <f>IF(AND($C80&lt;&gt;"",$Q80&lt;&gt;""),(VLOOKUP($C80,'V-LOOKUP'!$C$122:$M$150,8,FALSE)),"0")</f>
        <v>0</v>
      </c>
      <c r="ER80" s="192" t="str">
        <f>IF(AND($C80&lt;&gt;"",$Q80&lt;&gt;""),(VLOOKUP($C80,'V-LOOKUP'!$C$122:$M$150,9,FALSE)),"0")</f>
        <v>0</v>
      </c>
      <c r="ES80" s="192" t="str">
        <f>IF(AND($C80&lt;&gt;"",$Q80&lt;&gt;""),(VLOOKUP($C80,'V-LOOKUP'!$C$122:$M$150,10,FALSE)),"0")</f>
        <v>0</v>
      </c>
      <c r="ET80" s="192" t="str">
        <f>IF(AND($C80&lt;&gt;"",$Q80&lt;&gt;""),(VLOOKUP($C80,'V-LOOKUP'!$C$122:$M$150,11,FALSE)),"0")</f>
        <v>0</v>
      </c>
      <c r="EU80" s="192" t="str">
        <f>IF(AND($C80&lt;&gt;"",$D80&lt;&gt;""),(VLOOKUP($C80,'V-LOOKUP'!$C$122:$N$150,12,FALSE)),"0")</f>
        <v>0</v>
      </c>
      <c r="EV80" s="192" t="str">
        <f>IF(AND($C80&lt;&gt;"",$R80&lt;&gt;""),(VLOOKUP($C80,'V-LOOKUP'!$C$122:$M$150,4,FALSE)),"0")</f>
        <v>0</v>
      </c>
      <c r="EW80" s="192" t="str">
        <f>IF(AND($C80&lt;&gt;"",$R80&lt;&gt;""),(VLOOKUP($C80,'V-LOOKUP'!$C$122:$M$150,5,FALSE)),"0")</f>
        <v>0</v>
      </c>
      <c r="EX80" s="192" t="str">
        <f>IF(AND($C80&lt;&gt;"",$R80&lt;&gt;""),(VLOOKUP($C80,'V-LOOKUP'!$C$122:$M$150,6,FALSE)),"0")</f>
        <v>0</v>
      </c>
      <c r="EY80" s="192" t="str">
        <f>IF(AND($C80&lt;&gt;"",$R80&lt;&gt;""),(VLOOKUP($C80,'V-LOOKUP'!$C$122:$M$150,7,FALSE)),"0")</f>
        <v>0</v>
      </c>
      <c r="EZ80" s="192" t="str">
        <f>IF(AND($C80&lt;&gt;"",$R80&lt;&gt;""),(VLOOKUP($C80,'V-LOOKUP'!$C$122:$M$150,8,FALSE)),"0")</f>
        <v>0</v>
      </c>
      <c r="FA80" s="192" t="str">
        <f>IF(AND($C80&lt;&gt;"",$R80&lt;&gt;""),(VLOOKUP($C80,'V-LOOKUP'!$C$122:$M$150,9,FALSE)),"0")</f>
        <v>0</v>
      </c>
      <c r="FB80" s="192" t="str">
        <f>IF(AND($C80&lt;&gt;"",$R80&lt;&gt;""),(VLOOKUP($C80,'V-LOOKUP'!$C$122:$M$150,10,FALSE)),"0")</f>
        <v>0</v>
      </c>
      <c r="FC80" s="192" t="str">
        <f>IF(AND($C80&lt;&gt;"",$R80&lt;&gt;""),(VLOOKUP($C80,'V-LOOKUP'!$C$122:$M$150,11,FALSE)),"0")</f>
        <v>0</v>
      </c>
      <c r="FD80" s="192" t="str">
        <f>IF(AND($C80&lt;&gt;"",$D80&lt;&gt;""),(VLOOKUP($C80,'V-LOOKUP'!$C$122:$N$150,12,FALSE)),"0")</f>
        <v>0</v>
      </c>
      <c r="FE80" s="192" t="str">
        <f>IF(AND($C80&lt;&gt;"",$S80&lt;&gt;""),(VLOOKUP($C80,'V-LOOKUP'!$C$122:$M$150,4,FALSE)),"0")</f>
        <v>0</v>
      </c>
      <c r="FF80" s="192" t="str">
        <f>IF(AND($C80&lt;&gt;"",$S80&lt;&gt;""),(VLOOKUP($C80,'V-LOOKUP'!$C$122:$M$150,5,FALSE)),"0")</f>
        <v>0</v>
      </c>
      <c r="FG80" s="192" t="str">
        <f>IF(AND($C80&lt;&gt;"",$S80&lt;&gt;""),(VLOOKUP($C80,'V-LOOKUP'!$C$122:$M$150,6,FALSE)),"0")</f>
        <v>0</v>
      </c>
      <c r="FH80" s="192" t="str">
        <f>IF(AND($C80&lt;&gt;"",$S80&lt;&gt;""),(VLOOKUP($C80,'V-LOOKUP'!$C$122:$M$150,7,FALSE)),"0")</f>
        <v>0</v>
      </c>
      <c r="FI80" s="192" t="str">
        <f>IF(AND($C80&lt;&gt;"",$S80&lt;&gt;""),(VLOOKUP($C80,'V-LOOKUP'!$C$122:$M$150,8,FALSE)),"0")</f>
        <v>0</v>
      </c>
      <c r="FJ80" s="192" t="str">
        <f>IF(AND($C80&lt;&gt;"",$S80&lt;&gt;""),(VLOOKUP($C80,'V-LOOKUP'!$C$122:$M$150,9,FALSE)),"0")</f>
        <v>0</v>
      </c>
      <c r="FK80" s="192" t="str">
        <f>IF(AND($C80&lt;&gt;"",$S80&lt;&gt;""),(VLOOKUP($C80,'V-LOOKUP'!$C$122:$M$150,10,FALSE)),"0")</f>
        <v>0</v>
      </c>
      <c r="FL80" s="192" t="str">
        <f>IF(AND($C80&lt;&gt;"",$S80&lt;&gt;""),(VLOOKUP($C80,'V-LOOKUP'!$C$122:$M$150,11,FALSE)),"0")</f>
        <v>0</v>
      </c>
      <c r="FM80" s="192" t="str">
        <f>IF(AND($C80&lt;&gt;"",$D80&lt;&gt;""),(VLOOKUP($C80,'V-LOOKUP'!$C$122:$N$150,12,FALSE)),"0")</f>
        <v>0</v>
      </c>
      <c r="FN80" s="192" t="str">
        <f>IF(AND($C80&lt;&gt;"",$T80&lt;&gt;""),(VLOOKUP($C80,'V-LOOKUP'!$C$122:$M$150,4,FALSE)),"0")</f>
        <v>0</v>
      </c>
      <c r="FO80" s="192" t="str">
        <f>IF(AND($C80&lt;&gt;"",$T80&lt;&gt;""),(VLOOKUP($C80,'V-LOOKUP'!$C$122:$M$150,5,FALSE)),"0")</f>
        <v>0</v>
      </c>
      <c r="FP80" s="192" t="str">
        <f>IF(AND($C80&lt;&gt;"",$T80&lt;&gt;""),(VLOOKUP($C80,'V-LOOKUP'!$C$122:$M$150,6,FALSE)),"0")</f>
        <v>0</v>
      </c>
      <c r="FQ80" s="192" t="str">
        <f>IF(AND($C80&lt;&gt;"",$T80&lt;&gt;""),(VLOOKUP($C80,'V-LOOKUP'!$C$122:$M$150,7,FALSE)),"0")</f>
        <v>0</v>
      </c>
      <c r="FR80" s="192" t="str">
        <f>IF(AND($C80&lt;&gt;"",$T80&lt;&gt;""),(VLOOKUP($C80,'V-LOOKUP'!$C$122:$M$150,8,FALSE)),"0")</f>
        <v>0</v>
      </c>
      <c r="FS80" s="192" t="str">
        <f>IF(AND($C80&lt;&gt;"",$T80&lt;&gt;""),(VLOOKUP($C80,'V-LOOKUP'!$C$122:$M$150,9,FALSE)),"0")</f>
        <v>0</v>
      </c>
      <c r="FT80" s="192" t="str">
        <f>IF(AND($C80&lt;&gt;"",$T80&lt;&gt;""),(VLOOKUP($C80,'V-LOOKUP'!$C$122:$M$150,10,FALSE)),"0")</f>
        <v>0</v>
      </c>
      <c r="FU80" s="192" t="str">
        <f>IF(AND($C80&lt;&gt;"",$T80&lt;&gt;""),(VLOOKUP($C80,'V-LOOKUP'!$C$122:$M$150,11,FALSE)),"0")</f>
        <v>0</v>
      </c>
      <c r="FV80" s="192" t="str">
        <f>IF(AND($C80&lt;&gt;"",$D80&lt;&gt;""),(VLOOKUP($C80,'V-LOOKUP'!$C$122:$N$150,12,FALSE)),"0")</f>
        <v>0</v>
      </c>
      <c r="FW80" s="192" t="str">
        <f>IF(AND($C80&lt;&gt;"",$U80&lt;&gt;""),(VLOOKUP($C80,'V-LOOKUP'!$C$122:$M$150,4,FALSE)),"0")</f>
        <v>0</v>
      </c>
      <c r="FX80" s="192" t="str">
        <f>IF(AND($C80&lt;&gt;"",$U80&lt;&gt;""),(VLOOKUP($C80,'V-LOOKUP'!$C$122:$M$150,5,FALSE)),"0")</f>
        <v>0</v>
      </c>
      <c r="FY80" s="192" t="str">
        <f>IF(AND($C80&lt;&gt;"",$U80&lt;&gt;""),(VLOOKUP($C80,'V-LOOKUP'!$C$122:$M$150,6,FALSE)),"0")</f>
        <v>0</v>
      </c>
      <c r="FZ80" s="192" t="str">
        <f>IF(AND($C80&lt;&gt;"",$U80&lt;&gt;""),(VLOOKUP($C80,'V-LOOKUP'!$C$122:$M$150,7,FALSE)),"0")</f>
        <v>0</v>
      </c>
      <c r="GA80" s="192" t="str">
        <f>IF(AND($C80&lt;&gt;"",$U80&lt;&gt;""),(VLOOKUP($C80,'V-LOOKUP'!$C$122:$M$150,8,FALSE)),"0")</f>
        <v>0</v>
      </c>
      <c r="GB80" s="192" t="str">
        <f>IF(AND($C80&lt;&gt;"",$U80&lt;&gt;""),(VLOOKUP($C80,'V-LOOKUP'!$C$122:$M$150,9,FALSE)),"0")</f>
        <v>0</v>
      </c>
      <c r="GC80" s="192" t="str">
        <f>IF(AND($C80&lt;&gt;"",$U80&lt;&gt;""),(VLOOKUP($C80,'V-LOOKUP'!$C$122:$M$150,10,FALSE)),"0")</f>
        <v>0</v>
      </c>
      <c r="GD80" s="192" t="str">
        <f>IF(AND($C80&lt;&gt;"",$U80&lt;&gt;""),(VLOOKUP($C80,'V-LOOKUP'!$C$122:$M$150,11,FALSE)),"0")</f>
        <v>0</v>
      </c>
      <c r="GE80" s="192" t="str">
        <f>IF(AND($C80&lt;&gt;"",$D80&lt;&gt;""),(VLOOKUP($C80,'V-LOOKUP'!$C$122:$N$150,12,FALSE)),"0")</f>
        <v>0</v>
      </c>
      <c r="GF80" s="192" t="str">
        <f>IF(AND($C80&lt;&gt;"",$V80&lt;&gt;""),(VLOOKUP($C80,'V-LOOKUP'!$C$122:$M$150,4,FALSE)),"0")</f>
        <v>0</v>
      </c>
      <c r="GG80" s="192" t="str">
        <f>IF(AND($C80&lt;&gt;"",$V80&lt;&gt;""),(VLOOKUP($C80,'V-LOOKUP'!$C$122:$M$150,5,FALSE)),"0")</f>
        <v>0</v>
      </c>
      <c r="GH80" s="192" t="str">
        <f>IF(AND($C80&lt;&gt;"",$V80&lt;&gt;""),(VLOOKUP($C80,'V-LOOKUP'!$C$122:$M$150,6,FALSE)),"0")</f>
        <v>0</v>
      </c>
      <c r="GI80" s="192" t="str">
        <f>IF(AND($C80&lt;&gt;"",$V80&lt;&gt;""),(VLOOKUP($C80,'V-LOOKUP'!$C$122:$M$150,7,FALSE)),"0")</f>
        <v>0</v>
      </c>
      <c r="GJ80" s="192" t="str">
        <f>IF(AND($C80&lt;&gt;"",$V80&lt;&gt;""),(VLOOKUP($C80,'V-LOOKUP'!$C$122:$M$150,8,FALSE)),"0")</f>
        <v>0</v>
      </c>
      <c r="GK80" s="192" t="str">
        <f>IF(AND($C80&lt;&gt;"",$V80&lt;&gt;""),(VLOOKUP($C80,'V-LOOKUP'!$C$122:$M$150,9,FALSE)),"0")</f>
        <v>0</v>
      </c>
      <c r="GL80" s="192" t="str">
        <f>IF(AND($C80&lt;&gt;"",$V80&lt;&gt;""),(VLOOKUP($C80,'V-LOOKUP'!$C$122:$M$150,10,FALSE)),"0")</f>
        <v>0</v>
      </c>
      <c r="GM80" s="192" t="str">
        <f>IF(AND($C80&lt;&gt;"",$V80&lt;&gt;""),(VLOOKUP($C80,'V-LOOKUP'!$C$122:$M$150,11,FALSE)),"0")</f>
        <v>0</v>
      </c>
      <c r="GN80" s="192" t="str">
        <f>IF(AND($C80&lt;&gt;"",$D80&lt;&gt;""),(VLOOKUP($C80,'V-LOOKUP'!$C$122:$N$150,12,FALSE)),"0")</f>
        <v>0</v>
      </c>
      <c r="GO80" s="192" t="str">
        <f>IF(AND($C80&lt;&gt;"",$W80&lt;&gt;""),(VLOOKUP($C80,'V-LOOKUP'!$C$122:$M$150,4,FALSE)),"0")</f>
        <v>0</v>
      </c>
      <c r="GP80" s="192" t="str">
        <f>IF(AND($C80&lt;&gt;"",$W80&lt;&gt;""),(VLOOKUP($C80,'V-LOOKUP'!$C$122:$M$150,5,FALSE)),"0")</f>
        <v>0</v>
      </c>
      <c r="GQ80" s="192" t="str">
        <f>IF(AND($C80&lt;&gt;"",$W80&lt;&gt;""),(VLOOKUP($C80,'V-LOOKUP'!$C$122:$M$150,6,FALSE)),"0")</f>
        <v>0</v>
      </c>
      <c r="GR80" s="192" t="str">
        <f>IF(AND($C80&lt;&gt;"",$W80&lt;&gt;""),(VLOOKUP($C80,'V-LOOKUP'!$C$122:$M$150,7,FALSE)),"0")</f>
        <v>0</v>
      </c>
      <c r="GS80" s="192" t="str">
        <f>IF(AND($C80&lt;&gt;"",$W80&lt;&gt;""),(VLOOKUP($C80,'V-LOOKUP'!$C$122:$M$150,8,FALSE)),"0")</f>
        <v>0</v>
      </c>
      <c r="GT80" s="192" t="str">
        <f>IF(AND($C80&lt;&gt;"",$W80&lt;&gt;""),(VLOOKUP($C80,'V-LOOKUP'!$C$122:$M$150,9,FALSE)),"0")</f>
        <v>0</v>
      </c>
      <c r="GU80" s="192" t="str">
        <f>IF(AND($C80&lt;&gt;"",$W80&lt;&gt;""),(VLOOKUP($C80,'V-LOOKUP'!$C$122:$M$150,10,FALSE)),"0")</f>
        <v>0</v>
      </c>
      <c r="GV80" s="192" t="str">
        <f>IF(AND($C80&lt;&gt;"",$W80&lt;&gt;""),(VLOOKUP($C80,'V-LOOKUP'!$C$122:$M$150,11,FALSE)),"0")</f>
        <v>0</v>
      </c>
      <c r="GW80" s="192" t="str">
        <f>IF(AND($C80&lt;&gt;"",$D80&lt;&gt;""),(VLOOKUP($C80,'V-LOOKUP'!$C$122:$N$150,12,FALSE)),"0")</f>
        <v>0</v>
      </c>
    </row>
    <row r="81" spans="2:205" ht="6" customHeight="1">
      <c r="B81" s="241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3"/>
      <c r="Y81" s="190" t="s">
        <v>34</v>
      </c>
      <c r="Z81" s="191">
        <f>SUM(Z68:Z80)</f>
        <v>0</v>
      </c>
      <c r="AA81" s="191">
        <f t="shared" ref="AA81:AG81" si="22">SUM(AA68:AA80)</f>
        <v>0</v>
      </c>
      <c r="AB81" s="191">
        <f t="shared" si="22"/>
        <v>0</v>
      </c>
      <c r="AC81" s="191">
        <f t="shared" si="22"/>
        <v>0</v>
      </c>
      <c r="AD81" s="191">
        <f t="shared" si="22"/>
        <v>0</v>
      </c>
      <c r="AE81" s="191">
        <f t="shared" si="22"/>
        <v>0</v>
      </c>
      <c r="AF81" s="191">
        <f t="shared" si="22"/>
        <v>0</v>
      </c>
      <c r="AG81" s="191">
        <f t="shared" si="22"/>
        <v>0</v>
      </c>
      <c r="AH81" s="191">
        <f t="shared" ref="AH81" si="23">SUM(AH68:AH80)</f>
        <v>0</v>
      </c>
      <c r="AI81" s="191">
        <f>SUM(AI68:AI80)</f>
        <v>0</v>
      </c>
      <c r="AJ81" s="191">
        <f t="shared" ref="AJ81" si="24">SUM(AJ68:AJ80)</f>
        <v>0</v>
      </c>
      <c r="AK81" s="191">
        <f t="shared" ref="AK81" si="25">SUM(AK68:AK80)</f>
        <v>0</v>
      </c>
      <c r="AL81" s="191">
        <f t="shared" ref="AL81" si="26">SUM(AL68:AL80)</f>
        <v>0</v>
      </c>
      <c r="AM81" s="191">
        <f t="shared" ref="AM81" si="27">SUM(AM68:AM80)</f>
        <v>0</v>
      </c>
      <c r="AN81" s="191">
        <f t="shared" ref="AN81" si="28">SUM(AN68:AN80)</f>
        <v>0</v>
      </c>
      <c r="AO81" s="191">
        <f t="shared" ref="AO81" si="29">SUM(AO68:AO80)</f>
        <v>0</v>
      </c>
      <c r="AP81" s="191">
        <f t="shared" ref="AP81:AQ81" si="30">SUM(AP68:AP80)</f>
        <v>0</v>
      </c>
      <c r="AQ81" s="191">
        <f t="shared" si="30"/>
        <v>0</v>
      </c>
      <c r="AR81" s="191">
        <f>SUM(AR68:AR80)</f>
        <v>0</v>
      </c>
      <c r="AS81" s="191">
        <f t="shared" ref="AS81" si="31">SUM(AS68:AS80)</f>
        <v>0</v>
      </c>
      <c r="AT81" s="191">
        <f t="shared" ref="AT81" si="32">SUM(AT68:AT80)</f>
        <v>0</v>
      </c>
      <c r="AU81" s="191">
        <f t="shared" ref="AU81" si="33">SUM(AU68:AU80)</f>
        <v>0</v>
      </c>
      <c r="AV81" s="191">
        <f t="shared" ref="AV81" si="34">SUM(AV68:AV80)</f>
        <v>0</v>
      </c>
      <c r="AW81" s="191">
        <f t="shared" ref="AW81" si="35">SUM(AW68:AW80)</f>
        <v>0</v>
      </c>
      <c r="AX81" s="191">
        <f t="shared" ref="AX81" si="36">SUM(AX68:AX80)</f>
        <v>0</v>
      </c>
      <c r="AY81" s="191">
        <f t="shared" ref="AY81:AZ81" si="37">SUM(AY68:AY80)</f>
        <v>0</v>
      </c>
      <c r="AZ81" s="191">
        <f t="shared" si="37"/>
        <v>0</v>
      </c>
      <c r="BA81" s="191">
        <f>SUM(BA68:BA80)</f>
        <v>0</v>
      </c>
      <c r="BB81" s="191">
        <f t="shared" ref="BB81" si="38">SUM(BB68:BB80)</f>
        <v>0</v>
      </c>
      <c r="BC81" s="191">
        <f t="shared" ref="BC81" si="39">SUM(BC68:BC80)</f>
        <v>0</v>
      </c>
      <c r="BD81" s="191">
        <f t="shared" ref="BD81" si="40">SUM(BD68:BD80)</f>
        <v>0</v>
      </c>
      <c r="BE81" s="191">
        <f t="shared" ref="BE81" si="41">SUM(BE68:BE80)</f>
        <v>0</v>
      </c>
      <c r="BF81" s="191">
        <f t="shared" ref="BF81" si="42">SUM(BF68:BF80)</f>
        <v>0</v>
      </c>
      <c r="BG81" s="191">
        <f t="shared" ref="BG81" si="43">SUM(BG68:BG80)</f>
        <v>0</v>
      </c>
      <c r="BH81" s="191">
        <f t="shared" ref="BH81:BI81" si="44">SUM(BH68:BH80)</f>
        <v>0</v>
      </c>
      <c r="BI81" s="191">
        <f t="shared" si="44"/>
        <v>0</v>
      </c>
      <c r="BJ81" s="191">
        <f>SUM(BJ68:BJ80)</f>
        <v>0</v>
      </c>
      <c r="BK81" s="191">
        <f t="shared" ref="BK81" si="45">SUM(BK68:BK80)</f>
        <v>0</v>
      </c>
      <c r="BL81" s="191">
        <f t="shared" ref="BL81" si="46">SUM(BL68:BL80)</f>
        <v>0</v>
      </c>
      <c r="BM81" s="191">
        <f t="shared" ref="BM81" si="47">SUM(BM68:BM80)</f>
        <v>0</v>
      </c>
      <c r="BN81" s="191">
        <f t="shared" ref="BN81" si="48">SUM(BN68:BN80)</f>
        <v>0</v>
      </c>
      <c r="BO81" s="191">
        <f t="shared" ref="BO81" si="49">SUM(BO68:BO80)</f>
        <v>0</v>
      </c>
      <c r="BP81" s="191">
        <f t="shared" ref="BP81" si="50">SUM(BP68:BP80)</f>
        <v>0</v>
      </c>
      <c r="BQ81" s="191">
        <f t="shared" ref="BQ81:BR81" si="51">SUM(BQ68:BQ80)</f>
        <v>0</v>
      </c>
      <c r="BR81" s="191">
        <f t="shared" si="51"/>
        <v>0</v>
      </c>
      <c r="BS81" s="191">
        <f>SUM(BS68:BS80)</f>
        <v>0</v>
      </c>
      <c r="BT81" s="191">
        <f t="shared" ref="BT81" si="52">SUM(BT68:BT80)</f>
        <v>0</v>
      </c>
      <c r="BU81" s="191">
        <f t="shared" ref="BU81" si="53">SUM(BU68:BU80)</f>
        <v>0</v>
      </c>
      <c r="BV81" s="191">
        <f t="shared" ref="BV81" si="54">SUM(BV68:BV80)</f>
        <v>0</v>
      </c>
      <c r="BW81" s="191">
        <f t="shared" ref="BW81" si="55">SUM(BW68:BW80)</f>
        <v>0</v>
      </c>
      <c r="BX81" s="191">
        <f t="shared" ref="BX81" si="56">SUM(BX68:BX80)</f>
        <v>0</v>
      </c>
      <c r="BY81" s="191">
        <f t="shared" ref="BY81" si="57">SUM(BY68:BY80)</f>
        <v>0</v>
      </c>
      <c r="BZ81" s="191">
        <f t="shared" ref="BZ81:CA81" si="58">SUM(BZ68:BZ80)</f>
        <v>0</v>
      </c>
      <c r="CA81" s="191">
        <f t="shared" si="58"/>
        <v>0</v>
      </c>
      <c r="CB81" s="191">
        <f>SUM(CB68:CB80)</f>
        <v>0</v>
      </c>
      <c r="CC81" s="191">
        <f t="shared" ref="CC81" si="59">SUM(CC68:CC80)</f>
        <v>0</v>
      </c>
      <c r="CD81" s="191">
        <f t="shared" ref="CD81" si="60">SUM(CD68:CD80)</f>
        <v>0</v>
      </c>
      <c r="CE81" s="191">
        <f t="shared" ref="CE81" si="61">SUM(CE68:CE80)</f>
        <v>0</v>
      </c>
      <c r="CF81" s="191">
        <f t="shared" ref="CF81" si="62">SUM(CF68:CF80)</f>
        <v>0</v>
      </c>
      <c r="CG81" s="191">
        <f t="shared" ref="CG81" si="63">SUM(CG68:CG80)</f>
        <v>0</v>
      </c>
      <c r="CH81" s="191">
        <f t="shared" ref="CH81" si="64">SUM(CH68:CH80)</f>
        <v>0</v>
      </c>
      <c r="CI81" s="191">
        <f t="shared" ref="CI81:CJ81" si="65">SUM(CI68:CI80)</f>
        <v>0</v>
      </c>
      <c r="CJ81" s="191">
        <f t="shared" si="65"/>
        <v>0</v>
      </c>
      <c r="CK81" s="191">
        <f>SUM(CK68:CK80)</f>
        <v>0</v>
      </c>
      <c r="CL81" s="191">
        <f t="shared" ref="CL81" si="66">SUM(CL68:CL80)</f>
        <v>0</v>
      </c>
      <c r="CM81" s="191">
        <f t="shared" ref="CM81" si="67">SUM(CM68:CM80)</f>
        <v>0</v>
      </c>
      <c r="CN81" s="191">
        <f t="shared" ref="CN81" si="68">SUM(CN68:CN80)</f>
        <v>0</v>
      </c>
      <c r="CO81" s="191">
        <f t="shared" ref="CO81" si="69">SUM(CO68:CO80)</f>
        <v>0</v>
      </c>
      <c r="CP81" s="191">
        <f t="shared" ref="CP81" si="70">SUM(CP68:CP80)</f>
        <v>0</v>
      </c>
      <c r="CQ81" s="191">
        <f t="shared" ref="CQ81" si="71">SUM(CQ68:CQ80)</f>
        <v>0</v>
      </c>
      <c r="CR81" s="191">
        <f t="shared" ref="CR81:CS81" si="72">SUM(CR68:CR80)</f>
        <v>0</v>
      </c>
      <c r="CS81" s="191">
        <f t="shared" si="72"/>
        <v>0</v>
      </c>
      <c r="CT81" s="191">
        <f>SUM(CT68:CT80)</f>
        <v>0</v>
      </c>
      <c r="CU81" s="191">
        <f t="shared" ref="CU81" si="73">SUM(CU68:CU80)</f>
        <v>0</v>
      </c>
      <c r="CV81" s="191">
        <f t="shared" ref="CV81" si="74">SUM(CV68:CV80)</f>
        <v>0</v>
      </c>
      <c r="CW81" s="191">
        <f t="shared" ref="CW81" si="75">SUM(CW68:CW80)</f>
        <v>0</v>
      </c>
      <c r="CX81" s="191">
        <f t="shared" ref="CX81" si="76">SUM(CX68:CX80)</f>
        <v>0</v>
      </c>
      <c r="CY81" s="191">
        <f t="shared" ref="CY81" si="77">SUM(CY68:CY80)</f>
        <v>0</v>
      </c>
      <c r="CZ81" s="191">
        <f t="shared" ref="CZ81" si="78">SUM(CZ68:CZ80)</f>
        <v>0</v>
      </c>
      <c r="DA81" s="191">
        <f t="shared" ref="DA81:DB81" si="79">SUM(DA68:DA80)</f>
        <v>0</v>
      </c>
      <c r="DB81" s="191">
        <f t="shared" si="79"/>
        <v>0</v>
      </c>
      <c r="DC81" s="191">
        <f>SUM(DC68:DC80)</f>
        <v>0</v>
      </c>
      <c r="DD81" s="191">
        <f t="shared" ref="DD81" si="80">SUM(DD68:DD80)</f>
        <v>0</v>
      </c>
      <c r="DE81" s="191">
        <f t="shared" ref="DE81" si="81">SUM(DE68:DE80)</f>
        <v>0</v>
      </c>
      <c r="DF81" s="191">
        <f t="shared" ref="DF81" si="82">SUM(DF68:DF80)</f>
        <v>0</v>
      </c>
      <c r="DG81" s="191">
        <f t="shared" ref="DG81" si="83">SUM(DG68:DG80)</f>
        <v>0</v>
      </c>
      <c r="DH81" s="191">
        <f t="shared" ref="DH81" si="84">SUM(DH68:DH80)</f>
        <v>0</v>
      </c>
      <c r="DI81" s="191">
        <f t="shared" ref="DI81" si="85">SUM(DI68:DI80)</f>
        <v>0</v>
      </c>
      <c r="DJ81" s="191">
        <f t="shared" ref="DJ81:DK81" si="86">SUM(DJ68:DJ80)</f>
        <v>0</v>
      </c>
      <c r="DK81" s="191">
        <f t="shared" si="86"/>
        <v>0</v>
      </c>
      <c r="DL81" s="191">
        <f>SUM(DL68:DL80)</f>
        <v>0</v>
      </c>
      <c r="DM81" s="191">
        <f t="shared" ref="DM81:DT81" si="87">SUM(DM68:DM80)</f>
        <v>0</v>
      </c>
      <c r="DN81" s="191">
        <f t="shared" si="87"/>
        <v>0</v>
      </c>
      <c r="DO81" s="191">
        <f t="shared" si="87"/>
        <v>0</v>
      </c>
      <c r="DP81" s="191">
        <f t="shared" si="87"/>
        <v>0</v>
      </c>
      <c r="DQ81" s="191">
        <f t="shared" si="87"/>
        <v>0</v>
      </c>
      <c r="DR81" s="191">
        <f t="shared" si="87"/>
        <v>0</v>
      </c>
      <c r="DS81" s="191">
        <f t="shared" si="87"/>
        <v>0</v>
      </c>
      <c r="DT81" s="191">
        <f t="shared" si="87"/>
        <v>0</v>
      </c>
      <c r="DU81" s="191">
        <f>SUM(DU68:DU80)</f>
        <v>0</v>
      </c>
      <c r="DV81" s="191">
        <f t="shared" ref="DV81:EC81" si="88">SUM(DV68:DV80)</f>
        <v>0</v>
      </c>
      <c r="DW81" s="191">
        <f t="shared" si="88"/>
        <v>0</v>
      </c>
      <c r="DX81" s="191">
        <f t="shared" si="88"/>
        <v>0</v>
      </c>
      <c r="DY81" s="191">
        <f t="shared" si="88"/>
        <v>0</v>
      </c>
      <c r="DZ81" s="191">
        <f t="shared" si="88"/>
        <v>0</v>
      </c>
      <c r="EA81" s="191">
        <f t="shared" si="88"/>
        <v>0</v>
      </c>
      <c r="EB81" s="191">
        <f t="shared" si="88"/>
        <v>0</v>
      </c>
      <c r="EC81" s="191">
        <f t="shared" si="88"/>
        <v>0</v>
      </c>
      <c r="ED81" s="191">
        <f>SUM(ED68:ED80)</f>
        <v>0</v>
      </c>
      <c r="EE81" s="191">
        <f t="shared" ref="EE81:EL81" si="89">SUM(EE68:EE80)</f>
        <v>0</v>
      </c>
      <c r="EF81" s="191">
        <f t="shared" si="89"/>
        <v>0</v>
      </c>
      <c r="EG81" s="191">
        <f t="shared" si="89"/>
        <v>0</v>
      </c>
      <c r="EH81" s="191">
        <f t="shared" si="89"/>
        <v>0</v>
      </c>
      <c r="EI81" s="191">
        <f t="shared" si="89"/>
        <v>0</v>
      </c>
      <c r="EJ81" s="191">
        <f t="shared" si="89"/>
        <v>0</v>
      </c>
      <c r="EK81" s="191">
        <f t="shared" si="89"/>
        <v>0</v>
      </c>
      <c r="EL81" s="191">
        <f t="shared" si="89"/>
        <v>0</v>
      </c>
      <c r="EM81" s="191">
        <f>SUM(EM68:EM80)</f>
        <v>0</v>
      </c>
      <c r="EN81" s="191">
        <f t="shared" ref="EN81:EU81" si="90">SUM(EN68:EN80)</f>
        <v>0</v>
      </c>
      <c r="EO81" s="191">
        <f t="shared" si="90"/>
        <v>0</v>
      </c>
      <c r="EP81" s="191">
        <f t="shared" si="90"/>
        <v>0</v>
      </c>
      <c r="EQ81" s="191">
        <f t="shared" si="90"/>
        <v>0</v>
      </c>
      <c r="ER81" s="191">
        <f t="shared" si="90"/>
        <v>0</v>
      </c>
      <c r="ES81" s="191">
        <f t="shared" si="90"/>
        <v>0</v>
      </c>
      <c r="ET81" s="191">
        <f t="shared" si="90"/>
        <v>0</v>
      </c>
      <c r="EU81" s="191">
        <f t="shared" si="90"/>
        <v>0</v>
      </c>
      <c r="EV81" s="191">
        <f>SUM(EV68:EV80)</f>
        <v>0</v>
      </c>
      <c r="EW81" s="191">
        <f t="shared" ref="EW81:FD81" si="91">SUM(EW68:EW80)</f>
        <v>0</v>
      </c>
      <c r="EX81" s="191">
        <f t="shared" si="91"/>
        <v>0</v>
      </c>
      <c r="EY81" s="191">
        <f t="shared" si="91"/>
        <v>0</v>
      </c>
      <c r="EZ81" s="191">
        <f t="shared" si="91"/>
        <v>0</v>
      </c>
      <c r="FA81" s="191">
        <f t="shared" si="91"/>
        <v>0</v>
      </c>
      <c r="FB81" s="191">
        <f t="shared" si="91"/>
        <v>0</v>
      </c>
      <c r="FC81" s="191">
        <f t="shared" si="91"/>
        <v>0</v>
      </c>
      <c r="FD81" s="191">
        <f t="shared" si="91"/>
        <v>0</v>
      </c>
      <c r="FE81" s="191">
        <f>SUM(FE68:FE80)</f>
        <v>0</v>
      </c>
      <c r="FF81" s="191">
        <f t="shared" ref="FF81:FM81" si="92">SUM(FF68:FF80)</f>
        <v>0</v>
      </c>
      <c r="FG81" s="191">
        <f t="shared" si="92"/>
        <v>0</v>
      </c>
      <c r="FH81" s="191">
        <f t="shared" si="92"/>
        <v>0</v>
      </c>
      <c r="FI81" s="191">
        <f t="shared" si="92"/>
        <v>0</v>
      </c>
      <c r="FJ81" s="191">
        <f t="shared" si="92"/>
        <v>0</v>
      </c>
      <c r="FK81" s="191">
        <f t="shared" si="92"/>
        <v>0</v>
      </c>
      <c r="FL81" s="191">
        <f t="shared" si="92"/>
        <v>0</v>
      </c>
      <c r="FM81" s="191">
        <f t="shared" si="92"/>
        <v>0</v>
      </c>
      <c r="FN81" s="191">
        <f>SUM(FN68:FN80)</f>
        <v>0</v>
      </c>
      <c r="FO81" s="191">
        <f t="shared" ref="FO81:FV81" si="93">SUM(FO68:FO80)</f>
        <v>0</v>
      </c>
      <c r="FP81" s="191">
        <f t="shared" si="93"/>
        <v>0</v>
      </c>
      <c r="FQ81" s="191">
        <f t="shared" si="93"/>
        <v>0</v>
      </c>
      <c r="FR81" s="191">
        <f t="shared" si="93"/>
        <v>0</v>
      </c>
      <c r="FS81" s="191">
        <f t="shared" si="93"/>
        <v>0</v>
      </c>
      <c r="FT81" s="191">
        <f t="shared" si="93"/>
        <v>0</v>
      </c>
      <c r="FU81" s="191">
        <f t="shared" si="93"/>
        <v>0</v>
      </c>
      <c r="FV81" s="191">
        <f t="shared" si="93"/>
        <v>0</v>
      </c>
      <c r="FW81" s="191">
        <f>SUM(FW68:FW80)</f>
        <v>0</v>
      </c>
      <c r="FX81" s="191">
        <f t="shared" ref="FX81:GE81" si="94">SUM(FX68:FX80)</f>
        <v>0</v>
      </c>
      <c r="FY81" s="191">
        <f t="shared" si="94"/>
        <v>0</v>
      </c>
      <c r="FZ81" s="191">
        <f t="shared" si="94"/>
        <v>0</v>
      </c>
      <c r="GA81" s="191">
        <f t="shared" si="94"/>
        <v>0</v>
      </c>
      <c r="GB81" s="191">
        <f t="shared" si="94"/>
        <v>0</v>
      </c>
      <c r="GC81" s="191">
        <f t="shared" si="94"/>
        <v>0</v>
      </c>
      <c r="GD81" s="191">
        <f t="shared" si="94"/>
        <v>0</v>
      </c>
      <c r="GE81" s="191">
        <f t="shared" si="94"/>
        <v>0</v>
      </c>
      <c r="GF81" s="191">
        <f>SUM(GF68:GF80)</f>
        <v>0</v>
      </c>
      <c r="GG81" s="191">
        <f t="shared" ref="GG81:GN81" si="95">SUM(GG68:GG80)</f>
        <v>0</v>
      </c>
      <c r="GH81" s="191">
        <f t="shared" si="95"/>
        <v>0</v>
      </c>
      <c r="GI81" s="191">
        <f t="shared" si="95"/>
        <v>0</v>
      </c>
      <c r="GJ81" s="191">
        <f t="shared" si="95"/>
        <v>0</v>
      </c>
      <c r="GK81" s="191">
        <f t="shared" si="95"/>
        <v>0</v>
      </c>
      <c r="GL81" s="191">
        <f t="shared" si="95"/>
        <v>0</v>
      </c>
      <c r="GM81" s="191">
        <f t="shared" si="95"/>
        <v>0</v>
      </c>
      <c r="GN81" s="191">
        <f t="shared" si="95"/>
        <v>0</v>
      </c>
      <c r="GO81" s="191">
        <f>SUM(GO68:GO80)</f>
        <v>0</v>
      </c>
      <c r="GP81" s="191">
        <f t="shared" ref="GP81:GW81" si="96">SUM(GP68:GP80)</f>
        <v>0</v>
      </c>
      <c r="GQ81" s="191">
        <f t="shared" si="96"/>
        <v>0</v>
      </c>
      <c r="GR81" s="191">
        <f t="shared" si="96"/>
        <v>0</v>
      </c>
      <c r="GS81" s="191">
        <f t="shared" si="96"/>
        <v>0</v>
      </c>
      <c r="GT81" s="191">
        <f t="shared" si="96"/>
        <v>0</v>
      </c>
      <c r="GU81" s="191">
        <f t="shared" si="96"/>
        <v>0</v>
      </c>
      <c r="GV81" s="191">
        <f t="shared" si="96"/>
        <v>0</v>
      </c>
      <c r="GW81" s="191">
        <f t="shared" si="96"/>
        <v>0</v>
      </c>
    </row>
  </sheetData>
  <sheetProtection algorithmName="SHA-512" hashValue="03o7+bjwE0n+8hHseaptD/8YY2QyTaPqRhCy+6UkJT+cwo9AFRoM/aRocSHTBJrArBRbG43ljT8MvdEEKP50LQ==" saltValue="lb9QkF+EgrCmxJOLDNcjzA==" spinCount="100000" sheet="1" formatRows="0"/>
  <mergeCells count="6">
    <mergeCell ref="B81:W81"/>
    <mergeCell ref="B6:B35"/>
    <mergeCell ref="B68:B80"/>
    <mergeCell ref="B37:B66"/>
    <mergeCell ref="B67:W67"/>
    <mergeCell ref="B36:W36"/>
  </mergeCells>
  <conditionalFormatting sqref="E5:W5">
    <cfRule type="cellIs" dxfId="8" priority="1" operator="lessThanOrEqual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D8A1DB6-5DCA-4CB8-94ED-34E826E21C4F}">
          <x14:formula1>
            <xm:f>Assets!$D$3:$D$58</xm:f>
          </x14:formula1>
          <xm:sqref>C37:C66</xm:sqref>
        </x14:dataValidation>
        <x14:dataValidation type="list" allowBlank="1" showInputMessage="1" showErrorMessage="1" errorTitle="Invalid Entry" xr:uid="{E8751217-A052-4236-B663-9A89C81711A9}">
          <x14:formula1>
            <xm:f>Assets!$B$3:$B$58</xm:f>
          </x14:formula1>
          <xm:sqref>C6:C35</xm:sqref>
        </x14:dataValidation>
        <x14:dataValidation type="list" allowBlank="1" showInputMessage="1" showErrorMessage="1" xr:uid="{594110C5-A76D-4625-AB5D-696B0F9B6AE7}">
          <x14:formula1>
            <xm:f>Assets!$F$3:$F$31</xm:f>
          </x14:formula1>
          <xm:sqref>C68:C80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93E1-AC5D-48BF-9B09-AF05291E499B}">
  <sheetPr codeName="Sheet3"/>
  <dimension ref="A1:S31"/>
  <sheetViews>
    <sheetView workbookViewId="0">
      <selection activeCell="H5" sqref="H5"/>
    </sheetView>
  </sheetViews>
  <sheetFormatPr defaultColWidth="8.7109375" defaultRowHeight="14.45"/>
  <cols>
    <col min="1" max="1" width="11.7109375" style="165" customWidth="1"/>
    <col min="2" max="2" width="24.7109375" style="165" customWidth="1"/>
    <col min="3" max="3" width="10.42578125" style="165" customWidth="1"/>
    <col min="4" max="13" width="14.7109375" style="165" customWidth="1"/>
    <col min="14" max="16384" width="8.7109375" style="165"/>
  </cols>
  <sheetData>
    <row r="1" spans="2:13" ht="22.5" customHeight="1">
      <c r="B1" s="207"/>
      <c r="C1" s="207"/>
      <c r="D1" s="208" t="s">
        <v>37</v>
      </c>
      <c r="E1" s="208" t="s">
        <v>38</v>
      </c>
      <c r="F1" s="208" t="s">
        <v>39</v>
      </c>
      <c r="G1" s="208" t="s">
        <v>40</v>
      </c>
      <c r="H1" s="208" t="s">
        <v>28</v>
      </c>
      <c r="I1" s="208" t="s">
        <v>41</v>
      </c>
      <c r="J1" s="208" t="s">
        <v>42</v>
      </c>
      <c r="K1" s="208" t="s">
        <v>43</v>
      </c>
      <c r="L1" s="208" t="s">
        <v>44</v>
      </c>
      <c r="M1" s="208" t="s">
        <v>34</v>
      </c>
    </row>
    <row r="2" spans="2:13" ht="22.5" customHeight="1">
      <c r="B2" s="253" t="s">
        <v>33</v>
      </c>
      <c r="C2" s="162" t="s">
        <v>45</v>
      </c>
      <c r="D2" s="175">
        <f>SUM(Schedule!Z36+Schedule!AI36+Schedule!AR36+Schedule!BA36+Schedule!BJ36+Schedule!BS36+Schedule!CB36+Schedule!CK36+Schedule!CT36+Schedule!DC36+Schedule!DL36+Schedule!DU36+Schedule!ED36+Schedule!EM36+Schedule!EV36+Schedule!FE36+Schedule!FN36+Schedule!FW36+Schedule!GF36+Schedule!GO36)</f>
        <v>0</v>
      </c>
      <c r="E2" s="175">
        <f>SUM(Schedule!AA36+Schedule!AJ36+Schedule!AS36+Schedule!BB36+Schedule!BK36+Schedule!BT36+Schedule!CC36+Schedule!CL36+Schedule!CU36+Schedule!DD36+Schedule!DM36+Schedule!DV36+Schedule!EE36+Schedule!EN36+Schedule!EW36+Schedule!FF36+Schedule!FO36+Schedule!FX36+Schedule!GG36+Schedule!GP36)</f>
        <v>0</v>
      </c>
      <c r="F2" s="175">
        <f>SUM(Schedule!AB36+Schedule!AK36+Schedule!AT36+Schedule!BC36+Schedule!BL36+Schedule!BU36+Schedule!CD36+Schedule!CM36+Schedule!CV36+Schedule!DE36+Schedule!DN36+Schedule!DW36+Schedule!EF36+Schedule!EO36+Schedule!EX36+Schedule!FG36+Schedule!FP36+Schedule!FY36+Schedule!GH36+Schedule!GQ36)</f>
        <v>0</v>
      </c>
      <c r="G2" s="175">
        <f>SUM(Schedule!AC36+Schedule!AL36+Schedule!AU36+Schedule!BD36+Schedule!BM36+Schedule!BV36+Schedule!CE36+Schedule!CN36+Schedule!CW36+Schedule!DF36+Schedule!DO36+Schedule!DX36+Schedule!EG36+Schedule!EP36+Schedule!EY36+Schedule!FH36+Schedule!FQ36+Schedule!FZ36+Schedule!GI36+Schedule!GR36)</f>
        <v>0</v>
      </c>
      <c r="H2" s="175">
        <f>SUM(Schedule!AD36+Schedule!AM36+Schedule!AV36+Schedule!BE36+Schedule!BN36+Schedule!BW36+Schedule!CF36+Schedule!CO36+Schedule!CX36+Schedule!DG36+Schedule!DP36+Schedule!DY36+Schedule!EH36+Schedule!EQ36+Schedule!EZ36+Schedule!FI36+Schedule!FR36+Schedule!GA36+Schedule!GJ36+Schedule!GS36)</f>
        <v>0</v>
      </c>
      <c r="I2" s="175">
        <f>SUM(Schedule!AE36+Schedule!AN36+Schedule!AW36+Schedule!BF36+Schedule!BO36+Schedule!BX36+Schedule!CG36+Schedule!CP36+Schedule!CY36+Schedule!DH36+Schedule!DQ36+Schedule!DZ36+Schedule!EI36+Schedule!ER36+Schedule!FA36+Schedule!FJ36+Schedule!FS36+Schedule!GB36+Schedule!GK36+Schedule!GT36)</f>
        <v>0</v>
      </c>
      <c r="J2" s="175">
        <f>SUM(Schedule!AF36+Schedule!AO36+Schedule!AX36+Schedule!BG36+Schedule!BP36+Schedule!BY36+Schedule!CH36+Schedule!CQ36+Schedule!CZ36+Schedule!DI36+Schedule!DR36+Schedule!EA36+Schedule!EJ36+Schedule!ES36+Schedule!FB36+Schedule!FK36+Schedule!FT36+Schedule!GC36+Schedule!GL36+Schedule!GU36)</f>
        <v>0</v>
      </c>
      <c r="K2" s="175">
        <f>SUM(Schedule!AG36+Schedule!AP36+Schedule!AY36+Schedule!BH36+Schedule!BQ36+Schedule!BZ36+Schedule!CI36+Schedule!CR36+Schedule!DA36+Schedule!DJ36+Schedule!DS36+Schedule!EB36+Schedule!EK36+Schedule!ET36+Schedule!FC36+Schedule!FL36+Schedule!FU36+Schedule!GD36+Schedule!GM36+Schedule!GV36)</f>
        <v>0</v>
      </c>
      <c r="L2" s="175">
        <f>SUM(Schedule!AH36+Schedule!AQ36+Schedule!AZ36+Schedule!BI36+Schedule!BR36+Schedule!CA36+Schedule!CJ36+Schedule!CS36+Schedule!DB36+Schedule!DK36+Schedule!DT36+Schedule!EC36+Schedule!EL36+Schedule!EU36+Schedule!FD36+Schedule!FM36+Schedule!FV36+Schedule!GE36+Schedule!GN36+Schedule!GW36)</f>
        <v>0</v>
      </c>
      <c r="M2" s="163">
        <f>SUM(D2:H2)</f>
        <v>0</v>
      </c>
    </row>
    <row r="3" spans="2:13" ht="22.5" hidden="1" customHeight="1">
      <c r="B3" s="253"/>
      <c r="C3" s="162" t="s">
        <v>46</v>
      </c>
      <c r="D3" s="162">
        <f>SUM(D2/4)</f>
        <v>0</v>
      </c>
      <c r="E3" s="162">
        <f>SUM(E2/3)</f>
        <v>0</v>
      </c>
      <c r="F3" s="162">
        <f>SUM(F2/2)</f>
        <v>0</v>
      </c>
      <c r="G3" s="162">
        <f>SUM(G2)</f>
        <v>0</v>
      </c>
      <c r="H3" s="162">
        <f>SUM(H2/4)</f>
        <v>0</v>
      </c>
      <c r="I3" s="162">
        <f>SUM(I2)</f>
        <v>0</v>
      </c>
      <c r="J3" s="162">
        <f>SUM(J2)</f>
        <v>0</v>
      </c>
      <c r="K3" s="162">
        <f>SUM(K2)</f>
        <v>0</v>
      </c>
      <c r="L3" s="162">
        <f>SUM(L2/4)</f>
        <v>0</v>
      </c>
      <c r="M3" s="163">
        <f>SUM(D3:H3)</f>
        <v>0</v>
      </c>
    </row>
    <row r="4" spans="2:13" ht="6.75" customHeight="1"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4"/>
    </row>
    <row r="5" spans="2:13" ht="22.5" customHeight="1">
      <c r="B5" s="253" t="s">
        <v>35</v>
      </c>
      <c r="C5" s="162" t="s">
        <v>45</v>
      </c>
      <c r="D5" s="175">
        <f>SUM(Schedule!Z67+Schedule!AI67+Schedule!AR67+Schedule!BA67+Schedule!BJ67+Schedule!BS67+Schedule!CB67+Schedule!CK67+Schedule!CT67+Schedule!DC67+Schedule!DL67+Schedule!DU67+Schedule!ED67+Schedule!EM67+Schedule!EV67+Schedule!FE67+Schedule!FN67+Schedule!FW67+Schedule!GF67+Schedule!GO67)</f>
        <v>0</v>
      </c>
      <c r="E5" s="175">
        <f>SUM(Schedule!AA67+Schedule!AJ67+Schedule!AS67+Schedule!BB67+Schedule!BK67+Schedule!BT67+Schedule!CC67+Schedule!CL67+Schedule!CU67+Schedule!DD67+Schedule!DM67+Schedule!DV67+Schedule!EE67+Schedule!EN67+Schedule!EW67+Schedule!FF67+Schedule!FO67+Schedule!FX67+Schedule!GG67+Schedule!GP67)</f>
        <v>0</v>
      </c>
      <c r="F5" s="175">
        <f>SUM(Schedule!AB67+Schedule!AK67+Schedule!AT67+Schedule!BC67+Schedule!BL67+Schedule!BU67+Schedule!CD67+Schedule!CM67+Schedule!CV67+Schedule!DE67+Schedule!DN67+Schedule!DW67+Schedule!EF67+Schedule!EO67+Schedule!EX67+Schedule!FG67+Schedule!FP67+Schedule!FY67+Schedule!GH67+Schedule!GQ67)</f>
        <v>0</v>
      </c>
      <c r="G5" s="175">
        <f>SUM(Schedule!AC67+Schedule!AL67+Schedule!AU67+Schedule!BD67+Schedule!BM67+Schedule!BV67+Schedule!CE67+Schedule!CN67+Schedule!CW67+Schedule!DF67+Schedule!DO67+Schedule!DX67+Schedule!EG67+Schedule!EP67+Schedule!EY67+Schedule!FH67+Schedule!FQ67+Schedule!FZ67+Schedule!GI67+Schedule!GR67)</f>
        <v>0</v>
      </c>
      <c r="H5" s="175">
        <f>SUM(Schedule!AD67+Schedule!AM67+Schedule!AV67+Schedule!BE67+Schedule!BN67+Schedule!BW67+Schedule!CF67+Schedule!CO67+Schedule!CX67+Schedule!DG67+Schedule!DP67+Schedule!DY67+Schedule!EH67+Schedule!EQ67+Schedule!EZ67+Schedule!FI67+Schedule!FR67+Schedule!GA67+Schedule!GJ67+Schedule!GS67)</f>
        <v>0</v>
      </c>
      <c r="I5" s="175">
        <f>SUM(Schedule!AE67+Schedule!AN67+Schedule!AW67+Schedule!BF67+Schedule!BO67+Schedule!BX67+Schedule!CG67+Schedule!CP67+Schedule!CY67+Schedule!DH67+Schedule!DQ67+Schedule!DZ67+Schedule!EI67+Schedule!ER67+Schedule!FA67+Schedule!FJ67+Schedule!FS67+Schedule!GB67+Schedule!GK67+Schedule!GT67)</f>
        <v>0</v>
      </c>
      <c r="J5" s="175">
        <f>SUM(Schedule!AF67+Schedule!AO67+Schedule!AX67+Schedule!BG67+Schedule!BP67+Schedule!BY67+Schedule!CH67+Schedule!CQ67+Schedule!CZ67+Schedule!DI67+Schedule!DR67+Schedule!EA67+Schedule!EJ67+Schedule!ES67+Schedule!FB67+Schedule!FK67+Schedule!FT67+Schedule!GC67+Schedule!GL67+Schedule!GU67)</f>
        <v>0</v>
      </c>
      <c r="K5" s="175">
        <f>SUM(Schedule!AG67+Schedule!AP67+Schedule!AY67+Schedule!BH67+Schedule!BQ67+Schedule!BZ67+Schedule!CI67+Schedule!CR67+Schedule!DA67+Schedule!DJ67+Schedule!DS67+Schedule!EB67+Schedule!EK67+Schedule!ET67+Schedule!FC67+Schedule!FL67+Schedule!FU67+Schedule!GD67+Schedule!GM67+Schedule!GV67)</f>
        <v>0</v>
      </c>
      <c r="L5" s="175">
        <f>SUM(Schedule!AH67+Schedule!AQ67+Schedule!AZ67+Schedule!BI67+Schedule!BR67+Schedule!CA67+Schedule!CJ67+Schedule!CS67+Schedule!DB67+Schedule!DK67+Schedule!DT67+Schedule!EC67+Schedule!EL67+Schedule!EU67+Schedule!FD67+Schedule!FM67+Schedule!FV67+Schedule!GE67+Schedule!GN67+Schedule!GW67)</f>
        <v>0</v>
      </c>
      <c r="M5" s="233">
        <f>SUM(D5:H5)</f>
        <v>0</v>
      </c>
    </row>
    <row r="6" spans="2:13" ht="22.5" hidden="1" customHeight="1">
      <c r="B6" s="253"/>
      <c r="C6" s="162" t="s">
        <v>46</v>
      </c>
      <c r="D6" s="162">
        <f>SUM(D5/4)</f>
        <v>0</v>
      </c>
      <c r="E6" s="162">
        <f>SUM(E5/3)</f>
        <v>0</v>
      </c>
      <c r="F6" s="162">
        <f>SUM(F5/2)</f>
        <v>0</v>
      </c>
      <c r="G6" s="162">
        <f>SUM(G5)</f>
        <v>0</v>
      </c>
      <c r="H6" s="162">
        <f>SUM(H5/4)</f>
        <v>0</v>
      </c>
      <c r="I6" s="162">
        <f>SUM(I5)</f>
        <v>0</v>
      </c>
      <c r="J6" s="162">
        <f>SUM(J5)</f>
        <v>0</v>
      </c>
      <c r="K6" s="162">
        <f>SUM(K5)</f>
        <v>0</v>
      </c>
      <c r="L6" s="162">
        <f>SUM(L5/4)</f>
        <v>0</v>
      </c>
      <c r="M6" s="163">
        <f>SUM(D6:H6)</f>
        <v>0</v>
      </c>
    </row>
    <row r="7" spans="2:13" ht="6.75" customHeight="1"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4"/>
    </row>
    <row r="8" spans="2:13" ht="22.5" customHeight="1">
      <c r="B8" s="253" t="s">
        <v>36</v>
      </c>
      <c r="C8" s="162" t="s">
        <v>45</v>
      </c>
      <c r="D8" s="175">
        <f>SUM(Schedule!Z81+Schedule!AI81+Schedule!AR81+Schedule!BA81+Schedule!BJ81+Schedule!BS81+Schedule!CB81+Schedule!CK81+Schedule!CT81+Schedule!DC81+Schedule!DL81+Schedule!DU81+Schedule!ED81+Schedule!EM81+Schedule!EV81+Schedule!FE81+Schedule!FN81+Schedule!FW81+Schedule!GF81+Schedule!GO81)</f>
        <v>0</v>
      </c>
      <c r="E8" s="175">
        <f>SUM(Schedule!AA81+Schedule!AJ81+Schedule!AS81+Schedule!BB81+Schedule!BK81+Schedule!BT81+Schedule!CC81+Schedule!CL81+Schedule!CU81+Schedule!DD81+Schedule!DM81+Schedule!DV81+Schedule!EE81+Schedule!EN81+Schedule!EW81+Schedule!FF81+Schedule!FO81+Schedule!FX81+Schedule!GG81+Schedule!GP81)</f>
        <v>0</v>
      </c>
      <c r="F8" s="175">
        <f>SUM(Schedule!AB81+Schedule!AK81+Schedule!AT81+Schedule!BC81+Schedule!BL81+Schedule!BU81+Schedule!CD81+Schedule!CM81+Schedule!CV81+Schedule!DE81+Schedule!DN81+Schedule!DW81+Schedule!EF81+Schedule!EO81+Schedule!EX81+Schedule!FG81+Schedule!FP81+Schedule!FY81+Schedule!GH81+Schedule!GQ81)</f>
        <v>0</v>
      </c>
      <c r="G8" s="175">
        <f>SUM(Schedule!AC81+Schedule!AL81+Schedule!AU81+Schedule!BD81+Schedule!BM81+Schedule!BV81+Schedule!CE81+Schedule!CN81+Schedule!CW81+Schedule!DF81+Schedule!DO81+Schedule!DX81+Schedule!EG81+Schedule!EP81+Schedule!EY81+Schedule!FH81+Schedule!FQ81+Schedule!FZ81+Schedule!GI81+Schedule!GR81)</f>
        <v>0</v>
      </c>
      <c r="H8" s="175">
        <f>SUM(Schedule!AD81+Schedule!AM81+Schedule!AV81+Schedule!BE81+Schedule!BN81+Schedule!BW81+Schedule!CF81+Schedule!CO81+Schedule!CX81+Schedule!DG81+Schedule!DP81+Schedule!DY81+Schedule!EH81+Schedule!EQ81+Schedule!EZ81+Schedule!FI81+Schedule!FR81+Schedule!GA81+Schedule!GJ81+Schedule!GS81)</f>
        <v>0</v>
      </c>
      <c r="I8" s="175">
        <f>SUM(Schedule!AE81+Schedule!AN81+Schedule!AW81+Schedule!BF81+Schedule!BO81+Schedule!BX81+Schedule!CG81+Schedule!CP81+Schedule!CY81+Schedule!DH81+Schedule!DQ81+Schedule!DZ81+Schedule!EI81+Schedule!ER81+Schedule!FA81+Schedule!FJ81+Schedule!FS81+Schedule!GB81+Schedule!GK81+Schedule!GT81)</f>
        <v>0</v>
      </c>
      <c r="J8" s="175">
        <f>SUM(Schedule!AF81+Schedule!AO81+Schedule!AX81+Schedule!BG81+Schedule!BP81+Schedule!BY81+Schedule!CH81+Schedule!CQ81+Schedule!CZ81+Schedule!DI81+Schedule!DR81+Schedule!EA81+Schedule!EJ81+Schedule!ES81+Schedule!FB81+Schedule!FK81+Schedule!FT81+Schedule!GC81+Schedule!GL81+Schedule!GU81)</f>
        <v>0</v>
      </c>
      <c r="K8" s="175">
        <f>SUM(Schedule!AG81+Schedule!AP81+Schedule!AY81+Schedule!BH81+Schedule!BQ81+Schedule!BZ81+Schedule!CI81+Schedule!CR81+Schedule!DA81+Schedule!DJ81+Schedule!DS81+Schedule!EB81+Schedule!EK81+Schedule!ET81+Schedule!FC81+Schedule!FL81+Schedule!FU81+Schedule!GD81+Schedule!GM81+Schedule!GV81)</f>
        <v>0</v>
      </c>
      <c r="L8" s="175">
        <f>SUM(Schedule!AH81+Schedule!AQ81+Schedule!AZ81+Schedule!BI81+Schedule!BR81+Schedule!CA81+Schedule!CJ81+Schedule!CS81+Schedule!DB81+Schedule!DK81+Schedule!DT81+Schedule!EC81+Schedule!EL81+Schedule!EU81+Schedule!FD81+Schedule!FM81+Schedule!FV81+Schedule!GE81+Schedule!GN81+Schedule!GW81)</f>
        <v>0</v>
      </c>
      <c r="M8" s="163">
        <f>SUM(D8:H8)</f>
        <v>0</v>
      </c>
    </row>
    <row r="9" spans="2:13" ht="22.5" hidden="1" customHeight="1">
      <c r="B9" s="253"/>
      <c r="C9" s="162" t="s">
        <v>46</v>
      </c>
      <c r="D9" s="162">
        <f>SUM(D8/4)</f>
        <v>0</v>
      </c>
      <c r="E9" s="162">
        <f>SUM(E8/3)</f>
        <v>0</v>
      </c>
      <c r="F9" s="162">
        <f>SUM(F8/2)</f>
        <v>0</v>
      </c>
      <c r="G9" s="162">
        <f>SUM(G8)</f>
        <v>0</v>
      </c>
      <c r="H9" s="162">
        <f>SUM(H8/4)</f>
        <v>0</v>
      </c>
      <c r="I9" s="162">
        <f>SUM(I8)</f>
        <v>0</v>
      </c>
      <c r="J9" s="162">
        <f>SUM(J8)</f>
        <v>0</v>
      </c>
      <c r="K9" s="162">
        <f>SUM(K8)</f>
        <v>0</v>
      </c>
      <c r="L9" s="162">
        <f>SUM(L8)</f>
        <v>0</v>
      </c>
      <c r="M9" s="163">
        <f>SUM(D9:H9)</f>
        <v>0</v>
      </c>
    </row>
    <row r="10" spans="2:13" ht="6.75" customHeight="1"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4"/>
    </row>
    <row r="11" spans="2:13" ht="22.5" customHeight="1">
      <c r="B11" s="253" t="s">
        <v>47</v>
      </c>
      <c r="C11" s="162" t="s">
        <v>45</v>
      </c>
      <c r="D11" s="206">
        <v>0</v>
      </c>
      <c r="E11" s="206">
        <v>0</v>
      </c>
      <c r="F11" s="206">
        <v>0</v>
      </c>
      <c r="G11" s="206">
        <v>0</v>
      </c>
      <c r="H11" s="206">
        <v>0</v>
      </c>
      <c r="I11" s="206">
        <v>0</v>
      </c>
      <c r="J11" s="206">
        <v>0</v>
      </c>
      <c r="K11" s="206">
        <v>0</v>
      </c>
      <c r="L11" s="206">
        <v>0</v>
      </c>
      <c r="M11" s="163">
        <f>SUM(D11:K11)</f>
        <v>0</v>
      </c>
    </row>
    <row r="12" spans="2:13" ht="22.5" hidden="1" customHeight="1">
      <c r="B12" s="253"/>
      <c r="C12" s="162" t="s">
        <v>46</v>
      </c>
      <c r="D12" s="162">
        <f>SUM(D11/4)</f>
        <v>0</v>
      </c>
      <c r="E12" s="162">
        <f>SUM(E11/3)</f>
        <v>0</v>
      </c>
      <c r="F12" s="162">
        <f>SUM(F11/2)</f>
        <v>0</v>
      </c>
      <c r="G12" s="162">
        <f>SUM(G11)</f>
        <v>0</v>
      </c>
      <c r="H12" s="162">
        <f>SUM(H11/4)</f>
        <v>0</v>
      </c>
      <c r="I12" s="162">
        <f>SUM(I11)</f>
        <v>0</v>
      </c>
      <c r="J12" s="162">
        <f>SUM(J11)</f>
        <v>0</v>
      </c>
      <c r="K12" s="162">
        <f>SUM(K11)</f>
        <v>0</v>
      </c>
      <c r="L12" s="162">
        <f>SUM(L11)</f>
        <v>0</v>
      </c>
      <c r="M12" s="163">
        <f>SUM(D12:K12)</f>
        <v>0</v>
      </c>
    </row>
    <row r="13" spans="2:13" ht="6.75" customHeight="1"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4"/>
    </row>
    <row r="14" spans="2:13" ht="22.5" customHeight="1">
      <c r="B14" s="253" t="s">
        <v>48</v>
      </c>
      <c r="C14" s="162" t="s">
        <v>45</v>
      </c>
      <c r="D14" s="206">
        <v>0</v>
      </c>
      <c r="E14" s="206">
        <v>0</v>
      </c>
      <c r="F14" s="206">
        <v>0</v>
      </c>
      <c r="G14" s="206">
        <v>0</v>
      </c>
      <c r="H14" s="206">
        <v>0</v>
      </c>
      <c r="I14" s="206">
        <v>0</v>
      </c>
      <c r="J14" s="206">
        <v>0</v>
      </c>
      <c r="K14" s="206">
        <v>0</v>
      </c>
      <c r="L14" s="206">
        <v>0</v>
      </c>
      <c r="M14" s="163">
        <f>SUM(D14:K14)</f>
        <v>0</v>
      </c>
    </row>
    <row r="15" spans="2:13" ht="22.5" hidden="1" customHeight="1">
      <c r="B15" s="253"/>
      <c r="C15" s="162" t="s">
        <v>46</v>
      </c>
      <c r="D15" s="162">
        <f>SUM(D14/4)</f>
        <v>0</v>
      </c>
      <c r="E15" s="162">
        <f>SUM(E14/3)</f>
        <v>0</v>
      </c>
      <c r="F15" s="162">
        <f>SUM(F14/2)</f>
        <v>0</v>
      </c>
      <c r="G15" s="162">
        <f>SUM(G14)</f>
        <v>0</v>
      </c>
      <c r="H15" s="162">
        <f>SUM(H14/4)</f>
        <v>0</v>
      </c>
      <c r="I15" s="162">
        <f>SUM(I14)</f>
        <v>0</v>
      </c>
      <c r="J15" s="162">
        <f>SUM(J14)</f>
        <v>0</v>
      </c>
      <c r="K15" s="162">
        <f>SUM(K14)</f>
        <v>0</v>
      </c>
      <c r="L15" s="162">
        <f>SUM(L14)</f>
        <v>0</v>
      </c>
      <c r="M15" s="163">
        <f>SUM(D15:K15)</f>
        <v>0</v>
      </c>
    </row>
    <row r="16" spans="2:13" ht="6.75" customHeight="1"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4"/>
    </row>
    <row r="17" spans="1:19" ht="22.5" customHeight="1">
      <c r="B17" s="253" t="s">
        <v>49</v>
      </c>
      <c r="C17" s="162" t="s">
        <v>45</v>
      </c>
      <c r="D17" s="233">
        <f>SUM(D2+D5+D8+D11+D14)</f>
        <v>0</v>
      </c>
      <c r="E17" s="233">
        <f>SUM(E2+E5+E8+E11+E14)</f>
        <v>0</v>
      </c>
      <c r="F17" s="233">
        <f>SUM(F2+F5+F8+F11+F14)</f>
        <v>0</v>
      </c>
      <c r="G17" s="163">
        <f t="shared" ref="G17:K17" si="0">SUM(G2+G5+G8+G11+G14)</f>
        <v>0</v>
      </c>
      <c r="H17" s="163">
        <f t="shared" si="0"/>
        <v>0</v>
      </c>
      <c r="I17" s="163">
        <f t="shared" si="0"/>
        <v>0</v>
      </c>
      <c r="J17" s="163">
        <f t="shared" si="0"/>
        <v>0</v>
      </c>
      <c r="K17" s="163">
        <f t="shared" si="0"/>
        <v>0</v>
      </c>
      <c r="L17" s="163">
        <f t="shared" ref="L17" si="1">SUM(L2+L5+L8+L11+L14)</f>
        <v>0</v>
      </c>
      <c r="M17" s="163">
        <f>SUM(D17:K17)</f>
        <v>0</v>
      </c>
    </row>
    <row r="18" spans="1:19" ht="22.5" hidden="1" customHeight="1">
      <c r="B18" s="253"/>
      <c r="C18" s="162" t="s">
        <v>46</v>
      </c>
      <c r="D18" s="163">
        <f>SUM(D3+D6+D9+D12+D15)</f>
        <v>0</v>
      </c>
      <c r="E18" s="163">
        <f t="shared" ref="E18:K18" si="2">SUM(E3+E6+E9+E12+E15)</f>
        <v>0</v>
      </c>
      <c r="F18" s="163">
        <f t="shared" si="2"/>
        <v>0</v>
      </c>
      <c r="G18" s="163">
        <f t="shared" si="2"/>
        <v>0</v>
      </c>
      <c r="H18" s="163">
        <f t="shared" si="2"/>
        <v>0</v>
      </c>
      <c r="I18" s="163">
        <f t="shared" si="2"/>
        <v>0</v>
      </c>
      <c r="J18" s="163">
        <f t="shared" si="2"/>
        <v>0</v>
      </c>
      <c r="K18" s="163">
        <f t="shared" si="2"/>
        <v>0</v>
      </c>
      <c r="L18" s="163">
        <f t="shared" ref="L18" si="3">SUM(L3+L6+L9+L12+L15)</f>
        <v>0</v>
      </c>
      <c r="M18" s="163">
        <f>SUM(D18:K18)</f>
        <v>0</v>
      </c>
      <c r="N18" s="221">
        <f>SUM(I18+J18+K18)</f>
        <v>0</v>
      </c>
    </row>
    <row r="19" spans="1:19" ht="6.75" customHeight="1"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4"/>
    </row>
    <row r="20" spans="1:19" ht="22.5" customHeight="1">
      <c r="B20" s="253" t="s">
        <v>50</v>
      </c>
      <c r="C20" s="162" t="s">
        <v>45</v>
      </c>
      <c r="D20" s="163">
        <f>SUM(D2+D5+D8+D11)</f>
        <v>0</v>
      </c>
      <c r="E20" s="163">
        <f t="shared" ref="E20:K20" si="4">SUM(E2+E5+E8+E11)</f>
        <v>0</v>
      </c>
      <c r="F20" s="163">
        <f t="shared" si="4"/>
        <v>0</v>
      </c>
      <c r="G20" s="163">
        <f t="shared" si="4"/>
        <v>0</v>
      </c>
      <c r="H20" s="163">
        <f t="shared" si="4"/>
        <v>0</v>
      </c>
      <c r="I20" s="163">
        <f>SUM(I2+I5+I8+I11)</f>
        <v>0</v>
      </c>
      <c r="J20" s="163">
        <f t="shared" si="4"/>
        <v>0</v>
      </c>
      <c r="K20" s="163">
        <f t="shared" si="4"/>
        <v>0</v>
      </c>
      <c r="L20" s="163">
        <f t="shared" ref="L20" si="5">SUM(L2+L5+L8+L11)</f>
        <v>0</v>
      </c>
      <c r="M20" s="163">
        <f>SUM(D20:K20)</f>
        <v>0</v>
      </c>
    </row>
    <row r="21" spans="1:19" ht="22.5" hidden="1" customHeight="1">
      <c r="B21" s="253"/>
      <c r="C21" s="162" t="s">
        <v>46</v>
      </c>
      <c r="D21" s="163">
        <f>SUM(D3+D6+D9+D12)</f>
        <v>0</v>
      </c>
      <c r="E21" s="163">
        <f t="shared" ref="E21:K21" si="6">SUM(E3+E6+E9+E12)</f>
        <v>0</v>
      </c>
      <c r="F21" s="163">
        <f t="shared" si="6"/>
        <v>0</v>
      </c>
      <c r="G21" s="163">
        <f t="shared" si="6"/>
        <v>0</v>
      </c>
      <c r="H21" s="163">
        <f t="shared" si="6"/>
        <v>0</v>
      </c>
      <c r="I21" s="163">
        <f t="shared" si="6"/>
        <v>0</v>
      </c>
      <c r="J21" s="163">
        <f t="shared" si="6"/>
        <v>0</v>
      </c>
      <c r="K21" s="163">
        <f t="shared" si="6"/>
        <v>0</v>
      </c>
      <c r="L21" s="163">
        <f t="shared" ref="L21" si="7">SUM(L3+L6+L9+L12)</f>
        <v>0</v>
      </c>
      <c r="M21" s="163">
        <f>SUM(D21:K21)</f>
        <v>0</v>
      </c>
    </row>
    <row r="22" spans="1:19" ht="6.75" customHeight="1"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spans="1:19">
      <c r="C23" s="219">
        <f>D23+E23+F23+G23</f>
        <v>0</v>
      </c>
      <c r="D23" s="219">
        <f>D17-D8</f>
        <v>0</v>
      </c>
      <c r="E23" s="219">
        <f t="shared" ref="E23:K23" si="8">E17-E8</f>
        <v>0</v>
      </c>
      <c r="F23" s="219">
        <f t="shared" si="8"/>
        <v>0</v>
      </c>
      <c r="G23" s="219">
        <f t="shared" si="8"/>
        <v>0</v>
      </c>
      <c r="H23" s="219">
        <f t="shared" si="8"/>
        <v>0</v>
      </c>
      <c r="I23" s="219">
        <f t="shared" si="8"/>
        <v>0</v>
      </c>
      <c r="J23" s="219">
        <f t="shared" si="8"/>
        <v>0</v>
      </c>
      <c r="K23" s="219">
        <f t="shared" si="8"/>
        <v>0</v>
      </c>
      <c r="L23" s="219">
        <f t="shared" ref="L23" si="9">L17-L8</f>
        <v>0</v>
      </c>
      <c r="M23" s="219">
        <f>M17-M8</f>
        <v>0</v>
      </c>
    </row>
    <row r="24" spans="1:19">
      <c r="C24" s="221"/>
      <c r="D24" s="219">
        <f t="shared" ref="D24:I24" si="10">D17-D8</f>
        <v>0</v>
      </c>
      <c r="E24" s="219">
        <f t="shared" si="10"/>
        <v>0</v>
      </c>
      <c r="F24" s="219">
        <f t="shared" si="10"/>
        <v>0</v>
      </c>
      <c r="G24" s="219">
        <f t="shared" si="10"/>
        <v>0</v>
      </c>
      <c r="H24" s="219">
        <f t="shared" si="10"/>
        <v>0</v>
      </c>
      <c r="I24" s="219">
        <f t="shared" si="10"/>
        <v>0</v>
      </c>
      <c r="J24" s="219">
        <f t="shared" ref="J24:K24" si="11">J18-J9</f>
        <v>0</v>
      </c>
      <c r="K24" s="219">
        <f t="shared" si="11"/>
        <v>0</v>
      </c>
      <c r="L24" s="219">
        <f t="shared" ref="L24" si="12">L18-L9</f>
        <v>0</v>
      </c>
      <c r="M24" s="219">
        <f>M17-M8</f>
        <v>0</v>
      </c>
    </row>
    <row r="25" spans="1:19" ht="18">
      <c r="B25" s="209" t="s">
        <v>51</v>
      </c>
    </row>
    <row r="26" spans="1:19" ht="18">
      <c r="A26" s="220" t="s">
        <v>52</v>
      </c>
      <c r="B26" s="250" t="str">
        <f>_xlfn.CONCAT(D24," x Quads, ",E24," x Triples, ",F24," x Doubles, ",G24," x Singles")</f>
        <v>0 x Quads, 0 x Triples, 0 x Doubles, 0 x Singles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2"/>
    </row>
    <row r="27" spans="1:19" ht="18">
      <c r="A27" s="220" t="s">
        <v>33</v>
      </c>
      <c r="B27" s="250" t="str">
        <f>_xlfn.CONCAT(D2," x Quads, ",E2," x Triples, ",F2," x Doubles, ",G2," x Singles")</f>
        <v>0 x Quads, 0 x Triples, 0 x Doubles, 0 x Singles</v>
      </c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2"/>
    </row>
    <row r="28" spans="1:19" ht="18">
      <c r="A28" s="220" t="s">
        <v>36</v>
      </c>
      <c r="B28" s="250" t="str">
        <f>_xlfn.CONCAT(D8," x Brisbane Quads, ",F8," x Brisbane Doubles")</f>
        <v>0 x Brisbane Quads, 0 x Brisbane Doubles</v>
      </c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2"/>
    </row>
    <row r="29" spans="1:19" ht="18">
      <c r="A29" s="220" t="s">
        <v>53</v>
      </c>
      <c r="B29" s="250" t="str">
        <f>_xlfn.CONCAT(H17," x quad A0's")</f>
        <v>0 x quad A0's</v>
      </c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2"/>
    </row>
    <row r="30" spans="1:19" ht="18">
      <c r="A30" s="220" t="s">
        <v>54</v>
      </c>
      <c r="B30" s="250" t="str">
        <f>_xlfn.CONCAT(N18," sites (",I18," x Megasites, ",J18," x DOT Megas, ",K18," x Mega Portraits)")</f>
        <v>0 sites (0 x Megasites, 0 x DOT Megas, 0 x Mega Portraits)</v>
      </c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2"/>
    </row>
    <row r="31" spans="1:19" ht="18">
      <c r="A31" s="220" t="s">
        <v>44</v>
      </c>
      <c r="B31" s="250" t="str">
        <f>_xlfn.CONCAT(L17," x Ferro Film quads")</f>
        <v>0 x Ferro Film quads</v>
      </c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2"/>
    </row>
  </sheetData>
  <sheetProtection algorithmName="SHA-512" hashValue="iAC8RTkH50Z54JkUIvIb1sNCGOKbuLwD/4riC/d+JokzFTx/EVyJAbEixvLR1e4bw9mTD1vNTUx3V2Mw66UX9g==" saltValue="OtKaf6uMRyCKcBVvj0bPNA==" spinCount="100000" sheet="1" objects="1" scenarios="1"/>
  <mergeCells count="13">
    <mergeCell ref="B2:B3"/>
    <mergeCell ref="B5:B6"/>
    <mergeCell ref="B8:B9"/>
    <mergeCell ref="B11:B12"/>
    <mergeCell ref="B17:B18"/>
    <mergeCell ref="B14:B15"/>
    <mergeCell ref="B31:S31"/>
    <mergeCell ref="B30:S30"/>
    <mergeCell ref="B20:B21"/>
    <mergeCell ref="B26:S26"/>
    <mergeCell ref="B28:S28"/>
    <mergeCell ref="B29:S29"/>
    <mergeCell ref="B27:S27"/>
  </mergeCells>
  <phoneticPr fontId="8" type="noConversion"/>
  <pageMargins left="0.7" right="0.7" top="0.75" bottom="0.75" header="0.3" footer="0.3"/>
  <ignoredErrors>
    <ignoredError sqref="H3 H6:H7 H9:H15" formula="1"/>
    <ignoredError sqref="M11 M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87A7-923F-4A12-BBE5-00ACC0C8B39F}">
  <sheetPr codeName="Sheet6"/>
  <dimension ref="A1:GW191"/>
  <sheetViews>
    <sheetView zoomScale="80" zoomScaleNormal="80" workbookViewId="0">
      <selection activeCell="L66" sqref="L66"/>
    </sheetView>
  </sheetViews>
  <sheetFormatPr defaultColWidth="8.7109375" defaultRowHeight="14.45"/>
  <cols>
    <col min="1" max="1" width="3.140625" style="165" customWidth="1"/>
    <col min="2" max="2" width="10.140625" style="165" bestFit="1" customWidth="1"/>
    <col min="3" max="3" width="28.7109375" style="165" customWidth="1"/>
    <col min="4" max="12" width="5.7109375" style="165" customWidth="1"/>
    <col min="13" max="13" width="1.140625" style="165" customWidth="1"/>
    <col min="14" max="22" width="5.7109375" style="165" customWidth="1"/>
    <col min="23" max="23" width="1.140625" style="165" customWidth="1"/>
    <col min="24" max="32" width="5.7109375" style="165" customWidth="1"/>
    <col min="33" max="33" width="1.140625" style="165" customWidth="1"/>
    <col min="34" max="42" width="5.7109375" style="165" customWidth="1"/>
    <col min="43" max="43" width="1.140625" style="165" customWidth="1"/>
    <col min="44" max="52" width="5.7109375" style="165" customWidth="1"/>
    <col min="53" max="53" width="1.140625" style="165" customWidth="1"/>
    <col min="54" max="62" width="5.7109375" style="165" customWidth="1"/>
    <col min="63" max="63" width="1.140625" style="165" customWidth="1"/>
    <col min="64" max="72" width="5.7109375" style="165" customWidth="1"/>
    <col min="73" max="73" width="1.140625" style="165" customWidth="1"/>
    <col min="74" max="82" width="5.7109375" style="165" customWidth="1"/>
    <col min="83" max="83" width="1.140625" style="165" customWidth="1"/>
    <col min="84" max="92" width="5.7109375" style="165" customWidth="1"/>
    <col min="93" max="93" width="1.140625" style="165" customWidth="1"/>
    <col min="94" max="102" width="5.7109375" style="165" customWidth="1"/>
    <col min="103" max="103" width="1.140625" style="165" customWidth="1"/>
    <col min="104" max="112" width="5.7109375" style="165" customWidth="1"/>
    <col min="113" max="113" width="1.140625" style="165" customWidth="1"/>
    <col min="114" max="122" width="5.7109375" style="165" customWidth="1"/>
    <col min="123" max="123" width="1.140625" style="165" customWidth="1"/>
    <col min="124" max="132" width="5.7109375" style="165" customWidth="1"/>
    <col min="133" max="133" width="1.140625" style="165" customWidth="1"/>
    <col min="134" max="142" width="5.7109375" style="165" customWidth="1"/>
    <col min="143" max="143" width="1.140625" style="165" customWidth="1"/>
    <col min="144" max="152" width="5.7109375" style="165" customWidth="1"/>
    <col min="153" max="153" width="1.140625" style="165" customWidth="1"/>
    <col min="154" max="162" width="5.7109375" style="165" customWidth="1"/>
    <col min="163" max="163" width="1.140625" style="165" customWidth="1"/>
    <col min="164" max="172" width="5.7109375" style="165" customWidth="1"/>
    <col min="173" max="173" width="1.140625" style="165" customWidth="1"/>
    <col min="174" max="182" width="5.7109375" style="165" customWidth="1"/>
    <col min="183" max="183" width="1.140625" style="165" customWidth="1"/>
    <col min="184" max="192" width="5.7109375" style="165" customWidth="1"/>
    <col min="193" max="193" width="1.140625" style="165" customWidth="1"/>
    <col min="194" max="202" width="5.7109375" style="165" customWidth="1"/>
    <col min="203" max="213" width="11.42578125" style="165" customWidth="1"/>
    <col min="214" max="16384" width="8.7109375" style="165"/>
  </cols>
  <sheetData>
    <row r="1" spans="2:205" ht="15" thickBot="1">
      <c r="B1" s="221" t="str" cm="1">
        <f t="array" ref="B1">_xlfn.TEXTJOIN(",",TRUE,IF(_xlfn.BYROW(D4:K33,_xlfn.LAMBDA(_xlpm.row,SUM(_xlpm.row)))&gt;0,$C$4:$C$33,""))</f>
        <v/>
      </c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2"/>
      <c r="AP1" s="172"/>
      <c r="AQ1" s="172"/>
      <c r="AR1" s="172"/>
      <c r="AS1" s="172"/>
      <c r="AT1" s="172"/>
      <c r="AU1" s="172"/>
      <c r="AV1" s="172"/>
      <c r="AW1" s="172"/>
      <c r="AX1" s="172"/>
      <c r="AY1" s="172"/>
      <c r="AZ1" s="172"/>
      <c r="BA1" s="172"/>
      <c r="BB1" s="172"/>
      <c r="BC1" s="172"/>
      <c r="BD1" s="172"/>
      <c r="BE1" s="172"/>
      <c r="BF1" s="172"/>
      <c r="BG1" s="172"/>
      <c r="BH1" s="172"/>
      <c r="BI1" s="172"/>
      <c r="BJ1" s="172"/>
      <c r="BK1" s="172"/>
      <c r="BL1" s="172"/>
      <c r="BM1" s="172"/>
      <c r="BN1" s="172"/>
      <c r="BO1" s="172"/>
      <c r="BP1" s="172"/>
      <c r="BQ1" s="172"/>
      <c r="BR1" s="172"/>
      <c r="BS1" s="172"/>
      <c r="BT1" s="172"/>
      <c r="BU1" s="172"/>
      <c r="BV1" s="172"/>
      <c r="BW1" s="172"/>
      <c r="BX1" s="172"/>
      <c r="BY1" s="172"/>
      <c r="BZ1" s="172"/>
      <c r="CA1" s="172"/>
      <c r="CB1" s="172"/>
      <c r="CC1" s="172"/>
      <c r="CD1" s="172"/>
      <c r="CE1" s="172"/>
      <c r="CF1" s="172"/>
      <c r="CG1" s="172"/>
      <c r="CH1" s="172"/>
      <c r="CI1" s="172"/>
      <c r="CJ1" s="172"/>
      <c r="CK1" s="172"/>
      <c r="CL1" s="172"/>
      <c r="CM1" s="172"/>
      <c r="CN1" s="172"/>
      <c r="CO1" s="172"/>
      <c r="CP1" s="172"/>
      <c r="CQ1" s="172"/>
      <c r="CR1" s="172"/>
      <c r="CS1" s="172"/>
      <c r="CT1" s="172"/>
      <c r="CU1" s="172"/>
      <c r="CV1" s="172"/>
      <c r="CW1" s="172"/>
      <c r="CX1" s="172"/>
      <c r="CY1" s="172"/>
      <c r="CZ1" s="172"/>
      <c r="DA1" s="172"/>
      <c r="DB1" s="172"/>
      <c r="DC1" s="172"/>
      <c r="DD1" s="172"/>
      <c r="DE1" s="172"/>
      <c r="DF1" s="172"/>
      <c r="DG1" s="172"/>
      <c r="DH1" s="172"/>
      <c r="DI1" s="172"/>
      <c r="DJ1" s="172"/>
      <c r="DK1" s="172"/>
      <c r="DL1" s="172"/>
      <c r="DM1" s="172"/>
      <c r="DN1" s="172"/>
      <c r="DO1" s="172"/>
      <c r="DP1" s="172"/>
      <c r="DQ1" s="172"/>
      <c r="DR1" s="172"/>
      <c r="DS1" s="172"/>
      <c r="DT1" s="172"/>
      <c r="DU1" s="172"/>
      <c r="DV1" s="172"/>
      <c r="DW1" s="172"/>
      <c r="DX1" s="172"/>
      <c r="DY1" s="172"/>
      <c r="DZ1" s="172"/>
      <c r="EA1" s="172"/>
      <c r="EB1" s="172"/>
      <c r="EC1" s="172"/>
      <c r="ED1" s="172"/>
      <c r="EE1" s="172"/>
      <c r="EF1" s="172"/>
      <c r="EG1" s="172"/>
      <c r="EH1" s="172"/>
      <c r="EI1" s="172"/>
      <c r="EJ1" s="172"/>
      <c r="EK1" s="172"/>
      <c r="EL1" s="172"/>
      <c r="EM1" s="172"/>
      <c r="EN1" s="172"/>
      <c r="EO1" s="172"/>
      <c r="EP1" s="172"/>
      <c r="EQ1" s="172"/>
      <c r="ER1" s="172"/>
      <c r="ES1" s="172"/>
      <c r="ET1" s="172"/>
      <c r="EU1" s="172"/>
      <c r="EV1" s="172"/>
      <c r="EW1" s="172"/>
      <c r="EX1" s="172"/>
      <c r="EY1" s="172"/>
      <c r="EZ1" s="172"/>
      <c r="FA1" s="172"/>
      <c r="FB1" s="172"/>
      <c r="FC1" s="172"/>
      <c r="FD1" s="172"/>
      <c r="FE1" s="172"/>
      <c r="FF1" s="172"/>
      <c r="FG1" s="172"/>
      <c r="FH1" s="172"/>
      <c r="FI1" s="172"/>
      <c r="FJ1" s="172"/>
      <c r="FK1" s="172"/>
      <c r="FL1" s="172"/>
      <c r="FM1" s="172"/>
      <c r="FN1" s="172"/>
      <c r="FO1" s="172"/>
      <c r="FP1" s="172"/>
      <c r="FQ1" s="172"/>
      <c r="FR1" s="172"/>
      <c r="FS1" s="172"/>
      <c r="FT1" s="172"/>
      <c r="FU1" s="172"/>
      <c r="FV1" s="172"/>
      <c r="FW1" s="172"/>
      <c r="FX1" s="172"/>
      <c r="FY1" s="172"/>
      <c r="FZ1" s="172"/>
      <c r="GA1" s="172"/>
      <c r="GB1" s="172"/>
      <c r="GC1" s="172"/>
      <c r="GD1" s="172"/>
      <c r="GE1" s="172"/>
      <c r="GF1" s="172"/>
      <c r="GG1" s="172"/>
      <c r="GH1" s="172"/>
      <c r="GI1" s="172"/>
      <c r="GJ1" s="172"/>
      <c r="GK1" s="172"/>
      <c r="GL1" s="172"/>
      <c r="GM1" s="172"/>
      <c r="GN1" s="172"/>
      <c r="GO1" s="172"/>
      <c r="GP1" s="172"/>
      <c r="GQ1" s="172"/>
      <c r="GR1" s="172"/>
      <c r="GS1" s="172"/>
      <c r="GT1" s="172"/>
    </row>
    <row r="2" spans="2:205" ht="18.600000000000001" thickBot="1">
      <c r="C2" s="167"/>
      <c r="D2" s="261" t="e" vm="2">
        <f>Schedule!D5</f>
        <v>#VALUE!</v>
      </c>
      <c r="E2" s="262"/>
      <c r="F2" s="262"/>
      <c r="G2" s="262"/>
      <c r="H2" s="262"/>
      <c r="I2" s="262"/>
      <c r="J2" s="262"/>
      <c r="K2" s="263"/>
      <c r="L2" s="239"/>
      <c r="M2" s="187"/>
      <c r="N2" s="258">
        <f>Schedule!E5</f>
        <v>0</v>
      </c>
      <c r="O2" s="255"/>
      <c r="P2" s="255"/>
      <c r="Q2" s="255"/>
      <c r="R2" s="255"/>
      <c r="S2" s="255"/>
      <c r="T2" s="255"/>
      <c r="U2" s="255"/>
      <c r="V2" s="256"/>
      <c r="W2" s="187"/>
      <c r="X2" s="258">
        <f>Schedule!F5</f>
        <v>0</v>
      </c>
      <c r="Y2" s="255"/>
      <c r="Z2" s="255"/>
      <c r="AA2" s="255"/>
      <c r="AB2" s="255"/>
      <c r="AC2" s="255"/>
      <c r="AD2" s="255"/>
      <c r="AE2" s="255"/>
      <c r="AF2" s="256"/>
      <c r="AG2" s="187"/>
      <c r="AH2" s="258">
        <f>Schedule!G5</f>
        <v>0</v>
      </c>
      <c r="AI2" s="255"/>
      <c r="AJ2" s="255"/>
      <c r="AK2" s="255"/>
      <c r="AL2" s="255"/>
      <c r="AM2" s="255"/>
      <c r="AN2" s="255"/>
      <c r="AO2" s="255"/>
      <c r="AP2" s="256"/>
      <c r="AQ2" s="187"/>
      <c r="AR2" s="258">
        <f>Schedule!H5</f>
        <v>0</v>
      </c>
      <c r="AS2" s="255"/>
      <c r="AT2" s="255"/>
      <c r="AU2" s="255"/>
      <c r="AV2" s="255"/>
      <c r="AW2" s="255"/>
      <c r="AX2" s="255"/>
      <c r="AY2" s="255"/>
      <c r="AZ2" s="256"/>
      <c r="BA2" s="187"/>
      <c r="BB2" s="258">
        <f>Schedule!I5</f>
        <v>0</v>
      </c>
      <c r="BC2" s="255"/>
      <c r="BD2" s="255"/>
      <c r="BE2" s="255"/>
      <c r="BF2" s="255"/>
      <c r="BG2" s="255"/>
      <c r="BH2" s="255"/>
      <c r="BI2" s="255"/>
      <c r="BJ2" s="256"/>
      <c r="BK2" s="187"/>
      <c r="BL2" s="258">
        <f>Schedule!J5</f>
        <v>0</v>
      </c>
      <c r="BM2" s="255"/>
      <c r="BN2" s="255"/>
      <c r="BO2" s="255"/>
      <c r="BP2" s="255"/>
      <c r="BQ2" s="255"/>
      <c r="BR2" s="255"/>
      <c r="BS2" s="255"/>
      <c r="BT2" s="256"/>
      <c r="BU2" s="187"/>
      <c r="BV2" s="258">
        <f>Schedule!K5</f>
        <v>0</v>
      </c>
      <c r="BW2" s="255"/>
      <c r="BX2" s="255"/>
      <c r="BY2" s="255"/>
      <c r="BZ2" s="255"/>
      <c r="CA2" s="255"/>
      <c r="CB2" s="255"/>
      <c r="CC2" s="255"/>
      <c r="CD2" s="256"/>
      <c r="CE2" s="187"/>
      <c r="CF2" s="258">
        <f>Schedule!L5</f>
        <v>0</v>
      </c>
      <c r="CG2" s="255"/>
      <c r="CH2" s="255"/>
      <c r="CI2" s="255"/>
      <c r="CJ2" s="255"/>
      <c r="CK2" s="255"/>
      <c r="CL2" s="255"/>
      <c r="CM2" s="255"/>
      <c r="CN2" s="256"/>
      <c r="CO2" s="187"/>
      <c r="CP2" s="258">
        <f>Schedule!M5</f>
        <v>0</v>
      </c>
      <c r="CQ2" s="255"/>
      <c r="CR2" s="255"/>
      <c r="CS2" s="255"/>
      <c r="CT2" s="255"/>
      <c r="CU2" s="255"/>
      <c r="CV2" s="255"/>
      <c r="CW2" s="255"/>
      <c r="CX2" s="256"/>
      <c r="CY2" s="187"/>
      <c r="CZ2" s="258">
        <f>Schedule!N5</f>
        <v>0</v>
      </c>
      <c r="DA2" s="255"/>
      <c r="DB2" s="255"/>
      <c r="DC2" s="255"/>
      <c r="DD2" s="255"/>
      <c r="DE2" s="255"/>
      <c r="DF2" s="255"/>
      <c r="DG2" s="255"/>
      <c r="DH2" s="256"/>
      <c r="DI2" s="187"/>
      <c r="DJ2" s="258">
        <f>Schedule!O5</f>
        <v>0</v>
      </c>
      <c r="DK2" s="255"/>
      <c r="DL2" s="255"/>
      <c r="DM2" s="255"/>
      <c r="DN2" s="255"/>
      <c r="DO2" s="255"/>
      <c r="DP2" s="255"/>
      <c r="DQ2" s="255"/>
      <c r="DR2" s="256"/>
      <c r="DS2" s="187"/>
      <c r="DT2" s="258">
        <f>Schedule!P5</f>
        <v>0</v>
      </c>
      <c r="DU2" s="255"/>
      <c r="DV2" s="255"/>
      <c r="DW2" s="255"/>
      <c r="DX2" s="255"/>
      <c r="DY2" s="255"/>
      <c r="DZ2" s="255"/>
      <c r="EA2" s="255"/>
      <c r="EB2" s="256"/>
      <c r="EC2" s="187"/>
      <c r="ED2" s="258">
        <f>Schedule!Q5</f>
        <v>0</v>
      </c>
      <c r="EE2" s="255"/>
      <c r="EF2" s="255"/>
      <c r="EG2" s="255"/>
      <c r="EH2" s="255"/>
      <c r="EI2" s="255"/>
      <c r="EJ2" s="255"/>
      <c r="EK2" s="255"/>
      <c r="EL2" s="256"/>
      <c r="EM2" s="187"/>
      <c r="EN2" s="258">
        <f>Schedule!R5</f>
        <v>0</v>
      </c>
      <c r="EO2" s="255"/>
      <c r="EP2" s="255"/>
      <c r="EQ2" s="255"/>
      <c r="ER2" s="255"/>
      <c r="ES2" s="255"/>
      <c r="ET2" s="255"/>
      <c r="EU2" s="255"/>
      <c r="EV2" s="256"/>
      <c r="EW2" s="187"/>
      <c r="EX2" s="258">
        <f>Schedule!S5</f>
        <v>0</v>
      </c>
      <c r="EY2" s="255"/>
      <c r="EZ2" s="255"/>
      <c r="FA2" s="255"/>
      <c r="FB2" s="255"/>
      <c r="FC2" s="255"/>
      <c r="FD2" s="255"/>
      <c r="FE2" s="255"/>
      <c r="FF2" s="256"/>
      <c r="FG2" s="187"/>
      <c r="FH2" s="258">
        <f>Schedule!T5</f>
        <v>0</v>
      </c>
      <c r="FI2" s="255"/>
      <c r="FJ2" s="255"/>
      <c r="FK2" s="255"/>
      <c r="FL2" s="255"/>
      <c r="FM2" s="255"/>
      <c r="FN2" s="255"/>
      <c r="FO2" s="255"/>
      <c r="FP2" s="256"/>
      <c r="FQ2" s="187"/>
      <c r="FR2" s="258">
        <f>Schedule!U5</f>
        <v>0</v>
      </c>
      <c r="FS2" s="255"/>
      <c r="FT2" s="255"/>
      <c r="FU2" s="255"/>
      <c r="FV2" s="255"/>
      <c r="FW2" s="255"/>
      <c r="FX2" s="255"/>
      <c r="FY2" s="255"/>
      <c r="FZ2" s="256"/>
      <c r="GA2" s="187"/>
      <c r="GB2" s="258">
        <f>Schedule!V5</f>
        <v>0</v>
      </c>
      <c r="GC2" s="255"/>
      <c r="GD2" s="255"/>
      <c r="GE2" s="255"/>
      <c r="GF2" s="255"/>
      <c r="GG2" s="255"/>
      <c r="GH2" s="255"/>
      <c r="GI2" s="255"/>
      <c r="GJ2" s="256"/>
      <c r="GK2" s="187"/>
      <c r="GL2" s="259">
        <f>Schedule!W5</f>
        <v>0</v>
      </c>
      <c r="GM2" s="260"/>
      <c r="GN2" s="260"/>
      <c r="GO2" s="260"/>
      <c r="GP2" s="260"/>
      <c r="GQ2" s="260"/>
      <c r="GR2" s="260"/>
      <c r="GS2" s="260"/>
      <c r="GT2" s="260"/>
      <c r="GU2" s="168"/>
    </row>
    <row r="3" spans="2:205" ht="18.600000000000001" thickBot="1">
      <c r="B3" s="188" t="s">
        <v>55</v>
      </c>
      <c r="C3" s="189" t="s">
        <v>23</v>
      </c>
      <c r="D3" s="173" t="s">
        <v>56</v>
      </c>
      <c r="E3" s="173" t="s">
        <v>57</v>
      </c>
      <c r="F3" s="173" t="s">
        <v>58</v>
      </c>
      <c r="G3" s="173" t="s">
        <v>59</v>
      </c>
      <c r="H3" s="173" t="s">
        <v>28</v>
      </c>
      <c r="I3" s="173" t="s">
        <v>29</v>
      </c>
      <c r="J3" s="173" t="s">
        <v>60</v>
      </c>
      <c r="K3" s="174" t="s">
        <v>31</v>
      </c>
      <c r="L3" s="174" t="s">
        <v>32</v>
      </c>
      <c r="M3" s="186"/>
      <c r="N3" s="173" t="s">
        <v>56</v>
      </c>
      <c r="O3" s="173" t="s">
        <v>57</v>
      </c>
      <c r="P3" s="173" t="s">
        <v>58</v>
      </c>
      <c r="Q3" s="173" t="s">
        <v>59</v>
      </c>
      <c r="R3" s="173" t="s">
        <v>28</v>
      </c>
      <c r="S3" s="173" t="s">
        <v>29</v>
      </c>
      <c r="T3" s="173" t="s">
        <v>60</v>
      </c>
      <c r="U3" s="174" t="s">
        <v>31</v>
      </c>
      <c r="V3" s="174" t="s">
        <v>32</v>
      </c>
      <c r="W3" s="186"/>
      <c r="X3" s="173" t="s">
        <v>56</v>
      </c>
      <c r="Y3" s="173" t="s">
        <v>57</v>
      </c>
      <c r="Z3" s="173" t="s">
        <v>58</v>
      </c>
      <c r="AA3" s="173" t="s">
        <v>59</v>
      </c>
      <c r="AB3" s="173" t="s">
        <v>28</v>
      </c>
      <c r="AC3" s="173" t="s">
        <v>29</v>
      </c>
      <c r="AD3" s="173" t="s">
        <v>60</v>
      </c>
      <c r="AE3" s="174" t="s">
        <v>31</v>
      </c>
      <c r="AF3" s="174" t="s">
        <v>32</v>
      </c>
      <c r="AG3" s="186"/>
      <c r="AH3" s="173" t="s">
        <v>56</v>
      </c>
      <c r="AI3" s="173" t="s">
        <v>57</v>
      </c>
      <c r="AJ3" s="173" t="s">
        <v>58</v>
      </c>
      <c r="AK3" s="173" t="s">
        <v>59</v>
      </c>
      <c r="AL3" s="173" t="s">
        <v>28</v>
      </c>
      <c r="AM3" s="173" t="s">
        <v>29</v>
      </c>
      <c r="AN3" s="173" t="s">
        <v>60</v>
      </c>
      <c r="AO3" s="174" t="s">
        <v>31</v>
      </c>
      <c r="AP3" s="174" t="s">
        <v>32</v>
      </c>
      <c r="AQ3" s="186"/>
      <c r="AR3" s="173" t="s">
        <v>56</v>
      </c>
      <c r="AS3" s="173" t="s">
        <v>57</v>
      </c>
      <c r="AT3" s="173" t="s">
        <v>58</v>
      </c>
      <c r="AU3" s="173" t="s">
        <v>59</v>
      </c>
      <c r="AV3" s="173" t="s">
        <v>28</v>
      </c>
      <c r="AW3" s="173" t="s">
        <v>29</v>
      </c>
      <c r="AX3" s="173" t="s">
        <v>60</v>
      </c>
      <c r="AY3" s="174" t="s">
        <v>31</v>
      </c>
      <c r="AZ3" s="174" t="s">
        <v>32</v>
      </c>
      <c r="BA3" s="186"/>
      <c r="BB3" s="173" t="s">
        <v>56</v>
      </c>
      <c r="BC3" s="173" t="s">
        <v>57</v>
      </c>
      <c r="BD3" s="173" t="s">
        <v>58</v>
      </c>
      <c r="BE3" s="173" t="s">
        <v>59</v>
      </c>
      <c r="BF3" s="173" t="s">
        <v>28</v>
      </c>
      <c r="BG3" s="173" t="s">
        <v>29</v>
      </c>
      <c r="BH3" s="173" t="s">
        <v>60</v>
      </c>
      <c r="BI3" s="174" t="s">
        <v>31</v>
      </c>
      <c r="BJ3" s="174" t="s">
        <v>32</v>
      </c>
      <c r="BK3" s="186"/>
      <c r="BL3" s="173" t="s">
        <v>56</v>
      </c>
      <c r="BM3" s="173" t="s">
        <v>57</v>
      </c>
      <c r="BN3" s="173" t="s">
        <v>58</v>
      </c>
      <c r="BO3" s="173" t="s">
        <v>59</v>
      </c>
      <c r="BP3" s="173" t="s">
        <v>28</v>
      </c>
      <c r="BQ3" s="173" t="s">
        <v>29</v>
      </c>
      <c r="BR3" s="173" t="s">
        <v>60</v>
      </c>
      <c r="BS3" s="174" t="s">
        <v>31</v>
      </c>
      <c r="BT3" s="174" t="s">
        <v>32</v>
      </c>
      <c r="BU3" s="186"/>
      <c r="BV3" s="173" t="s">
        <v>56</v>
      </c>
      <c r="BW3" s="173" t="s">
        <v>57</v>
      </c>
      <c r="BX3" s="173" t="s">
        <v>58</v>
      </c>
      <c r="BY3" s="173" t="s">
        <v>59</v>
      </c>
      <c r="BZ3" s="173" t="s">
        <v>28</v>
      </c>
      <c r="CA3" s="173" t="s">
        <v>29</v>
      </c>
      <c r="CB3" s="173" t="s">
        <v>60</v>
      </c>
      <c r="CC3" s="174" t="s">
        <v>31</v>
      </c>
      <c r="CD3" s="174" t="s">
        <v>32</v>
      </c>
      <c r="CE3" s="186"/>
      <c r="CF3" s="173" t="s">
        <v>56</v>
      </c>
      <c r="CG3" s="173" t="s">
        <v>57</v>
      </c>
      <c r="CH3" s="173" t="s">
        <v>58</v>
      </c>
      <c r="CI3" s="173" t="s">
        <v>59</v>
      </c>
      <c r="CJ3" s="173" t="s">
        <v>28</v>
      </c>
      <c r="CK3" s="173" t="s">
        <v>29</v>
      </c>
      <c r="CL3" s="173" t="s">
        <v>60</v>
      </c>
      <c r="CM3" s="174" t="s">
        <v>31</v>
      </c>
      <c r="CN3" s="174" t="s">
        <v>32</v>
      </c>
      <c r="CO3" s="186"/>
      <c r="CP3" s="173" t="s">
        <v>56</v>
      </c>
      <c r="CQ3" s="173" t="s">
        <v>57</v>
      </c>
      <c r="CR3" s="173" t="s">
        <v>58</v>
      </c>
      <c r="CS3" s="173" t="s">
        <v>59</v>
      </c>
      <c r="CT3" s="173" t="s">
        <v>28</v>
      </c>
      <c r="CU3" s="173" t="s">
        <v>29</v>
      </c>
      <c r="CV3" s="173" t="s">
        <v>60</v>
      </c>
      <c r="CW3" s="174" t="s">
        <v>31</v>
      </c>
      <c r="CX3" s="174" t="s">
        <v>32</v>
      </c>
      <c r="CY3" s="186"/>
      <c r="CZ3" s="173" t="s">
        <v>56</v>
      </c>
      <c r="DA3" s="173" t="s">
        <v>57</v>
      </c>
      <c r="DB3" s="173" t="s">
        <v>58</v>
      </c>
      <c r="DC3" s="173" t="s">
        <v>59</v>
      </c>
      <c r="DD3" s="173" t="s">
        <v>28</v>
      </c>
      <c r="DE3" s="173" t="s">
        <v>29</v>
      </c>
      <c r="DF3" s="173" t="s">
        <v>60</v>
      </c>
      <c r="DG3" s="174" t="s">
        <v>31</v>
      </c>
      <c r="DH3" s="174" t="s">
        <v>32</v>
      </c>
      <c r="DI3" s="186"/>
      <c r="DJ3" s="173" t="s">
        <v>56</v>
      </c>
      <c r="DK3" s="173" t="s">
        <v>57</v>
      </c>
      <c r="DL3" s="173" t="s">
        <v>58</v>
      </c>
      <c r="DM3" s="173" t="s">
        <v>59</v>
      </c>
      <c r="DN3" s="173" t="s">
        <v>28</v>
      </c>
      <c r="DO3" s="173" t="s">
        <v>29</v>
      </c>
      <c r="DP3" s="173" t="s">
        <v>60</v>
      </c>
      <c r="DQ3" s="174" t="s">
        <v>31</v>
      </c>
      <c r="DR3" s="174" t="s">
        <v>32</v>
      </c>
      <c r="DS3" s="186"/>
      <c r="DT3" s="173" t="s">
        <v>56</v>
      </c>
      <c r="DU3" s="173" t="s">
        <v>57</v>
      </c>
      <c r="DV3" s="173" t="s">
        <v>58</v>
      </c>
      <c r="DW3" s="173" t="s">
        <v>59</v>
      </c>
      <c r="DX3" s="173" t="s">
        <v>28</v>
      </c>
      <c r="DY3" s="173" t="s">
        <v>29</v>
      </c>
      <c r="DZ3" s="173" t="s">
        <v>60</v>
      </c>
      <c r="EA3" s="174" t="s">
        <v>31</v>
      </c>
      <c r="EB3" s="174" t="s">
        <v>32</v>
      </c>
      <c r="EC3" s="186"/>
      <c r="ED3" s="173" t="s">
        <v>56</v>
      </c>
      <c r="EE3" s="173" t="s">
        <v>57</v>
      </c>
      <c r="EF3" s="173" t="s">
        <v>58</v>
      </c>
      <c r="EG3" s="173" t="s">
        <v>59</v>
      </c>
      <c r="EH3" s="173" t="s">
        <v>28</v>
      </c>
      <c r="EI3" s="173" t="s">
        <v>29</v>
      </c>
      <c r="EJ3" s="173" t="s">
        <v>60</v>
      </c>
      <c r="EK3" s="174" t="s">
        <v>31</v>
      </c>
      <c r="EL3" s="174" t="s">
        <v>32</v>
      </c>
      <c r="EM3" s="186"/>
      <c r="EN3" s="173" t="s">
        <v>56</v>
      </c>
      <c r="EO3" s="173" t="s">
        <v>57</v>
      </c>
      <c r="EP3" s="173" t="s">
        <v>58</v>
      </c>
      <c r="EQ3" s="173" t="s">
        <v>59</v>
      </c>
      <c r="ER3" s="173" t="s">
        <v>28</v>
      </c>
      <c r="ES3" s="173" t="s">
        <v>29</v>
      </c>
      <c r="ET3" s="173" t="s">
        <v>60</v>
      </c>
      <c r="EU3" s="174" t="s">
        <v>31</v>
      </c>
      <c r="EV3" s="174" t="s">
        <v>32</v>
      </c>
      <c r="EW3" s="186"/>
      <c r="EX3" s="173" t="s">
        <v>56</v>
      </c>
      <c r="EY3" s="173" t="s">
        <v>57</v>
      </c>
      <c r="EZ3" s="173" t="s">
        <v>58</v>
      </c>
      <c r="FA3" s="173" t="s">
        <v>59</v>
      </c>
      <c r="FB3" s="173" t="s">
        <v>28</v>
      </c>
      <c r="FC3" s="173" t="s">
        <v>29</v>
      </c>
      <c r="FD3" s="173" t="s">
        <v>60</v>
      </c>
      <c r="FE3" s="174" t="s">
        <v>31</v>
      </c>
      <c r="FF3" s="174" t="s">
        <v>32</v>
      </c>
      <c r="FG3" s="186"/>
      <c r="FH3" s="173" t="s">
        <v>56</v>
      </c>
      <c r="FI3" s="173" t="s">
        <v>57</v>
      </c>
      <c r="FJ3" s="173" t="s">
        <v>58</v>
      </c>
      <c r="FK3" s="173" t="s">
        <v>59</v>
      </c>
      <c r="FL3" s="173" t="s">
        <v>28</v>
      </c>
      <c r="FM3" s="173" t="s">
        <v>29</v>
      </c>
      <c r="FN3" s="173" t="s">
        <v>60</v>
      </c>
      <c r="FO3" s="174" t="s">
        <v>31</v>
      </c>
      <c r="FP3" s="174" t="s">
        <v>32</v>
      </c>
      <c r="FQ3" s="186"/>
      <c r="FR3" s="173" t="s">
        <v>56</v>
      </c>
      <c r="FS3" s="173" t="s">
        <v>57</v>
      </c>
      <c r="FT3" s="173" t="s">
        <v>58</v>
      </c>
      <c r="FU3" s="173" t="s">
        <v>59</v>
      </c>
      <c r="FV3" s="173" t="s">
        <v>28</v>
      </c>
      <c r="FW3" s="173" t="s">
        <v>29</v>
      </c>
      <c r="FX3" s="173" t="s">
        <v>60</v>
      </c>
      <c r="FY3" s="174" t="s">
        <v>31</v>
      </c>
      <c r="FZ3" s="174" t="s">
        <v>32</v>
      </c>
      <c r="GA3" s="186"/>
      <c r="GB3" s="173" t="s">
        <v>56</v>
      </c>
      <c r="GC3" s="173" t="s">
        <v>57</v>
      </c>
      <c r="GD3" s="173" t="s">
        <v>58</v>
      </c>
      <c r="GE3" s="173" t="s">
        <v>59</v>
      </c>
      <c r="GF3" s="173" t="s">
        <v>28</v>
      </c>
      <c r="GG3" s="173" t="s">
        <v>29</v>
      </c>
      <c r="GH3" s="173" t="s">
        <v>60</v>
      </c>
      <c r="GI3" s="174" t="s">
        <v>31</v>
      </c>
      <c r="GJ3" s="174" t="s">
        <v>32</v>
      </c>
      <c r="GK3" s="186"/>
      <c r="GL3" s="173" t="s">
        <v>56</v>
      </c>
      <c r="GM3" s="173" t="s">
        <v>57</v>
      </c>
      <c r="GN3" s="173" t="s">
        <v>58</v>
      </c>
      <c r="GO3" s="173" t="s">
        <v>59</v>
      </c>
      <c r="GP3" s="173" t="s">
        <v>28</v>
      </c>
      <c r="GQ3" s="173" t="s">
        <v>29</v>
      </c>
      <c r="GR3" s="173" t="s">
        <v>60</v>
      </c>
      <c r="GS3" s="174" t="s">
        <v>31</v>
      </c>
      <c r="GT3" s="174" t="s">
        <v>32</v>
      </c>
      <c r="GU3" s="168"/>
    </row>
    <row r="4" spans="2:205" ht="15.75" customHeight="1">
      <c r="B4" s="273" t="s">
        <v>61</v>
      </c>
      <c r="C4" s="159">
        <f>Schedule!C6</f>
        <v>0</v>
      </c>
      <c r="D4" s="176" t="str">
        <f>Schedule!Z6</f>
        <v>0</v>
      </c>
      <c r="E4" s="176" t="str">
        <f>Schedule!AA6</f>
        <v>0</v>
      </c>
      <c r="F4" s="176" t="str">
        <f>Schedule!AB6</f>
        <v>0</v>
      </c>
      <c r="G4" s="176" t="str">
        <f>Schedule!AC6</f>
        <v>0</v>
      </c>
      <c r="H4" s="176" t="str">
        <f>Schedule!AD6</f>
        <v>0</v>
      </c>
      <c r="I4" s="176" t="str">
        <f>Schedule!AE6</f>
        <v>0</v>
      </c>
      <c r="J4" s="176" t="str">
        <f>Schedule!AF6</f>
        <v>0</v>
      </c>
      <c r="K4" s="181" t="str">
        <f>Schedule!AG6</f>
        <v>0</v>
      </c>
      <c r="L4" s="181" t="str">
        <f>Schedule!AH6</f>
        <v>0</v>
      </c>
      <c r="M4" s="178"/>
      <c r="N4" s="183" t="str">
        <f>Schedule!AI6</f>
        <v>0</v>
      </c>
      <c r="O4" s="176" t="str">
        <f>Schedule!AJ6</f>
        <v>0</v>
      </c>
      <c r="P4" s="176" t="str">
        <f>Schedule!AK6</f>
        <v>0</v>
      </c>
      <c r="Q4" s="176" t="str">
        <f>Schedule!AL6</f>
        <v>0</v>
      </c>
      <c r="R4" s="176" t="str">
        <f>Schedule!AM6</f>
        <v>0</v>
      </c>
      <c r="S4" s="176" t="str">
        <f>Schedule!AN6</f>
        <v>0</v>
      </c>
      <c r="T4" s="176" t="str">
        <f>Schedule!AO6</f>
        <v>0</v>
      </c>
      <c r="U4" s="176" t="str">
        <f>Schedule!AP6</f>
        <v>0</v>
      </c>
      <c r="V4" s="176" t="str">
        <f>Schedule!AQ6</f>
        <v>0</v>
      </c>
      <c r="W4" s="178"/>
      <c r="X4" s="176" t="str">
        <f>Schedule!AR6</f>
        <v>0</v>
      </c>
      <c r="Y4" s="176" t="str">
        <f>Schedule!AS6</f>
        <v>0</v>
      </c>
      <c r="Z4" s="176" t="str">
        <f>Schedule!AT6</f>
        <v>0</v>
      </c>
      <c r="AA4" s="176" t="str">
        <f>Schedule!AU6</f>
        <v>0</v>
      </c>
      <c r="AB4" s="176" t="str">
        <f>Schedule!AV6</f>
        <v>0</v>
      </c>
      <c r="AC4" s="176" t="str">
        <f>Schedule!AW6</f>
        <v>0</v>
      </c>
      <c r="AD4" s="176" t="str">
        <f>Schedule!AX6</f>
        <v>0</v>
      </c>
      <c r="AE4" s="176" t="str">
        <f>Schedule!AY6</f>
        <v>0</v>
      </c>
      <c r="AF4" s="176" t="str">
        <f>Schedule!AZ6</f>
        <v>0</v>
      </c>
      <c r="AG4" s="178"/>
      <c r="AH4" s="176" t="str">
        <f>Schedule!BA6</f>
        <v>0</v>
      </c>
      <c r="AI4" s="176" t="str">
        <f>Schedule!BB6</f>
        <v>0</v>
      </c>
      <c r="AJ4" s="176" t="str">
        <f>Schedule!BC6</f>
        <v>0</v>
      </c>
      <c r="AK4" s="176" t="str">
        <f>Schedule!BD6</f>
        <v>0</v>
      </c>
      <c r="AL4" s="176" t="str">
        <f>Schedule!BE6</f>
        <v>0</v>
      </c>
      <c r="AM4" s="176" t="str">
        <f>Schedule!BF6</f>
        <v>0</v>
      </c>
      <c r="AN4" s="176" t="str">
        <f>Schedule!BG6</f>
        <v>0</v>
      </c>
      <c r="AO4" s="176" t="str">
        <f>Schedule!BH6</f>
        <v>0</v>
      </c>
      <c r="AP4" s="176" t="str">
        <f>Schedule!BI6</f>
        <v>0</v>
      </c>
      <c r="AQ4" s="178"/>
      <c r="AR4" s="176" t="str">
        <f>Schedule!BJ6</f>
        <v>0</v>
      </c>
      <c r="AS4" s="176" t="str">
        <f>Schedule!BK6</f>
        <v>0</v>
      </c>
      <c r="AT4" s="176" t="str">
        <f>Schedule!BL6</f>
        <v>0</v>
      </c>
      <c r="AU4" s="176" t="str">
        <f>Schedule!BM6</f>
        <v>0</v>
      </c>
      <c r="AV4" s="176" t="str">
        <f>Schedule!BN6</f>
        <v>0</v>
      </c>
      <c r="AW4" s="176" t="str">
        <f>Schedule!BO6</f>
        <v>0</v>
      </c>
      <c r="AX4" s="176" t="str">
        <f>Schedule!BP6</f>
        <v>0</v>
      </c>
      <c r="AY4" s="176" t="str">
        <f>Schedule!BQ6</f>
        <v>0</v>
      </c>
      <c r="AZ4" s="176" t="str">
        <f>Schedule!BR6</f>
        <v>0</v>
      </c>
      <c r="BA4" s="178"/>
      <c r="BB4" s="176" t="str">
        <f>Schedule!BS6</f>
        <v>0</v>
      </c>
      <c r="BC4" s="176" t="str">
        <f>Schedule!BT6</f>
        <v>0</v>
      </c>
      <c r="BD4" s="176" t="str">
        <f>Schedule!BU6</f>
        <v>0</v>
      </c>
      <c r="BE4" s="176" t="str">
        <f>Schedule!BV6</f>
        <v>0</v>
      </c>
      <c r="BF4" s="176" t="str">
        <f>Schedule!BW6</f>
        <v>0</v>
      </c>
      <c r="BG4" s="176" t="str">
        <f>Schedule!BX6</f>
        <v>0</v>
      </c>
      <c r="BH4" s="176" t="str">
        <f>Schedule!BY6</f>
        <v>0</v>
      </c>
      <c r="BI4" s="176" t="str">
        <f>Schedule!BZ6</f>
        <v>0</v>
      </c>
      <c r="BJ4" s="176" t="str">
        <f>Schedule!CA6</f>
        <v>0</v>
      </c>
      <c r="BK4" s="178"/>
      <c r="BL4" s="176" t="str">
        <f>Schedule!CB6</f>
        <v>0</v>
      </c>
      <c r="BM4" s="176" t="str">
        <f>Schedule!CC6</f>
        <v>0</v>
      </c>
      <c r="BN4" s="176" t="str">
        <f>Schedule!CD6</f>
        <v>0</v>
      </c>
      <c r="BO4" s="176" t="str">
        <f>Schedule!CE6</f>
        <v>0</v>
      </c>
      <c r="BP4" s="176" t="str">
        <f>Schedule!CF6</f>
        <v>0</v>
      </c>
      <c r="BQ4" s="176" t="str">
        <f>Schedule!CG6</f>
        <v>0</v>
      </c>
      <c r="BR4" s="176" t="str">
        <f>Schedule!CH6</f>
        <v>0</v>
      </c>
      <c r="BS4" s="176" t="str">
        <f>Schedule!CI6</f>
        <v>0</v>
      </c>
      <c r="BT4" s="176" t="str">
        <f>Schedule!CJ6</f>
        <v>0</v>
      </c>
      <c r="BU4" s="178"/>
      <c r="BV4" s="176" t="str">
        <f>Schedule!CK6</f>
        <v>0</v>
      </c>
      <c r="BW4" s="176" t="str">
        <f>Schedule!CL6</f>
        <v>0</v>
      </c>
      <c r="BX4" s="176" t="str">
        <f>Schedule!CM6</f>
        <v>0</v>
      </c>
      <c r="BY4" s="176" t="str">
        <f>Schedule!CN6</f>
        <v>0</v>
      </c>
      <c r="BZ4" s="176" t="str">
        <f>Schedule!CO6</f>
        <v>0</v>
      </c>
      <c r="CA4" s="176" t="str">
        <f>Schedule!CP6</f>
        <v>0</v>
      </c>
      <c r="CB4" s="176" t="str">
        <f>Schedule!CQ6</f>
        <v>0</v>
      </c>
      <c r="CC4" s="176" t="str">
        <f>Schedule!CR6</f>
        <v>0</v>
      </c>
      <c r="CD4" s="176" t="str">
        <f>Schedule!CS6</f>
        <v>0</v>
      </c>
      <c r="CE4" s="178"/>
      <c r="CF4" s="176" t="str">
        <f>Schedule!CT6</f>
        <v>0</v>
      </c>
      <c r="CG4" s="176" t="str">
        <f>Schedule!CU6</f>
        <v>0</v>
      </c>
      <c r="CH4" s="176" t="str">
        <f>Schedule!CV6</f>
        <v>0</v>
      </c>
      <c r="CI4" s="176" t="str">
        <f>Schedule!CW6</f>
        <v>0</v>
      </c>
      <c r="CJ4" s="176" t="str">
        <f>Schedule!CX6</f>
        <v>0</v>
      </c>
      <c r="CK4" s="176" t="str">
        <f>Schedule!CY6</f>
        <v>0</v>
      </c>
      <c r="CL4" s="176" t="str">
        <f>Schedule!CZ6</f>
        <v>0</v>
      </c>
      <c r="CM4" s="176" t="str">
        <f>Schedule!DA6</f>
        <v>0</v>
      </c>
      <c r="CN4" s="176" t="str">
        <f>Schedule!DB6</f>
        <v>0</v>
      </c>
      <c r="CO4" s="178"/>
      <c r="CP4" s="176" t="str">
        <f>Schedule!DC6</f>
        <v>0</v>
      </c>
      <c r="CQ4" s="176" t="str">
        <f>Schedule!DD6</f>
        <v>0</v>
      </c>
      <c r="CR4" s="176" t="str">
        <f>Schedule!DE6</f>
        <v>0</v>
      </c>
      <c r="CS4" s="176" t="str">
        <f>Schedule!DF6</f>
        <v>0</v>
      </c>
      <c r="CT4" s="176" t="str">
        <f>Schedule!DG6</f>
        <v>0</v>
      </c>
      <c r="CU4" s="176" t="str">
        <f>Schedule!DH6</f>
        <v>0</v>
      </c>
      <c r="CV4" s="176" t="str">
        <f>Schedule!DI6</f>
        <v>0</v>
      </c>
      <c r="CW4" s="176" t="str">
        <f>Schedule!DJ6</f>
        <v>0</v>
      </c>
      <c r="CX4" s="176" t="str">
        <f>Schedule!DK6</f>
        <v>0</v>
      </c>
      <c r="CY4" s="178"/>
      <c r="CZ4" s="176" t="str">
        <f>Schedule!DL6</f>
        <v>0</v>
      </c>
      <c r="DA4" s="176" t="str">
        <f>Schedule!DM6</f>
        <v>0</v>
      </c>
      <c r="DB4" s="176" t="str">
        <f>Schedule!DN6</f>
        <v>0</v>
      </c>
      <c r="DC4" s="176" t="str">
        <f>Schedule!DO6</f>
        <v>0</v>
      </c>
      <c r="DD4" s="176" t="str">
        <f>Schedule!DP6</f>
        <v>0</v>
      </c>
      <c r="DE4" s="176" t="str">
        <f>Schedule!DQ6</f>
        <v>0</v>
      </c>
      <c r="DF4" s="176" t="str">
        <f>Schedule!DR6</f>
        <v>0</v>
      </c>
      <c r="DG4" s="176" t="str">
        <f>Schedule!DS6</f>
        <v>0</v>
      </c>
      <c r="DH4" s="176" t="str">
        <f>Schedule!DT6</f>
        <v>0</v>
      </c>
      <c r="DI4" s="178"/>
      <c r="DJ4" s="176" t="str">
        <f>Schedule!DU6</f>
        <v>0</v>
      </c>
      <c r="DK4" s="176" t="str">
        <f>Schedule!DV6</f>
        <v>0</v>
      </c>
      <c r="DL4" s="176" t="str">
        <f>Schedule!DW6</f>
        <v>0</v>
      </c>
      <c r="DM4" s="176" t="str">
        <f>Schedule!DX6</f>
        <v>0</v>
      </c>
      <c r="DN4" s="176" t="str">
        <f>Schedule!DY6</f>
        <v>0</v>
      </c>
      <c r="DO4" s="176" t="str">
        <f>Schedule!DZ6</f>
        <v>0</v>
      </c>
      <c r="DP4" s="176" t="str">
        <f>Schedule!EA6</f>
        <v>0</v>
      </c>
      <c r="DQ4" s="176" t="str">
        <f>Schedule!EB6</f>
        <v>0</v>
      </c>
      <c r="DR4" s="176" t="str">
        <f>Schedule!EC6</f>
        <v>0</v>
      </c>
      <c r="DS4" s="178"/>
      <c r="DT4" s="176" t="str">
        <f>Schedule!ED6</f>
        <v>0</v>
      </c>
      <c r="DU4" s="176" t="str">
        <f>Schedule!EE6</f>
        <v>0</v>
      </c>
      <c r="DV4" s="176" t="str">
        <f>Schedule!EF6</f>
        <v>0</v>
      </c>
      <c r="DW4" s="176" t="str">
        <f>Schedule!EG6</f>
        <v>0</v>
      </c>
      <c r="DX4" s="176" t="str">
        <f>Schedule!EH6</f>
        <v>0</v>
      </c>
      <c r="DY4" s="176" t="str">
        <f>Schedule!EI6</f>
        <v>0</v>
      </c>
      <c r="DZ4" s="176" t="str">
        <f>Schedule!EJ6</f>
        <v>0</v>
      </c>
      <c r="EA4" s="176" t="str">
        <f>Schedule!EK6</f>
        <v>0</v>
      </c>
      <c r="EB4" s="176" t="str">
        <f>Schedule!EL6</f>
        <v>0</v>
      </c>
      <c r="EC4" s="178"/>
      <c r="ED4" s="176" t="str">
        <f>Schedule!EM6</f>
        <v>0</v>
      </c>
      <c r="EE4" s="176" t="str">
        <f>Schedule!EN6</f>
        <v>0</v>
      </c>
      <c r="EF4" s="176" t="str">
        <f>Schedule!EO6</f>
        <v>0</v>
      </c>
      <c r="EG4" s="176" t="str">
        <f>Schedule!EP6</f>
        <v>0</v>
      </c>
      <c r="EH4" s="176" t="str">
        <f>Schedule!EQ6</f>
        <v>0</v>
      </c>
      <c r="EI4" s="176" t="str">
        <f>Schedule!ER6</f>
        <v>0</v>
      </c>
      <c r="EJ4" s="176" t="str">
        <f>Schedule!ES6</f>
        <v>0</v>
      </c>
      <c r="EK4" s="176" t="str">
        <f>Schedule!ET6</f>
        <v>0</v>
      </c>
      <c r="EL4" s="176" t="str">
        <f>Schedule!EU6</f>
        <v>0</v>
      </c>
      <c r="EM4" s="178"/>
      <c r="EN4" s="176" t="str">
        <f>Schedule!EV6</f>
        <v>0</v>
      </c>
      <c r="EO4" s="176" t="str">
        <f>Schedule!EW6</f>
        <v>0</v>
      </c>
      <c r="EP4" s="176" t="str">
        <f>Schedule!EX6</f>
        <v>0</v>
      </c>
      <c r="EQ4" s="176" t="str">
        <f>Schedule!EY6</f>
        <v>0</v>
      </c>
      <c r="ER4" s="176" t="str">
        <f>Schedule!EZ6</f>
        <v>0</v>
      </c>
      <c r="ES4" s="176" t="str">
        <f>Schedule!FA6</f>
        <v>0</v>
      </c>
      <c r="ET4" s="176" t="str">
        <f>Schedule!FB6</f>
        <v>0</v>
      </c>
      <c r="EU4" s="176" t="str">
        <f>Schedule!FC6</f>
        <v>0</v>
      </c>
      <c r="EV4" s="176" t="str">
        <f>Schedule!FD6</f>
        <v>0</v>
      </c>
      <c r="EW4" s="178"/>
      <c r="EX4" s="176" t="str">
        <f>Schedule!FE6</f>
        <v>0</v>
      </c>
      <c r="EY4" s="176" t="str">
        <f>Schedule!FF6</f>
        <v>0</v>
      </c>
      <c r="EZ4" s="176" t="str">
        <f>Schedule!FG6</f>
        <v>0</v>
      </c>
      <c r="FA4" s="176" t="str">
        <f>Schedule!FH6</f>
        <v>0</v>
      </c>
      <c r="FB4" s="176" t="str">
        <f>Schedule!FI6</f>
        <v>0</v>
      </c>
      <c r="FC4" s="176" t="str">
        <f>Schedule!FJ6</f>
        <v>0</v>
      </c>
      <c r="FD4" s="176" t="str">
        <f>Schedule!FK6</f>
        <v>0</v>
      </c>
      <c r="FE4" s="176" t="str">
        <f>Schedule!FL6</f>
        <v>0</v>
      </c>
      <c r="FF4" s="176" t="str">
        <f>Schedule!FM6</f>
        <v>0</v>
      </c>
      <c r="FG4" s="178"/>
      <c r="FH4" s="176" t="str">
        <f>Schedule!FN6</f>
        <v>0</v>
      </c>
      <c r="FI4" s="176" t="str">
        <f>Schedule!FO6</f>
        <v>0</v>
      </c>
      <c r="FJ4" s="176" t="str">
        <f>Schedule!FP6</f>
        <v>0</v>
      </c>
      <c r="FK4" s="176" t="str">
        <f>Schedule!FQ6</f>
        <v>0</v>
      </c>
      <c r="FL4" s="176" t="str">
        <f>Schedule!FR6</f>
        <v>0</v>
      </c>
      <c r="FM4" s="176" t="str">
        <f>Schedule!FS6</f>
        <v>0</v>
      </c>
      <c r="FN4" s="176" t="str">
        <f>Schedule!FT6</f>
        <v>0</v>
      </c>
      <c r="FO4" s="176" t="str">
        <f>Schedule!FU6</f>
        <v>0</v>
      </c>
      <c r="FP4" s="176" t="str">
        <f>Schedule!FV6</f>
        <v>0</v>
      </c>
      <c r="FQ4" s="178"/>
      <c r="FR4" s="176" t="str">
        <f>Schedule!FW6</f>
        <v>0</v>
      </c>
      <c r="FS4" s="176" t="str">
        <f>Schedule!FX6</f>
        <v>0</v>
      </c>
      <c r="FT4" s="176" t="str">
        <f>Schedule!FY6</f>
        <v>0</v>
      </c>
      <c r="FU4" s="176" t="str">
        <f>Schedule!FZ6</f>
        <v>0</v>
      </c>
      <c r="FV4" s="176" t="str">
        <f>Schedule!GA6</f>
        <v>0</v>
      </c>
      <c r="FW4" s="176" t="str">
        <f>Schedule!GB6</f>
        <v>0</v>
      </c>
      <c r="FX4" s="176" t="str">
        <f>Schedule!GC6</f>
        <v>0</v>
      </c>
      <c r="FY4" s="176" t="str">
        <f>Schedule!GD6</f>
        <v>0</v>
      </c>
      <c r="FZ4" s="176" t="str">
        <f>Schedule!GE6</f>
        <v>0</v>
      </c>
      <c r="GA4" s="178"/>
      <c r="GB4" s="176" t="str">
        <f>Schedule!GF6</f>
        <v>0</v>
      </c>
      <c r="GC4" s="176" t="str">
        <f>Schedule!GG6</f>
        <v>0</v>
      </c>
      <c r="GD4" s="176" t="str">
        <f>Schedule!GH6</f>
        <v>0</v>
      </c>
      <c r="GE4" s="176" t="str">
        <f>Schedule!GI6</f>
        <v>0</v>
      </c>
      <c r="GF4" s="176" t="str">
        <f>Schedule!GJ6</f>
        <v>0</v>
      </c>
      <c r="GG4" s="176" t="str">
        <f>Schedule!GK6</f>
        <v>0</v>
      </c>
      <c r="GH4" s="176" t="str">
        <f>Schedule!GL6</f>
        <v>0</v>
      </c>
      <c r="GI4" s="176" t="str">
        <f>Schedule!GM6</f>
        <v>0</v>
      </c>
      <c r="GJ4" s="176" t="str">
        <f>Schedule!GN6</f>
        <v>0</v>
      </c>
      <c r="GK4" s="178"/>
      <c r="GL4" s="176" t="str">
        <f>Schedule!GO6</f>
        <v>0</v>
      </c>
      <c r="GM4" s="176" t="str">
        <f>Schedule!GP6</f>
        <v>0</v>
      </c>
      <c r="GN4" s="176" t="str">
        <f>Schedule!GQ6</f>
        <v>0</v>
      </c>
      <c r="GO4" s="176" t="str">
        <f>Schedule!GR6</f>
        <v>0</v>
      </c>
      <c r="GP4" s="176" t="str">
        <f>Schedule!GS6</f>
        <v>0</v>
      </c>
      <c r="GQ4" s="176" t="str">
        <f>Schedule!GT6</f>
        <v>0</v>
      </c>
      <c r="GR4" s="176" t="str">
        <f>Schedule!GU6</f>
        <v>0</v>
      </c>
      <c r="GS4" s="176" t="str">
        <f>Schedule!GV6</f>
        <v>0</v>
      </c>
      <c r="GT4" s="176" t="str">
        <f>Schedule!GW6</f>
        <v>0</v>
      </c>
      <c r="GW4" s="227"/>
    </row>
    <row r="5" spans="2:205" ht="15.75" customHeight="1">
      <c r="B5" s="269"/>
      <c r="C5" s="159">
        <f>Schedule!C7</f>
        <v>0</v>
      </c>
      <c r="D5" s="176" t="str">
        <f>Schedule!Z7</f>
        <v>0</v>
      </c>
      <c r="E5" s="176" t="str">
        <f>Schedule!AA7</f>
        <v>0</v>
      </c>
      <c r="F5" s="176" t="str">
        <f>Schedule!AB7</f>
        <v>0</v>
      </c>
      <c r="G5" s="176" t="str">
        <f>Schedule!AC7</f>
        <v>0</v>
      </c>
      <c r="H5" s="176" t="str">
        <f>Schedule!AD7</f>
        <v>0</v>
      </c>
      <c r="I5" s="176" t="str">
        <f>Schedule!AE7</f>
        <v>0</v>
      </c>
      <c r="J5" s="176" t="str">
        <f>Schedule!AF7</f>
        <v>0</v>
      </c>
      <c r="K5" s="181" t="str">
        <f>Schedule!AG7</f>
        <v>0</v>
      </c>
      <c r="L5" s="181" t="str">
        <f>Schedule!AH7</f>
        <v>0</v>
      </c>
      <c r="M5" s="178"/>
      <c r="N5" s="183" t="str">
        <f>Schedule!AI7</f>
        <v>0</v>
      </c>
      <c r="O5" s="176" t="str">
        <f>Schedule!AJ7</f>
        <v>0</v>
      </c>
      <c r="P5" s="176" t="str">
        <f>Schedule!AK7</f>
        <v>0</v>
      </c>
      <c r="Q5" s="176" t="str">
        <f>Schedule!AL7</f>
        <v>0</v>
      </c>
      <c r="R5" s="176" t="str">
        <f>Schedule!AM7</f>
        <v>0</v>
      </c>
      <c r="S5" s="176" t="str">
        <f>Schedule!AN7</f>
        <v>0</v>
      </c>
      <c r="T5" s="176" t="str">
        <f>Schedule!AO7</f>
        <v>0</v>
      </c>
      <c r="U5" s="176" t="str">
        <f>Schedule!AP7</f>
        <v>0</v>
      </c>
      <c r="V5" s="176" t="str">
        <f>Schedule!AQ7</f>
        <v>0</v>
      </c>
      <c r="W5" s="178"/>
      <c r="X5" s="176" t="str">
        <f>Schedule!AR7</f>
        <v>0</v>
      </c>
      <c r="Y5" s="176" t="str">
        <f>Schedule!AS7</f>
        <v>0</v>
      </c>
      <c r="Z5" s="176" t="str">
        <f>Schedule!AT7</f>
        <v>0</v>
      </c>
      <c r="AA5" s="176" t="str">
        <f>Schedule!AU7</f>
        <v>0</v>
      </c>
      <c r="AB5" s="176" t="str">
        <f>Schedule!AV7</f>
        <v>0</v>
      </c>
      <c r="AC5" s="176" t="str">
        <f>Schedule!AW7</f>
        <v>0</v>
      </c>
      <c r="AD5" s="176" t="str">
        <f>Schedule!AX7</f>
        <v>0</v>
      </c>
      <c r="AE5" s="176" t="str">
        <f>Schedule!AY7</f>
        <v>0</v>
      </c>
      <c r="AF5" s="176" t="str">
        <f>Schedule!AZ7</f>
        <v>0</v>
      </c>
      <c r="AG5" s="178"/>
      <c r="AH5" s="176" t="str">
        <f>Schedule!BA7</f>
        <v>0</v>
      </c>
      <c r="AI5" s="176" t="str">
        <f>Schedule!BB7</f>
        <v>0</v>
      </c>
      <c r="AJ5" s="176" t="str">
        <f>Schedule!BC7</f>
        <v>0</v>
      </c>
      <c r="AK5" s="176" t="str">
        <f>Schedule!BD7</f>
        <v>0</v>
      </c>
      <c r="AL5" s="176" t="str">
        <f>Schedule!BE7</f>
        <v>0</v>
      </c>
      <c r="AM5" s="176" t="str">
        <f>Schedule!BF7</f>
        <v>0</v>
      </c>
      <c r="AN5" s="176" t="str">
        <f>Schedule!BG7</f>
        <v>0</v>
      </c>
      <c r="AO5" s="176" t="str">
        <f>Schedule!BH7</f>
        <v>0</v>
      </c>
      <c r="AP5" s="176" t="str">
        <f>Schedule!BI7</f>
        <v>0</v>
      </c>
      <c r="AQ5" s="178"/>
      <c r="AR5" s="176" t="str">
        <f>Schedule!BJ7</f>
        <v>0</v>
      </c>
      <c r="AS5" s="176" t="str">
        <f>Schedule!BK7</f>
        <v>0</v>
      </c>
      <c r="AT5" s="176" t="str">
        <f>Schedule!BL7</f>
        <v>0</v>
      </c>
      <c r="AU5" s="176" t="str">
        <f>Schedule!BM7</f>
        <v>0</v>
      </c>
      <c r="AV5" s="176" t="str">
        <f>Schedule!BN7</f>
        <v>0</v>
      </c>
      <c r="AW5" s="176" t="str">
        <f>Schedule!BO7</f>
        <v>0</v>
      </c>
      <c r="AX5" s="176" t="str">
        <f>Schedule!BP7</f>
        <v>0</v>
      </c>
      <c r="AY5" s="176" t="str">
        <f>Schedule!BQ7</f>
        <v>0</v>
      </c>
      <c r="AZ5" s="176" t="str">
        <f>Schedule!BR7</f>
        <v>0</v>
      </c>
      <c r="BA5" s="178"/>
      <c r="BB5" s="176" t="str">
        <f>Schedule!BS7</f>
        <v>0</v>
      </c>
      <c r="BC5" s="176" t="str">
        <f>Schedule!BT7</f>
        <v>0</v>
      </c>
      <c r="BD5" s="176" t="str">
        <f>Schedule!BU7</f>
        <v>0</v>
      </c>
      <c r="BE5" s="176" t="str">
        <f>Schedule!BV7</f>
        <v>0</v>
      </c>
      <c r="BF5" s="176" t="str">
        <f>Schedule!BW7</f>
        <v>0</v>
      </c>
      <c r="BG5" s="176" t="str">
        <f>Schedule!BX7</f>
        <v>0</v>
      </c>
      <c r="BH5" s="176" t="str">
        <f>Schedule!BY7</f>
        <v>0</v>
      </c>
      <c r="BI5" s="176" t="str">
        <f>Schedule!BZ7</f>
        <v>0</v>
      </c>
      <c r="BJ5" s="176" t="str">
        <f>Schedule!CA7</f>
        <v>0</v>
      </c>
      <c r="BK5" s="178"/>
      <c r="BL5" s="176" t="str">
        <f>Schedule!CB7</f>
        <v>0</v>
      </c>
      <c r="BM5" s="176" t="str">
        <f>Schedule!CC7</f>
        <v>0</v>
      </c>
      <c r="BN5" s="176" t="str">
        <f>Schedule!CD7</f>
        <v>0</v>
      </c>
      <c r="BO5" s="176" t="str">
        <f>Schedule!CE7</f>
        <v>0</v>
      </c>
      <c r="BP5" s="176" t="str">
        <f>Schedule!CF7</f>
        <v>0</v>
      </c>
      <c r="BQ5" s="176" t="str">
        <f>Schedule!CG7</f>
        <v>0</v>
      </c>
      <c r="BR5" s="176" t="str">
        <f>Schedule!CH7</f>
        <v>0</v>
      </c>
      <c r="BS5" s="176" t="str">
        <f>Schedule!CI7</f>
        <v>0</v>
      </c>
      <c r="BT5" s="176" t="str">
        <f>Schedule!CJ7</f>
        <v>0</v>
      </c>
      <c r="BU5" s="178"/>
      <c r="BV5" s="176" t="str">
        <f>Schedule!CK7</f>
        <v>0</v>
      </c>
      <c r="BW5" s="176" t="str">
        <f>Schedule!CL7</f>
        <v>0</v>
      </c>
      <c r="BX5" s="176" t="str">
        <f>Schedule!CM7</f>
        <v>0</v>
      </c>
      <c r="BY5" s="176" t="str">
        <f>Schedule!CN7</f>
        <v>0</v>
      </c>
      <c r="BZ5" s="176" t="str">
        <f>Schedule!CO7</f>
        <v>0</v>
      </c>
      <c r="CA5" s="176" t="str">
        <f>Schedule!CP7</f>
        <v>0</v>
      </c>
      <c r="CB5" s="176" t="str">
        <f>Schedule!CQ7</f>
        <v>0</v>
      </c>
      <c r="CC5" s="176" t="str">
        <f>Schedule!CR7</f>
        <v>0</v>
      </c>
      <c r="CD5" s="176" t="str">
        <f>Schedule!CS7</f>
        <v>0</v>
      </c>
      <c r="CE5" s="178"/>
      <c r="CF5" s="176" t="str">
        <f>Schedule!CT7</f>
        <v>0</v>
      </c>
      <c r="CG5" s="176" t="str">
        <f>Schedule!CU7</f>
        <v>0</v>
      </c>
      <c r="CH5" s="176" t="str">
        <f>Schedule!CV7</f>
        <v>0</v>
      </c>
      <c r="CI5" s="176" t="str">
        <f>Schedule!CW7</f>
        <v>0</v>
      </c>
      <c r="CJ5" s="176" t="str">
        <f>Schedule!CX7</f>
        <v>0</v>
      </c>
      <c r="CK5" s="176" t="str">
        <f>Schedule!CY7</f>
        <v>0</v>
      </c>
      <c r="CL5" s="176" t="str">
        <f>Schedule!CZ7</f>
        <v>0</v>
      </c>
      <c r="CM5" s="176" t="str">
        <f>Schedule!DA7</f>
        <v>0</v>
      </c>
      <c r="CN5" s="176" t="str">
        <f>Schedule!DB7</f>
        <v>0</v>
      </c>
      <c r="CO5" s="178"/>
      <c r="CP5" s="176" t="str">
        <f>Schedule!DC7</f>
        <v>0</v>
      </c>
      <c r="CQ5" s="176" t="str">
        <f>Schedule!DD7</f>
        <v>0</v>
      </c>
      <c r="CR5" s="176" t="str">
        <f>Schedule!DE7</f>
        <v>0</v>
      </c>
      <c r="CS5" s="176" t="str">
        <f>Schedule!DF7</f>
        <v>0</v>
      </c>
      <c r="CT5" s="176" t="str">
        <f>Schedule!DG7</f>
        <v>0</v>
      </c>
      <c r="CU5" s="176" t="str">
        <f>Schedule!DH7</f>
        <v>0</v>
      </c>
      <c r="CV5" s="176" t="str">
        <f>Schedule!DI7</f>
        <v>0</v>
      </c>
      <c r="CW5" s="176" t="str">
        <f>Schedule!DJ7</f>
        <v>0</v>
      </c>
      <c r="CX5" s="176" t="str">
        <f>Schedule!DK7</f>
        <v>0</v>
      </c>
      <c r="CY5" s="178"/>
      <c r="CZ5" s="176" t="str">
        <f>Schedule!DL7</f>
        <v>0</v>
      </c>
      <c r="DA5" s="176" t="str">
        <f>Schedule!DM7</f>
        <v>0</v>
      </c>
      <c r="DB5" s="176" t="str">
        <f>Schedule!DN7</f>
        <v>0</v>
      </c>
      <c r="DC5" s="176" t="str">
        <f>Schedule!DO7</f>
        <v>0</v>
      </c>
      <c r="DD5" s="176" t="str">
        <f>Schedule!DP7</f>
        <v>0</v>
      </c>
      <c r="DE5" s="176" t="str">
        <f>Schedule!DQ7</f>
        <v>0</v>
      </c>
      <c r="DF5" s="176" t="str">
        <f>Schedule!DR7</f>
        <v>0</v>
      </c>
      <c r="DG5" s="176" t="str">
        <f>Schedule!DS7</f>
        <v>0</v>
      </c>
      <c r="DH5" s="176" t="str">
        <f>Schedule!DT7</f>
        <v>0</v>
      </c>
      <c r="DI5" s="178"/>
      <c r="DJ5" s="176" t="str">
        <f>Schedule!DU7</f>
        <v>0</v>
      </c>
      <c r="DK5" s="176" t="str">
        <f>Schedule!DV7</f>
        <v>0</v>
      </c>
      <c r="DL5" s="176" t="str">
        <f>Schedule!DW7</f>
        <v>0</v>
      </c>
      <c r="DM5" s="176" t="str">
        <f>Schedule!DX7</f>
        <v>0</v>
      </c>
      <c r="DN5" s="176" t="str">
        <f>Schedule!DY7</f>
        <v>0</v>
      </c>
      <c r="DO5" s="176" t="str">
        <f>Schedule!DZ7</f>
        <v>0</v>
      </c>
      <c r="DP5" s="176" t="str">
        <f>Schedule!EA7</f>
        <v>0</v>
      </c>
      <c r="DQ5" s="176" t="str">
        <f>Schedule!EB7</f>
        <v>0</v>
      </c>
      <c r="DR5" s="176" t="str">
        <f>Schedule!EC7</f>
        <v>0</v>
      </c>
      <c r="DS5" s="178"/>
      <c r="DT5" s="176" t="str">
        <f>Schedule!ED7</f>
        <v>0</v>
      </c>
      <c r="DU5" s="176" t="str">
        <f>Schedule!EE7</f>
        <v>0</v>
      </c>
      <c r="DV5" s="176" t="str">
        <f>Schedule!EF7</f>
        <v>0</v>
      </c>
      <c r="DW5" s="176" t="str">
        <f>Schedule!EG7</f>
        <v>0</v>
      </c>
      <c r="DX5" s="176" t="str">
        <f>Schedule!EH7</f>
        <v>0</v>
      </c>
      <c r="DY5" s="176" t="str">
        <f>Schedule!EI7</f>
        <v>0</v>
      </c>
      <c r="DZ5" s="176" t="str">
        <f>Schedule!EJ7</f>
        <v>0</v>
      </c>
      <c r="EA5" s="176" t="str">
        <f>Schedule!EK7</f>
        <v>0</v>
      </c>
      <c r="EB5" s="176" t="str">
        <f>Schedule!EL7</f>
        <v>0</v>
      </c>
      <c r="EC5" s="178"/>
      <c r="ED5" s="176" t="str">
        <f>Schedule!EM7</f>
        <v>0</v>
      </c>
      <c r="EE5" s="176" t="str">
        <f>Schedule!EN7</f>
        <v>0</v>
      </c>
      <c r="EF5" s="176" t="str">
        <f>Schedule!EO7</f>
        <v>0</v>
      </c>
      <c r="EG5" s="176" t="str">
        <f>Schedule!EP7</f>
        <v>0</v>
      </c>
      <c r="EH5" s="176" t="str">
        <f>Schedule!EQ7</f>
        <v>0</v>
      </c>
      <c r="EI5" s="176" t="str">
        <f>Schedule!ER7</f>
        <v>0</v>
      </c>
      <c r="EJ5" s="176" t="str">
        <f>Schedule!ES7</f>
        <v>0</v>
      </c>
      <c r="EK5" s="176" t="str">
        <f>Schedule!ET7</f>
        <v>0</v>
      </c>
      <c r="EL5" s="176" t="str">
        <f>Schedule!EU7</f>
        <v>0</v>
      </c>
      <c r="EM5" s="178"/>
      <c r="EN5" s="176" t="str">
        <f>Schedule!EV7</f>
        <v>0</v>
      </c>
      <c r="EO5" s="176" t="str">
        <f>Schedule!EW7</f>
        <v>0</v>
      </c>
      <c r="EP5" s="176" t="str">
        <f>Schedule!EX7</f>
        <v>0</v>
      </c>
      <c r="EQ5" s="176" t="str">
        <f>Schedule!EY7</f>
        <v>0</v>
      </c>
      <c r="ER5" s="176" t="str">
        <f>Schedule!EZ7</f>
        <v>0</v>
      </c>
      <c r="ES5" s="176" t="str">
        <f>Schedule!FA7</f>
        <v>0</v>
      </c>
      <c r="ET5" s="176" t="str">
        <f>Schedule!FB7</f>
        <v>0</v>
      </c>
      <c r="EU5" s="176" t="str">
        <f>Schedule!FC7</f>
        <v>0</v>
      </c>
      <c r="EV5" s="176" t="str">
        <f>Schedule!FD7</f>
        <v>0</v>
      </c>
      <c r="EW5" s="178"/>
      <c r="EX5" s="176" t="str">
        <f>Schedule!FE7</f>
        <v>0</v>
      </c>
      <c r="EY5" s="176" t="str">
        <f>Schedule!FF7</f>
        <v>0</v>
      </c>
      <c r="EZ5" s="176" t="str">
        <f>Schedule!FG7</f>
        <v>0</v>
      </c>
      <c r="FA5" s="176" t="str">
        <f>Schedule!FH7</f>
        <v>0</v>
      </c>
      <c r="FB5" s="176" t="str">
        <f>Schedule!FI7</f>
        <v>0</v>
      </c>
      <c r="FC5" s="176" t="str">
        <f>Schedule!FJ7</f>
        <v>0</v>
      </c>
      <c r="FD5" s="176" t="str">
        <f>Schedule!FK7</f>
        <v>0</v>
      </c>
      <c r="FE5" s="176" t="str">
        <f>Schedule!FL7</f>
        <v>0</v>
      </c>
      <c r="FF5" s="176" t="str">
        <f>Schedule!FM7</f>
        <v>0</v>
      </c>
      <c r="FG5" s="178"/>
      <c r="FH5" s="176" t="str">
        <f>Schedule!FN7</f>
        <v>0</v>
      </c>
      <c r="FI5" s="176" t="str">
        <f>Schedule!FO7</f>
        <v>0</v>
      </c>
      <c r="FJ5" s="176" t="str">
        <f>Schedule!FP7</f>
        <v>0</v>
      </c>
      <c r="FK5" s="176" t="str">
        <f>Schedule!FQ7</f>
        <v>0</v>
      </c>
      <c r="FL5" s="176" t="str">
        <f>Schedule!FR7</f>
        <v>0</v>
      </c>
      <c r="FM5" s="176" t="str">
        <f>Schedule!FS7</f>
        <v>0</v>
      </c>
      <c r="FN5" s="176" t="str">
        <f>Schedule!FT7</f>
        <v>0</v>
      </c>
      <c r="FO5" s="176" t="str">
        <f>Schedule!FU7</f>
        <v>0</v>
      </c>
      <c r="FP5" s="176" t="str">
        <f>Schedule!FV7</f>
        <v>0</v>
      </c>
      <c r="FQ5" s="178"/>
      <c r="FR5" s="176" t="str">
        <f>Schedule!FW7</f>
        <v>0</v>
      </c>
      <c r="FS5" s="176" t="str">
        <f>Schedule!FX7</f>
        <v>0</v>
      </c>
      <c r="FT5" s="176" t="str">
        <f>Schedule!FY7</f>
        <v>0</v>
      </c>
      <c r="FU5" s="176" t="str">
        <f>Schedule!FZ7</f>
        <v>0</v>
      </c>
      <c r="FV5" s="176" t="str">
        <f>Schedule!GA7</f>
        <v>0</v>
      </c>
      <c r="FW5" s="176" t="str">
        <f>Schedule!GB7</f>
        <v>0</v>
      </c>
      <c r="FX5" s="176" t="str">
        <f>Schedule!GC7</f>
        <v>0</v>
      </c>
      <c r="FY5" s="176" t="str">
        <f>Schedule!GD7</f>
        <v>0</v>
      </c>
      <c r="FZ5" s="176" t="str">
        <f>Schedule!GE7</f>
        <v>0</v>
      </c>
      <c r="GA5" s="178"/>
      <c r="GB5" s="176" t="str">
        <f>Schedule!GF7</f>
        <v>0</v>
      </c>
      <c r="GC5" s="176" t="str">
        <f>Schedule!GG7</f>
        <v>0</v>
      </c>
      <c r="GD5" s="176" t="str">
        <f>Schedule!GH7</f>
        <v>0</v>
      </c>
      <c r="GE5" s="176" t="str">
        <f>Schedule!GI7</f>
        <v>0</v>
      </c>
      <c r="GF5" s="176" t="str">
        <f>Schedule!GJ7</f>
        <v>0</v>
      </c>
      <c r="GG5" s="176" t="str">
        <f>Schedule!GK7</f>
        <v>0</v>
      </c>
      <c r="GH5" s="176" t="str">
        <f>Schedule!GL7</f>
        <v>0</v>
      </c>
      <c r="GI5" s="176" t="str">
        <f>Schedule!GM7</f>
        <v>0</v>
      </c>
      <c r="GJ5" s="176" t="str">
        <f>Schedule!GN7</f>
        <v>0</v>
      </c>
      <c r="GK5" s="178"/>
      <c r="GL5" s="176" t="str">
        <f>Schedule!GO7</f>
        <v>0</v>
      </c>
      <c r="GM5" s="176" t="str">
        <f>Schedule!GP7</f>
        <v>0</v>
      </c>
      <c r="GN5" s="176" t="str">
        <f>Schedule!GQ7</f>
        <v>0</v>
      </c>
      <c r="GO5" s="176" t="str">
        <f>Schedule!GR7</f>
        <v>0</v>
      </c>
      <c r="GP5" s="176" t="str">
        <f>Schedule!GS7</f>
        <v>0</v>
      </c>
      <c r="GQ5" s="176" t="str">
        <f>Schedule!GT7</f>
        <v>0</v>
      </c>
      <c r="GR5" s="176" t="str">
        <f>Schedule!GU7</f>
        <v>0</v>
      </c>
      <c r="GS5" s="176" t="str">
        <f>Schedule!GV7</f>
        <v>0</v>
      </c>
      <c r="GT5" s="176" t="str">
        <f>Schedule!GW7</f>
        <v>0</v>
      </c>
      <c r="GW5" s="227"/>
    </row>
    <row r="6" spans="2:205" ht="15.75" customHeight="1">
      <c r="B6" s="269"/>
      <c r="C6" s="159">
        <f>Schedule!C8</f>
        <v>0</v>
      </c>
      <c r="D6" s="176" t="str">
        <f>Schedule!Z8</f>
        <v>0</v>
      </c>
      <c r="E6" s="176" t="str">
        <f>Schedule!AA8</f>
        <v>0</v>
      </c>
      <c r="F6" s="176" t="str">
        <f>Schedule!AB8</f>
        <v>0</v>
      </c>
      <c r="G6" s="176" t="str">
        <f>Schedule!AC8</f>
        <v>0</v>
      </c>
      <c r="H6" s="176" t="str">
        <f>Schedule!AD8</f>
        <v>0</v>
      </c>
      <c r="I6" s="176" t="str">
        <f>Schedule!AE8</f>
        <v>0</v>
      </c>
      <c r="J6" s="176" t="str">
        <f>Schedule!AF8</f>
        <v>0</v>
      </c>
      <c r="K6" s="181" t="str">
        <f>Schedule!AG8</f>
        <v>0</v>
      </c>
      <c r="L6" s="181" t="str">
        <f>Schedule!AH8</f>
        <v>0</v>
      </c>
      <c r="M6" s="178"/>
      <c r="N6" s="183" t="str">
        <f>Schedule!AI8</f>
        <v>0</v>
      </c>
      <c r="O6" s="176" t="str">
        <f>Schedule!AJ8</f>
        <v>0</v>
      </c>
      <c r="P6" s="176" t="str">
        <f>Schedule!AK8</f>
        <v>0</v>
      </c>
      <c r="Q6" s="176" t="str">
        <f>Schedule!AL8</f>
        <v>0</v>
      </c>
      <c r="R6" s="176" t="str">
        <f>Schedule!AM8</f>
        <v>0</v>
      </c>
      <c r="S6" s="176" t="str">
        <f>Schedule!AN8</f>
        <v>0</v>
      </c>
      <c r="T6" s="176" t="str">
        <f>Schedule!AO8</f>
        <v>0</v>
      </c>
      <c r="U6" s="176" t="str">
        <f>Schedule!AP8</f>
        <v>0</v>
      </c>
      <c r="V6" s="176" t="str">
        <f>Schedule!AQ8</f>
        <v>0</v>
      </c>
      <c r="W6" s="178"/>
      <c r="X6" s="176" t="str">
        <f>Schedule!AR8</f>
        <v>0</v>
      </c>
      <c r="Y6" s="176" t="str">
        <f>Schedule!AS8</f>
        <v>0</v>
      </c>
      <c r="Z6" s="176" t="str">
        <f>Schedule!AT8</f>
        <v>0</v>
      </c>
      <c r="AA6" s="176" t="str">
        <f>Schedule!AU8</f>
        <v>0</v>
      </c>
      <c r="AB6" s="176" t="str">
        <f>Schedule!AV8</f>
        <v>0</v>
      </c>
      <c r="AC6" s="176" t="str">
        <f>Schedule!AW8</f>
        <v>0</v>
      </c>
      <c r="AD6" s="176" t="str">
        <f>Schedule!AX8</f>
        <v>0</v>
      </c>
      <c r="AE6" s="176" t="str">
        <f>Schedule!AY8</f>
        <v>0</v>
      </c>
      <c r="AF6" s="176" t="str">
        <f>Schedule!AZ8</f>
        <v>0</v>
      </c>
      <c r="AG6" s="178"/>
      <c r="AH6" s="176" t="str">
        <f>Schedule!BA8</f>
        <v>0</v>
      </c>
      <c r="AI6" s="176" t="str">
        <f>Schedule!BB8</f>
        <v>0</v>
      </c>
      <c r="AJ6" s="176" t="str">
        <f>Schedule!BC8</f>
        <v>0</v>
      </c>
      <c r="AK6" s="176" t="str">
        <f>Schedule!BD8</f>
        <v>0</v>
      </c>
      <c r="AL6" s="176" t="str">
        <f>Schedule!BE8</f>
        <v>0</v>
      </c>
      <c r="AM6" s="176" t="str">
        <f>Schedule!BF8</f>
        <v>0</v>
      </c>
      <c r="AN6" s="176" t="str">
        <f>Schedule!BG8</f>
        <v>0</v>
      </c>
      <c r="AO6" s="176" t="str">
        <f>Schedule!BH8</f>
        <v>0</v>
      </c>
      <c r="AP6" s="176" t="str">
        <f>Schedule!BI8</f>
        <v>0</v>
      </c>
      <c r="AQ6" s="178"/>
      <c r="AR6" s="176" t="str">
        <f>Schedule!BJ8</f>
        <v>0</v>
      </c>
      <c r="AS6" s="176" t="str">
        <f>Schedule!BK8</f>
        <v>0</v>
      </c>
      <c r="AT6" s="176" t="str">
        <f>Schedule!BL8</f>
        <v>0</v>
      </c>
      <c r="AU6" s="176" t="str">
        <f>Schedule!BM8</f>
        <v>0</v>
      </c>
      <c r="AV6" s="176" t="str">
        <f>Schedule!BN8</f>
        <v>0</v>
      </c>
      <c r="AW6" s="176" t="str">
        <f>Schedule!BO8</f>
        <v>0</v>
      </c>
      <c r="AX6" s="176" t="str">
        <f>Schedule!BP8</f>
        <v>0</v>
      </c>
      <c r="AY6" s="176" t="str">
        <f>Schedule!BQ8</f>
        <v>0</v>
      </c>
      <c r="AZ6" s="176" t="str">
        <f>Schedule!BR8</f>
        <v>0</v>
      </c>
      <c r="BA6" s="178"/>
      <c r="BB6" s="176" t="str">
        <f>Schedule!BS8</f>
        <v>0</v>
      </c>
      <c r="BC6" s="176" t="str">
        <f>Schedule!BT8</f>
        <v>0</v>
      </c>
      <c r="BD6" s="176" t="str">
        <f>Schedule!BU8</f>
        <v>0</v>
      </c>
      <c r="BE6" s="176" t="str">
        <f>Schedule!BV8</f>
        <v>0</v>
      </c>
      <c r="BF6" s="176" t="str">
        <f>Schedule!BW8</f>
        <v>0</v>
      </c>
      <c r="BG6" s="176" t="str">
        <f>Schedule!BX8</f>
        <v>0</v>
      </c>
      <c r="BH6" s="176" t="str">
        <f>Schedule!BY8</f>
        <v>0</v>
      </c>
      <c r="BI6" s="176" t="str">
        <f>Schedule!BZ8</f>
        <v>0</v>
      </c>
      <c r="BJ6" s="176" t="str">
        <f>Schedule!CA8</f>
        <v>0</v>
      </c>
      <c r="BK6" s="178"/>
      <c r="BL6" s="176" t="str">
        <f>Schedule!CB8</f>
        <v>0</v>
      </c>
      <c r="BM6" s="176" t="str">
        <f>Schedule!CC8</f>
        <v>0</v>
      </c>
      <c r="BN6" s="176" t="str">
        <f>Schedule!CD8</f>
        <v>0</v>
      </c>
      <c r="BO6" s="176" t="str">
        <f>Schedule!CE8</f>
        <v>0</v>
      </c>
      <c r="BP6" s="176" t="str">
        <f>Schedule!CF8</f>
        <v>0</v>
      </c>
      <c r="BQ6" s="176" t="str">
        <f>Schedule!CG8</f>
        <v>0</v>
      </c>
      <c r="BR6" s="176" t="str">
        <f>Schedule!CH8</f>
        <v>0</v>
      </c>
      <c r="BS6" s="176" t="str">
        <f>Schedule!CI8</f>
        <v>0</v>
      </c>
      <c r="BT6" s="176" t="str">
        <f>Schedule!CJ8</f>
        <v>0</v>
      </c>
      <c r="BU6" s="178"/>
      <c r="BV6" s="176" t="str">
        <f>Schedule!CK8</f>
        <v>0</v>
      </c>
      <c r="BW6" s="176" t="str">
        <f>Schedule!CL8</f>
        <v>0</v>
      </c>
      <c r="BX6" s="176" t="str">
        <f>Schedule!CM8</f>
        <v>0</v>
      </c>
      <c r="BY6" s="176" t="str">
        <f>Schedule!CN8</f>
        <v>0</v>
      </c>
      <c r="BZ6" s="176" t="str">
        <f>Schedule!CO8</f>
        <v>0</v>
      </c>
      <c r="CA6" s="176" t="str">
        <f>Schedule!CP8</f>
        <v>0</v>
      </c>
      <c r="CB6" s="176" t="str">
        <f>Schedule!CQ8</f>
        <v>0</v>
      </c>
      <c r="CC6" s="176" t="str">
        <f>Schedule!CR8</f>
        <v>0</v>
      </c>
      <c r="CD6" s="176" t="str">
        <f>Schedule!CS8</f>
        <v>0</v>
      </c>
      <c r="CE6" s="178"/>
      <c r="CF6" s="176" t="str">
        <f>Schedule!CT8</f>
        <v>0</v>
      </c>
      <c r="CG6" s="176" t="str">
        <f>Schedule!CU8</f>
        <v>0</v>
      </c>
      <c r="CH6" s="176" t="str">
        <f>Schedule!CV8</f>
        <v>0</v>
      </c>
      <c r="CI6" s="176" t="str">
        <f>Schedule!CW8</f>
        <v>0</v>
      </c>
      <c r="CJ6" s="176" t="str">
        <f>Schedule!CX8</f>
        <v>0</v>
      </c>
      <c r="CK6" s="176" t="str">
        <f>Schedule!CY8</f>
        <v>0</v>
      </c>
      <c r="CL6" s="176" t="str">
        <f>Schedule!CZ8</f>
        <v>0</v>
      </c>
      <c r="CM6" s="176" t="str">
        <f>Schedule!DA8</f>
        <v>0</v>
      </c>
      <c r="CN6" s="176" t="str">
        <f>Schedule!DB8</f>
        <v>0</v>
      </c>
      <c r="CO6" s="178"/>
      <c r="CP6" s="176" t="str">
        <f>Schedule!DC8</f>
        <v>0</v>
      </c>
      <c r="CQ6" s="176" t="str">
        <f>Schedule!DD8</f>
        <v>0</v>
      </c>
      <c r="CR6" s="176" t="str">
        <f>Schedule!DE8</f>
        <v>0</v>
      </c>
      <c r="CS6" s="176" t="str">
        <f>Schedule!DF8</f>
        <v>0</v>
      </c>
      <c r="CT6" s="176" t="str">
        <f>Schedule!DG8</f>
        <v>0</v>
      </c>
      <c r="CU6" s="176" t="str">
        <f>Schedule!DH8</f>
        <v>0</v>
      </c>
      <c r="CV6" s="176" t="str">
        <f>Schedule!DI8</f>
        <v>0</v>
      </c>
      <c r="CW6" s="176" t="str">
        <f>Schedule!DJ8</f>
        <v>0</v>
      </c>
      <c r="CX6" s="176" t="str">
        <f>Schedule!DK8</f>
        <v>0</v>
      </c>
      <c r="CY6" s="178"/>
      <c r="CZ6" s="176" t="str">
        <f>Schedule!DL8</f>
        <v>0</v>
      </c>
      <c r="DA6" s="176" t="str">
        <f>Schedule!DM8</f>
        <v>0</v>
      </c>
      <c r="DB6" s="176" t="str">
        <f>Schedule!DN8</f>
        <v>0</v>
      </c>
      <c r="DC6" s="176" t="str">
        <f>Schedule!DO8</f>
        <v>0</v>
      </c>
      <c r="DD6" s="176" t="str">
        <f>Schedule!DP8</f>
        <v>0</v>
      </c>
      <c r="DE6" s="176" t="str">
        <f>Schedule!DQ8</f>
        <v>0</v>
      </c>
      <c r="DF6" s="176" t="str">
        <f>Schedule!DR8</f>
        <v>0</v>
      </c>
      <c r="DG6" s="176" t="str">
        <f>Schedule!DS8</f>
        <v>0</v>
      </c>
      <c r="DH6" s="176" t="str">
        <f>Schedule!DT8</f>
        <v>0</v>
      </c>
      <c r="DI6" s="178"/>
      <c r="DJ6" s="176" t="str">
        <f>Schedule!DU8</f>
        <v>0</v>
      </c>
      <c r="DK6" s="176" t="str">
        <f>Schedule!DV8</f>
        <v>0</v>
      </c>
      <c r="DL6" s="176" t="str">
        <f>Schedule!DW8</f>
        <v>0</v>
      </c>
      <c r="DM6" s="176" t="str">
        <f>Schedule!DX8</f>
        <v>0</v>
      </c>
      <c r="DN6" s="176" t="str">
        <f>Schedule!DY8</f>
        <v>0</v>
      </c>
      <c r="DO6" s="176" t="str">
        <f>Schedule!DZ8</f>
        <v>0</v>
      </c>
      <c r="DP6" s="176" t="str">
        <f>Schedule!EA8</f>
        <v>0</v>
      </c>
      <c r="DQ6" s="176" t="str">
        <f>Schedule!EB8</f>
        <v>0</v>
      </c>
      <c r="DR6" s="176" t="str">
        <f>Schedule!EC8</f>
        <v>0</v>
      </c>
      <c r="DS6" s="178"/>
      <c r="DT6" s="176" t="str">
        <f>Schedule!ED8</f>
        <v>0</v>
      </c>
      <c r="DU6" s="176" t="str">
        <f>Schedule!EE8</f>
        <v>0</v>
      </c>
      <c r="DV6" s="176" t="str">
        <f>Schedule!EF8</f>
        <v>0</v>
      </c>
      <c r="DW6" s="176" t="str">
        <f>Schedule!EG8</f>
        <v>0</v>
      </c>
      <c r="DX6" s="176" t="str">
        <f>Schedule!EH8</f>
        <v>0</v>
      </c>
      <c r="DY6" s="176" t="str">
        <f>Schedule!EI8</f>
        <v>0</v>
      </c>
      <c r="DZ6" s="176" t="str">
        <f>Schedule!EJ8</f>
        <v>0</v>
      </c>
      <c r="EA6" s="176" t="str">
        <f>Schedule!EK8</f>
        <v>0</v>
      </c>
      <c r="EB6" s="176" t="str">
        <f>Schedule!EL8</f>
        <v>0</v>
      </c>
      <c r="EC6" s="178"/>
      <c r="ED6" s="176" t="str">
        <f>Schedule!EM8</f>
        <v>0</v>
      </c>
      <c r="EE6" s="176" t="str">
        <f>Schedule!EN8</f>
        <v>0</v>
      </c>
      <c r="EF6" s="176" t="str">
        <f>Schedule!EO8</f>
        <v>0</v>
      </c>
      <c r="EG6" s="176" t="str">
        <f>Schedule!EP8</f>
        <v>0</v>
      </c>
      <c r="EH6" s="176" t="str">
        <f>Schedule!EQ8</f>
        <v>0</v>
      </c>
      <c r="EI6" s="176" t="str">
        <f>Schedule!ER8</f>
        <v>0</v>
      </c>
      <c r="EJ6" s="176" t="str">
        <f>Schedule!ES8</f>
        <v>0</v>
      </c>
      <c r="EK6" s="176" t="str">
        <f>Schedule!ET8</f>
        <v>0</v>
      </c>
      <c r="EL6" s="176" t="str">
        <f>Schedule!EU8</f>
        <v>0</v>
      </c>
      <c r="EM6" s="178"/>
      <c r="EN6" s="176" t="str">
        <f>Schedule!EV8</f>
        <v>0</v>
      </c>
      <c r="EO6" s="176" t="str">
        <f>Schedule!EW8</f>
        <v>0</v>
      </c>
      <c r="EP6" s="176" t="str">
        <f>Schedule!EX8</f>
        <v>0</v>
      </c>
      <c r="EQ6" s="176" t="str">
        <f>Schedule!EY8</f>
        <v>0</v>
      </c>
      <c r="ER6" s="176" t="str">
        <f>Schedule!EZ8</f>
        <v>0</v>
      </c>
      <c r="ES6" s="176" t="str">
        <f>Schedule!FA8</f>
        <v>0</v>
      </c>
      <c r="ET6" s="176" t="str">
        <f>Schedule!FB8</f>
        <v>0</v>
      </c>
      <c r="EU6" s="176" t="str">
        <f>Schedule!FC8</f>
        <v>0</v>
      </c>
      <c r="EV6" s="176" t="str">
        <f>Schedule!FD8</f>
        <v>0</v>
      </c>
      <c r="EW6" s="178"/>
      <c r="EX6" s="176" t="str">
        <f>Schedule!FE8</f>
        <v>0</v>
      </c>
      <c r="EY6" s="176" t="str">
        <f>Schedule!FF8</f>
        <v>0</v>
      </c>
      <c r="EZ6" s="176" t="str">
        <f>Schedule!FG8</f>
        <v>0</v>
      </c>
      <c r="FA6" s="176" t="str">
        <f>Schedule!FH8</f>
        <v>0</v>
      </c>
      <c r="FB6" s="176" t="str">
        <f>Schedule!FI8</f>
        <v>0</v>
      </c>
      <c r="FC6" s="176" t="str">
        <f>Schedule!FJ8</f>
        <v>0</v>
      </c>
      <c r="FD6" s="176" t="str">
        <f>Schedule!FK8</f>
        <v>0</v>
      </c>
      <c r="FE6" s="176" t="str">
        <f>Schedule!FL8</f>
        <v>0</v>
      </c>
      <c r="FF6" s="176" t="str">
        <f>Schedule!FM8</f>
        <v>0</v>
      </c>
      <c r="FG6" s="178"/>
      <c r="FH6" s="176" t="str">
        <f>Schedule!FN8</f>
        <v>0</v>
      </c>
      <c r="FI6" s="176" t="str">
        <f>Schedule!FO8</f>
        <v>0</v>
      </c>
      <c r="FJ6" s="176" t="str">
        <f>Schedule!FP8</f>
        <v>0</v>
      </c>
      <c r="FK6" s="176" t="str">
        <f>Schedule!FQ8</f>
        <v>0</v>
      </c>
      <c r="FL6" s="176" t="str">
        <f>Schedule!FR8</f>
        <v>0</v>
      </c>
      <c r="FM6" s="176" t="str">
        <f>Schedule!FS8</f>
        <v>0</v>
      </c>
      <c r="FN6" s="176" t="str">
        <f>Schedule!FT8</f>
        <v>0</v>
      </c>
      <c r="FO6" s="176" t="str">
        <f>Schedule!FU8</f>
        <v>0</v>
      </c>
      <c r="FP6" s="176" t="str">
        <f>Schedule!FV8</f>
        <v>0</v>
      </c>
      <c r="FQ6" s="178"/>
      <c r="FR6" s="176" t="str">
        <f>Schedule!FW8</f>
        <v>0</v>
      </c>
      <c r="FS6" s="176" t="str">
        <f>Schedule!FX8</f>
        <v>0</v>
      </c>
      <c r="FT6" s="176" t="str">
        <f>Schedule!FY8</f>
        <v>0</v>
      </c>
      <c r="FU6" s="176" t="str">
        <f>Schedule!FZ8</f>
        <v>0</v>
      </c>
      <c r="FV6" s="176" t="str">
        <f>Schedule!GA8</f>
        <v>0</v>
      </c>
      <c r="FW6" s="176" t="str">
        <f>Schedule!GB8</f>
        <v>0</v>
      </c>
      <c r="FX6" s="176" t="str">
        <f>Schedule!GC8</f>
        <v>0</v>
      </c>
      <c r="FY6" s="176" t="str">
        <f>Schedule!GD8</f>
        <v>0</v>
      </c>
      <c r="FZ6" s="176" t="str">
        <f>Schedule!GE8</f>
        <v>0</v>
      </c>
      <c r="GA6" s="178"/>
      <c r="GB6" s="176" t="str">
        <f>Schedule!GF8</f>
        <v>0</v>
      </c>
      <c r="GC6" s="176" t="str">
        <f>Schedule!GG8</f>
        <v>0</v>
      </c>
      <c r="GD6" s="176" t="str">
        <f>Schedule!GH8</f>
        <v>0</v>
      </c>
      <c r="GE6" s="176" t="str">
        <f>Schedule!GI8</f>
        <v>0</v>
      </c>
      <c r="GF6" s="176" t="str">
        <f>Schedule!GJ8</f>
        <v>0</v>
      </c>
      <c r="GG6" s="176" t="str">
        <f>Schedule!GK8</f>
        <v>0</v>
      </c>
      <c r="GH6" s="176" t="str">
        <f>Schedule!GL8</f>
        <v>0</v>
      </c>
      <c r="GI6" s="176" t="str">
        <f>Schedule!GM8</f>
        <v>0</v>
      </c>
      <c r="GJ6" s="176" t="str">
        <f>Schedule!GN8</f>
        <v>0</v>
      </c>
      <c r="GK6" s="178"/>
      <c r="GL6" s="176" t="str">
        <f>Schedule!GO8</f>
        <v>0</v>
      </c>
      <c r="GM6" s="176" t="str">
        <f>Schedule!GP8</f>
        <v>0</v>
      </c>
      <c r="GN6" s="176" t="str">
        <f>Schedule!GQ8</f>
        <v>0</v>
      </c>
      <c r="GO6" s="176" t="str">
        <f>Schedule!GR8</f>
        <v>0</v>
      </c>
      <c r="GP6" s="176" t="str">
        <f>Schedule!GS8</f>
        <v>0</v>
      </c>
      <c r="GQ6" s="176" t="str">
        <f>Schedule!GT8</f>
        <v>0</v>
      </c>
      <c r="GR6" s="176" t="str">
        <f>Schedule!GU8</f>
        <v>0</v>
      </c>
      <c r="GS6" s="176" t="str">
        <f>Schedule!GV8</f>
        <v>0</v>
      </c>
      <c r="GT6" s="176" t="str">
        <f>Schedule!GW8</f>
        <v>0</v>
      </c>
      <c r="GW6" s="227"/>
    </row>
    <row r="7" spans="2:205" ht="15.75" customHeight="1">
      <c r="B7" s="269"/>
      <c r="C7" s="159">
        <f>Schedule!C9</f>
        <v>0</v>
      </c>
      <c r="D7" s="176" t="str">
        <f>Schedule!Z9</f>
        <v>0</v>
      </c>
      <c r="E7" s="176" t="str">
        <f>Schedule!AA9</f>
        <v>0</v>
      </c>
      <c r="F7" s="176" t="str">
        <f>Schedule!AB9</f>
        <v>0</v>
      </c>
      <c r="G7" s="176" t="str">
        <f>Schedule!AC9</f>
        <v>0</v>
      </c>
      <c r="H7" s="176" t="str">
        <f>Schedule!AD9</f>
        <v>0</v>
      </c>
      <c r="I7" s="176" t="str">
        <f>Schedule!AE9</f>
        <v>0</v>
      </c>
      <c r="J7" s="176" t="str">
        <f>Schedule!AF9</f>
        <v>0</v>
      </c>
      <c r="K7" s="181" t="str">
        <f>Schedule!AG9</f>
        <v>0</v>
      </c>
      <c r="L7" s="181" t="str">
        <f>Schedule!AH9</f>
        <v>0</v>
      </c>
      <c r="M7" s="178"/>
      <c r="N7" s="183" t="str">
        <f>Schedule!AI9</f>
        <v>0</v>
      </c>
      <c r="O7" s="176" t="str">
        <f>Schedule!AJ9</f>
        <v>0</v>
      </c>
      <c r="P7" s="176" t="str">
        <f>Schedule!AK9</f>
        <v>0</v>
      </c>
      <c r="Q7" s="176" t="str">
        <f>Schedule!AL9</f>
        <v>0</v>
      </c>
      <c r="R7" s="176" t="str">
        <f>Schedule!AM9</f>
        <v>0</v>
      </c>
      <c r="S7" s="176" t="str">
        <f>Schedule!AN9</f>
        <v>0</v>
      </c>
      <c r="T7" s="176" t="str">
        <f>Schedule!AO9</f>
        <v>0</v>
      </c>
      <c r="U7" s="176" t="str">
        <f>Schedule!AP9</f>
        <v>0</v>
      </c>
      <c r="V7" s="176" t="str">
        <f>Schedule!AQ9</f>
        <v>0</v>
      </c>
      <c r="W7" s="178"/>
      <c r="X7" s="176" t="str">
        <f>Schedule!AR9</f>
        <v>0</v>
      </c>
      <c r="Y7" s="176" t="str">
        <f>Schedule!AS9</f>
        <v>0</v>
      </c>
      <c r="Z7" s="176" t="str">
        <f>Schedule!AT9</f>
        <v>0</v>
      </c>
      <c r="AA7" s="176" t="str">
        <f>Schedule!AU9</f>
        <v>0</v>
      </c>
      <c r="AB7" s="176" t="str">
        <f>Schedule!AV9</f>
        <v>0</v>
      </c>
      <c r="AC7" s="176" t="str">
        <f>Schedule!AW9</f>
        <v>0</v>
      </c>
      <c r="AD7" s="176" t="str">
        <f>Schedule!AX9</f>
        <v>0</v>
      </c>
      <c r="AE7" s="176" t="str">
        <f>Schedule!AY9</f>
        <v>0</v>
      </c>
      <c r="AF7" s="176" t="str">
        <f>Schedule!AZ9</f>
        <v>0</v>
      </c>
      <c r="AG7" s="178"/>
      <c r="AH7" s="176" t="str">
        <f>Schedule!BA9</f>
        <v>0</v>
      </c>
      <c r="AI7" s="176" t="str">
        <f>Schedule!BB9</f>
        <v>0</v>
      </c>
      <c r="AJ7" s="176" t="str">
        <f>Schedule!BC9</f>
        <v>0</v>
      </c>
      <c r="AK7" s="176" t="str">
        <f>Schedule!BD9</f>
        <v>0</v>
      </c>
      <c r="AL7" s="176" t="str">
        <f>Schedule!BE9</f>
        <v>0</v>
      </c>
      <c r="AM7" s="176" t="str">
        <f>Schedule!BF9</f>
        <v>0</v>
      </c>
      <c r="AN7" s="176" t="str">
        <f>Schedule!BG9</f>
        <v>0</v>
      </c>
      <c r="AO7" s="176" t="str">
        <f>Schedule!BH9</f>
        <v>0</v>
      </c>
      <c r="AP7" s="176" t="str">
        <f>Schedule!BI9</f>
        <v>0</v>
      </c>
      <c r="AQ7" s="178"/>
      <c r="AR7" s="176" t="str">
        <f>Schedule!BJ9</f>
        <v>0</v>
      </c>
      <c r="AS7" s="176" t="str">
        <f>Schedule!BK9</f>
        <v>0</v>
      </c>
      <c r="AT7" s="176" t="str">
        <f>Schedule!BL9</f>
        <v>0</v>
      </c>
      <c r="AU7" s="176" t="str">
        <f>Schedule!BM9</f>
        <v>0</v>
      </c>
      <c r="AV7" s="176" t="str">
        <f>Schedule!BN9</f>
        <v>0</v>
      </c>
      <c r="AW7" s="176" t="str">
        <f>Schedule!BO9</f>
        <v>0</v>
      </c>
      <c r="AX7" s="176" t="str">
        <f>Schedule!BP9</f>
        <v>0</v>
      </c>
      <c r="AY7" s="176" t="str">
        <f>Schedule!BQ9</f>
        <v>0</v>
      </c>
      <c r="AZ7" s="176" t="str">
        <f>Schedule!BR9</f>
        <v>0</v>
      </c>
      <c r="BA7" s="178"/>
      <c r="BB7" s="176" t="str">
        <f>Schedule!BS9</f>
        <v>0</v>
      </c>
      <c r="BC7" s="176" t="str">
        <f>Schedule!BT9</f>
        <v>0</v>
      </c>
      <c r="BD7" s="176" t="str">
        <f>Schedule!BU9</f>
        <v>0</v>
      </c>
      <c r="BE7" s="176" t="str">
        <f>Schedule!BV9</f>
        <v>0</v>
      </c>
      <c r="BF7" s="176" t="str">
        <f>Schedule!BW9</f>
        <v>0</v>
      </c>
      <c r="BG7" s="176" t="str">
        <f>Schedule!BX9</f>
        <v>0</v>
      </c>
      <c r="BH7" s="176" t="str">
        <f>Schedule!BY9</f>
        <v>0</v>
      </c>
      <c r="BI7" s="176" t="str">
        <f>Schedule!BZ9</f>
        <v>0</v>
      </c>
      <c r="BJ7" s="176" t="str">
        <f>Schedule!CA9</f>
        <v>0</v>
      </c>
      <c r="BK7" s="178"/>
      <c r="BL7" s="176" t="str">
        <f>Schedule!CB9</f>
        <v>0</v>
      </c>
      <c r="BM7" s="176" t="str">
        <f>Schedule!CC9</f>
        <v>0</v>
      </c>
      <c r="BN7" s="176" t="str">
        <f>Schedule!CD9</f>
        <v>0</v>
      </c>
      <c r="BO7" s="176" t="str">
        <f>Schedule!CE9</f>
        <v>0</v>
      </c>
      <c r="BP7" s="176" t="str">
        <f>Schedule!CF9</f>
        <v>0</v>
      </c>
      <c r="BQ7" s="176" t="str">
        <f>Schedule!CG9</f>
        <v>0</v>
      </c>
      <c r="BR7" s="176" t="str">
        <f>Schedule!CH9</f>
        <v>0</v>
      </c>
      <c r="BS7" s="176" t="str">
        <f>Schedule!CI9</f>
        <v>0</v>
      </c>
      <c r="BT7" s="176" t="str">
        <f>Schedule!CJ9</f>
        <v>0</v>
      </c>
      <c r="BU7" s="178"/>
      <c r="BV7" s="176" t="str">
        <f>Schedule!CK9</f>
        <v>0</v>
      </c>
      <c r="BW7" s="176" t="str">
        <f>Schedule!CL9</f>
        <v>0</v>
      </c>
      <c r="BX7" s="176" t="str">
        <f>Schedule!CM9</f>
        <v>0</v>
      </c>
      <c r="BY7" s="176" t="str">
        <f>Schedule!CN9</f>
        <v>0</v>
      </c>
      <c r="BZ7" s="176" t="str">
        <f>Schedule!CO9</f>
        <v>0</v>
      </c>
      <c r="CA7" s="176" t="str">
        <f>Schedule!CP9</f>
        <v>0</v>
      </c>
      <c r="CB7" s="176" t="str">
        <f>Schedule!CQ9</f>
        <v>0</v>
      </c>
      <c r="CC7" s="176" t="str">
        <f>Schedule!CR9</f>
        <v>0</v>
      </c>
      <c r="CD7" s="176" t="str">
        <f>Schedule!CS9</f>
        <v>0</v>
      </c>
      <c r="CE7" s="178"/>
      <c r="CF7" s="176" t="str">
        <f>Schedule!CT9</f>
        <v>0</v>
      </c>
      <c r="CG7" s="176" t="str">
        <f>Schedule!CU9</f>
        <v>0</v>
      </c>
      <c r="CH7" s="176" t="str">
        <f>Schedule!CV9</f>
        <v>0</v>
      </c>
      <c r="CI7" s="176" t="str">
        <f>Schedule!CW9</f>
        <v>0</v>
      </c>
      <c r="CJ7" s="176" t="str">
        <f>Schedule!CX9</f>
        <v>0</v>
      </c>
      <c r="CK7" s="176" t="str">
        <f>Schedule!CY9</f>
        <v>0</v>
      </c>
      <c r="CL7" s="176" t="str">
        <f>Schedule!CZ9</f>
        <v>0</v>
      </c>
      <c r="CM7" s="176" t="str">
        <f>Schedule!DA9</f>
        <v>0</v>
      </c>
      <c r="CN7" s="176" t="str">
        <f>Schedule!DB9</f>
        <v>0</v>
      </c>
      <c r="CO7" s="178"/>
      <c r="CP7" s="176" t="str">
        <f>Schedule!DC9</f>
        <v>0</v>
      </c>
      <c r="CQ7" s="176" t="str">
        <f>Schedule!DD9</f>
        <v>0</v>
      </c>
      <c r="CR7" s="176" t="str">
        <f>Schedule!DE9</f>
        <v>0</v>
      </c>
      <c r="CS7" s="176" t="str">
        <f>Schedule!DF9</f>
        <v>0</v>
      </c>
      <c r="CT7" s="176" t="str">
        <f>Schedule!DG9</f>
        <v>0</v>
      </c>
      <c r="CU7" s="176" t="str">
        <f>Schedule!DH9</f>
        <v>0</v>
      </c>
      <c r="CV7" s="176" t="str">
        <f>Schedule!DI9</f>
        <v>0</v>
      </c>
      <c r="CW7" s="176" t="str">
        <f>Schedule!DJ9</f>
        <v>0</v>
      </c>
      <c r="CX7" s="176" t="str">
        <f>Schedule!DK9</f>
        <v>0</v>
      </c>
      <c r="CY7" s="178"/>
      <c r="CZ7" s="176" t="str">
        <f>Schedule!DL9</f>
        <v>0</v>
      </c>
      <c r="DA7" s="176" t="str">
        <f>Schedule!DM9</f>
        <v>0</v>
      </c>
      <c r="DB7" s="176" t="str">
        <f>Schedule!DN9</f>
        <v>0</v>
      </c>
      <c r="DC7" s="176" t="str">
        <f>Schedule!DO9</f>
        <v>0</v>
      </c>
      <c r="DD7" s="176" t="str">
        <f>Schedule!DP9</f>
        <v>0</v>
      </c>
      <c r="DE7" s="176" t="str">
        <f>Schedule!DQ9</f>
        <v>0</v>
      </c>
      <c r="DF7" s="176" t="str">
        <f>Schedule!DR9</f>
        <v>0</v>
      </c>
      <c r="DG7" s="176" t="str">
        <f>Schedule!DS9</f>
        <v>0</v>
      </c>
      <c r="DH7" s="176" t="str">
        <f>Schedule!DT9</f>
        <v>0</v>
      </c>
      <c r="DI7" s="178"/>
      <c r="DJ7" s="176" t="str">
        <f>Schedule!DU9</f>
        <v>0</v>
      </c>
      <c r="DK7" s="176" t="str">
        <f>Schedule!DV9</f>
        <v>0</v>
      </c>
      <c r="DL7" s="176" t="str">
        <f>Schedule!DW9</f>
        <v>0</v>
      </c>
      <c r="DM7" s="176" t="str">
        <f>Schedule!DX9</f>
        <v>0</v>
      </c>
      <c r="DN7" s="176" t="str">
        <f>Schedule!DY9</f>
        <v>0</v>
      </c>
      <c r="DO7" s="176" t="str">
        <f>Schedule!DZ9</f>
        <v>0</v>
      </c>
      <c r="DP7" s="176" t="str">
        <f>Schedule!EA9</f>
        <v>0</v>
      </c>
      <c r="DQ7" s="176" t="str">
        <f>Schedule!EB9</f>
        <v>0</v>
      </c>
      <c r="DR7" s="176" t="str">
        <f>Schedule!EC9</f>
        <v>0</v>
      </c>
      <c r="DS7" s="178"/>
      <c r="DT7" s="176" t="str">
        <f>Schedule!ED9</f>
        <v>0</v>
      </c>
      <c r="DU7" s="176" t="str">
        <f>Schedule!EE9</f>
        <v>0</v>
      </c>
      <c r="DV7" s="176" t="str">
        <f>Schedule!EF9</f>
        <v>0</v>
      </c>
      <c r="DW7" s="176" t="str">
        <f>Schedule!EG9</f>
        <v>0</v>
      </c>
      <c r="DX7" s="176" t="str">
        <f>Schedule!EH9</f>
        <v>0</v>
      </c>
      <c r="DY7" s="176" t="str">
        <f>Schedule!EI9</f>
        <v>0</v>
      </c>
      <c r="DZ7" s="176" t="str">
        <f>Schedule!EJ9</f>
        <v>0</v>
      </c>
      <c r="EA7" s="176" t="str">
        <f>Schedule!EK9</f>
        <v>0</v>
      </c>
      <c r="EB7" s="176" t="str">
        <f>Schedule!EL9</f>
        <v>0</v>
      </c>
      <c r="EC7" s="178"/>
      <c r="ED7" s="176" t="str">
        <f>Schedule!EM9</f>
        <v>0</v>
      </c>
      <c r="EE7" s="176" t="str">
        <f>Schedule!EN9</f>
        <v>0</v>
      </c>
      <c r="EF7" s="176" t="str">
        <f>Schedule!EO9</f>
        <v>0</v>
      </c>
      <c r="EG7" s="176" t="str">
        <f>Schedule!EP9</f>
        <v>0</v>
      </c>
      <c r="EH7" s="176" t="str">
        <f>Schedule!EQ9</f>
        <v>0</v>
      </c>
      <c r="EI7" s="176" t="str">
        <f>Schedule!ER9</f>
        <v>0</v>
      </c>
      <c r="EJ7" s="176" t="str">
        <f>Schedule!ES9</f>
        <v>0</v>
      </c>
      <c r="EK7" s="176" t="str">
        <f>Schedule!ET9</f>
        <v>0</v>
      </c>
      <c r="EL7" s="176" t="str">
        <f>Schedule!EU9</f>
        <v>0</v>
      </c>
      <c r="EM7" s="178"/>
      <c r="EN7" s="176" t="str">
        <f>Schedule!EV9</f>
        <v>0</v>
      </c>
      <c r="EO7" s="176" t="str">
        <f>Schedule!EW9</f>
        <v>0</v>
      </c>
      <c r="EP7" s="176" t="str">
        <f>Schedule!EX9</f>
        <v>0</v>
      </c>
      <c r="EQ7" s="176" t="str">
        <f>Schedule!EY9</f>
        <v>0</v>
      </c>
      <c r="ER7" s="176" t="str">
        <f>Schedule!EZ9</f>
        <v>0</v>
      </c>
      <c r="ES7" s="176" t="str">
        <f>Schedule!FA9</f>
        <v>0</v>
      </c>
      <c r="ET7" s="176" t="str">
        <f>Schedule!FB9</f>
        <v>0</v>
      </c>
      <c r="EU7" s="176" t="str">
        <f>Schedule!FC9</f>
        <v>0</v>
      </c>
      <c r="EV7" s="176" t="str">
        <f>Schedule!FD9</f>
        <v>0</v>
      </c>
      <c r="EW7" s="178"/>
      <c r="EX7" s="176" t="str">
        <f>Schedule!FE9</f>
        <v>0</v>
      </c>
      <c r="EY7" s="176" t="str">
        <f>Schedule!FF9</f>
        <v>0</v>
      </c>
      <c r="EZ7" s="176" t="str">
        <f>Schedule!FG9</f>
        <v>0</v>
      </c>
      <c r="FA7" s="176" t="str">
        <f>Schedule!FH9</f>
        <v>0</v>
      </c>
      <c r="FB7" s="176" t="str">
        <f>Schedule!FI9</f>
        <v>0</v>
      </c>
      <c r="FC7" s="176" t="str">
        <f>Schedule!FJ9</f>
        <v>0</v>
      </c>
      <c r="FD7" s="176" t="str">
        <f>Schedule!FK9</f>
        <v>0</v>
      </c>
      <c r="FE7" s="176" t="str">
        <f>Schedule!FL9</f>
        <v>0</v>
      </c>
      <c r="FF7" s="176" t="str">
        <f>Schedule!FM9</f>
        <v>0</v>
      </c>
      <c r="FG7" s="178"/>
      <c r="FH7" s="176" t="str">
        <f>Schedule!FN9</f>
        <v>0</v>
      </c>
      <c r="FI7" s="176" t="str">
        <f>Schedule!FO9</f>
        <v>0</v>
      </c>
      <c r="FJ7" s="176" t="str">
        <f>Schedule!FP9</f>
        <v>0</v>
      </c>
      <c r="FK7" s="176" t="str">
        <f>Schedule!FQ9</f>
        <v>0</v>
      </c>
      <c r="FL7" s="176" t="str">
        <f>Schedule!FR9</f>
        <v>0</v>
      </c>
      <c r="FM7" s="176" t="str">
        <f>Schedule!FS9</f>
        <v>0</v>
      </c>
      <c r="FN7" s="176" t="str">
        <f>Schedule!FT9</f>
        <v>0</v>
      </c>
      <c r="FO7" s="176" t="str">
        <f>Schedule!FU9</f>
        <v>0</v>
      </c>
      <c r="FP7" s="176" t="str">
        <f>Schedule!FV9</f>
        <v>0</v>
      </c>
      <c r="FQ7" s="178"/>
      <c r="FR7" s="176" t="str">
        <f>Schedule!FW9</f>
        <v>0</v>
      </c>
      <c r="FS7" s="176" t="str">
        <f>Schedule!FX9</f>
        <v>0</v>
      </c>
      <c r="FT7" s="176" t="str">
        <f>Schedule!FY9</f>
        <v>0</v>
      </c>
      <c r="FU7" s="176" t="str">
        <f>Schedule!FZ9</f>
        <v>0</v>
      </c>
      <c r="FV7" s="176" t="str">
        <f>Schedule!GA9</f>
        <v>0</v>
      </c>
      <c r="FW7" s="176" t="str">
        <f>Schedule!GB9</f>
        <v>0</v>
      </c>
      <c r="FX7" s="176" t="str">
        <f>Schedule!GC9</f>
        <v>0</v>
      </c>
      <c r="FY7" s="176" t="str">
        <f>Schedule!GD9</f>
        <v>0</v>
      </c>
      <c r="FZ7" s="176" t="str">
        <f>Schedule!GE9</f>
        <v>0</v>
      </c>
      <c r="GA7" s="178"/>
      <c r="GB7" s="176" t="str">
        <f>Schedule!GF9</f>
        <v>0</v>
      </c>
      <c r="GC7" s="176" t="str">
        <f>Schedule!GG9</f>
        <v>0</v>
      </c>
      <c r="GD7" s="176" t="str">
        <f>Schedule!GH9</f>
        <v>0</v>
      </c>
      <c r="GE7" s="176" t="str">
        <f>Schedule!GI9</f>
        <v>0</v>
      </c>
      <c r="GF7" s="176" t="str">
        <f>Schedule!GJ9</f>
        <v>0</v>
      </c>
      <c r="GG7" s="176" t="str">
        <f>Schedule!GK9</f>
        <v>0</v>
      </c>
      <c r="GH7" s="176" t="str">
        <f>Schedule!GL9</f>
        <v>0</v>
      </c>
      <c r="GI7" s="176" t="str">
        <f>Schedule!GM9</f>
        <v>0</v>
      </c>
      <c r="GJ7" s="176" t="str">
        <f>Schedule!GN9</f>
        <v>0</v>
      </c>
      <c r="GK7" s="178"/>
      <c r="GL7" s="176" t="str">
        <f>Schedule!GO9</f>
        <v>0</v>
      </c>
      <c r="GM7" s="176" t="str">
        <f>Schedule!GP9</f>
        <v>0</v>
      </c>
      <c r="GN7" s="176" t="str">
        <f>Schedule!GQ9</f>
        <v>0</v>
      </c>
      <c r="GO7" s="176" t="str">
        <f>Schedule!GR9</f>
        <v>0</v>
      </c>
      <c r="GP7" s="176" t="str">
        <f>Schedule!GS9</f>
        <v>0</v>
      </c>
      <c r="GQ7" s="176" t="str">
        <f>Schedule!GT9</f>
        <v>0</v>
      </c>
      <c r="GR7" s="176" t="str">
        <f>Schedule!GU9</f>
        <v>0</v>
      </c>
      <c r="GS7" s="176" t="str">
        <f>Schedule!GV9</f>
        <v>0</v>
      </c>
      <c r="GT7" s="176" t="str">
        <f>Schedule!GW9</f>
        <v>0</v>
      </c>
      <c r="GW7" s="227"/>
    </row>
    <row r="8" spans="2:205" ht="15.75" customHeight="1">
      <c r="B8" s="269"/>
      <c r="C8" s="159">
        <f>Schedule!C10</f>
        <v>0</v>
      </c>
      <c r="D8" s="176" t="str">
        <f>Schedule!Z10</f>
        <v>0</v>
      </c>
      <c r="E8" s="176" t="str">
        <f>Schedule!AA10</f>
        <v>0</v>
      </c>
      <c r="F8" s="176" t="str">
        <f>Schedule!AB10</f>
        <v>0</v>
      </c>
      <c r="G8" s="176" t="str">
        <f>Schedule!AC10</f>
        <v>0</v>
      </c>
      <c r="H8" s="176" t="str">
        <f>Schedule!AD10</f>
        <v>0</v>
      </c>
      <c r="I8" s="176" t="str">
        <f>Schedule!AE10</f>
        <v>0</v>
      </c>
      <c r="J8" s="176" t="str">
        <f>Schedule!AF10</f>
        <v>0</v>
      </c>
      <c r="K8" s="181" t="str">
        <f>Schedule!AG10</f>
        <v>0</v>
      </c>
      <c r="L8" s="181" t="str">
        <f>Schedule!AH10</f>
        <v>0</v>
      </c>
      <c r="M8" s="178"/>
      <c r="N8" s="183" t="str">
        <f>Schedule!AI10</f>
        <v>0</v>
      </c>
      <c r="O8" s="176" t="str">
        <f>Schedule!AJ10</f>
        <v>0</v>
      </c>
      <c r="P8" s="176" t="str">
        <f>Schedule!AK10</f>
        <v>0</v>
      </c>
      <c r="Q8" s="176" t="str">
        <f>Schedule!AL10</f>
        <v>0</v>
      </c>
      <c r="R8" s="176" t="str">
        <f>Schedule!AM10</f>
        <v>0</v>
      </c>
      <c r="S8" s="176" t="str">
        <f>Schedule!AN10</f>
        <v>0</v>
      </c>
      <c r="T8" s="176" t="str">
        <f>Schedule!AO10</f>
        <v>0</v>
      </c>
      <c r="U8" s="176" t="str">
        <f>Schedule!AP10</f>
        <v>0</v>
      </c>
      <c r="V8" s="176" t="str">
        <f>Schedule!AQ10</f>
        <v>0</v>
      </c>
      <c r="W8" s="178"/>
      <c r="X8" s="176" t="str">
        <f>Schedule!AR10</f>
        <v>0</v>
      </c>
      <c r="Y8" s="176" t="str">
        <f>Schedule!AS10</f>
        <v>0</v>
      </c>
      <c r="Z8" s="176" t="str">
        <f>Schedule!AT10</f>
        <v>0</v>
      </c>
      <c r="AA8" s="176" t="str">
        <f>Schedule!AU10</f>
        <v>0</v>
      </c>
      <c r="AB8" s="176" t="str">
        <f>Schedule!AV10</f>
        <v>0</v>
      </c>
      <c r="AC8" s="176" t="str">
        <f>Schedule!AW10</f>
        <v>0</v>
      </c>
      <c r="AD8" s="176" t="str">
        <f>Schedule!AX10</f>
        <v>0</v>
      </c>
      <c r="AE8" s="176" t="str">
        <f>Schedule!AY10</f>
        <v>0</v>
      </c>
      <c r="AF8" s="176" t="str">
        <f>Schedule!AZ10</f>
        <v>0</v>
      </c>
      <c r="AG8" s="178"/>
      <c r="AH8" s="176" t="str">
        <f>Schedule!BA10</f>
        <v>0</v>
      </c>
      <c r="AI8" s="176" t="str">
        <f>Schedule!BB10</f>
        <v>0</v>
      </c>
      <c r="AJ8" s="176" t="str">
        <f>Schedule!BC10</f>
        <v>0</v>
      </c>
      <c r="AK8" s="176" t="str">
        <f>Schedule!BD10</f>
        <v>0</v>
      </c>
      <c r="AL8" s="176" t="str">
        <f>Schedule!BE10</f>
        <v>0</v>
      </c>
      <c r="AM8" s="176" t="str">
        <f>Schedule!BF10</f>
        <v>0</v>
      </c>
      <c r="AN8" s="176" t="str">
        <f>Schedule!BG10</f>
        <v>0</v>
      </c>
      <c r="AO8" s="176" t="str">
        <f>Schedule!BH10</f>
        <v>0</v>
      </c>
      <c r="AP8" s="176" t="str">
        <f>Schedule!BI10</f>
        <v>0</v>
      </c>
      <c r="AQ8" s="178"/>
      <c r="AR8" s="176" t="str">
        <f>Schedule!BJ10</f>
        <v>0</v>
      </c>
      <c r="AS8" s="176" t="str">
        <f>Schedule!BK10</f>
        <v>0</v>
      </c>
      <c r="AT8" s="176" t="str">
        <f>Schedule!BL10</f>
        <v>0</v>
      </c>
      <c r="AU8" s="176" t="str">
        <f>Schedule!BM10</f>
        <v>0</v>
      </c>
      <c r="AV8" s="176" t="str">
        <f>Schedule!BN10</f>
        <v>0</v>
      </c>
      <c r="AW8" s="176" t="str">
        <f>Schedule!BO10</f>
        <v>0</v>
      </c>
      <c r="AX8" s="176" t="str">
        <f>Schedule!BP10</f>
        <v>0</v>
      </c>
      <c r="AY8" s="176" t="str">
        <f>Schedule!BQ10</f>
        <v>0</v>
      </c>
      <c r="AZ8" s="176" t="str">
        <f>Schedule!BR10</f>
        <v>0</v>
      </c>
      <c r="BA8" s="178"/>
      <c r="BB8" s="176" t="str">
        <f>Schedule!BS10</f>
        <v>0</v>
      </c>
      <c r="BC8" s="176" t="str">
        <f>Schedule!BT10</f>
        <v>0</v>
      </c>
      <c r="BD8" s="176" t="str">
        <f>Schedule!BU10</f>
        <v>0</v>
      </c>
      <c r="BE8" s="176" t="str">
        <f>Schedule!BV10</f>
        <v>0</v>
      </c>
      <c r="BF8" s="176" t="str">
        <f>Schedule!BW10</f>
        <v>0</v>
      </c>
      <c r="BG8" s="176" t="str">
        <f>Schedule!BX10</f>
        <v>0</v>
      </c>
      <c r="BH8" s="176" t="str">
        <f>Schedule!BY10</f>
        <v>0</v>
      </c>
      <c r="BI8" s="176" t="str">
        <f>Schedule!BZ10</f>
        <v>0</v>
      </c>
      <c r="BJ8" s="176" t="str">
        <f>Schedule!CA10</f>
        <v>0</v>
      </c>
      <c r="BK8" s="178"/>
      <c r="BL8" s="176" t="str">
        <f>Schedule!CB10</f>
        <v>0</v>
      </c>
      <c r="BM8" s="176" t="str">
        <f>Schedule!CC10</f>
        <v>0</v>
      </c>
      <c r="BN8" s="176" t="str">
        <f>Schedule!CD10</f>
        <v>0</v>
      </c>
      <c r="BO8" s="176" t="str">
        <f>Schedule!CE10</f>
        <v>0</v>
      </c>
      <c r="BP8" s="176" t="str">
        <f>Schedule!CF10</f>
        <v>0</v>
      </c>
      <c r="BQ8" s="176" t="str">
        <f>Schedule!CG10</f>
        <v>0</v>
      </c>
      <c r="BR8" s="176" t="str">
        <f>Schedule!CH10</f>
        <v>0</v>
      </c>
      <c r="BS8" s="176" t="str">
        <f>Schedule!CI10</f>
        <v>0</v>
      </c>
      <c r="BT8" s="176" t="str">
        <f>Schedule!CJ10</f>
        <v>0</v>
      </c>
      <c r="BU8" s="178"/>
      <c r="BV8" s="176" t="str">
        <f>Schedule!CK10</f>
        <v>0</v>
      </c>
      <c r="BW8" s="176" t="str">
        <f>Schedule!CL10</f>
        <v>0</v>
      </c>
      <c r="BX8" s="176" t="str">
        <f>Schedule!CM10</f>
        <v>0</v>
      </c>
      <c r="BY8" s="176" t="str">
        <f>Schedule!CN10</f>
        <v>0</v>
      </c>
      <c r="BZ8" s="176" t="str">
        <f>Schedule!CO10</f>
        <v>0</v>
      </c>
      <c r="CA8" s="176" t="str">
        <f>Schedule!CP10</f>
        <v>0</v>
      </c>
      <c r="CB8" s="176" t="str">
        <f>Schedule!CQ10</f>
        <v>0</v>
      </c>
      <c r="CC8" s="176" t="str">
        <f>Schedule!CR10</f>
        <v>0</v>
      </c>
      <c r="CD8" s="176" t="str">
        <f>Schedule!CS10</f>
        <v>0</v>
      </c>
      <c r="CE8" s="178"/>
      <c r="CF8" s="176" t="str">
        <f>Schedule!CT10</f>
        <v>0</v>
      </c>
      <c r="CG8" s="176" t="str">
        <f>Schedule!CU10</f>
        <v>0</v>
      </c>
      <c r="CH8" s="176" t="str">
        <f>Schedule!CV10</f>
        <v>0</v>
      </c>
      <c r="CI8" s="176" t="str">
        <f>Schedule!CW10</f>
        <v>0</v>
      </c>
      <c r="CJ8" s="176" t="str">
        <f>Schedule!CX10</f>
        <v>0</v>
      </c>
      <c r="CK8" s="176" t="str">
        <f>Schedule!CY10</f>
        <v>0</v>
      </c>
      <c r="CL8" s="176" t="str">
        <f>Schedule!CZ10</f>
        <v>0</v>
      </c>
      <c r="CM8" s="176" t="str">
        <f>Schedule!DA10</f>
        <v>0</v>
      </c>
      <c r="CN8" s="176" t="str">
        <f>Schedule!DB10</f>
        <v>0</v>
      </c>
      <c r="CO8" s="178"/>
      <c r="CP8" s="176" t="str">
        <f>Schedule!DC10</f>
        <v>0</v>
      </c>
      <c r="CQ8" s="176" t="str">
        <f>Schedule!DD10</f>
        <v>0</v>
      </c>
      <c r="CR8" s="176" t="str">
        <f>Schedule!DE10</f>
        <v>0</v>
      </c>
      <c r="CS8" s="176" t="str">
        <f>Schedule!DF10</f>
        <v>0</v>
      </c>
      <c r="CT8" s="176" t="str">
        <f>Schedule!DG10</f>
        <v>0</v>
      </c>
      <c r="CU8" s="176" t="str">
        <f>Schedule!DH10</f>
        <v>0</v>
      </c>
      <c r="CV8" s="176" t="str">
        <f>Schedule!DI10</f>
        <v>0</v>
      </c>
      <c r="CW8" s="176" t="str">
        <f>Schedule!DJ10</f>
        <v>0</v>
      </c>
      <c r="CX8" s="176" t="str">
        <f>Schedule!DK10</f>
        <v>0</v>
      </c>
      <c r="CY8" s="178"/>
      <c r="CZ8" s="176" t="str">
        <f>Schedule!DL10</f>
        <v>0</v>
      </c>
      <c r="DA8" s="176" t="str">
        <f>Schedule!DM10</f>
        <v>0</v>
      </c>
      <c r="DB8" s="176" t="str">
        <f>Schedule!DN10</f>
        <v>0</v>
      </c>
      <c r="DC8" s="176" t="str">
        <f>Schedule!DO10</f>
        <v>0</v>
      </c>
      <c r="DD8" s="176" t="str">
        <f>Schedule!DP10</f>
        <v>0</v>
      </c>
      <c r="DE8" s="176" t="str">
        <f>Schedule!DQ10</f>
        <v>0</v>
      </c>
      <c r="DF8" s="176" t="str">
        <f>Schedule!DR10</f>
        <v>0</v>
      </c>
      <c r="DG8" s="176" t="str">
        <f>Schedule!DS10</f>
        <v>0</v>
      </c>
      <c r="DH8" s="176" t="str">
        <f>Schedule!DT10</f>
        <v>0</v>
      </c>
      <c r="DI8" s="178"/>
      <c r="DJ8" s="176" t="str">
        <f>Schedule!DU10</f>
        <v>0</v>
      </c>
      <c r="DK8" s="176" t="str">
        <f>Schedule!DV10</f>
        <v>0</v>
      </c>
      <c r="DL8" s="176" t="str">
        <f>Schedule!DW10</f>
        <v>0</v>
      </c>
      <c r="DM8" s="176" t="str">
        <f>Schedule!DX10</f>
        <v>0</v>
      </c>
      <c r="DN8" s="176" t="str">
        <f>Schedule!DY10</f>
        <v>0</v>
      </c>
      <c r="DO8" s="176" t="str">
        <f>Schedule!DZ10</f>
        <v>0</v>
      </c>
      <c r="DP8" s="176" t="str">
        <f>Schedule!EA10</f>
        <v>0</v>
      </c>
      <c r="DQ8" s="176" t="str">
        <f>Schedule!EB10</f>
        <v>0</v>
      </c>
      <c r="DR8" s="176" t="str">
        <f>Schedule!EC10</f>
        <v>0</v>
      </c>
      <c r="DS8" s="178"/>
      <c r="DT8" s="176" t="str">
        <f>Schedule!ED10</f>
        <v>0</v>
      </c>
      <c r="DU8" s="176" t="str">
        <f>Schedule!EE10</f>
        <v>0</v>
      </c>
      <c r="DV8" s="176" t="str">
        <f>Schedule!EF10</f>
        <v>0</v>
      </c>
      <c r="DW8" s="176" t="str">
        <f>Schedule!EG10</f>
        <v>0</v>
      </c>
      <c r="DX8" s="176" t="str">
        <f>Schedule!EH10</f>
        <v>0</v>
      </c>
      <c r="DY8" s="176" t="str">
        <f>Schedule!EI10</f>
        <v>0</v>
      </c>
      <c r="DZ8" s="176" t="str">
        <f>Schedule!EJ10</f>
        <v>0</v>
      </c>
      <c r="EA8" s="176" t="str">
        <f>Schedule!EK10</f>
        <v>0</v>
      </c>
      <c r="EB8" s="176" t="str">
        <f>Schedule!EL10</f>
        <v>0</v>
      </c>
      <c r="EC8" s="178"/>
      <c r="ED8" s="176" t="str">
        <f>Schedule!EM10</f>
        <v>0</v>
      </c>
      <c r="EE8" s="176" t="str">
        <f>Schedule!EN10</f>
        <v>0</v>
      </c>
      <c r="EF8" s="176" t="str">
        <f>Schedule!EO10</f>
        <v>0</v>
      </c>
      <c r="EG8" s="176" t="str">
        <f>Schedule!EP10</f>
        <v>0</v>
      </c>
      <c r="EH8" s="176" t="str">
        <f>Schedule!EQ10</f>
        <v>0</v>
      </c>
      <c r="EI8" s="176" t="str">
        <f>Schedule!ER10</f>
        <v>0</v>
      </c>
      <c r="EJ8" s="176" t="str">
        <f>Schedule!ES10</f>
        <v>0</v>
      </c>
      <c r="EK8" s="176" t="str">
        <f>Schedule!ET10</f>
        <v>0</v>
      </c>
      <c r="EL8" s="176" t="str">
        <f>Schedule!EU10</f>
        <v>0</v>
      </c>
      <c r="EM8" s="178"/>
      <c r="EN8" s="176" t="str">
        <f>Schedule!EV10</f>
        <v>0</v>
      </c>
      <c r="EO8" s="176" t="str">
        <f>Schedule!EW10</f>
        <v>0</v>
      </c>
      <c r="EP8" s="176" t="str">
        <f>Schedule!EX10</f>
        <v>0</v>
      </c>
      <c r="EQ8" s="176" t="str">
        <f>Schedule!EY10</f>
        <v>0</v>
      </c>
      <c r="ER8" s="176" t="str">
        <f>Schedule!EZ10</f>
        <v>0</v>
      </c>
      <c r="ES8" s="176" t="str">
        <f>Schedule!FA10</f>
        <v>0</v>
      </c>
      <c r="ET8" s="176" t="str">
        <f>Schedule!FB10</f>
        <v>0</v>
      </c>
      <c r="EU8" s="176" t="str">
        <f>Schedule!FC10</f>
        <v>0</v>
      </c>
      <c r="EV8" s="176" t="str">
        <f>Schedule!FD10</f>
        <v>0</v>
      </c>
      <c r="EW8" s="178"/>
      <c r="EX8" s="176" t="str">
        <f>Schedule!FE10</f>
        <v>0</v>
      </c>
      <c r="EY8" s="176" t="str">
        <f>Schedule!FF10</f>
        <v>0</v>
      </c>
      <c r="EZ8" s="176" t="str">
        <f>Schedule!FG10</f>
        <v>0</v>
      </c>
      <c r="FA8" s="176" t="str">
        <f>Schedule!FH10</f>
        <v>0</v>
      </c>
      <c r="FB8" s="176" t="str">
        <f>Schedule!FI10</f>
        <v>0</v>
      </c>
      <c r="FC8" s="176" t="str">
        <f>Schedule!FJ10</f>
        <v>0</v>
      </c>
      <c r="FD8" s="176" t="str">
        <f>Schedule!FK10</f>
        <v>0</v>
      </c>
      <c r="FE8" s="176" t="str">
        <f>Schedule!FL10</f>
        <v>0</v>
      </c>
      <c r="FF8" s="176" t="str">
        <f>Schedule!FM10</f>
        <v>0</v>
      </c>
      <c r="FG8" s="178"/>
      <c r="FH8" s="176" t="str">
        <f>Schedule!FN10</f>
        <v>0</v>
      </c>
      <c r="FI8" s="176" t="str">
        <f>Schedule!FO10</f>
        <v>0</v>
      </c>
      <c r="FJ8" s="176" t="str">
        <f>Schedule!FP10</f>
        <v>0</v>
      </c>
      <c r="FK8" s="176" t="str">
        <f>Schedule!FQ10</f>
        <v>0</v>
      </c>
      <c r="FL8" s="176" t="str">
        <f>Schedule!FR10</f>
        <v>0</v>
      </c>
      <c r="FM8" s="176" t="str">
        <f>Schedule!FS10</f>
        <v>0</v>
      </c>
      <c r="FN8" s="176" t="str">
        <f>Schedule!FT10</f>
        <v>0</v>
      </c>
      <c r="FO8" s="176" t="str">
        <f>Schedule!FU10</f>
        <v>0</v>
      </c>
      <c r="FP8" s="176" t="str">
        <f>Schedule!FV10</f>
        <v>0</v>
      </c>
      <c r="FQ8" s="178"/>
      <c r="FR8" s="176" t="str">
        <f>Schedule!FW10</f>
        <v>0</v>
      </c>
      <c r="FS8" s="176" t="str">
        <f>Schedule!FX10</f>
        <v>0</v>
      </c>
      <c r="FT8" s="176" t="str">
        <f>Schedule!FY10</f>
        <v>0</v>
      </c>
      <c r="FU8" s="176" t="str">
        <f>Schedule!FZ10</f>
        <v>0</v>
      </c>
      <c r="FV8" s="176" t="str">
        <f>Schedule!GA10</f>
        <v>0</v>
      </c>
      <c r="FW8" s="176" t="str">
        <f>Schedule!GB10</f>
        <v>0</v>
      </c>
      <c r="FX8" s="176" t="str">
        <f>Schedule!GC10</f>
        <v>0</v>
      </c>
      <c r="FY8" s="176" t="str">
        <f>Schedule!GD10</f>
        <v>0</v>
      </c>
      <c r="FZ8" s="176" t="str">
        <f>Schedule!GE10</f>
        <v>0</v>
      </c>
      <c r="GA8" s="178"/>
      <c r="GB8" s="176" t="str">
        <f>Schedule!GF10</f>
        <v>0</v>
      </c>
      <c r="GC8" s="176" t="str">
        <f>Schedule!GG10</f>
        <v>0</v>
      </c>
      <c r="GD8" s="176" t="str">
        <f>Schedule!GH10</f>
        <v>0</v>
      </c>
      <c r="GE8" s="176" t="str">
        <f>Schedule!GI10</f>
        <v>0</v>
      </c>
      <c r="GF8" s="176" t="str">
        <f>Schedule!GJ10</f>
        <v>0</v>
      </c>
      <c r="GG8" s="176" t="str">
        <f>Schedule!GK10</f>
        <v>0</v>
      </c>
      <c r="GH8" s="176" t="str">
        <f>Schedule!GL10</f>
        <v>0</v>
      </c>
      <c r="GI8" s="176" t="str">
        <f>Schedule!GM10</f>
        <v>0</v>
      </c>
      <c r="GJ8" s="176" t="str">
        <f>Schedule!GN10</f>
        <v>0</v>
      </c>
      <c r="GK8" s="178"/>
      <c r="GL8" s="176" t="str">
        <f>Schedule!GO10</f>
        <v>0</v>
      </c>
      <c r="GM8" s="176" t="str">
        <f>Schedule!GP10</f>
        <v>0</v>
      </c>
      <c r="GN8" s="176" t="str">
        <f>Schedule!GQ10</f>
        <v>0</v>
      </c>
      <c r="GO8" s="176" t="str">
        <f>Schedule!GR10</f>
        <v>0</v>
      </c>
      <c r="GP8" s="176" t="str">
        <f>Schedule!GS10</f>
        <v>0</v>
      </c>
      <c r="GQ8" s="176" t="str">
        <f>Schedule!GT10</f>
        <v>0</v>
      </c>
      <c r="GR8" s="176" t="str">
        <f>Schedule!GU10</f>
        <v>0</v>
      </c>
      <c r="GS8" s="176" t="str">
        <f>Schedule!GV10</f>
        <v>0</v>
      </c>
      <c r="GT8" s="176" t="str">
        <f>Schedule!GW10</f>
        <v>0</v>
      </c>
      <c r="GW8" s="227"/>
    </row>
    <row r="9" spans="2:205" ht="15.75" customHeight="1">
      <c r="B9" s="269"/>
      <c r="C9" s="159">
        <f>Schedule!C11</f>
        <v>0</v>
      </c>
      <c r="D9" s="176" t="str">
        <f>Schedule!Z11</f>
        <v>0</v>
      </c>
      <c r="E9" s="176" t="str">
        <f>Schedule!AA11</f>
        <v>0</v>
      </c>
      <c r="F9" s="176" t="str">
        <f>Schedule!AB11</f>
        <v>0</v>
      </c>
      <c r="G9" s="176" t="str">
        <f>Schedule!AC11</f>
        <v>0</v>
      </c>
      <c r="H9" s="176" t="str">
        <f>Schedule!AD11</f>
        <v>0</v>
      </c>
      <c r="I9" s="176" t="str">
        <f>Schedule!AE11</f>
        <v>0</v>
      </c>
      <c r="J9" s="176" t="str">
        <f>Schedule!AF11</f>
        <v>0</v>
      </c>
      <c r="K9" s="181" t="str">
        <f>Schedule!AG11</f>
        <v>0</v>
      </c>
      <c r="L9" s="181" t="str">
        <f>Schedule!AH11</f>
        <v>0</v>
      </c>
      <c r="M9" s="178"/>
      <c r="N9" s="183" t="str">
        <f>Schedule!AI11</f>
        <v>0</v>
      </c>
      <c r="O9" s="176" t="str">
        <f>Schedule!AJ11</f>
        <v>0</v>
      </c>
      <c r="P9" s="176" t="str">
        <f>Schedule!AK11</f>
        <v>0</v>
      </c>
      <c r="Q9" s="176" t="str">
        <f>Schedule!AL11</f>
        <v>0</v>
      </c>
      <c r="R9" s="176" t="str">
        <f>Schedule!AM11</f>
        <v>0</v>
      </c>
      <c r="S9" s="176" t="str">
        <f>Schedule!AN11</f>
        <v>0</v>
      </c>
      <c r="T9" s="176" t="str">
        <f>Schedule!AO11</f>
        <v>0</v>
      </c>
      <c r="U9" s="176" t="str">
        <f>Schedule!AP11</f>
        <v>0</v>
      </c>
      <c r="V9" s="176" t="str">
        <f>Schedule!AQ11</f>
        <v>0</v>
      </c>
      <c r="W9" s="178"/>
      <c r="X9" s="176" t="str">
        <f>Schedule!AR11</f>
        <v>0</v>
      </c>
      <c r="Y9" s="176" t="str">
        <f>Schedule!AS11</f>
        <v>0</v>
      </c>
      <c r="Z9" s="176" t="str">
        <f>Schedule!AT11</f>
        <v>0</v>
      </c>
      <c r="AA9" s="176" t="str">
        <f>Schedule!AU11</f>
        <v>0</v>
      </c>
      <c r="AB9" s="176" t="str">
        <f>Schedule!AV11</f>
        <v>0</v>
      </c>
      <c r="AC9" s="176" t="str">
        <f>Schedule!AW11</f>
        <v>0</v>
      </c>
      <c r="AD9" s="176" t="str">
        <f>Schedule!AX11</f>
        <v>0</v>
      </c>
      <c r="AE9" s="176" t="str">
        <f>Schedule!AY11</f>
        <v>0</v>
      </c>
      <c r="AF9" s="176" t="str">
        <f>Schedule!AZ11</f>
        <v>0</v>
      </c>
      <c r="AG9" s="178"/>
      <c r="AH9" s="176" t="str">
        <f>Schedule!BA11</f>
        <v>0</v>
      </c>
      <c r="AI9" s="176" t="str">
        <f>Schedule!BB11</f>
        <v>0</v>
      </c>
      <c r="AJ9" s="176" t="str">
        <f>Schedule!BC11</f>
        <v>0</v>
      </c>
      <c r="AK9" s="176" t="str">
        <f>Schedule!BD11</f>
        <v>0</v>
      </c>
      <c r="AL9" s="176" t="str">
        <f>Schedule!BE11</f>
        <v>0</v>
      </c>
      <c r="AM9" s="176" t="str">
        <f>Schedule!BF11</f>
        <v>0</v>
      </c>
      <c r="AN9" s="176" t="str">
        <f>Schedule!BG11</f>
        <v>0</v>
      </c>
      <c r="AO9" s="176" t="str">
        <f>Schedule!BH11</f>
        <v>0</v>
      </c>
      <c r="AP9" s="176" t="str">
        <f>Schedule!BI11</f>
        <v>0</v>
      </c>
      <c r="AQ9" s="178"/>
      <c r="AR9" s="176" t="str">
        <f>Schedule!BJ11</f>
        <v>0</v>
      </c>
      <c r="AS9" s="176" t="str">
        <f>Schedule!BK11</f>
        <v>0</v>
      </c>
      <c r="AT9" s="176" t="str">
        <f>Schedule!BL11</f>
        <v>0</v>
      </c>
      <c r="AU9" s="176" t="str">
        <f>Schedule!BM11</f>
        <v>0</v>
      </c>
      <c r="AV9" s="176" t="str">
        <f>Schedule!BN11</f>
        <v>0</v>
      </c>
      <c r="AW9" s="176" t="str">
        <f>Schedule!BO11</f>
        <v>0</v>
      </c>
      <c r="AX9" s="176" t="str">
        <f>Schedule!BP11</f>
        <v>0</v>
      </c>
      <c r="AY9" s="176" t="str">
        <f>Schedule!BQ11</f>
        <v>0</v>
      </c>
      <c r="AZ9" s="176" t="str">
        <f>Schedule!BR11</f>
        <v>0</v>
      </c>
      <c r="BA9" s="178"/>
      <c r="BB9" s="176" t="str">
        <f>Schedule!BS11</f>
        <v>0</v>
      </c>
      <c r="BC9" s="176" t="str">
        <f>Schedule!BT11</f>
        <v>0</v>
      </c>
      <c r="BD9" s="176" t="str">
        <f>Schedule!BU11</f>
        <v>0</v>
      </c>
      <c r="BE9" s="176" t="str">
        <f>Schedule!BV11</f>
        <v>0</v>
      </c>
      <c r="BF9" s="176" t="str">
        <f>Schedule!BW11</f>
        <v>0</v>
      </c>
      <c r="BG9" s="176" t="str">
        <f>Schedule!BX11</f>
        <v>0</v>
      </c>
      <c r="BH9" s="176" t="str">
        <f>Schedule!BY11</f>
        <v>0</v>
      </c>
      <c r="BI9" s="176" t="str">
        <f>Schedule!BZ11</f>
        <v>0</v>
      </c>
      <c r="BJ9" s="176" t="str">
        <f>Schedule!CA11</f>
        <v>0</v>
      </c>
      <c r="BK9" s="178"/>
      <c r="BL9" s="176" t="str">
        <f>Schedule!CB11</f>
        <v>0</v>
      </c>
      <c r="BM9" s="176" t="str">
        <f>Schedule!CC11</f>
        <v>0</v>
      </c>
      <c r="BN9" s="176" t="str">
        <f>Schedule!CD11</f>
        <v>0</v>
      </c>
      <c r="BO9" s="176" t="str">
        <f>Schedule!CE11</f>
        <v>0</v>
      </c>
      <c r="BP9" s="176" t="str">
        <f>Schedule!CF11</f>
        <v>0</v>
      </c>
      <c r="BQ9" s="176" t="str">
        <f>Schedule!CG11</f>
        <v>0</v>
      </c>
      <c r="BR9" s="176" t="str">
        <f>Schedule!CH11</f>
        <v>0</v>
      </c>
      <c r="BS9" s="176" t="str">
        <f>Schedule!CI11</f>
        <v>0</v>
      </c>
      <c r="BT9" s="176" t="str">
        <f>Schedule!CJ11</f>
        <v>0</v>
      </c>
      <c r="BU9" s="178"/>
      <c r="BV9" s="176" t="str">
        <f>Schedule!CK11</f>
        <v>0</v>
      </c>
      <c r="BW9" s="176" t="str">
        <f>Schedule!CL11</f>
        <v>0</v>
      </c>
      <c r="BX9" s="176" t="str">
        <f>Schedule!CM11</f>
        <v>0</v>
      </c>
      <c r="BY9" s="176" t="str">
        <f>Schedule!CN11</f>
        <v>0</v>
      </c>
      <c r="BZ9" s="176" t="str">
        <f>Schedule!CO11</f>
        <v>0</v>
      </c>
      <c r="CA9" s="176" t="str">
        <f>Schedule!CP11</f>
        <v>0</v>
      </c>
      <c r="CB9" s="176" t="str">
        <f>Schedule!CQ11</f>
        <v>0</v>
      </c>
      <c r="CC9" s="176" t="str">
        <f>Schedule!CR11</f>
        <v>0</v>
      </c>
      <c r="CD9" s="176" t="str">
        <f>Schedule!CS11</f>
        <v>0</v>
      </c>
      <c r="CE9" s="178"/>
      <c r="CF9" s="176" t="str">
        <f>Schedule!CT11</f>
        <v>0</v>
      </c>
      <c r="CG9" s="176" t="str">
        <f>Schedule!CU11</f>
        <v>0</v>
      </c>
      <c r="CH9" s="176" t="str">
        <f>Schedule!CV11</f>
        <v>0</v>
      </c>
      <c r="CI9" s="176" t="str">
        <f>Schedule!CW11</f>
        <v>0</v>
      </c>
      <c r="CJ9" s="176" t="str">
        <f>Schedule!CX11</f>
        <v>0</v>
      </c>
      <c r="CK9" s="176" t="str">
        <f>Schedule!CY11</f>
        <v>0</v>
      </c>
      <c r="CL9" s="176" t="str">
        <f>Schedule!CZ11</f>
        <v>0</v>
      </c>
      <c r="CM9" s="176" t="str">
        <f>Schedule!DA11</f>
        <v>0</v>
      </c>
      <c r="CN9" s="176" t="str">
        <f>Schedule!DB11</f>
        <v>0</v>
      </c>
      <c r="CO9" s="178"/>
      <c r="CP9" s="176" t="str">
        <f>Schedule!DC11</f>
        <v>0</v>
      </c>
      <c r="CQ9" s="176" t="str">
        <f>Schedule!DD11</f>
        <v>0</v>
      </c>
      <c r="CR9" s="176" t="str">
        <f>Schedule!DE11</f>
        <v>0</v>
      </c>
      <c r="CS9" s="176" t="str">
        <f>Schedule!DF11</f>
        <v>0</v>
      </c>
      <c r="CT9" s="176" t="str">
        <f>Schedule!DG11</f>
        <v>0</v>
      </c>
      <c r="CU9" s="176" t="str">
        <f>Schedule!DH11</f>
        <v>0</v>
      </c>
      <c r="CV9" s="176" t="str">
        <f>Schedule!DI11</f>
        <v>0</v>
      </c>
      <c r="CW9" s="176" t="str">
        <f>Schedule!DJ11</f>
        <v>0</v>
      </c>
      <c r="CX9" s="176" t="str">
        <f>Schedule!DK11</f>
        <v>0</v>
      </c>
      <c r="CY9" s="178"/>
      <c r="CZ9" s="176" t="str">
        <f>Schedule!DL11</f>
        <v>0</v>
      </c>
      <c r="DA9" s="176" t="str">
        <f>Schedule!DM11</f>
        <v>0</v>
      </c>
      <c r="DB9" s="176" t="str">
        <f>Schedule!DN11</f>
        <v>0</v>
      </c>
      <c r="DC9" s="176" t="str">
        <f>Schedule!DO11</f>
        <v>0</v>
      </c>
      <c r="DD9" s="176" t="str">
        <f>Schedule!DP11</f>
        <v>0</v>
      </c>
      <c r="DE9" s="176" t="str">
        <f>Schedule!DQ11</f>
        <v>0</v>
      </c>
      <c r="DF9" s="176" t="str">
        <f>Schedule!DR11</f>
        <v>0</v>
      </c>
      <c r="DG9" s="176" t="str">
        <f>Schedule!DS11</f>
        <v>0</v>
      </c>
      <c r="DH9" s="176" t="str">
        <f>Schedule!DT11</f>
        <v>0</v>
      </c>
      <c r="DI9" s="178"/>
      <c r="DJ9" s="176" t="str">
        <f>Schedule!DU11</f>
        <v>0</v>
      </c>
      <c r="DK9" s="176" t="str">
        <f>Schedule!DV11</f>
        <v>0</v>
      </c>
      <c r="DL9" s="176" t="str">
        <f>Schedule!DW11</f>
        <v>0</v>
      </c>
      <c r="DM9" s="176" t="str">
        <f>Schedule!DX11</f>
        <v>0</v>
      </c>
      <c r="DN9" s="176" t="str">
        <f>Schedule!DY11</f>
        <v>0</v>
      </c>
      <c r="DO9" s="176" t="str">
        <f>Schedule!DZ11</f>
        <v>0</v>
      </c>
      <c r="DP9" s="176" t="str">
        <f>Schedule!EA11</f>
        <v>0</v>
      </c>
      <c r="DQ9" s="176" t="str">
        <f>Schedule!EB11</f>
        <v>0</v>
      </c>
      <c r="DR9" s="176" t="str">
        <f>Schedule!EC11</f>
        <v>0</v>
      </c>
      <c r="DS9" s="178"/>
      <c r="DT9" s="176" t="str">
        <f>Schedule!ED11</f>
        <v>0</v>
      </c>
      <c r="DU9" s="176" t="str">
        <f>Schedule!EE11</f>
        <v>0</v>
      </c>
      <c r="DV9" s="176" t="str">
        <f>Schedule!EF11</f>
        <v>0</v>
      </c>
      <c r="DW9" s="176" t="str">
        <f>Schedule!EG11</f>
        <v>0</v>
      </c>
      <c r="DX9" s="176" t="str">
        <f>Schedule!EH11</f>
        <v>0</v>
      </c>
      <c r="DY9" s="176" t="str">
        <f>Schedule!EI11</f>
        <v>0</v>
      </c>
      <c r="DZ9" s="176" t="str">
        <f>Schedule!EJ11</f>
        <v>0</v>
      </c>
      <c r="EA9" s="176" t="str">
        <f>Schedule!EK11</f>
        <v>0</v>
      </c>
      <c r="EB9" s="176" t="str">
        <f>Schedule!EL11</f>
        <v>0</v>
      </c>
      <c r="EC9" s="178"/>
      <c r="ED9" s="176" t="str">
        <f>Schedule!EM11</f>
        <v>0</v>
      </c>
      <c r="EE9" s="176" t="str">
        <f>Schedule!EN11</f>
        <v>0</v>
      </c>
      <c r="EF9" s="176" t="str">
        <f>Schedule!EO11</f>
        <v>0</v>
      </c>
      <c r="EG9" s="176" t="str">
        <f>Schedule!EP11</f>
        <v>0</v>
      </c>
      <c r="EH9" s="176" t="str">
        <f>Schedule!EQ11</f>
        <v>0</v>
      </c>
      <c r="EI9" s="176" t="str">
        <f>Schedule!ER11</f>
        <v>0</v>
      </c>
      <c r="EJ9" s="176" t="str">
        <f>Schedule!ES11</f>
        <v>0</v>
      </c>
      <c r="EK9" s="176" t="str">
        <f>Schedule!ET11</f>
        <v>0</v>
      </c>
      <c r="EL9" s="176" t="str">
        <f>Schedule!EU11</f>
        <v>0</v>
      </c>
      <c r="EM9" s="178"/>
      <c r="EN9" s="176" t="str">
        <f>Schedule!EV11</f>
        <v>0</v>
      </c>
      <c r="EO9" s="176" t="str">
        <f>Schedule!EW11</f>
        <v>0</v>
      </c>
      <c r="EP9" s="176" t="str">
        <f>Schedule!EX11</f>
        <v>0</v>
      </c>
      <c r="EQ9" s="176" t="str">
        <f>Schedule!EY11</f>
        <v>0</v>
      </c>
      <c r="ER9" s="176" t="str">
        <f>Schedule!EZ11</f>
        <v>0</v>
      </c>
      <c r="ES9" s="176" t="str">
        <f>Schedule!FA11</f>
        <v>0</v>
      </c>
      <c r="ET9" s="176" t="str">
        <f>Schedule!FB11</f>
        <v>0</v>
      </c>
      <c r="EU9" s="176" t="str">
        <f>Schedule!FC11</f>
        <v>0</v>
      </c>
      <c r="EV9" s="176" t="str">
        <f>Schedule!FD11</f>
        <v>0</v>
      </c>
      <c r="EW9" s="178"/>
      <c r="EX9" s="176" t="str">
        <f>Schedule!FE11</f>
        <v>0</v>
      </c>
      <c r="EY9" s="176" t="str">
        <f>Schedule!FF11</f>
        <v>0</v>
      </c>
      <c r="EZ9" s="176" t="str">
        <f>Schedule!FG11</f>
        <v>0</v>
      </c>
      <c r="FA9" s="176" t="str">
        <f>Schedule!FH11</f>
        <v>0</v>
      </c>
      <c r="FB9" s="176" t="str">
        <f>Schedule!FI11</f>
        <v>0</v>
      </c>
      <c r="FC9" s="176" t="str">
        <f>Schedule!FJ11</f>
        <v>0</v>
      </c>
      <c r="FD9" s="176" t="str">
        <f>Schedule!FK11</f>
        <v>0</v>
      </c>
      <c r="FE9" s="176" t="str">
        <f>Schedule!FL11</f>
        <v>0</v>
      </c>
      <c r="FF9" s="176" t="str">
        <f>Schedule!FM11</f>
        <v>0</v>
      </c>
      <c r="FG9" s="178"/>
      <c r="FH9" s="176" t="str">
        <f>Schedule!FN11</f>
        <v>0</v>
      </c>
      <c r="FI9" s="176" t="str">
        <f>Schedule!FO11</f>
        <v>0</v>
      </c>
      <c r="FJ9" s="176" t="str">
        <f>Schedule!FP11</f>
        <v>0</v>
      </c>
      <c r="FK9" s="176" t="str">
        <f>Schedule!FQ11</f>
        <v>0</v>
      </c>
      <c r="FL9" s="176" t="str">
        <f>Schedule!FR11</f>
        <v>0</v>
      </c>
      <c r="FM9" s="176" t="str">
        <f>Schedule!FS11</f>
        <v>0</v>
      </c>
      <c r="FN9" s="176" t="str">
        <f>Schedule!FT11</f>
        <v>0</v>
      </c>
      <c r="FO9" s="176" t="str">
        <f>Schedule!FU11</f>
        <v>0</v>
      </c>
      <c r="FP9" s="176" t="str">
        <f>Schedule!FV11</f>
        <v>0</v>
      </c>
      <c r="FQ9" s="178"/>
      <c r="FR9" s="176" t="str">
        <f>Schedule!FW11</f>
        <v>0</v>
      </c>
      <c r="FS9" s="176" t="str">
        <f>Schedule!FX11</f>
        <v>0</v>
      </c>
      <c r="FT9" s="176" t="str">
        <f>Schedule!FY11</f>
        <v>0</v>
      </c>
      <c r="FU9" s="176" t="str">
        <f>Schedule!FZ11</f>
        <v>0</v>
      </c>
      <c r="FV9" s="176" t="str">
        <f>Schedule!GA11</f>
        <v>0</v>
      </c>
      <c r="FW9" s="176" t="str">
        <f>Schedule!GB11</f>
        <v>0</v>
      </c>
      <c r="FX9" s="176" t="str">
        <f>Schedule!GC11</f>
        <v>0</v>
      </c>
      <c r="FY9" s="176" t="str">
        <f>Schedule!GD11</f>
        <v>0</v>
      </c>
      <c r="FZ9" s="176" t="str">
        <f>Schedule!GE11</f>
        <v>0</v>
      </c>
      <c r="GA9" s="178"/>
      <c r="GB9" s="176" t="str">
        <f>Schedule!GF11</f>
        <v>0</v>
      </c>
      <c r="GC9" s="176" t="str">
        <f>Schedule!GG11</f>
        <v>0</v>
      </c>
      <c r="GD9" s="176" t="str">
        <f>Schedule!GH11</f>
        <v>0</v>
      </c>
      <c r="GE9" s="176" t="str">
        <f>Schedule!GI11</f>
        <v>0</v>
      </c>
      <c r="GF9" s="176" t="str">
        <f>Schedule!GJ11</f>
        <v>0</v>
      </c>
      <c r="GG9" s="176" t="str">
        <f>Schedule!GK11</f>
        <v>0</v>
      </c>
      <c r="GH9" s="176" t="str">
        <f>Schedule!GL11</f>
        <v>0</v>
      </c>
      <c r="GI9" s="176" t="str">
        <f>Schedule!GM11</f>
        <v>0</v>
      </c>
      <c r="GJ9" s="176" t="str">
        <f>Schedule!GN11</f>
        <v>0</v>
      </c>
      <c r="GK9" s="178"/>
      <c r="GL9" s="176" t="str">
        <f>Schedule!GO11</f>
        <v>0</v>
      </c>
      <c r="GM9" s="176" t="str">
        <f>Schedule!GP11</f>
        <v>0</v>
      </c>
      <c r="GN9" s="176" t="str">
        <f>Schedule!GQ11</f>
        <v>0</v>
      </c>
      <c r="GO9" s="176" t="str">
        <f>Schedule!GR11</f>
        <v>0</v>
      </c>
      <c r="GP9" s="176" t="str">
        <f>Schedule!GS11</f>
        <v>0</v>
      </c>
      <c r="GQ9" s="176" t="str">
        <f>Schedule!GT11</f>
        <v>0</v>
      </c>
      <c r="GR9" s="176" t="str">
        <f>Schedule!GU11</f>
        <v>0</v>
      </c>
      <c r="GS9" s="176" t="str">
        <f>Schedule!GV11</f>
        <v>0</v>
      </c>
      <c r="GT9" s="176" t="str">
        <f>Schedule!GW11</f>
        <v>0</v>
      </c>
      <c r="GW9" s="227"/>
    </row>
    <row r="10" spans="2:205" ht="15.75" customHeight="1">
      <c r="B10" s="269"/>
      <c r="C10" s="159">
        <f>Schedule!C12</f>
        <v>0</v>
      </c>
      <c r="D10" s="176" t="str">
        <f>Schedule!Z12</f>
        <v>0</v>
      </c>
      <c r="E10" s="176" t="str">
        <f>Schedule!AA12</f>
        <v>0</v>
      </c>
      <c r="F10" s="176" t="str">
        <f>Schedule!AB12</f>
        <v>0</v>
      </c>
      <c r="G10" s="176" t="str">
        <f>Schedule!AC12</f>
        <v>0</v>
      </c>
      <c r="H10" s="176" t="str">
        <f>Schedule!AD12</f>
        <v>0</v>
      </c>
      <c r="I10" s="176" t="str">
        <f>Schedule!AE12</f>
        <v>0</v>
      </c>
      <c r="J10" s="176" t="str">
        <f>Schedule!AF12</f>
        <v>0</v>
      </c>
      <c r="K10" s="181" t="str">
        <f>Schedule!AG12</f>
        <v>0</v>
      </c>
      <c r="L10" s="181" t="str">
        <f>Schedule!AH12</f>
        <v>0</v>
      </c>
      <c r="M10" s="178"/>
      <c r="N10" s="183" t="str">
        <f>Schedule!AI12</f>
        <v>0</v>
      </c>
      <c r="O10" s="176" t="str">
        <f>Schedule!AJ12</f>
        <v>0</v>
      </c>
      <c r="P10" s="176" t="str">
        <f>Schedule!AK12</f>
        <v>0</v>
      </c>
      <c r="Q10" s="176" t="str">
        <f>Schedule!AL12</f>
        <v>0</v>
      </c>
      <c r="R10" s="176" t="str">
        <f>Schedule!AM12</f>
        <v>0</v>
      </c>
      <c r="S10" s="176" t="str">
        <f>Schedule!AN12</f>
        <v>0</v>
      </c>
      <c r="T10" s="176" t="str">
        <f>Schedule!AO12</f>
        <v>0</v>
      </c>
      <c r="U10" s="176" t="str">
        <f>Schedule!AP12</f>
        <v>0</v>
      </c>
      <c r="V10" s="176" t="str">
        <f>Schedule!AQ12</f>
        <v>0</v>
      </c>
      <c r="W10" s="178"/>
      <c r="X10" s="176" t="str">
        <f>Schedule!AR12</f>
        <v>0</v>
      </c>
      <c r="Y10" s="176" t="str">
        <f>Schedule!AS12</f>
        <v>0</v>
      </c>
      <c r="Z10" s="176" t="str">
        <f>Schedule!AT12</f>
        <v>0</v>
      </c>
      <c r="AA10" s="176" t="str">
        <f>Schedule!AU12</f>
        <v>0</v>
      </c>
      <c r="AB10" s="176" t="str">
        <f>Schedule!AV12</f>
        <v>0</v>
      </c>
      <c r="AC10" s="176" t="str">
        <f>Schedule!AW12</f>
        <v>0</v>
      </c>
      <c r="AD10" s="176" t="str">
        <f>Schedule!AX12</f>
        <v>0</v>
      </c>
      <c r="AE10" s="176" t="str">
        <f>Schedule!AY12</f>
        <v>0</v>
      </c>
      <c r="AF10" s="176" t="str">
        <f>Schedule!AZ12</f>
        <v>0</v>
      </c>
      <c r="AG10" s="178"/>
      <c r="AH10" s="176" t="str">
        <f>Schedule!BA12</f>
        <v>0</v>
      </c>
      <c r="AI10" s="176" t="str">
        <f>Schedule!BB12</f>
        <v>0</v>
      </c>
      <c r="AJ10" s="176" t="str">
        <f>Schedule!BC12</f>
        <v>0</v>
      </c>
      <c r="AK10" s="176" t="str">
        <f>Schedule!BD12</f>
        <v>0</v>
      </c>
      <c r="AL10" s="176" t="str">
        <f>Schedule!BE12</f>
        <v>0</v>
      </c>
      <c r="AM10" s="176" t="str">
        <f>Schedule!BF12</f>
        <v>0</v>
      </c>
      <c r="AN10" s="176" t="str">
        <f>Schedule!BG12</f>
        <v>0</v>
      </c>
      <c r="AO10" s="176" t="str">
        <f>Schedule!BH12</f>
        <v>0</v>
      </c>
      <c r="AP10" s="176" t="str">
        <f>Schedule!BI12</f>
        <v>0</v>
      </c>
      <c r="AQ10" s="178"/>
      <c r="AR10" s="176" t="str">
        <f>Schedule!BJ12</f>
        <v>0</v>
      </c>
      <c r="AS10" s="176" t="str">
        <f>Schedule!BK12</f>
        <v>0</v>
      </c>
      <c r="AT10" s="176" t="str">
        <f>Schedule!BL12</f>
        <v>0</v>
      </c>
      <c r="AU10" s="176" t="str">
        <f>Schedule!BM12</f>
        <v>0</v>
      </c>
      <c r="AV10" s="176" t="str">
        <f>Schedule!BN12</f>
        <v>0</v>
      </c>
      <c r="AW10" s="176" t="str">
        <f>Schedule!BO12</f>
        <v>0</v>
      </c>
      <c r="AX10" s="176" t="str">
        <f>Schedule!BP12</f>
        <v>0</v>
      </c>
      <c r="AY10" s="176" t="str">
        <f>Schedule!BQ12</f>
        <v>0</v>
      </c>
      <c r="AZ10" s="176" t="str">
        <f>Schedule!BR12</f>
        <v>0</v>
      </c>
      <c r="BA10" s="178"/>
      <c r="BB10" s="176" t="str">
        <f>Schedule!BS12</f>
        <v>0</v>
      </c>
      <c r="BC10" s="176" t="str">
        <f>Schedule!BT12</f>
        <v>0</v>
      </c>
      <c r="BD10" s="176" t="str">
        <f>Schedule!BU12</f>
        <v>0</v>
      </c>
      <c r="BE10" s="176" t="str">
        <f>Schedule!BV12</f>
        <v>0</v>
      </c>
      <c r="BF10" s="176" t="str">
        <f>Schedule!BW12</f>
        <v>0</v>
      </c>
      <c r="BG10" s="176" t="str">
        <f>Schedule!BX12</f>
        <v>0</v>
      </c>
      <c r="BH10" s="176" t="str">
        <f>Schedule!BY12</f>
        <v>0</v>
      </c>
      <c r="BI10" s="176" t="str">
        <f>Schedule!BZ12</f>
        <v>0</v>
      </c>
      <c r="BJ10" s="176" t="str">
        <f>Schedule!CA12</f>
        <v>0</v>
      </c>
      <c r="BK10" s="178"/>
      <c r="BL10" s="176" t="str">
        <f>Schedule!CB12</f>
        <v>0</v>
      </c>
      <c r="BM10" s="176" t="str">
        <f>Schedule!CC12</f>
        <v>0</v>
      </c>
      <c r="BN10" s="176" t="str">
        <f>Schedule!CD12</f>
        <v>0</v>
      </c>
      <c r="BO10" s="176" t="str">
        <f>Schedule!CE12</f>
        <v>0</v>
      </c>
      <c r="BP10" s="176" t="str">
        <f>Schedule!CF12</f>
        <v>0</v>
      </c>
      <c r="BQ10" s="176" t="str">
        <f>Schedule!CG12</f>
        <v>0</v>
      </c>
      <c r="BR10" s="176" t="str">
        <f>Schedule!CH12</f>
        <v>0</v>
      </c>
      <c r="BS10" s="176" t="str">
        <f>Schedule!CI12</f>
        <v>0</v>
      </c>
      <c r="BT10" s="176" t="str">
        <f>Schedule!CJ12</f>
        <v>0</v>
      </c>
      <c r="BU10" s="178"/>
      <c r="BV10" s="176" t="str">
        <f>Schedule!CK12</f>
        <v>0</v>
      </c>
      <c r="BW10" s="176" t="str">
        <f>Schedule!CL12</f>
        <v>0</v>
      </c>
      <c r="BX10" s="176" t="str">
        <f>Schedule!CM12</f>
        <v>0</v>
      </c>
      <c r="BY10" s="176" t="str">
        <f>Schedule!CN12</f>
        <v>0</v>
      </c>
      <c r="BZ10" s="176" t="str">
        <f>Schedule!CO12</f>
        <v>0</v>
      </c>
      <c r="CA10" s="176" t="str">
        <f>Schedule!CP12</f>
        <v>0</v>
      </c>
      <c r="CB10" s="176" t="str">
        <f>Schedule!CQ12</f>
        <v>0</v>
      </c>
      <c r="CC10" s="176" t="str">
        <f>Schedule!CR12</f>
        <v>0</v>
      </c>
      <c r="CD10" s="176" t="str">
        <f>Schedule!CS12</f>
        <v>0</v>
      </c>
      <c r="CE10" s="178"/>
      <c r="CF10" s="176" t="str">
        <f>Schedule!CT12</f>
        <v>0</v>
      </c>
      <c r="CG10" s="176" t="str">
        <f>Schedule!CU12</f>
        <v>0</v>
      </c>
      <c r="CH10" s="176" t="str">
        <f>Schedule!CV12</f>
        <v>0</v>
      </c>
      <c r="CI10" s="176" t="str">
        <f>Schedule!CW12</f>
        <v>0</v>
      </c>
      <c r="CJ10" s="176" t="str">
        <f>Schedule!CX12</f>
        <v>0</v>
      </c>
      <c r="CK10" s="176" t="str">
        <f>Schedule!CY12</f>
        <v>0</v>
      </c>
      <c r="CL10" s="176" t="str">
        <f>Schedule!CZ12</f>
        <v>0</v>
      </c>
      <c r="CM10" s="176" t="str">
        <f>Schedule!DA12</f>
        <v>0</v>
      </c>
      <c r="CN10" s="176" t="str">
        <f>Schedule!DB12</f>
        <v>0</v>
      </c>
      <c r="CO10" s="178"/>
      <c r="CP10" s="176" t="str">
        <f>Schedule!DC12</f>
        <v>0</v>
      </c>
      <c r="CQ10" s="176" t="str">
        <f>Schedule!DD12</f>
        <v>0</v>
      </c>
      <c r="CR10" s="176" t="str">
        <f>Schedule!DE12</f>
        <v>0</v>
      </c>
      <c r="CS10" s="176" t="str">
        <f>Schedule!DF12</f>
        <v>0</v>
      </c>
      <c r="CT10" s="176" t="str">
        <f>Schedule!DG12</f>
        <v>0</v>
      </c>
      <c r="CU10" s="176" t="str">
        <f>Schedule!DH12</f>
        <v>0</v>
      </c>
      <c r="CV10" s="176" t="str">
        <f>Schedule!DI12</f>
        <v>0</v>
      </c>
      <c r="CW10" s="176" t="str">
        <f>Schedule!DJ12</f>
        <v>0</v>
      </c>
      <c r="CX10" s="176" t="str">
        <f>Schedule!DK12</f>
        <v>0</v>
      </c>
      <c r="CY10" s="178"/>
      <c r="CZ10" s="176" t="str">
        <f>Schedule!DL12</f>
        <v>0</v>
      </c>
      <c r="DA10" s="176" t="str">
        <f>Schedule!DM12</f>
        <v>0</v>
      </c>
      <c r="DB10" s="176" t="str">
        <f>Schedule!DN12</f>
        <v>0</v>
      </c>
      <c r="DC10" s="176" t="str">
        <f>Schedule!DO12</f>
        <v>0</v>
      </c>
      <c r="DD10" s="176" t="str">
        <f>Schedule!DP12</f>
        <v>0</v>
      </c>
      <c r="DE10" s="176" t="str">
        <f>Schedule!DQ12</f>
        <v>0</v>
      </c>
      <c r="DF10" s="176" t="str">
        <f>Schedule!DR12</f>
        <v>0</v>
      </c>
      <c r="DG10" s="176" t="str">
        <f>Schedule!DS12</f>
        <v>0</v>
      </c>
      <c r="DH10" s="176" t="str">
        <f>Schedule!DT12</f>
        <v>0</v>
      </c>
      <c r="DI10" s="178"/>
      <c r="DJ10" s="176" t="str">
        <f>Schedule!DU12</f>
        <v>0</v>
      </c>
      <c r="DK10" s="176" t="str">
        <f>Schedule!DV12</f>
        <v>0</v>
      </c>
      <c r="DL10" s="176" t="str">
        <f>Schedule!DW12</f>
        <v>0</v>
      </c>
      <c r="DM10" s="176" t="str">
        <f>Schedule!DX12</f>
        <v>0</v>
      </c>
      <c r="DN10" s="176" t="str">
        <f>Schedule!DY12</f>
        <v>0</v>
      </c>
      <c r="DO10" s="176" t="str">
        <f>Schedule!DZ12</f>
        <v>0</v>
      </c>
      <c r="DP10" s="176" t="str">
        <f>Schedule!EA12</f>
        <v>0</v>
      </c>
      <c r="DQ10" s="176" t="str">
        <f>Schedule!EB12</f>
        <v>0</v>
      </c>
      <c r="DR10" s="176" t="str">
        <f>Schedule!EC12</f>
        <v>0</v>
      </c>
      <c r="DS10" s="178"/>
      <c r="DT10" s="176" t="str">
        <f>Schedule!ED12</f>
        <v>0</v>
      </c>
      <c r="DU10" s="176" t="str">
        <f>Schedule!EE12</f>
        <v>0</v>
      </c>
      <c r="DV10" s="176" t="str">
        <f>Schedule!EF12</f>
        <v>0</v>
      </c>
      <c r="DW10" s="176" t="str">
        <f>Schedule!EG12</f>
        <v>0</v>
      </c>
      <c r="DX10" s="176" t="str">
        <f>Schedule!EH12</f>
        <v>0</v>
      </c>
      <c r="DY10" s="176" t="str">
        <f>Schedule!EI12</f>
        <v>0</v>
      </c>
      <c r="DZ10" s="176" t="str">
        <f>Schedule!EJ12</f>
        <v>0</v>
      </c>
      <c r="EA10" s="176" t="str">
        <f>Schedule!EK12</f>
        <v>0</v>
      </c>
      <c r="EB10" s="176" t="str">
        <f>Schedule!EL12</f>
        <v>0</v>
      </c>
      <c r="EC10" s="178"/>
      <c r="ED10" s="176" t="str">
        <f>Schedule!EM12</f>
        <v>0</v>
      </c>
      <c r="EE10" s="176" t="str">
        <f>Schedule!EN12</f>
        <v>0</v>
      </c>
      <c r="EF10" s="176" t="str">
        <f>Schedule!EO12</f>
        <v>0</v>
      </c>
      <c r="EG10" s="176" t="str">
        <f>Schedule!EP12</f>
        <v>0</v>
      </c>
      <c r="EH10" s="176" t="str">
        <f>Schedule!EQ12</f>
        <v>0</v>
      </c>
      <c r="EI10" s="176" t="str">
        <f>Schedule!ER12</f>
        <v>0</v>
      </c>
      <c r="EJ10" s="176" t="str">
        <f>Schedule!ES12</f>
        <v>0</v>
      </c>
      <c r="EK10" s="176" t="str">
        <f>Schedule!ET12</f>
        <v>0</v>
      </c>
      <c r="EL10" s="176" t="str">
        <f>Schedule!EU12</f>
        <v>0</v>
      </c>
      <c r="EM10" s="178"/>
      <c r="EN10" s="176" t="str">
        <f>Schedule!EV12</f>
        <v>0</v>
      </c>
      <c r="EO10" s="176" t="str">
        <f>Schedule!EW12</f>
        <v>0</v>
      </c>
      <c r="EP10" s="176" t="str">
        <f>Schedule!EX12</f>
        <v>0</v>
      </c>
      <c r="EQ10" s="176" t="str">
        <f>Schedule!EY12</f>
        <v>0</v>
      </c>
      <c r="ER10" s="176" t="str">
        <f>Schedule!EZ12</f>
        <v>0</v>
      </c>
      <c r="ES10" s="176" t="str">
        <f>Schedule!FA12</f>
        <v>0</v>
      </c>
      <c r="ET10" s="176" t="str">
        <f>Schedule!FB12</f>
        <v>0</v>
      </c>
      <c r="EU10" s="176" t="str">
        <f>Schedule!FC12</f>
        <v>0</v>
      </c>
      <c r="EV10" s="176" t="str">
        <f>Schedule!FD12</f>
        <v>0</v>
      </c>
      <c r="EW10" s="178"/>
      <c r="EX10" s="176" t="str">
        <f>Schedule!FE12</f>
        <v>0</v>
      </c>
      <c r="EY10" s="176" t="str">
        <f>Schedule!FF12</f>
        <v>0</v>
      </c>
      <c r="EZ10" s="176" t="str">
        <f>Schedule!FG12</f>
        <v>0</v>
      </c>
      <c r="FA10" s="176" t="str">
        <f>Schedule!FH12</f>
        <v>0</v>
      </c>
      <c r="FB10" s="176" t="str">
        <f>Schedule!FI12</f>
        <v>0</v>
      </c>
      <c r="FC10" s="176" t="str">
        <f>Schedule!FJ12</f>
        <v>0</v>
      </c>
      <c r="FD10" s="176" t="str">
        <f>Schedule!FK12</f>
        <v>0</v>
      </c>
      <c r="FE10" s="176" t="str">
        <f>Schedule!FL12</f>
        <v>0</v>
      </c>
      <c r="FF10" s="176" t="str">
        <f>Schedule!FM12</f>
        <v>0</v>
      </c>
      <c r="FG10" s="178"/>
      <c r="FH10" s="176" t="str">
        <f>Schedule!FN12</f>
        <v>0</v>
      </c>
      <c r="FI10" s="176" t="str">
        <f>Schedule!FO12</f>
        <v>0</v>
      </c>
      <c r="FJ10" s="176" t="str">
        <f>Schedule!FP12</f>
        <v>0</v>
      </c>
      <c r="FK10" s="176" t="str">
        <f>Schedule!FQ12</f>
        <v>0</v>
      </c>
      <c r="FL10" s="176" t="str">
        <f>Schedule!FR12</f>
        <v>0</v>
      </c>
      <c r="FM10" s="176" t="str">
        <f>Schedule!FS12</f>
        <v>0</v>
      </c>
      <c r="FN10" s="176" t="str">
        <f>Schedule!FT12</f>
        <v>0</v>
      </c>
      <c r="FO10" s="176" t="str">
        <f>Schedule!FU12</f>
        <v>0</v>
      </c>
      <c r="FP10" s="176" t="str">
        <f>Schedule!FV12</f>
        <v>0</v>
      </c>
      <c r="FQ10" s="178"/>
      <c r="FR10" s="176" t="str">
        <f>Schedule!FW12</f>
        <v>0</v>
      </c>
      <c r="FS10" s="176" t="str">
        <f>Schedule!FX12</f>
        <v>0</v>
      </c>
      <c r="FT10" s="176" t="str">
        <f>Schedule!FY12</f>
        <v>0</v>
      </c>
      <c r="FU10" s="176" t="str">
        <f>Schedule!FZ12</f>
        <v>0</v>
      </c>
      <c r="FV10" s="176" t="str">
        <f>Schedule!GA12</f>
        <v>0</v>
      </c>
      <c r="FW10" s="176" t="str">
        <f>Schedule!GB12</f>
        <v>0</v>
      </c>
      <c r="FX10" s="176" t="str">
        <f>Schedule!GC12</f>
        <v>0</v>
      </c>
      <c r="FY10" s="176" t="str">
        <f>Schedule!GD12</f>
        <v>0</v>
      </c>
      <c r="FZ10" s="176" t="str">
        <f>Schedule!GE12</f>
        <v>0</v>
      </c>
      <c r="GA10" s="178"/>
      <c r="GB10" s="176" t="str">
        <f>Schedule!GF12</f>
        <v>0</v>
      </c>
      <c r="GC10" s="176" t="str">
        <f>Schedule!GG12</f>
        <v>0</v>
      </c>
      <c r="GD10" s="176" t="str">
        <f>Schedule!GH12</f>
        <v>0</v>
      </c>
      <c r="GE10" s="176" t="str">
        <f>Schedule!GI12</f>
        <v>0</v>
      </c>
      <c r="GF10" s="176" t="str">
        <f>Schedule!GJ12</f>
        <v>0</v>
      </c>
      <c r="GG10" s="176" t="str">
        <f>Schedule!GK12</f>
        <v>0</v>
      </c>
      <c r="GH10" s="176" t="str">
        <f>Schedule!GL12</f>
        <v>0</v>
      </c>
      <c r="GI10" s="176" t="str">
        <f>Schedule!GM12</f>
        <v>0</v>
      </c>
      <c r="GJ10" s="176" t="str">
        <f>Schedule!GN12</f>
        <v>0</v>
      </c>
      <c r="GK10" s="178"/>
      <c r="GL10" s="176" t="str">
        <f>Schedule!GO12</f>
        <v>0</v>
      </c>
      <c r="GM10" s="176" t="str">
        <f>Schedule!GP12</f>
        <v>0</v>
      </c>
      <c r="GN10" s="176" t="str">
        <f>Schedule!GQ12</f>
        <v>0</v>
      </c>
      <c r="GO10" s="176" t="str">
        <f>Schedule!GR12</f>
        <v>0</v>
      </c>
      <c r="GP10" s="176" t="str">
        <f>Schedule!GS12</f>
        <v>0</v>
      </c>
      <c r="GQ10" s="176" t="str">
        <f>Schedule!GT12</f>
        <v>0</v>
      </c>
      <c r="GR10" s="176" t="str">
        <f>Schedule!GU12</f>
        <v>0</v>
      </c>
      <c r="GS10" s="176" t="str">
        <f>Schedule!GV12</f>
        <v>0</v>
      </c>
      <c r="GT10" s="176" t="str">
        <f>Schedule!GW12</f>
        <v>0</v>
      </c>
      <c r="GW10" s="227"/>
    </row>
    <row r="11" spans="2:205" ht="15.75" customHeight="1">
      <c r="B11" s="269"/>
      <c r="C11" s="159">
        <f>Schedule!C13</f>
        <v>0</v>
      </c>
      <c r="D11" s="176" t="str">
        <f>Schedule!Z13</f>
        <v>0</v>
      </c>
      <c r="E11" s="176" t="str">
        <f>Schedule!AA13</f>
        <v>0</v>
      </c>
      <c r="F11" s="176" t="str">
        <f>Schedule!AB13</f>
        <v>0</v>
      </c>
      <c r="G11" s="176" t="str">
        <f>Schedule!AC13</f>
        <v>0</v>
      </c>
      <c r="H11" s="176" t="str">
        <f>Schedule!AD13</f>
        <v>0</v>
      </c>
      <c r="I11" s="176" t="str">
        <f>Schedule!AE13</f>
        <v>0</v>
      </c>
      <c r="J11" s="176" t="str">
        <f>Schedule!AF13</f>
        <v>0</v>
      </c>
      <c r="K11" s="181" t="str">
        <f>Schedule!AG13</f>
        <v>0</v>
      </c>
      <c r="L11" s="181" t="str">
        <f>Schedule!AH13</f>
        <v>0</v>
      </c>
      <c r="M11" s="178"/>
      <c r="N11" s="183" t="str">
        <f>Schedule!AI13</f>
        <v>0</v>
      </c>
      <c r="O11" s="176" t="str">
        <f>Schedule!AJ13</f>
        <v>0</v>
      </c>
      <c r="P11" s="176" t="str">
        <f>Schedule!AK13</f>
        <v>0</v>
      </c>
      <c r="Q11" s="176" t="str">
        <f>Schedule!AL13</f>
        <v>0</v>
      </c>
      <c r="R11" s="176" t="str">
        <f>Schedule!AM13</f>
        <v>0</v>
      </c>
      <c r="S11" s="176" t="str">
        <f>Schedule!AN13</f>
        <v>0</v>
      </c>
      <c r="T11" s="176" t="str">
        <f>Schedule!AO13</f>
        <v>0</v>
      </c>
      <c r="U11" s="176" t="str">
        <f>Schedule!AP13</f>
        <v>0</v>
      </c>
      <c r="V11" s="176" t="str">
        <f>Schedule!AQ13</f>
        <v>0</v>
      </c>
      <c r="W11" s="178"/>
      <c r="X11" s="176" t="str">
        <f>Schedule!AR13</f>
        <v>0</v>
      </c>
      <c r="Y11" s="176" t="str">
        <f>Schedule!AS13</f>
        <v>0</v>
      </c>
      <c r="Z11" s="176" t="str">
        <f>Schedule!AT13</f>
        <v>0</v>
      </c>
      <c r="AA11" s="176" t="str">
        <f>Schedule!AU13</f>
        <v>0</v>
      </c>
      <c r="AB11" s="176" t="str">
        <f>Schedule!AV13</f>
        <v>0</v>
      </c>
      <c r="AC11" s="176" t="str">
        <f>Schedule!AW13</f>
        <v>0</v>
      </c>
      <c r="AD11" s="176" t="str">
        <f>Schedule!AX13</f>
        <v>0</v>
      </c>
      <c r="AE11" s="176" t="str">
        <f>Schedule!AY13</f>
        <v>0</v>
      </c>
      <c r="AF11" s="176" t="str">
        <f>Schedule!AZ13</f>
        <v>0</v>
      </c>
      <c r="AG11" s="178"/>
      <c r="AH11" s="176" t="str">
        <f>Schedule!BA13</f>
        <v>0</v>
      </c>
      <c r="AI11" s="176" t="str">
        <f>Schedule!BB13</f>
        <v>0</v>
      </c>
      <c r="AJ11" s="176" t="str">
        <f>Schedule!BC13</f>
        <v>0</v>
      </c>
      <c r="AK11" s="176" t="str">
        <f>Schedule!BD13</f>
        <v>0</v>
      </c>
      <c r="AL11" s="176" t="str">
        <f>Schedule!BE13</f>
        <v>0</v>
      </c>
      <c r="AM11" s="176" t="str">
        <f>Schedule!BF13</f>
        <v>0</v>
      </c>
      <c r="AN11" s="176" t="str">
        <f>Schedule!BG13</f>
        <v>0</v>
      </c>
      <c r="AO11" s="176" t="str">
        <f>Schedule!BH13</f>
        <v>0</v>
      </c>
      <c r="AP11" s="176" t="str">
        <f>Schedule!BI13</f>
        <v>0</v>
      </c>
      <c r="AQ11" s="178"/>
      <c r="AR11" s="176" t="str">
        <f>Schedule!BJ13</f>
        <v>0</v>
      </c>
      <c r="AS11" s="176" t="str">
        <f>Schedule!BK13</f>
        <v>0</v>
      </c>
      <c r="AT11" s="176" t="str">
        <f>Schedule!BL13</f>
        <v>0</v>
      </c>
      <c r="AU11" s="176" t="str">
        <f>Schedule!BM13</f>
        <v>0</v>
      </c>
      <c r="AV11" s="176" t="str">
        <f>Schedule!BN13</f>
        <v>0</v>
      </c>
      <c r="AW11" s="176" t="str">
        <f>Schedule!BO13</f>
        <v>0</v>
      </c>
      <c r="AX11" s="176" t="str">
        <f>Schedule!BP13</f>
        <v>0</v>
      </c>
      <c r="AY11" s="176" t="str">
        <f>Schedule!BQ13</f>
        <v>0</v>
      </c>
      <c r="AZ11" s="176" t="str">
        <f>Schedule!BR13</f>
        <v>0</v>
      </c>
      <c r="BA11" s="178"/>
      <c r="BB11" s="176" t="str">
        <f>Schedule!BS13</f>
        <v>0</v>
      </c>
      <c r="BC11" s="176" t="str">
        <f>Schedule!BT13</f>
        <v>0</v>
      </c>
      <c r="BD11" s="176" t="str">
        <f>Schedule!BU13</f>
        <v>0</v>
      </c>
      <c r="BE11" s="176" t="str">
        <f>Schedule!BV13</f>
        <v>0</v>
      </c>
      <c r="BF11" s="176" t="str">
        <f>Schedule!BW13</f>
        <v>0</v>
      </c>
      <c r="BG11" s="176" t="str">
        <f>Schedule!BX13</f>
        <v>0</v>
      </c>
      <c r="BH11" s="176" t="str">
        <f>Schedule!BY13</f>
        <v>0</v>
      </c>
      <c r="BI11" s="176" t="str">
        <f>Schedule!BZ13</f>
        <v>0</v>
      </c>
      <c r="BJ11" s="176" t="str">
        <f>Schedule!CA13</f>
        <v>0</v>
      </c>
      <c r="BK11" s="178"/>
      <c r="BL11" s="176" t="str">
        <f>Schedule!CB13</f>
        <v>0</v>
      </c>
      <c r="BM11" s="176" t="str">
        <f>Schedule!CC13</f>
        <v>0</v>
      </c>
      <c r="BN11" s="176" t="str">
        <f>Schedule!CD13</f>
        <v>0</v>
      </c>
      <c r="BO11" s="176" t="str">
        <f>Schedule!CE13</f>
        <v>0</v>
      </c>
      <c r="BP11" s="176" t="str">
        <f>Schedule!CF13</f>
        <v>0</v>
      </c>
      <c r="BQ11" s="176" t="str">
        <f>Schedule!CG13</f>
        <v>0</v>
      </c>
      <c r="BR11" s="176" t="str">
        <f>Schedule!CH13</f>
        <v>0</v>
      </c>
      <c r="BS11" s="176" t="str">
        <f>Schedule!CI13</f>
        <v>0</v>
      </c>
      <c r="BT11" s="176" t="str">
        <f>Schedule!CJ13</f>
        <v>0</v>
      </c>
      <c r="BU11" s="178"/>
      <c r="BV11" s="176" t="str">
        <f>Schedule!CK13</f>
        <v>0</v>
      </c>
      <c r="BW11" s="176" t="str">
        <f>Schedule!CL13</f>
        <v>0</v>
      </c>
      <c r="BX11" s="176" t="str">
        <f>Schedule!CM13</f>
        <v>0</v>
      </c>
      <c r="BY11" s="176" t="str">
        <f>Schedule!CN13</f>
        <v>0</v>
      </c>
      <c r="BZ11" s="176" t="str">
        <f>Schedule!CO13</f>
        <v>0</v>
      </c>
      <c r="CA11" s="176" t="str">
        <f>Schedule!CP13</f>
        <v>0</v>
      </c>
      <c r="CB11" s="176" t="str">
        <f>Schedule!CQ13</f>
        <v>0</v>
      </c>
      <c r="CC11" s="176" t="str">
        <f>Schedule!CR13</f>
        <v>0</v>
      </c>
      <c r="CD11" s="176" t="str">
        <f>Schedule!CS13</f>
        <v>0</v>
      </c>
      <c r="CE11" s="178"/>
      <c r="CF11" s="176" t="str">
        <f>Schedule!CT13</f>
        <v>0</v>
      </c>
      <c r="CG11" s="176" t="str">
        <f>Schedule!CU13</f>
        <v>0</v>
      </c>
      <c r="CH11" s="176" t="str">
        <f>Schedule!CV13</f>
        <v>0</v>
      </c>
      <c r="CI11" s="176" t="str">
        <f>Schedule!CW13</f>
        <v>0</v>
      </c>
      <c r="CJ11" s="176" t="str">
        <f>Schedule!CX13</f>
        <v>0</v>
      </c>
      <c r="CK11" s="176" t="str">
        <f>Schedule!CY13</f>
        <v>0</v>
      </c>
      <c r="CL11" s="176" t="str">
        <f>Schedule!CZ13</f>
        <v>0</v>
      </c>
      <c r="CM11" s="176" t="str">
        <f>Schedule!DA13</f>
        <v>0</v>
      </c>
      <c r="CN11" s="176" t="str">
        <f>Schedule!DB13</f>
        <v>0</v>
      </c>
      <c r="CO11" s="178"/>
      <c r="CP11" s="176" t="str">
        <f>Schedule!DC13</f>
        <v>0</v>
      </c>
      <c r="CQ11" s="176" t="str">
        <f>Schedule!DD13</f>
        <v>0</v>
      </c>
      <c r="CR11" s="176" t="str">
        <f>Schedule!DE13</f>
        <v>0</v>
      </c>
      <c r="CS11" s="176" t="str">
        <f>Schedule!DF13</f>
        <v>0</v>
      </c>
      <c r="CT11" s="176" t="str">
        <f>Schedule!DG13</f>
        <v>0</v>
      </c>
      <c r="CU11" s="176" t="str">
        <f>Schedule!DH13</f>
        <v>0</v>
      </c>
      <c r="CV11" s="176" t="str">
        <f>Schedule!DI13</f>
        <v>0</v>
      </c>
      <c r="CW11" s="176" t="str">
        <f>Schedule!DJ13</f>
        <v>0</v>
      </c>
      <c r="CX11" s="176" t="str">
        <f>Schedule!DK13</f>
        <v>0</v>
      </c>
      <c r="CY11" s="178"/>
      <c r="CZ11" s="176" t="str">
        <f>Schedule!DL13</f>
        <v>0</v>
      </c>
      <c r="DA11" s="176" t="str">
        <f>Schedule!DM13</f>
        <v>0</v>
      </c>
      <c r="DB11" s="176" t="str">
        <f>Schedule!DN13</f>
        <v>0</v>
      </c>
      <c r="DC11" s="176" t="str">
        <f>Schedule!DO13</f>
        <v>0</v>
      </c>
      <c r="DD11" s="176" t="str">
        <f>Schedule!DP13</f>
        <v>0</v>
      </c>
      <c r="DE11" s="176" t="str">
        <f>Schedule!DQ13</f>
        <v>0</v>
      </c>
      <c r="DF11" s="176" t="str">
        <f>Schedule!DR13</f>
        <v>0</v>
      </c>
      <c r="DG11" s="176" t="str">
        <f>Schedule!DS13</f>
        <v>0</v>
      </c>
      <c r="DH11" s="176" t="str">
        <f>Schedule!DT13</f>
        <v>0</v>
      </c>
      <c r="DI11" s="178"/>
      <c r="DJ11" s="176" t="str">
        <f>Schedule!DU13</f>
        <v>0</v>
      </c>
      <c r="DK11" s="176" t="str">
        <f>Schedule!DV13</f>
        <v>0</v>
      </c>
      <c r="DL11" s="176" t="str">
        <f>Schedule!DW13</f>
        <v>0</v>
      </c>
      <c r="DM11" s="176" t="str">
        <f>Schedule!DX13</f>
        <v>0</v>
      </c>
      <c r="DN11" s="176" t="str">
        <f>Schedule!DY13</f>
        <v>0</v>
      </c>
      <c r="DO11" s="176" t="str">
        <f>Schedule!DZ13</f>
        <v>0</v>
      </c>
      <c r="DP11" s="176" t="str">
        <f>Schedule!EA13</f>
        <v>0</v>
      </c>
      <c r="DQ11" s="176" t="str">
        <f>Schedule!EB13</f>
        <v>0</v>
      </c>
      <c r="DR11" s="176" t="str">
        <f>Schedule!EC13</f>
        <v>0</v>
      </c>
      <c r="DS11" s="178"/>
      <c r="DT11" s="176" t="str">
        <f>Schedule!ED13</f>
        <v>0</v>
      </c>
      <c r="DU11" s="176" t="str">
        <f>Schedule!EE13</f>
        <v>0</v>
      </c>
      <c r="DV11" s="176" t="str">
        <f>Schedule!EF13</f>
        <v>0</v>
      </c>
      <c r="DW11" s="176" t="str">
        <f>Schedule!EG13</f>
        <v>0</v>
      </c>
      <c r="DX11" s="176" t="str">
        <f>Schedule!EH13</f>
        <v>0</v>
      </c>
      <c r="DY11" s="176" t="str">
        <f>Schedule!EI13</f>
        <v>0</v>
      </c>
      <c r="DZ11" s="176" t="str">
        <f>Schedule!EJ13</f>
        <v>0</v>
      </c>
      <c r="EA11" s="176" t="str">
        <f>Schedule!EK13</f>
        <v>0</v>
      </c>
      <c r="EB11" s="176" t="str">
        <f>Schedule!EL13</f>
        <v>0</v>
      </c>
      <c r="EC11" s="178"/>
      <c r="ED11" s="176" t="str">
        <f>Schedule!EM13</f>
        <v>0</v>
      </c>
      <c r="EE11" s="176" t="str">
        <f>Schedule!EN13</f>
        <v>0</v>
      </c>
      <c r="EF11" s="176" t="str">
        <f>Schedule!EO13</f>
        <v>0</v>
      </c>
      <c r="EG11" s="176" t="str">
        <f>Schedule!EP13</f>
        <v>0</v>
      </c>
      <c r="EH11" s="176" t="str">
        <f>Schedule!EQ13</f>
        <v>0</v>
      </c>
      <c r="EI11" s="176" t="str">
        <f>Schedule!ER13</f>
        <v>0</v>
      </c>
      <c r="EJ11" s="176" t="str">
        <f>Schedule!ES13</f>
        <v>0</v>
      </c>
      <c r="EK11" s="176" t="str">
        <f>Schedule!ET13</f>
        <v>0</v>
      </c>
      <c r="EL11" s="176" t="str">
        <f>Schedule!EU13</f>
        <v>0</v>
      </c>
      <c r="EM11" s="178"/>
      <c r="EN11" s="176" t="str">
        <f>Schedule!EV13</f>
        <v>0</v>
      </c>
      <c r="EO11" s="176" t="str">
        <f>Schedule!EW13</f>
        <v>0</v>
      </c>
      <c r="EP11" s="176" t="str">
        <f>Schedule!EX13</f>
        <v>0</v>
      </c>
      <c r="EQ11" s="176" t="str">
        <f>Schedule!EY13</f>
        <v>0</v>
      </c>
      <c r="ER11" s="176" t="str">
        <f>Schedule!EZ13</f>
        <v>0</v>
      </c>
      <c r="ES11" s="176" t="str">
        <f>Schedule!FA13</f>
        <v>0</v>
      </c>
      <c r="ET11" s="176" t="str">
        <f>Schedule!FB13</f>
        <v>0</v>
      </c>
      <c r="EU11" s="176" t="str">
        <f>Schedule!FC13</f>
        <v>0</v>
      </c>
      <c r="EV11" s="176" t="str">
        <f>Schedule!FD13</f>
        <v>0</v>
      </c>
      <c r="EW11" s="178"/>
      <c r="EX11" s="176" t="str">
        <f>Schedule!FE13</f>
        <v>0</v>
      </c>
      <c r="EY11" s="176" t="str">
        <f>Schedule!FF13</f>
        <v>0</v>
      </c>
      <c r="EZ11" s="176" t="str">
        <f>Schedule!FG13</f>
        <v>0</v>
      </c>
      <c r="FA11" s="176" t="str">
        <f>Schedule!FH13</f>
        <v>0</v>
      </c>
      <c r="FB11" s="176" t="str">
        <f>Schedule!FI13</f>
        <v>0</v>
      </c>
      <c r="FC11" s="176" t="str">
        <f>Schedule!FJ13</f>
        <v>0</v>
      </c>
      <c r="FD11" s="176" t="str">
        <f>Schedule!FK13</f>
        <v>0</v>
      </c>
      <c r="FE11" s="176" t="str">
        <f>Schedule!FL13</f>
        <v>0</v>
      </c>
      <c r="FF11" s="176" t="str">
        <f>Schedule!FM13</f>
        <v>0</v>
      </c>
      <c r="FG11" s="178"/>
      <c r="FH11" s="176" t="str">
        <f>Schedule!FN13</f>
        <v>0</v>
      </c>
      <c r="FI11" s="176" t="str">
        <f>Schedule!FO13</f>
        <v>0</v>
      </c>
      <c r="FJ11" s="176" t="str">
        <f>Schedule!FP13</f>
        <v>0</v>
      </c>
      <c r="FK11" s="176" t="str">
        <f>Schedule!FQ13</f>
        <v>0</v>
      </c>
      <c r="FL11" s="176" t="str">
        <f>Schedule!FR13</f>
        <v>0</v>
      </c>
      <c r="FM11" s="176" t="str">
        <f>Schedule!FS13</f>
        <v>0</v>
      </c>
      <c r="FN11" s="176" t="str">
        <f>Schedule!FT13</f>
        <v>0</v>
      </c>
      <c r="FO11" s="176" t="str">
        <f>Schedule!FU13</f>
        <v>0</v>
      </c>
      <c r="FP11" s="176" t="str">
        <f>Schedule!FV13</f>
        <v>0</v>
      </c>
      <c r="FQ11" s="178"/>
      <c r="FR11" s="176" t="str">
        <f>Schedule!FW13</f>
        <v>0</v>
      </c>
      <c r="FS11" s="176" t="str">
        <f>Schedule!FX13</f>
        <v>0</v>
      </c>
      <c r="FT11" s="176" t="str">
        <f>Schedule!FY13</f>
        <v>0</v>
      </c>
      <c r="FU11" s="176" t="str">
        <f>Schedule!FZ13</f>
        <v>0</v>
      </c>
      <c r="FV11" s="176" t="str">
        <f>Schedule!GA13</f>
        <v>0</v>
      </c>
      <c r="FW11" s="176" t="str">
        <f>Schedule!GB13</f>
        <v>0</v>
      </c>
      <c r="FX11" s="176" t="str">
        <f>Schedule!GC13</f>
        <v>0</v>
      </c>
      <c r="FY11" s="176" t="str">
        <f>Schedule!GD13</f>
        <v>0</v>
      </c>
      <c r="FZ11" s="176" t="str">
        <f>Schedule!GE13</f>
        <v>0</v>
      </c>
      <c r="GA11" s="178"/>
      <c r="GB11" s="176" t="str">
        <f>Schedule!GF13</f>
        <v>0</v>
      </c>
      <c r="GC11" s="176" t="str">
        <f>Schedule!GG13</f>
        <v>0</v>
      </c>
      <c r="GD11" s="176" t="str">
        <f>Schedule!GH13</f>
        <v>0</v>
      </c>
      <c r="GE11" s="176" t="str">
        <f>Schedule!GI13</f>
        <v>0</v>
      </c>
      <c r="GF11" s="176" t="str">
        <f>Schedule!GJ13</f>
        <v>0</v>
      </c>
      <c r="GG11" s="176" t="str">
        <f>Schedule!GK13</f>
        <v>0</v>
      </c>
      <c r="GH11" s="176" t="str">
        <f>Schedule!GL13</f>
        <v>0</v>
      </c>
      <c r="GI11" s="176" t="str">
        <f>Schedule!GM13</f>
        <v>0</v>
      </c>
      <c r="GJ11" s="176" t="str">
        <f>Schedule!GN13</f>
        <v>0</v>
      </c>
      <c r="GK11" s="178"/>
      <c r="GL11" s="176" t="str">
        <f>Schedule!GO13</f>
        <v>0</v>
      </c>
      <c r="GM11" s="176" t="str">
        <f>Schedule!GP13</f>
        <v>0</v>
      </c>
      <c r="GN11" s="176" t="str">
        <f>Schedule!GQ13</f>
        <v>0</v>
      </c>
      <c r="GO11" s="176" t="str">
        <f>Schedule!GR13</f>
        <v>0</v>
      </c>
      <c r="GP11" s="176" t="str">
        <f>Schedule!GS13</f>
        <v>0</v>
      </c>
      <c r="GQ11" s="176" t="str">
        <f>Schedule!GT13</f>
        <v>0</v>
      </c>
      <c r="GR11" s="176" t="str">
        <f>Schedule!GU13</f>
        <v>0</v>
      </c>
      <c r="GS11" s="176" t="str">
        <f>Schedule!GV13</f>
        <v>0</v>
      </c>
      <c r="GT11" s="176" t="str">
        <f>Schedule!GW13</f>
        <v>0</v>
      </c>
      <c r="GW11" s="227"/>
    </row>
    <row r="12" spans="2:205" ht="15.75" customHeight="1">
      <c r="B12" s="269"/>
      <c r="C12" s="159">
        <f>Schedule!C14</f>
        <v>0</v>
      </c>
      <c r="D12" s="176" t="str">
        <f>Schedule!Z14</f>
        <v>0</v>
      </c>
      <c r="E12" s="176" t="str">
        <f>Schedule!AA14</f>
        <v>0</v>
      </c>
      <c r="F12" s="176" t="str">
        <f>Schedule!AB14</f>
        <v>0</v>
      </c>
      <c r="G12" s="176" t="str">
        <f>Schedule!AC14</f>
        <v>0</v>
      </c>
      <c r="H12" s="176" t="str">
        <f>Schedule!AD14</f>
        <v>0</v>
      </c>
      <c r="I12" s="176" t="str">
        <f>Schedule!AE14</f>
        <v>0</v>
      </c>
      <c r="J12" s="176" t="str">
        <f>Schedule!AF14</f>
        <v>0</v>
      </c>
      <c r="K12" s="181" t="str">
        <f>Schedule!AG14</f>
        <v>0</v>
      </c>
      <c r="L12" s="181" t="str">
        <f>Schedule!AH14</f>
        <v>0</v>
      </c>
      <c r="M12" s="178"/>
      <c r="N12" s="183" t="str">
        <f>Schedule!AI14</f>
        <v>0</v>
      </c>
      <c r="O12" s="176" t="str">
        <f>Schedule!AJ14</f>
        <v>0</v>
      </c>
      <c r="P12" s="176" t="str">
        <f>Schedule!AK14</f>
        <v>0</v>
      </c>
      <c r="Q12" s="176" t="str">
        <f>Schedule!AL14</f>
        <v>0</v>
      </c>
      <c r="R12" s="176" t="str">
        <f>Schedule!AM14</f>
        <v>0</v>
      </c>
      <c r="S12" s="176" t="str">
        <f>Schedule!AN14</f>
        <v>0</v>
      </c>
      <c r="T12" s="176" t="str">
        <f>Schedule!AO14</f>
        <v>0</v>
      </c>
      <c r="U12" s="176" t="str">
        <f>Schedule!AP14</f>
        <v>0</v>
      </c>
      <c r="V12" s="176" t="str">
        <f>Schedule!AQ14</f>
        <v>0</v>
      </c>
      <c r="W12" s="178"/>
      <c r="X12" s="176" t="str">
        <f>Schedule!AR14</f>
        <v>0</v>
      </c>
      <c r="Y12" s="176" t="str">
        <f>Schedule!AS14</f>
        <v>0</v>
      </c>
      <c r="Z12" s="176" t="str">
        <f>Schedule!AT14</f>
        <v>0</v>
      </c>
      <c r="AA12" s="176" t="str">
        <f>Schedule!AU14</f>
        <v>0</v>
      </c>
      <c r="AB12" s="176" t="str">
        <f>Schedule!AV14</f>
        <v>0</v>
      </c>
      <c r="AC12" s="176" t="str">
        <f>Schedule!AW14</f>
        <v>0</v>
      </c>
      <c r="AD12" s="176" t="str">
        <f>Schedule!AX14</f>
        <v>0</v>
      </c>
      <c r="AE12" s="176" t="str">
        <f>Schedule!AY14</f>
        <v>0</v>
      </c>
      <c r="AF12" s="176" t="str">
        <f>Schedule!AZ14</f>
        <v>0</v>
      </c>
      <c r="AG12" s="178"/>
      <c r="AH12" s="176" t="str">
        <f>Schedule!BA14</f>
        <v>0</v>
      </c>
      <c r="AI12" s="176" t="str">
        <f>Schedule!BB14</f>
        <v>0</v>
      </c>
      <c r="AJ12" s="176" t="str">
        <f>Schedule!BC14</f>
        <v>0</v>
      </c>
      <c r="AK12" s="176" t="str">
        <f>Schedule!BD14</f>
        <v>0</v>
      </c>
      <c r="AL12" s="176" t="str">
        <f>Schedule!BE14</f>
        <v>0</v>
      </c>
      <c r="AM12" s="176" t="str">
        <f>Schedule!BF14</f>
        <v>0</v>
      </c>
      <c r="AN12" s="176" t="str">
        <f>Schedule!BG14</f>
        <v>0</v>
      </c>
      <c r="AO12" s="176" t="str">
        <f>Schedule!BH14</f>
        <v>0</v>
      </c>
      <c r="AP12" s="176" t="str">
        <f>Schedule!BI14</f>
        <v>0</v>
      </c>
      <c r="AQ12" s="178"/>
      <c r="AR12" s="176" t="str">
        <f>Schedule!BJ14</f>
        <v>0</v>
      </c>
      <c r="AS12" s="176" t="str">
        <f>Schedule!BK14</f>
        <v>0</v>
      </c>
      <c r="AT12" s="176" t="str">
        <f>Schedule!BL14</f>
        <v>0</v>
      </c>
      <c r="AU12" s="176" t="str">
        <f>Schedule!BM14</f>
        <v>0</v>
      </c>
      <c r="AV12" s="176" t="str">
        <f>Schedule!BN14</f>
        <v>0</v>
      </c>
      <c r="AW12" s="176" t="str">
        <f>Schedule!BO14</f>
        <v>0</v>
      </c>
      <c r="AX12" s="176" t="str">
        <f>Schedule!BP14</f>
        <v>0</v>
      </c>
      <c r="AY12" s="176" t="str">
        <f>Schedule!BQ14</f>
        <v>0</v>
      </c>
      <c r="AZ12" s="176" t="str">
        <f>Schedule!BR14</f>
        <v>0</v>
      </c>
      <c r="BA12" s="178"/>
      <c r="BB12" s="176" t="str">
        <f>Schedule!BS14</f>
        <v>0</v>
      </c>
      <c r="BC12" s="176" t="str">
        <f>Schedule!BT14</f>
        <v>0</v>
      </c>
      <c r="BD12" s="176" t="str">
        <f>Schedule!BU14</f>
        <v>0</v>
      </c>
      <c r="BE12" s="176" t="str">
        <f>Schedule!BV14</f>
        <v>0</v>
      </c>
      <c r="BF12" s="176" t="str">
        <f>Schedule!BW14</f>
        <v>0</v>
      </c>
      <c r="BG12" s="176" t="str">
        <f>Schedule!BX14</f>
        <v>0</v>
      </c>
      <c r="BH12" s="176" t="str">
        <f>Schedule!BY14</f>
        <v>0</v>
      </c>
      <c r="BI12" s="176" t="str">
        <f>Schedule!BZ14</f>
        <v>0</v>
      </c>
      <c r="BJ12" s="176" t="str">
        <f>Schedule!CA14</f>
        <v>0</v>
      </c>
      <c r="BK12" s="178"/>
      <c r="BL12" s="176" t="str">
        <f>Schedule!CB14</f>
        <v>0</v>
      </c>
      <c r="BM12" s="176" t="str">
        <f>Schedule!CC14</f>
        <v>0</v>
      </c>
      <c r="BN12" s="176" t="str">
        <f>Schedule!CD14</f>
        <v>0</v>
      </c>
      <c r="BO12" s="176" t="str">
        <f>Schedule!CE14</f>
        <v>0</v>
      </c>
      <c r="BP12" s="176" t="str">
        <f>Schedule!CF14</f>
        <v>0</v>
      </c>
      <c r="BQ12" s="176" t="str">
        <f>Schedule!CG14</f>
        <v>0</v>
      </c>
      <c r="BR12" s="176" t="str">
        <f>Schedule!CH14</f>
        <v>0</v>
      </c>
      <c r="BS12" s="176" t="str">
        <f>Schedule!CI14</f>
        <v>0</v>
      </c>
      <c r="BT12" s="176" t="str">
        <f>Schedule!CJ14</f>
        <v>0</v>
      </c>
      <c r="BU12" s="178"/>
      <c r="BV12" s="176" t="str">
        <f>Schedule!CK14</f>
        <v>0</v>
      </c>
      <c r="BW12" s="176" t="str">
        <f>Schedule!CL14</f>
        <v>0</v>
      </c>
      <c r="BX12" s="176" t="str">
        <f>Schedule!CM14</f>
        <v>0</v>
      </c>
      <c r="BY12" s="176" t="str">
        <f>Schedule!CN14</f>
        <v>0</v>
      </c>
      <c r="BZ12" s="176" t="str">
        <f>Schedule!CO14</f>
        <v>0</v>
      </c>
      <c r="CA12" s="176" t="str">
        <f>Schedule!CP14</f>
        <v>0</v>
      </c>
      <c r="CB12" s="176" t="str">
        <f>Schedule!CQ14</f>
        <v>0</v>
      </c>
      <c r="CC12" s="176" t="str">
        <f>Schedule!CR14</f>
        <v>0</v>
      </c>
      <c r="CD12" s="176" t="str">
        <f>Schedule!CS14</f>
        <v>0</v>
      </c>
      <c r="CE12" s="178"/>
      <c r="CF12" s="176" t="str">
        <f>Schedule!CT14</f>
        <v>0</v>
      </c>
      <c r="CG12" s="176" t="str">
        <f>Schedule!CU14</f>
        <v>0</v>
      </c>
      <c r="CH12" s="176" t="str">
        <f>Schedule!CV14</f>
        <v>0</v>
      </c>
      <c r="CI12" s="176" t="str">
        <f>Schedule!CW14</f>
        <v>0</v>
      </c>
      <c r="CJ12" s="176" t="str">
        <f>Schedule!CX14</f>
        <v>0</v>
      </c>
      <c r="CK12" s="176" t="str">
        <f>Schedule!CY14</f>
        <v>0</v>
      </c>
      <c r="CL12" s="176" t="str">
        <f>Schedule!CZ14</f>
        <v>0</v>
      </c>
      <c r="CM12" s="176" t="str">
        <f>Schedule!DA14</f>
        <v>0</v>
      </c>
      <c r="CN12" s="176" t="str">
        <f>Schedule!DB14</f>
        <v>0</v>
      </c>
      <c r="CO12" s="178"/>
      <c r="CP12" s="176" t="str">
        <f>Schedule!DC14</f>
        <v>0</v>
      </c>
      <c r="CQ12" s="176" t="str">
        <f>Schedule!DD14</f>
        <v>0</v>
      </c>
      <c r="CR12" s="176" t="str">
        <f>Schedule!DE14</f>
        <v>0</v>
      </c>
      <c r="CS12" s="176" t="str">
        <f>Schedule!DF14</f>
        <v>0</v>
      </c>
      <c r="CT12" s="176" t="str">
        <f>Schedule!DG14</f>
        <v>0</v>
      </c>
      <c r="CU12" s="176" t="str">
        <f>Schedule!DH14</f>
        <v>0</v>
      </c>
      <c r="CV12" s="176" t="str">
        <f>Schedule!DI14</f>
        <v>0</v>
      </c>
      <c r="CW12" s="176" t="str">
        <f>Schedule!DJ14</f>
        <v>0</v>
      </c>
      <c r="CX12" s="176" t="str">
        <f>Schedule!DK14</f>
        <v>0</v>
      </c>
      <c r="CY12" s="178"/>
      <c r="CZ12" s="176" t="str">
        <f>Schedule!DL14</f>
        <v>0</v>
      </c>
      <c r="DA12" s="176" t="str">
        <f>Schedule!DM14</f>
        <v>0</v>
      </c>
      <c r="DB12" s="176" t="str">
        <f>Schedule!DN14</f>
        <v>0</v>
      </c>
      <c r="DC12" s="176" t="str">
        <f>Schedule!DO14</f>
        <v>0</v>
      </c>
      <c r="DD12" s="176" t="str">
        <f>Schedule!DP14</f>
        <v>0</v>
      </c>
      <c r="DE12" s="176" t="str">
        <f>Schedule!DQ14</f>
        <v>0</v>
      </c>
      <c r="DF12" s="176" t="str">
        <f>Schedule!DR14</f>
        <v>0</v>
      </c>
      <c r="DG12" s="176" t="str">
        <f>Schedule!DS14</f>
        <v>0</v>
      </c>
      <c r="DH12" s="176" t="str">
        <f>Schedule!DT14</f>
        <v>0</v>
      </c>
      <c r="DI12" s="178"/>
      <c r="DJ12" s="176" t="str">
        <f>Schedule!DU14</f>
        <v>0</v>
      </c>
      <c r="DK12" s="176" t="str">
        <f>Schedule!DV14</f>
        <v>0</v>
      </c>
      <c r="DL12" s="176" t="str">
        <f>Schedule!DW14</f>
        <v>0</v>
      </c>
      <c r="DM12" s="176" t="str">
        <f>Schedule!DX14</f>
        <v>0</v>
      </c>
      <c r="DN12" s="176" t="str">
        <f>Schedule!DY14</f>
        <v>0</v>
      </c>
      <c r="DO12" s="176" t="str">
        <f>Schedule!DZ14</f>
        <v>0</v>
      </c>
      <c r="DP12" s="176" t="str">
        <f>Schedule!EA14</f>
        <v>0</v>
      </c>
      <c r="DQ12" s="176" t="str">
        <f>Schedule!EB14</f>
        <v>0</v>
      </c>
      <c r="DR12" s="176" t="str">
        <f>Schedule!EC14</f>
        <v>0</v>
      </c>
      <c r="DS12" s="178"/>
      <c r="DT12" s="176" t="str">
        <f>Schedule!ED14</f>
        <v>0</v>
      </c>
      <c r="DU12" s="176" t="str">
        <f>Schedule!EE14</f>
        <v>0</v>
      </c>
      <c r="DV12" s="176" t="str">
        <f>Schedule!EF14</f>
        <v>0</v>
      </c>
      <c r="DW12" s="176" t="str">
        <f>Schedule!EG14</f>
        <v>0</v>
      </c>
      <c r="DX12" s="176" t="str">
        <f>Schedule!EH14</f>
        <v>0</v>
      </c>
      <c r="DY12" s="176" t="str">
        <f>Schedule!EI14</f>
        <v>0</v>
      </c>
      <c r="DZ12" s="176" t="str">
        <f>Schedule!EJ14</f>
        <v>0</v>
      </c>
      <c r="EA12" s="176" t="str">
        <f>Schedule!EK14</f>
        <v>0</v>
      </c>
      <c r="EB12" s="176" t="str">
        <f>Schedule!EL14</f>
        <v>0</v>
      </c>
      <c r="EC12" s="178"/>
      <c r="ED12" s="176" t="str">
        <f>Schedule!EM14</f>
        <v>0</v>
      </c>
      <c r="EE12" s="176" t="str">
        <f>Schedule!EN14</f>
        <v>0</v>
      </c>
      <c r="EF12" s="176" t="str">
        <f>Schedule!EO14</f>
        <v>0</v>
      </c>
      <c r="EG12" s="176" t="str">
        <f>Schedule!EP14</f>
        <v>0</v>
      </c>
      <c r="EH12" s="176" t="str">
        <f>Schedule!EQ14</f>
        <v>0</v>
      </c>
      <c r="EI12" s="176" t="str">
        <f>Schedule!ER14</f>
        <v>0</v>
      </c>
      <c r="EJ12" s="176" t="str">
        <f>Schedule!ES14</f>
        <v>0</v>
      </c>
      <c r="EK12" s="176" t="str">
        <f>Schedule!ET14</f>
        <v>0</v>
      </c>
      <c r="EL12" s="176" t="str">
        <f>Schedule!EU14</f>
        <v>0</v>
      </c>
      <c r="EM12" s="178"/>
      <c r="EN12" s="176" t="str">
        <f>Schedule!EV14</f>
        <v>0</v>
      </c>
      <c r="EO12" s="176" t="str">
        <f>Schedule!EW14</f>
        <v>0</v>
      </c>
      <c r="EP12" s="176" t="str">
        <f>Schedule!EX14</f>
        <v>0</v>
      </c>
      <c r="EQ12" s="176" t="str">
        <f>Schedule!EY14</f>
        <v>0</v>
      </c>
      <c r="ER12" s="176" t="str">
        <f>Schedule!EZ14</f>
        <v>0</v>
      </c>
      <c r="ES12" s="176" t="str">
        <f>Schedule!FA14</f>
        <v>0</v>
      </c>
      <c r="ET12" s="176" t="str">
        <f>Schedule!FB14</f>
        <v>0</v>
      </c>
      <c r="EU12" s="176" t="str">
        <f>Schedule!FC14</f>
        <v>0</v>
      </c>
      <c r="EV12" s="176" t="str">
        <f>Schedule!FD14</f>
        <v>0</v>
      </c>
      <c r="EW12" s="178"/>
      <c r="EX12" s="176" t="str">
        <f>Schedule!FE14</f>
        <v>0</v>
      </c>
      <c r="EY12" s="176" t="str">
        <f>Schedule!FF14</f>
        <v>0</v>
      </c>
      <c r="EZ12" s="176" t="str">
        <f>Schedule!FG14</f>
        <v>0</v>
      </c>
      <c r="FA12" s="176" t="str">
        <f>Schedule!FH14</f>
        <v>0</v>
      </c>
      <c r="FB12" s="176" t="str">
        <f>Schedule!FI14</f>
        <v>0</v>
      </c>
      <c r="FC12" s="176" t="str">
        <f>Schedule!FJ14</f>
        <v>0</v>
      </c>
      <c r="FD12" s="176" t="str">
        <f>Schedule!FK14</f>
        <v>0</v>
      </c>
      <c r="FE12" s="176" t="str">
        <f>Schedule!FL14</f>
        <v>0</v>
      </c>
      <c r="FF12" s="176" t="str">
        <f>Schedule!FM14</f>
        <v>0</v>
      </c>
      <c r="FG12" s="178"/>
      <c r="FH12" s="176" t="str">
        <f>Schedule!FN14</f>
        <v>0</v>
      </c>
      <c r="FI12" s="176" t="str">
        <f>Schedule!FO14</f>
        <v>0</v>
      </c>
      <c r="FJ12" s="176" t="str">
        <f>Schedule!FP14</f>
        <v>0</v>
      </c>
      <c r="FK12" s="176" t="str">
        <f>Schedule!FQ14</f>
        <v>0</v>
      </c>
      <c r="FL12" s="176" t="str">
        <f>Schedule!FR14</f>
        <v>0</v>
      </c>
      <c r="FM12" s="176" t="str">
        <f>Schedule!FS14</f>
        <v>0</v>
      </c>
      <c r="FN12" s="176" t="str">
        <f>Schedule!FT14</f>
        <v>0</v>
      </c>
      <c r="FO12" s="176" t="str">
        <f>Schedule!FU14</f>
        <v>0</v>
      </c>
      <c r="FP12" s="176" t="str">
        <f>Schedule!FV14</f>
        <v>0</v>
      </c>
      <c r="FQ12" s="178"/>
      <c r="FR12" s="176" t="str">
        <f>Schedule!FW14</f>
        <v>0</v>
      </c>
      <c r="FS12" s="176" t="str">
        <f>Schedule!FX14</f>
        <v>0</v>
      </c>
      <c r="FT12" s="176" t="str">
        <f>Schedule!FY14</f>
        <v>0</v>
      </c>
      <c r="FU12" s="176" t="str">
        <f>Schedule!FZ14</f>
        <v>0</v>
      </c>
      <c r="FV12" s="176" t="str">
        <f>Schedule!GA14</f>
        <v>0</v>
      </c>
      <c r="FW12" s="176" t="str">
        <f>Schedule!GB14</f>
        <v>0</v>
      </c>
      <c r="FX12" s="176" t="str">
        <f>Schedule!GC14</f>
        <v>0</v>
      </c>
      <c r="FY12" s="176" t="str">
        <f>Schedule!GD14</f>
        <v>0</v>
      </c>
      <c r="FZ12" s="176" t="str">
        <f>Schedule!GE14</f>
        <v>0</v>
      </c>
      <c r="GA12" s="178"/>
      <c r="GB12" s="176" t="str">
        <f>Schedule!GF14</f>
        <v>0</v>
      </c>
      <c r="GC12" s="176" t="str">
        <f>Schedule!GG14</f>
        <v>0</v>
      </c>
      <c r="GD12" s="176" t="str">
        <f>Schedule!GH14</f>
        <v>0</v>
      </c>
      <c r="GE12" s="176" t="str">
        <f>Schedule!GI14</f>
        <v>0</v>
      </c>
      <c r="GF12" s="176" t="str">
        <f>Schedule!GJ14</f>
        <v>0</v>
      </c>
      <c r="GG12" s="176" t="str">
        <f>Schedule!GK14</f>
        <v>0</v>
      </c>
      <c r="GH12" s="176" t="str">
        <f>Schedule!GL14</f>
        <v>0</v>
      </c>
      <c r="GI12" s="176" t="str">
        <f>Schedule!GM14</f>
        <v>0</v>
      </c>
      <c r="GJ12" s="176" t="str">
        <f>Schedule!GN14</f>
        <v>0</v>
      </c>
      <c r="GK12" s="178"/>
      <c r="GL12" s="176" t="str">
        <f>Schedule!GO14</f>
        <v>0</v>
      </c>
      <c r="GM12" s="176" t="str">
        <f>Schedule!GP14</f>
        <v>0</v>
      </c>
      <c r="GN12" s="176" t="str">
        <f>Schedule!GQ14</f>
        <v>0</v>
      </c>
      <c r="GO12" s="176" t="str">
        <f>Schedule!GR14</f>
        <v>0</v>
      </c>
      <c r="GP12" s="176" t="str">
        <f>Schedule!GS14</f>
        <v>0</v>
      </c>
      <c r="GQ12" s="176" t="str">
        <f>Schedule!GT14</f>
        <v>0</v>
      </c>
      <c r="GR12" s="176" t="str">
        <f>Schedule!GU14</f>
        <v>0</v>
      </c>
      <c r="GS12" s="176" t="str">
        <f>Schedule!GV14</f>
        <v>0</v>
      </c>
      <c r="GT12" s="176" t="str">
        <f>Schedule!GW14</f>
        <v>0</v>
      </c>
      <c r="GW12" s="227"/>
    </row>
    <row r="13" spans="2:205" ht="15.75" customHeight="1">
      <c r="B13" s="269"/>
      <c r="C13" s="159">
        <f>Schedule!C15</f>
        <v>0</v>
      </c>
      <c r="D13" s="176" t="str">
        <f>Schedule!Z15</f>
        <v>0</v>
      </c>
      <c r="E13" s="176" t="str">
        <f>Schedule!AA15</f>
        <v>0</v>
      </c>
      <c r="F13" s="176" t="str">
        <f>Schedule!AB15</f>
        <v>0</v>
      </c>
      <c r="G13" s="176" t="str">
        <f>Schedule!AC15</f>
        <v>0</v>
      </c>
      <c r="H13" s="176" t="str">
        <f>Schedule!AD15</f>
        <v>0</v>
      </c>
      <c r="I13" s="176" t="str">
        <f>Schedule!AE15</f>
        <v>0</v>
      </c>
      <c r="J13" s="176" t="str">
        <f>Schedule!AF15</f>
        <v>0</v>
      </c>
      <c r="K13" s="181" t="str">
        <f>Schedule!AG15</f>
        <v>0</v>
      </c>
      <c r="L13" s="181" t="str">
        <f>Schedule!AH15</f>
        <v>0</v>
      </c>
      <c r="M13" s="178"/>
      <c r="N13" s="183" t="str">
        <f>Schedule!AI15</f>
        <v>0</v>
      </c>
      <c r="O13" s="176" t="str">
        <f>Schedule!AJ15</f>
        <v>0</v>
      </c>
      <c r="P13" s="176" t="str">
        <f>Schedule!AK15</f>
        <v>0</v>
      </c>
      <c r="Q13" s="176" t="str">
        <f>Schedule!AL15</f>
        <v>0</v>
      </c>
      <c r="R13" s="176" t="str">
        <f>Schedule!AM15</f>
        <v>0</v>
      </c>
      <c r="S13" s="176" t="str">
        <f>Schedule!AN15</f>
        <v>0</v>
      </c>
      <c r="T13" s="176" t="str">
        <f>Schedule!AO15</f>
        <v>0</v>
      </c>
      <c r="U13" s="176" t="str">
        <f>Schedule!AP15</f>
        <v>0</v>
      </c>
      <c r="V13" s="176" t="str">
        <f>Schedule!AQ15</f>
        <v>0</v>
      </c>
      <c r="W13" s="178"/>
      <c r="X13" s="176" t="str">
        <f>Schedule!AR15</f>
        <v>0</v>
      </c>
      <c r="Y13" s="176" t="str">
        <f>Schedule!AS15</f>
        <v>0</v>
      </c>
      <c r="Z13" s="176" t="str">
        <f>Schedule!AT15</f>
        <v>0</v>
      </c>
      <c r="AA13" s="176" t="str">
        <f>Schedule!AU15</f>
        <v>0</v>
      </c>
      <c r="AB13" s="176" t="str">
        <f>Schedule!AV15</f>
        <v>0</v>
      </c>
      <c r="AC13" s="176" t="str">
        <f>Schedule!AW15</f>
        <v>0</v>
      </c>
      <c r="AD13" s="176" t="str">
        <f>Schedule!AX15</f>
        <v>0</v>
      </c>
      <c r="AE13" s="176" t="str">
        <f>Schedule!AY15</f>
        <v>0</v>
      </c>
      <c r="AF13" s="176" t="str">
        <f>Schedule!AZ15</f>
        <v>0</v>
      </c>
      <c r="AG13" s="178"/>
      <c r="AH13" s="176" t="str">
        <f>Schedule!BA15</f>
        <v>0</v>
      </c>
      <c r="AI13" s="176" t="str">
        <f>Schedule!BB15</f>
        <v>0</v>
      </c>
      <c r="AJ13" s="176" t="str">
        <f>Schedule!BC15</f>
        <v>0</v>
      </c>
      <c r="AK13" s="176" t="str">
        <f>Schedule!BD15</f>
        <v>0</v>
      </c>
      <c r="AL13" s="176" t="str">
        <f>Schedule!BE15</f>
        <v>0</v>
      </c>
      <c r="AM13" s="176" t="str">
        <f>Schedule!BF15</f>
        <v>0</v>
      </c>
      <c r="AN13" s="176" t="str">
        <f>Schedule!BG15</f>
        <v>0</v>
      </c>
      <c r="AO13" s="176" t="str">
        <f>Schedule!BH15</f>
        <v>0</v>
      </c>
      <c r="AP13" s="176" t="str">
        <f>Schedule!BI15</f>
        <v>0</v>
      </c>
      <c r="AQ13" s="178"/>
      <c r="AR13" s="176" t="str">
        <f>Schedule!BJ15</f>
        <v>0</v>
      </c>
      <c r="AS13" s="176" t="str">
        <f>Schedule!BK15</f>
        <v>0</v>
      </c>
      <c r="AT13" s="176" t="str">
        <f>Schedule!BL15</f>
        <v>0</v>
      </c>
      <c r="AU13" s="176" t="str">
        <f>Schedule!BM15</f>
        <v>0</v>
      </c>
      <c r="AV13" s="176" t="str">
        <f>Schedule!BN15</f>
        <v>0</v>
      </c>
      <c r="AW13" s="176" t="str">
        <f>Schedule!BO15</f>
        <v>0</v>
      </c>
      <c r="AX13" s="176" t="str">
        <f>Schedule!BP15</f>
        <v>0</v>
      </c>
      <c r="AY13" s="176" t="str">
        <f>Schedule!BQ15</f>
        <v>0</v>
      </c>
      <c r="AZ13" s="176" t="str">
        <f>Schedule!BR15</f>
        <v>0</v>
      </c>
      <c r="BA13" s="178"/>
      <c r="BB13" s="176" t="str">
        <f>Schedule!BS15</f>
        <v>0</v>
      </c>
      <c r="BC13" s="176" t="str">
        <f>Schedule!BT15</f>
        <v>0</v>
      </c>
      <c r="BD13" s="176" t="str">
        <f>Schedule!BU15</f>
        <v>0</v>
      </c>
      <c r="BE13" s="176" t="str">
        <f>Schedule!BV15</f>
        <v>0</v>
      </c>
      <c r="BF13" s="176" t="str">
        <f>Schedule!BW15</f>
        <v>0</v>
      </c>
      <c r="BG13" s="176" t="str">
        <f>Schedule!BX15</f>
        <v>0</v>
      </c>
      <c r="BH13" s="176" t="str">
        <f>Schedule!BY15</f>
        <v>0</v>
      </c>
      <c r="BI13" s="176" t="str">
        <f>Schedule!BZ15</f>
        <v>0</v>
      </c>
      <c r="BJ13" s="176" t="str">
        <f>Schedule!CA15</f>
        <v>0</v>
      </c>
      <c r="BK13" s="178"/>
      <c r="BL13" s="176" t="str">
        <f>Schedule!CB15</f>
        <v>0</v>
      </c>
      <c r="BM13" s="176" t="str">
        <f>Schedule!CC15</f>
        <v>0</v>
      </c>
      <c r="BN13" s="176" t="str">
        <f>Schedule!CD15</f>
        <v>0</v>
      </c>
      <c r="BO13" s="176" t="str">
        <f>Schedule!CE15</f>
        <v>0</v>
      </c>
      <c r="BP13" s="176" t="str">
        <f>Schedule!CF15</f>
        <v>0</v>
      </c>
      <c r="BQ13" s="176" t="str">
        <f>Schedule!CG15</f>
        <v>0</v>
      </c>
      <c r="BR13" s="176" t="str">
        <f>Schedule!CH15</f>
        <v>0</v>
      </c>
      <c r="BS13" s="176" t="str">
        <f>Schedule!CI15</f>
        <v>0</v>
      </c>
      <c r="BT13" s="176" t="str">
        <f>Schedule!CJ15</f>
        <v>0</v>
      </c>
      <c r="BU13" s="178"/>
      <c r="BV13" s="176" t="str">
        <f>Schedule!CK15</f>
        <v>0</v>
      </c>
      <c r="BW13" s="176" t="str">
        <f>Schedule!CL15</f>
        <v>0</v>
      </c>
      <c r="BX13" s="176" t="str">
        <f>Schedule!CM15</f>
        <v>0</v>
      </c>
      <c r="BY13" s="176" t="str">
        <f>Schedule!CN15</f>
        <v>0</v>
      </c>
      <c r="BZ13" s="176" t="str">
        <f>Schedule!CO15</f>
        <v>0</v>
      </c>
      <c r="CA13" s="176" t="str">
        <f>Schedule!CP15</f>
        <v>0</v>
      </c>
      <c r="CB13" s="176" t="str">
        <f>Schedule!CQ15</f>
        <v>0</v>
      </c>
      <c r="CC13" s="176" t="str">
        <f>Schedule!CR15</f>
        <v>0</v>
      </c>
      <c r="CD13" s="176" t="str">
        <f>Schedule!CS15</f>
        <v>0</v>
      </c>
      <c r="CE13" s="178"/>
      <c r="CF13" s="176" t="str">
        <f>Schedule!CT15</f>
        <v>0</v>
      </c>
      <c r="CG13" s="176" t="str">
        <f>Schedule!CU15</f>
        <v>0</v>
      </c>
      <c r="CH13" s="176" t="str">
        <f>Schedule!CV15</f>
        <v>0</v>
      </c>
      <c r="CI13" s="176" t="str">
        <f>Schedule!CW15</f>
        <v>0</v>
      </c>
      <c r="CJ13" s="176" t="str">
        <f>Schedule!CX15</f>
        <v>0</v>
      </c>
      <c r="CK13" s="176" t="str">
        <f>Schedule!CY15</f>
        <v>0</v>
      </c>
      <c r="CL13" s="176" t="str">
        <f>Schedule!CZ15</f>
        <v>0</v>
      </c>
      <c r="CM13" s="176" t="str">
        <f>Schedule!DA15</f>
        <v>0</v>
      </c>
      <c r="CN13" s="176" t="str">
        <f>Schedule!DB15</f>
        <v>0</v>
      </c>
      <c r="CO13" s="178"/>
      <c r="CP13" s="176" t="str">
        <f>Schedule!DC15</f>
        <v>0</v>
      </c>
      <c r="CQ13" s="176" t="str">
        <f>Schedule!DD15</f>
        <v>0</v>
      </c>
      <c r="CR13" s="176" t="str">
        <f>Schedule!DE15</f>
        <v>0</v>
      </c>
      <c r="CS13" s="176" t="str">
        <f>Schedule!DF15</f>
        <v>0</v>
      </c>
      <c r="CT13" s="176" t="str">
        <f>Schedule!DG15</f>
        <v>0</v>
      </c>
      <c r="CU13" s="176" t="str">
        <f>Schedule!DH15</f>
        <v>0</v>
      </c>
      <c r="CV13" s="176" t="str">
        <f>Schedule!DI15</f>
        <v>0</v>
      </c>
      <c r="CW13" s="176" t="str">
        <f>Schedule!DJ15</f>
        <v>0</v>
      </c>
      <c r="CX13" s="176" t="str">
        <f>Schedule!DK15</f>
        <v>0</v>
      </c>
      <c r="CY13" s="178"/>
      <c r="CZ13" s="176" t="str">
        <f>Schedule!DL15</f>
        <v>0</v>
      </c>
      <c r="DA13" s="176" t="str">
        <f>Schedule!DM15</f>
        <v>0</v>
      </c>
      <c r="DB13" s="176" t="str">
        <f>Schedule!DN15</f>
        <v>0</v>
      </c>
      <c r="DC13" s="176" t="str">
        <f>Schedule!DO15</f>
        <v>0</v>
      </c>
      <c r="DD13" s="176" t="str">
        <f>Schedule!DP15</f>
        <v>0</v>
      </c>
      <c r="DE13" s="176" t="str">
        <f>Schedule!DQ15</f>
        <v>0</v>
      </c>
      <c r="DF13" s="176" t="str">
        <f>Schedule!DR15</f>
        <v>0</v>
      </c>
      <c r="DG13" s="176" t="str">
        <f>Schedule!DS15</f>
        <v>0</v>
      </c>
      <c r="DH13" s="176" t="str">
        <f>Schedule!DT15</f>
        <v>0</v>
      </c>
      <c r="DI13" s="178"/>
      <c r="DJ13" s="176" t="str">
        <f>Schedule!DU15</f>
        <v>0</v>
      </c>
      <c r="DK13" s="176" t="str">
        <f>Schedule!DV15</f>
        <v>0</v>
      </c>
      <c r="DL13" s="176" t="str">
        <f>Schedule!DW15</f>
        <v>0</v>
      </c>
      <c r="DM13" s="176" t="str">
        <f>Schedule!DX15</f>
        <v>0</v>
      </c>
      <c r="DN13" s="176" t="str">
        <f>Schedule!DY15</f>
        <v>0</v>
      </c>
      <c r="DO13" s="176" t="str">
        <f>Schedule!DZ15</f>
        <v>0</v>
      </c>
      <c r="DP13" s="176" t="str">
        <f>Schedule!EA15</f>
        <v>0</v>
      </c>
      <c r="DQ13" s="176" t="str">
        <f>Schedule!EB15</f>
        <v>0</v>
      </c>
      <c r="DR13" s="176" t="str">
        <f>Schedule!EC15</f>
        <v>0</v>
      </c>
      <c r="DS13" s="178"/>
      <c r="DT13" s="176" t="str">
        <f>Schedule!ED15</f>
        <v>0</v>
      </c>
      <c r="DU13" s="176" t="str">
        <f>Schedule!EE15</f>
        <v>0</v>
      </c>
      <c r="DV13" s="176" t="str">
        <f>Schedule!EF15</f>
        <v>0</v>
      </c>
      <c r="DW13" s="176" t="str">
        <f>Schedule!EG15</f>
        <v>0</v>
      </c>
      <c r="DX13" s="176" t="str">
        <f>Schedule!EH15</f>
        <v>0</v>
      </c>
      <c r="DY13" s="176" t="str">
        <f>Schedule!EI15</f>
        <v>0</v>
      </c>
      <c r="DZ13" s="176" t="str">
        <f>Schedule!EJ15</f>
        <v>0</v>
      </c>
      <c r="EA13" s="176" t="str">
        <f>Schedule!EK15</f>
        <v>0</v>
      </c>
      <c r="EB13" s="176" t="str">
        <f>Schedule!EL15</f>
        <v>0</v>
      </c>
      <c r="EC13" s="178"/>
      <c r="ED13" s="176" t="str">
        <f>Schedule!EM15</f>
        <v>0</v>
      </c>
      <c r="EE13" s="176" t="str">
        <f>Schedule!EN15</f>
        <v>0</v>
      </c>
      <c r="EF13" s="176" t="str">
        <f>Schedule!EO15</f>
        <v>0</v>
      </c>
      <c r="EG13" s="176" t="str">
        <f>Schedule!EP15</f>
        <v>0</v>
      </c>
      <c r="EH13" s="176" t="str">
        <f>Schedule!EQ15</f>
        <v>0</v>
      </c>
      <c r="EI13" s="176" t="str">
        <f>Schedule!ER15</f>
        <v>0</v>
      </c>
      <c r="EJ13" s="176" t="str">
        <f>Schedule!ES15</f>
        <v>0</v>
      </c>
      <c r="EK13" s="176" t="str">
        <f>Schedule!ET15</f>
        <v>0</v>
      </c>
      <c r="EL13" s="176" t="str">
        <f>Schedule!EU15</f>
        <v>0</v>
      </c>
      <c r="EM13" s="178"/>
      <c r="EN13" s="176" t="str">
        <f>Schedule!EV15</f>
        <v>0</v>
      </c>
      <c r="EO13" s="176" t="str">
        <f>Schedule!EW15</f>
        <v>0</v>
      </c>
      <c r="EP13" s="176" t="str">
        <f>Schedule!EX15</f>
        <v>0</v>
      </c>
      <c r="EQ13" s="176" t="str">
        <f>Schedule!EY15</f>
        <v>0</v>
      </c>
      <c r="ER13" s="176" t="str">
        <f>Schedule!EZ15</f>
        <v>0</v>
      </c>
      <c r="ES13" s="176" t="str">
        <f>Schedule!FA15</f>
        <v>0</v>
      </c>
      <c r="ET13" s="176" t="str">
        <f>Schedule!FB15</f>
        <v>0</v>
      </c>
      <c r="EU13" s="176" t="str">
        <f>Schedule!FC15</f>
        <v>0</v>
      </c>
      <c r="EV13" s="176" t="str">
        <f>Schedule!FD15</f>
        <v>0</v>
      </c>
      <c r="EW13" s="178"/>
      <c r="EX13" s="176" t="str">
        <f>Schedule!FE15</f>
        <v>0</v>
      </c>
      <c r="EY13" s="176" t="str">
        <f>Schedule!FF15</f>
        <v>0</v>
      </c>
      <c r="EZ13" s="176" t="str">
        <f>Schedule!FG15</f>
        <v>0</v>
      </c>
      <c r="FA13" s="176" t="str">
        <f>Schedule!FH15</f>
        <v>0</v>
      </c>
      <c r="FB13" s="176" t="str">
        <f>Schedule!FI15</f>
        <v>0</v>
      </c>
      <c r="FC13" s="176" t="str">
        <f>Schedule!FJ15</f>
        <v>0</v>
      </c>
      <c r="FD13" s="176" t="str">
        <f>Schedule!FK15</f>
        <v>0</v>
      </c>
      <c r="FE13" s="176" t="str">
        <f>Schedule!FL15</f>
        <v>0</v>
      </c>
      <c r="FF13" s="176" t="str">
        <f>Schedule!FM15</f>
        <v>0</v>
      </c>
      <c r="FG13" s="178"/>
      <c r="FH13" s="176" t="str">
        <f>Schedule!FN15</f>
        <v>0</v>
      </c>
      <c r="FI13" s="176" t="str">
        <f>Schedule!FO15</f>
        <v>0</v>
      </c>
      <c r="FJ13" s="176" t="str">
        <f>Schedule!FP15</f>
        <v>0</v>
      </c>
      <c r="FK13" s="176" t="str">
        <f>Schedule!FQ15</f>
        <v>0</v>
      </c>
      <c r="FL13" s="176" t="str">
        <f>Schedule!FR15</f>
        <v>0</v>
      </c>
      <c r="FM13" s="176" t="str">
        <f>Schedule!FS15</f>
        <v>0</v>
      </c>
      <c r="FN13" s="176" t="str">
        <f>Schedule!FT15</f>
        <v>0</v>
      </c>
      <c r="FO13" s="176" t="str">
        <f>Schedule!FU15</f>
        <v>0</v>
      </c>
      <c r="FP13" s="176" t="str">
        <f>Schedule!FV15</f>
        <v>0</v>
      </c>
      <c r="FQ13" s="178"/>
      <c r="FR13" s="176" t="str">
        <f>Schedule!FW15</f>
        <v>0</v>
      </c>
      <c r="FS13" s="176" t="str">
        <f>Schedule!FX15</f>
        <v>0</v>
      </c>
      <c r="FT13" s="176" t="str">
        <f>Schedule!FY15</f>
        <v>0</v>
      </c>
      <c r="FU13" s="176" t="str">
        <f>Schedule!FZ15</f>
        <v>0</v>
      </c>
      <c r="FV13" s="176" t="str">
        <f>Schedule!GA15</f>
        <v>0</v>
      </c>
      <c r="FW13" s="176" t="str">
        <f>Schedule!GB15</f>
        <v>0</v>
      </c>
      <c r="FX13" s="176" t="str">
        <f>Schedule!GC15</f>
        <v>0</v>
      </c>
      <c r="FY13" s="176" t="str">
        <f>Schedule!GD15</f>
        <v>0</v>
      </c>
      <c r="FZ13" s="176" t="str">
        <f>Schedule!GE15</f>
        <v>0</v>
      </c>
      <c r="GA13" s="178"/>
      <c r="GB13" s="176" t="str">
        <f>Schedule!GF15</f>
        <v>0</v>
      </c>
      <c r="GC13" s="176" t="str">
        <f>Schedule!GG15</f>
        <v>0</v>
      </c>
      <c r="GD13" s="176" t="str">
        <f>Schedule!GH15</f>
        <v>0</v>
      </c>
      <c r="GE13" s="176" t="str">
        <f>Schedule!GI15</f>
        <v>0</v>
      </c>
      <c r="GF13" s="176" t="str">
        <f>Schedule!GJ15</f>
        <v>0</v>
      </c>
      <c r="GG13" s="176" t="str">
        <f>Schedule!GK15</f>
        <v>0</v>
      </c>
      <c r="GH13" s="176" t="str">
        <f>Schedule!GL15</f>
        <v>0</v>
      </c>
      <c r="GI13" s="176" t="str">
        <f>Schedule!GM15</f>
        <v>0</v>
      </c>
      <c r="GJ13" s="176" t="str">
        <f>Schedule!GN15</f>
        <v>0</v>
      </c>
      <c r="GK13" s="178"/>
      <c r="GL13" s="176" t="str">
        <f>Schedule!GO15</f>
        <v>0</v>
      </c>
      <c r="GM13" s="176" t="str">
        <f>Schedule!GP15</f>
        <v>0</v>
      </c>
      <c r="GN13" s="176" t="str">
        <f>Schedule!GQ15</f>
        <v>0</v>
      </c>
      <c r="GO13" s="176" t="str">
        <f>Schedule!GR15</f>
        <v>0</v>
      </c>
      <c r="GP13" s="176" t="str">
        <f>Schedule!GS15</f>
        <v>0</v>
      </c>
      <c r="GQ13" s="176" t="str">
        <f>Schedule!GT15</f>
        <v>0</v>
      </c>
      <c r="GR13" s="176" t="str">
        <f>Schedule!GU15</f>
        <v>0</v>
      </c>
      <c r="GS13" s="176" t="str">
        <f>Schedule!GV15</f>
        <v>0</v>
      </c>
      <c r="GT13" s="176" t="str">
        <f>Schedule!GW15</f>
        <v>0</v>
      </c>
      <c r="GW13" s="227"/>
    </row>
    <row r="14" spans="2:205" ht="15.75" customHeight="1">
      <c r="B14" s="269"/>
      <c r="C14" s="159">
        <f>Schedule!C16</f>
        <v>0</v>
      </c>
      <c r="D14" s="176" t="str">
        <f>Schedule!Z16</f>
        <v>0</v>
      </c>
      <c r="E14" s="176" t="str">
        <f>Schedule!AA16</f>
        <v>0</v>
      </c>
      <c r="F14" s="176" t="str">
        <f>Schedule!AB16</f>
        <v>0</v>
      </c>
      <c r="G14" s="176" t="str">
        <f>Schedule!AC16</f>
        <v>0</v>
      </c>
      <c r="H14" s="176" t="str">
        <f>Schedule!AD16</f>
        <v>0</v>
      </c>
      <c r="I14" s="176" t="str">
        <f>Schedule!AE16</f>
        <v>0</v>
      </c>
      <c r="J14" s="176" t="str">
        <f>Schedule!AF16</f>
        <v>0</v>
      </c>
      <c r="K14" s="181" t="str">
        <f>Schedule!AG16</f>
        <v>0</v>
      </c>
      <c r="L14" s="181" t="str">
        <f>Schedule!AH16</f>
        <v>0</v>
      </c>
      <c r="M14" s="178"/>
      <c r="N14" s="183" t="str">
        <f>Schedule!AI16</f>
        <v>0</v>
      </c>
      <c r="O14" s="176" t="str">
        <f>Schedule!AJ16</f>
        <v>0</v>
      </c>
      <c r="P14" s="176" t="str">
        <f>Schedule!AK16</f>
        <v>0</v>
      </c>
      <c r="Q14" s="176" t="str">
        <f>Schedule!AL16</f>
        <v>0</v>
      </c>
      <c r="R14" s="176" t="str">
        <f>Schedule!AM16</f>
        <v>0</v>
      </c>
      <c r="S14" s="176" t="str">
        <f>Schedule!AN16</f>
        <v>0</v>
      </c>
      <c r="T14" s="176" t="str">
        <f>Schedule!AO16</f>
        <v>0</v>
      </c>
      <c r="U14" s="176" t="str">
        <f>Schedule!AP16</f>
        <v>0</v>
      </c>
      <c r="V14" s="176" t="str">
        <f>Schedule!AQ16</f>
        <v>0</v>
      </c>
      <c r="W14" s="178"/>
      <c r="X14" s="176" t="str">
        <f>Schedule!AR16</f>
        <v>0</v>
      </c>
      <c r="Y14" s="176" t="str">
        <f>Schedule!AS16</f>
        <v>0</v>
      </c>
      <c r="Z14" s="176" t="str">
        <f>Schedule!AT16</f>
        <v>0</v>
      </c>
      <c r="AA14" s="176" t="str">
        <f>Schedule!AU16</f>
        <v>0</v>
      </c>
      <c r="AB14" s="176" t="str">
        <f>Schedule!AV16</f>
        <v>0</v>
      </c>
      <c r="AC14" s="176" t="str">
        <f>Schedule!AW16</f>
        <v>0</v>
      </c>
      <c r="AD14" s="176" t="str">
        <f>Schedule!AX16</f>
        <v>0</v>
      </c>
      <c r="AE14" s="176" t="str">
        <f>Schedule!AY16</f>
        <v>0</v>
      </c>
      <c r="AF14" s="176" t="str">
        <f>Schedule!AZ16</f>
        <v>0</v>
      </c>
      <c r="AG14" s="178"/>
      <c r="AH14" s="176" t="str">
        <f>Schedule!BA16</f>
        <v>0</v>
      </c>
      <c r="AI14" s="176" t="str">
        <f>Schedule!BB16</f>
        <v>0</v>
      </c>
      <c r="AJ14" s="176" t="str">
        <f>Schedule!BC16</f>
        <v>0</v>
      </c>
      <c r="AK14" s="176" t="str">
        <f>Schedule!BD16</f>
        <v>0</v>
      </c>
      <c r="AL14" s="176" t="str">
        <f>Schedule!BE16</f>
        <v>0</v>
      </c>
      <c r="AM14" s="176" t="str">
        <f>Schedule!BF16</f>
        <v>0</v>
      </c>
      <c r="AN14" s="176" t="str">
        <f>Schedule!BG16</f>
        <v>0</v>
      </c>
      <c r="AO14" s="176" t="str">
        <f>Schedule!BH16</f>
        <v>0</v>
      </c>
      <c r="AP14" s="176" t="str">
        <f>Schedule!BI16</f>
        <v>0</v>
      </c>
      <c r="AQ14" s="178"/>
      <c r="AR14" s="176" t="str">
        <f>Schedule!BJ16</f>
        <v>0</v>
      </c>
      <c r="AS14" s="176" t="str">
        <f>Schedule!BK16</f>
        <v>0</v>
      </c>
      <c r="AT14" s="176" t="str">
        <f>Schedule!BL16</f>
        <v>0</v>
      </c>
      <c r="AU14" s="176" t="str">
        <f>Schedule!BM16</f>
        <v>0</v>
      </c>
      <c r="AV14" s="176" t="str">
        <f>Schedule!BN16</f>
        <v>0</v>
      </c>
      <c r="AW14" s="176" t="str">
        <f>Schedule!BO16</f>
        <v>0</v>
      </c>
      <c r="AX14" s="176" t="str">
        <f>Schedule!BP16</f>
        <v>0</v>
      </c>
      <c r="AY14" s="176" t="str">
        <f>Schedule!BQ16</f>
        <v>0</v>
      </c>
      <c r="AZ14" s="176" t="str">
        <f>Schedule!BR16</f>
        <v>0</v>
      </c>
      <c r="BA14" s="178"/>
      <c r="BB14" s="176" t="str">
        <f>Schedule!BS16</f>
        <v>0</v>
      </c>
      <c r="BC14" s="176" t="str">
        <f>Schedule!BT16</f>
        <v>0</v>
      </c>
      <c r="BD14" s="176" t="str">
        <f>Schedule!BU16</f>
        <v>0</v>
      </c>
      <c r="BE14" s="176" t="str">
        <f>Schedule!BV16</f>
        <v>0</v>
      </c>
      <c r="BF14" s="176" t="str">
        <f>Schedule!BW16</f>
        <v>0</v>
      </c>
      <c r="BG14" s="176" t="str">
        <f>Schedule!BX16</f>
        <v>0</v>
      </c>
      <c r="BH14" s="176" t="str">
        <f>Schedule!BY16</f>
        <v>0</v>
      </c>
      <c r="BI14" s="176" t="str">
        <f>Schedule!BZ16</f>
        <v>0</v>
      </c>
      <c r="BJ14" s="176" t="str">
        <f>Schedule!CA16</f>
        <v>0</v>
      </c>
      <c r="BK14" s="178"/>
      <c r="BL14" s="176" t="str">
        <f>Schedule!CB16</f>
        <v>0</v>
      </c>
      <c r="BM14" s="176" t="str">
        <f>Schedule!CC16</f>
        <v>0</v>
      </c>
      <c r="BN14" s="176" t="str">
        <f>Schedule!CD16</f>
        <v>0</v>
      </c>
      <c r="BO14" s="176" t="str">
        <f>Schedule!CE16</f>
        <v>0</v>
      </c>
      <c r="BP14" s="176" t="str">
        <f>Schedule!CF16</f>
        <v>0</v>
      </c>
      <c r="BQ14" s="176" t="str">
        <f>Schedule!CG16</f>
        <v>0</v>
      </c>
      <c r="BR14" s="176" t="str">
        <f>Schedule!CH16</f>
        <v>0</v>
      </c>
      <c r="BS14" s="176" t="str">
        <f>Schedule!CI16</f>
        <v>0</v>
      </c>
      <c r="BT14" s="176" t="str">
        <f>Schedule!CJ16</f>
        <v>0</v>
      </c>
      <c r="BU14" s="178"/>
      <c r="BV14" s="176" t="str">
        <f>Schedule!CK16</f>
        <v>0</v>
      </c>
      <c r="BW14" s="176" t="str">
        <f>Schedule!CL16</f>
        <v>0</v>
      </c>
      <c r="BX14" s="176" t="str">
        <f>Schedule!CM16</f>
        <v>0</v>
      </c>
      <c r="BY14" s="176" t="str">
        <f>Schedule!CN16</f>
        <v>0</v>
      </c>
      <c r="BZ14" s="176" t="str">
        <f>Schedule!CO16</f>
        <v>0</v>
      </c>
      <c r="CA14" s="176" t="str">
        <f>Schedule!CP16</f>
        <v>0</v>
      </c>
      <c r="CB14" s="176" t="str">
        <f>Schedule!CQ16</f>
        <v>0</v>
      </c>
      <c r="CC14" s="176" t="str">
        <f>Schedule!CR16</f>
        <v>0</v>
      </c>
      <c r="CD14" s="176" t="str">
        <f>Schedule!CS16</f>
        <v>0</v>
      </c>
      <c r="CE14" s="178"/>
      <c r="CF14" s="176" t="str">
        <f>Schedule!CT16</f>
        <v>0</v>
      </c>
      <c r="CG14" s="176" t="str">
        <f>Schedule!CU16</f>
        <v>0</v>
      </c>
      <c r="CH14" s="176" t="str">
        <f>Schedule!CV16</f>
        <v>0</v>
      </c>
      <c r="CI14" s="176" t="str">
        <f>Schedule!CW16</f>
        <v>0</v>
      </c>
      <c r="CJ14" s="176" t="str">
        <f>Schedule!CX16</f>
        <v>0</v>
      </c>
      <c r="CK14" s="176" t="str">
        <f>Schedule!CY16</f>
        <v>0</v>
      </c>
      <c r="CL14" s="176" t="str">
        <f>Schedule!CZ16</f>
        <v>0</v>
      </c>
      <c r="CM14" s="176" t="str">
        <f>Schedule!DA16</f>
        <v>0</v>
      </c>
      <c r="CN14" s="176" t="str">
        <f>Schedule!DB16</f>
        <v>0</v>
      </c>
      <c r="CO14" s="178"/>
      <c r="CP14" s="176" t="str">
        <f>Schedule!DC16</f>
        <v>0</v>
      </c>
      <c r="CQ14" s="176" t="str">
        <f>Schedule!DD16</f>
        <v>0</v>
      </c>
      <c r="CR14" s="176" t="str">
        <f>Schedule!DE16</f>
        <v>0</v>
      </c>
      <c r="CS14" s="176" t="str">
        <f>Schedule!DF16</f>
        <v>0</v>
      </c>
      <c r="CT14" s="176" t="str">
        <f>Schedule!DG16</f>
        <v>0</v>
      </c>
      <c r="CU14" s="176" t="str">
        <f>Schedule!DH16</f>
        <v>0</v>
      </c>
      <c r="CV14" s="176" t="str">
        <f>Schedule!DI16</f>
        <v>0</v>
      </c>
      <c r="CW14" s="176" t="str">
        <f>Schedule!DJ16</f>
        <v>0</v>
      </c>
      <c r="CX14" s="176" t="str">
        <f>Schedule!DK16</f>
        <v>0</v>
      </c>
      <c r="CY14" s="178"/>
      <c r="CZ14" s="176" t="str">
        <f>Schedule!DL16</f>
        <v>0</v>
      </c>
      <c r="DA14" s="176" t="str">
        <f>Schedule!DM16</f>
        <v>0</v>
      </c>
      <c r="DB14" s="176" t="str">
        <f>Schedule!DN16</f>
        <v>0</v>
      </c>
      <c r="DC14" s="176" t="str">
        <f>Schedule!DO16</f>
        <v>0</v>
      </c>
      <c r="DD14" s="176" t="str">
        <f>Schedule!DP16</f>
        <v>0</v>
      </c>
      <c r="DE14" s="176" t="str">
        <f>Schedule!DQ16</f>
        <v>0</v>
      </c>
      <c r="DF14" s="176" t="str">
        <f>Schedule!DR16</f>
        <v>0</v>
      </c>
      <c r="DG14" s="176" t="str">
        <f>Schedule!DS16</f>
        <v>0</v>
      </c>
      <c r="DH14" s="176" t="str">
        <f>Schedule!DT16</f>
        <v>0</v>
      </c>
      <c r="DI14" s="178"/>
      <c r="DJ14" s="176" t="str">
        <f>Schedule!DU16</f>
        <v>0</v>
      </c>
      <c r="DK14" s="176" t="str">
        <f>Schedule!DV16</f>
        <v>0</v>
      </c>
      <c r="DL14" s="176" t="str">
        <f>Schedule!DW16</f>
        <v>0</v>
      </c>
      <c r="DM14" s="176" t="str">
        <f>Schedule!DX16</f>
        <v>0</v>
      </c>
      <c r="DN14" s="176" t="str">
        <f>Schedule!DY16</f>
        <v>0</v>
      </c>
      <c r="DO14" s="176" t="str">
        <f>Schedule!DZ16</f>
        <v>0</v>
      </c>
      <c r="DP14" s="176" t="str">
        <f>Schedule!EA16</f>
        <v>0</v>
      </c>
      <c r="DQ14" s="176" t="str">
        <f>Schedule!EB16</f>
        <v>0</v>
      </c>
      <c r="DR14" s="176" t="str">
        <f>Schedule!EC16</f>
        <v>0</v>
      </c>
      <c r="DS14" s="178"/>
      <c r="DT14" s="176" t="str">
        <f>Schedule!ED16</f>
        <v>0</v>
      </c>
      <c r="DU14" s="176" t="str">
        <f>Schedule!EE16</f>
        <v>0</v>
      </c>
      <c r="DV14" s="176" t="str">
        <f>Schedule!EF16</f>
        <v>0</v>
      </c>
      <c r="DW14" s="176" t="str">
        <f>Schedule!EG16</f>
        <v>0</v>
      </c>
      <c r="DX14" s="176" t="str">
        <f>Schedule!EH16</f>
        <v>0</v>
      </c>
      <c r="DY14" s="176" t="str">
        <f>Schedule!EI16</f>
        <v>0</v>
      </c>
      <c r="DZ14" s="176" t="str">
        <f>Schedule!EJ16</f>
        <v>0</v>
      </c>
      <c r="EA14" s="176" t="str">
        <f>Schedule!EK16</f>
        <v>0</v>
      </c>
      <c r="EB14" s="176" t="str">
        <f>Schedule!EL16</f>
        <v>0</v>
      </c>
      <c r="EC14" s="178"/>
      <c r="ED14" s="176" t="str">
        <f>Schedule!EM16</f>
        <v>0</v>
      </c>
      <c r="EE14" s="176" t="str">
        <f>Schedule!EN16</f>
        <v>0</v>
      </c>
      <c r="EF14" s="176" t="str">
        <f>Schedule!EO16</f>
        <v>0</v>
      </c>
      <c r="EG14" s="176" t="str">
        <f>Schedule!EP16</f>
        <v>0</v>
      </c>
      <c r="EH14" s="176" t="str">
        <f>Schedule!EQ16</f>
        <v>0</v>
      </c>
      <c r="EI14" s="176" t="str">
        <f>Schedule!ER16</f>
        <v>0</v>
      </c>
      <c r="EJ14" s="176" t="str">
        <f>Schedule!ES16</f>
        <v>0</v>
      </c>
      <c r="EK14" s="176" t="str">
        <f>Schedule!ET16</f>
        <v>0</v>
      </c>
      <c r="EL14" s="176" t="str">
        <f>Schedule!EU16</f>
        <v>0</v>
      </c>
      <c r="EM14" s="178"/>
      <c r="EN14" s="176" t="str">
        <f>Schedule!EV16</f>
        <v>0</v>
      </c>
      <c r="EO14" s="176" t="str">
        <f>Schedule!EW16</f>
        <v>0</v>
      </c>
      <c r="EP14" s="176" t="str">
        <f>Schedule!EX16</f>
        <v>0</v>
      </c>
      <c r="EQ14" s="176" t="str">
        <f>Schedule!EY16</f>
        <v>0</v>
      </c>
      <c r="ER14" s="176" t="str">
        <f>Schedule!EZ16</f>
        <v>0</v>
      </c>
      <c r="ES14" s="176" t="str">
        <f>Schedule!FA16</f>
        <v>0</v>
      </c>
      <c r="ET14" s="176" t="str">
        <f>Schedule!FB16</f>
        <v>0</v>
      </c>
      <c r="EU14" s="176" t="str">
        <f>Schedule!FC16</f>
        <v>0</v>
      </c>
      <c r="EV14" s="176" t="str">
        <f>Schedule!FD16</f>
        <v>0</v>
      </c>
      <c r="EW14" s="178"/>
      <c r="EX14" s="176" t="str">
        <f>Schedule!FE16</f>
        <v>0</v>
      </c>
      <c r="EY14" s="176" t="str">
        <f>Schedule!FF16</f>
        <v>0</v>
      </c>
      <c r="EZ14" s="176" t="str">
        <f>Schedule!FG16</f>
        <v>0</v>
      </c>
      <c r="FA14" s="176" t="str">
        <f>Schedule!FH16</f>
        <v>0</v>
      </c>
      <c r="FB14" s="176" t="str">
        <f>Schedule!FI16</f>
        <v>0</v>
      </c>
      <c r="FC14" s="176" t="str">
        <f>Schedule!FJ16</f>
        <v>0</v>
      </c>
      <c r="FD14" s="176" t="str">
        <f>Schedule!FK16</f>
        <v>0</v>
      </c>
      <c r="FE14" s="176" t="str">
        <f>Schedule!FL16</f>
        <v>0</v>
      </c>
      <c r="FF14" s="176" t="str">
        <f>Schedule!FM16</f>
        <v>0</v>
      </c>
      <c r="FG14" s="178"/>
      <c r="FH14" s="176" t="str">
        <f>Schedule!FN16</f>
        <v>0</v>
      </c>
      <c r="FI14" s="176" t="str">
        <f>Schedule!FO16</f>
        <v>0</v>
      </c>
      <c r="FJ14" s="176" t="str">
        <f>Schedule!FP16</f>
        <v>0</v>
      </c>
      <c r="FK14" s="176" t="str">
        <f>Schedule!FQ16</f>
        <v>0</v>
      </c>
      <c r="FL14" s="176" t="str">
        <f>Schedule!FR16</f>
        <v>0</v>
      </c>
      <c r="FM14" s="176" t="str">
        <f>Schedule!FS16</f>
        <v>0</v>
      </c>
      <c r="FN14" s="176" t="str">
        <f>Schedule!FT16</f>
        <v>0</v>
      </c>
      <c r="FO14" s="176" t="str">
        <f>Schedule!FU16</f>
        <v>0</v>
      </c>
      <c r="FP14" s="176" t="str">
        <f>Schedule!FV16</f>
        <v>0</v>
      </c>
      <c r="FQ14" s="178"/>
      <c r="FR14" s="176" t="str">
        <f>Schedule!FW16</f>
        <v>0</v>
      </c>
      <c r="FS14" s="176" t="str">
        <f>Schedule!FX16</f>
        <v>0</v>
      </c>
      <c r="FT14" s="176" t="str">
        <f>Schedule!FY16</f>
        <v>0</v>
      </c>
      <c r="FU14" s="176" t="str">
        <f>Schedule!FZ16</f>
        <v>0</v>
      </c>
      <c r="FV14" s="176" t="str">
        <f>Schedule!GA16</f>
        <v>0</v>
      </c>
      <c r="FW14" s="176" t="str">
        <f>Schedule!GB16</f>
        <v>0</v>
      </c>
      <c r="FX14" s="176" t="str">
        <f>Schedule!GC16</f>
        <v>0</v>
      </c>
      <c r="FY14" s="176" t="str">
        <f>Schedule!GD16</f>
        <v>0</v>
      </c>
      <c r="FZ14" s="176" t="str">
        <f>Schedule!GE16</f>
        <v>0</v>
      </c>
      <c r="GA14" s="178"/>
      <c r="GB14" s="176" t="str">
        <f>Schedule!GF16</f>
        <v>0</v>
      </c>
      <c r="GC14" s="176" t="str">
        <f>Schedule!GG16</f>
        <v>0</v>
      </c>
      <c r="GD14" s="176" t="str">
        <f>Schedule!GH16</f>
        <v>0</v>
      </c>
      <c r="GE14" s="176" t="str">
        <f>Schedule!GI16</f>
        <v>0</v>
      </c>
      <c r="GF14" s="176" t="str">
        <f>Schedule!GJ16</f>
        <v>0</v>
      </c>
      <c r="GG14" s="176" t="str">
        <f>Schedule!GK16</f>
        <v>0</v>
      </c>
      <c r="GH14" s="176" t="str">
        <f>Schedule!GL16</f>
        <v>0</v>
      </c>
      <c r="GI14" s="176" t="str">
        <f>Schedule!GM16</f>
        <v>0</v>
      </c>
      <c r="GJ14" s="176" t="str">
        <f>Schedule!GN16</f>
        <v>0</v>
      </c>
      <c r="GK14" s="178"/>
      <c r="GL14" s="176" t="str">
        <f>Schedule!GO16</f>
        <v>0</v>
      </c>
      <c r="GM14" s="176" t="str">
        <f>Schedule!GP16</f>
        <v>0</v>
      </c>
      <c r="GN14" s="176" t="str">
        <f>Schedule!GQ16</f>
        <v>0</v>
      </c>
      <c r="GO14" s="176" t="str">
        <f>Schedule!GR16</f>
        <v>0</v>
      </c>
      <c r="GP14" s="176" t="str">
        <f>Schedule!GS16</f>
        <v>0</v>
      </c>
      <c r="GQ14" s="176" t="str">
        <f>Schedule!GT16</f>
        <v>0</v>
      </c>
      <c r="GR14" s="176" t="str">
        <f>Schedule!GU16</f>
        <v>0</v>
      </c>
      <c r="GS14" s="176" t="str">
        <f>Schedule!GV16</f>
        <v>0</v>
      </c>
      <c r="GT14" s="176" t="str">
        <f>Schedule!GW16</f>
        <v>0</v>
      </c>
      <c r="GW14" s="227"/>
    </row>
    <row r="15" spans="2:205" ht="15.75" hidden="1" customHeight="1">
      <c r="B15" s="269"/>
      <c r="C15" s="159">
        <f>Schedule!C17</f>
        <v>0</v>
      </c>
      <c r="D15" s="176" t="str">
        <f>Schedule!Z17</f>
        <v>0</v>
      </c>
      <c r="E15" s="176" t="str">
        <f>Schedule!AA17</f>
        <v>0</v>
      </c>
      <c r="F15" s="176" t="str">
        <f>Schedule!AB17</f>
        <v>0</v>
      </c>
      <c r="G15" s="176" t="str">
        <f>Schedule!AC17</f>
        <v>0</v>
      </c>
      <c r="H15" s="176" t="str">
        <f>Schedule!AD17</f>
        <v>0</v>
      </c>
      <c r="I15" s="176" t="str">
        <f>Schedule!AE17</f>
        <v>0</v>
      </c>
      <c r="J15" s="176" t="str">
        <f>Schedule!AF17</f>
        <v>0</v>
      </c>
      <c r="K15" s="181" t="str">
        <f>Schedule!AG17</f>
        <v>0</v>
      </c>
      <c r="L15" s="181" t="str">
        <f>Schedule!AH17</f>
        <v>0</v>
      </c>
      <c r="M15" s="178"/>
      <c r="N15" s="183" t="str">
        <f>Schedule!AI17</f>
        <v>0</v>
      </c>
      <c r="O15" s="176" t="str">
        <f>Schedule!AJ17</f>
        <v>0</v>
      </c>
      <c r="P15" s="176" t="str">
        <f>Schedule!AK17</f>
        <v>0</v>
      </c>
      <c r="Q15" s="176" t="str">
        <f>Schedule!AL17</f>
        <v>0</v>
      </c>
      <c r="R15" s="176" t="str">
        <f>Schedule!AM17</f>
        <v>0</v>
      </c>
      <c r="S15" s="176" t="str">
        <f>Schedule!AN17</f>
        <v>0</v>
      </c>
      <c r="T15" s="176" t="str">
        <f>Schedule!AO17</f>
        <v>0</v>
      </c>
      <c r="U15" s="176" t="str">
        <f>Schedule!AP17</f>
        <v>0</v>
      </c>
      <c r="V15" s="176" t="str">
        <f>Schedule!AQ17</f>
        <v>0</v>
      </c>
      <c r="W15" s="178"/>
      <c r="X15" s="176" t="str">
        <f>Schedule!AR17</f>
        <v>0</v>
      </c>
      <c r="Y15" s="176" t="str">
        <f>Schedule!AS17</f>
        <v>0</v>
      </c>
      <c r="Z15" s="176" t="str">
        <f>Schedule!AT17</f>
        <v>0</v>
      </c>
      <c r="AA15" s="176" t="str">
        <f>Schedule!AU17</f>
        <v>0</v>
      </c>
      <c r="AB15" s="176" t="str">
        <f>Schedule!AV17</f>
        <v>0</v>
      </c>
      <c r="AC15" s="176" t="str">
        <f>Schedule!AW17</f>
        <v>0</v>
      </c>
      <c r="AD15" s="176" t="str">
        <f>Schedule!AX17</f>
        <v>0</v>
      </c>
      <c r="AE15" s="176" t="str">
        <f>Schedule!AY17</f>
        <v>0</v>
      </c>
      <c r="AF15" s="176" t="str">
        <f>Schedule!AZ17</f>
        <v>0</v>
      </c>
      <c r="AG15" s="178"/>
      <c r="AH15" s="176" t="str">
        <f>Schedule!BA17</f>
        <v>0</v>
      </c>
      <c r="AI15" s="176" t="str">
        <f>Schedule!BB17</f>
        <v>0</v>
      </c>
      <c r="AJ15" s="176" t="str">
        <f>Schedule!BC17</f>
        <v>0</v>
      </c>
      <c r="AK15" s="176" t="str">
        <f>Schedule!BD17</f>
        <v>0</v>
      </c>
      <c r="AL15" s="176" t="str">
        <f>Schedule!BE17</f>
        <v>0</v>
      </c>
      <c r="AM15" s="176" t="str">
        <f>Schedule!BF17</f>
        <v>0</v>
      </c>
      <c r="AN15" s="176" t="str">
        <f>Schedule!BG17</f>
        <v>0</v>
      </c>
      <c r="AO15" s="176" t="str">
        <f>Schedule!BH17</f>
        <v>0</v>
      </c>
      <c r="AP15" s="176" t="str">
        <f>Schedule!BI17</f>
        <v>0</v>
      </c>
      <c r="AQ15" s="178"/>
      <c r="AR15" s="176" t="str">
        <f>Schedule!BJ17</f>
        <v>0</v>
      </c>
      <c r="AS15" s="176" t="str">
        <f>Schedule!BK17</f>
        <v>0</v>
      </c>
      <c r="AT15" s="176" t="str">
        <f>Schedule!BL17</f>
        <v>0</v>
      </c>
      <c r="AU15" s="176" t="str">
        <f>Schedule!BM17</f>
        <v>0</v>
      </c>
      <c r="AV15" s="176" t="str">
        <f>Schedule!BN17</f>
        <v>0</v>
      </c>
      <c r="AW15" s="176" t="str">
        <f>Schedule!BO17</f>
        <v>0</v>
      </c>
      <c r="AX15" s="176" t="str">
        <f>Schedule!BP17</f>
        <v>0</v>
      </c>
      <c r="AY15" s="176" t="str">
        <f>Schedule!BQ17</f>
        <v>0</v>
      </c>
      <c r="AZ15" s="176" t="str">
        <f>Schedule!BR17</f>
        <v>0</v>
      </c>
      <c r="BA15" s="178"/>
      <c r="BB15" s="176" t="str">
        <f>Schedule!BS17</f>
        <v>0</v>
      </c>
      <c r="BC15" s="176" t="str">
        <f>Schedule!BT17</f>
        <v>0</v>
      </c>
      <c r="BD15" s="176" t="str">
        <f>Schedule!BU17</f>
        <v>0</v>
      </c>
      <c r="BE15" s="176" t="str">
        <f>Schedule!BV17</f>
        <v>0</v>
      </c>
      <c r="BF15" s="176" t="str">
        <f>Schedule!BW17</f>
        <v>0</v>
      </c>
      <c r="BG15" s="176" t="str">
        <f>Schedule!BX17</f>
        <v>0</v>
      </c>
      <c r="BH15" s="176" t="str">
        <f>Schedule!BY17</f>
        <v>0</v>
      </c>
      <c r="BI15" s="176" t="str">
        <f>Schedule!BZ17</f>
        <v>0</v>
      </c>
      <c r="BJ15" s="176" t="str">
        <f>Schedule!CA17</f>
        <v>0</v>
      </c>
      <c r="BK15" s="178"/>
      <c r="BL15" s="176" t="str">
        <f>Schedule!CB17</f>
        <v>0</v>
      </c>
      <c r="BM15" s="176" t="str">
        <f>Schedule!CC17</f>
        <v>0</v>
      </c>
      <c r="BN15" s="176" t="str">
        <f>Schedule!CD17</f>
        <v>0</v>
      </c>
      <c r="BO15" s="176" t="str">
        <f>Schedule!CE17</f>
        <v>0</v>
      </c>
      <c r="BP15" s="176" t="str">
        <f>Schedule!CF17</f>
        <v>0</v>
      </c>
      <c r="BQ15" s="176" t="str">
        <f>Schedule!CG17</f>
        <v>0</v>
      </c>
      <c r="BR15" s="176" t="str">
        <f>Schedule!CH17</f>
        <v>0</v>
      </c>
      <c r="BS15" s="176" t="str">
        <f>Schedule!CI17</f>
        <v>0</v>
      </c>
      <c r="BT15" s="176" t="str">
        <f>Schedule!CJ17</f>
        <v>0</v>
      </c>
      <c r="BU15" s="178"/>
      <c r="BV15" s="176" t="str">
        <f>Schedule!CK17</f>
        <v>0</v>
      </c>
      <c r="BW15" s="176" t="str">
        <f>Schedule!CL17</f>
        <v>0</v>
      </c>
      <c r="BX15" s="176" t="str">
        <f>Schedule!CM17</f>
        <v>0</v>
      </c>
      <c r="BY15" s="176" t="str">
        <f>Schedule!CN17</f>
        <v>0</v>
      </c>
      <c r="BZ15" s="176" t="str">
        <f>Schedule!CO17</f>
        <v>0</v>
      </c>
      <c r="CA15" s="176" t="str">
        <f>Schedule!CP17</f>
        <v>0</v>
      </c>
      <c r="CB15" s="176" t="str">
        <f>Schedule!CQ17</f>
        <v>0</v>
      </c>
      <c r="CC15" s="176" t="str">
        <f>Schedule!CR17</f>
        <v>0</v>
      </c>
      <c r="CD15" s="176" t="str">
        <f>Schedule!CS17</f>
        <v>0</v>
      </c>
      <c r="CE15" s="178"/>
      <c r="CF15" s="176" t="str">
        <f>Schedule!CT17</f>
        <v>0</v>
      </c>
      <c r="CG15" s="176" t="str">
        <f>Schedule!CU17</f>
        <v>0</v>
      </c>
      <c r="CH15" s="176" t="str">
        <f>Schedule!CV17</f>
        <v>0</v>
      </c>
      <c r="CI15" s="176" t="str">
        <f>Schedule!CW17</f>
        <v>0</v>
      </c>
      <c r="CJ15" s="176" t="str">
        <f>Schedule!CX17</f>
        <v>0</v>
      </c>
      <c r="CK15" s="176" t="str">
        <f>Schedule!CY17</f>
        <v>0</v>
      </c>
      <c r="CL15" s="176" t="str">
        <f>Schedule!CZ17</f>
        <v>0</v>
      </c>
      <c r="CM15" s="176" t="str">
        <f>Schedule!DA17</f>
        <v>0</v>
      </c>
      <c r="CN15" s="176" t="str">
        <f>Schedule!DB17</f>
        <v>0</v>
      </c>
      <c r="CO15" s="178"/>
      <c r="CP15" s="176" t="str">
        <f>Schedule!DC17</f>
        <v>0</v>
      </c>
      <c r="CQ15" s="176" t="str">
        <f>Schedule!DD17</f>
        <v>0</v>
      </c>
      <c r="CR15" s="176" t="str">
        <f>Schedule!DE17</f>
        <v>0</v>
      </c>
      <c r="CS15" s="176" t="str">
        <f>Schedule!DF17</f>
        <v>0</v>
      </c>
      <c r="CT15" s="176" t="str">
        <f>Schedule!DG17</f>
        <v>0</v>
      </c>
      <c r="CU15" s="176" t="str">
        <f>Schedule!DH17</f>
        <v>0</v>
      </c>
      <c r="CV15" s="176" t="str">
        <f>Schedule!DI17</f>
        <v>0</v>
      </c>
      <c r="CW15" s="176" t="str">
        <f>Schedule!DJ17</f>
        <v>0</v>
      </c>
      <c r="CX15" s="176" t="str">
        <f>Schedule!DK17</f>
        <v>0</v>
      </c>
      <c r="CY15" s="178"/>
      <c r="CZ15" s="176" t="str">
        <f>Schedule!DL17</f>
        <v>0</v>
      </c>
      <c r="DA15" s="176" t="str">
        <f>Schedule!DM17</f>
        <v>0</v>
      </c>
      <c r="DB15" s="176" t="str">
        <f>Schedule!DN17</f>
        <v>0</v>
      </c>
      <c r="DC15" s="176" t="str">
        <f>Schedule!DO17</f>
        <v>0</v>
      </c>
      <c r="DD15" s="176" t="str">
        <f>Schedule!DP17</f>
        <v>0</v>
      </c>
      <c r="DE15" s="176" t="str">
        <f>Schedule!DQ17</f>
        <v>0</v>
      </c>
      <c r="DF15" s="176" t="str">
        <f>Schedule!DR17</f>
        <v>0</v>
      </c>
      <c r="DG15" s="176" t="str">
        <f>Schedule!DS17</f>
        <v>0</v>
      </c>
      <c r="DH15" s="176" t="str">
        <f>Schedule!DT17</f>
        <v>0</v>
      </c>
      <c r="DI15" s="178"/>
      <c r="DJ15" s="176" t="str">
        <f>Schedule!DU17</f>
        <v>0</v>
      </c>
      <c r="DK15" s="176" t="str">
        <f>Schedule!DV17</f>
        <v>0</v>
      </c>
      <c r="DL15" s="176" t="str">
        <f>Schedule!DW17</f>
        <v>0</v>
      </c>
      <c r="DM15" s="176" t="str">
        <f>Schedule!DX17</f>
        <v>0</v>
      </c>
      <c r="DN15" s="176" t="str">
        <f>Schedule!DY17</f>
        <v>0</v>
      </c>
      <c r="DO15" s="176" t="str">
        <f>Schedule!DZ17</f>
        <v>0</v>
      </c>
      <c r="DP15" s="176" t="str">
        <f>Schedule!EA17</f>
        <v>0</v>
      </c>
      <c r="DQ15" s="176" t="str">
        <f>Schedule!EB17</f>
        <v>0</v>
      </c>
      <c r="DR15" s="176" t="str">
        <f>Schedule!EC17</f>
        <v>0</v>
      </c>
      <c r="DS15" s="178"/>
      <c r="DT15" s="176" t="str">
        <f>Schedule!ED17</f>
        <v>0</v>
      </c>
      <c r="DU15" s="176" t="str">
        <f>Schedule!EE17</f>
        <v>0</v>
      </c>
      <c r="DV15" s="176" t="str">
        <f>Schedule!EF17</f>
        <v>0</v>
      </c>
      <c r="DW15" s="176" t="str">
        <f>Schedule!EG17</f>
        <v>0</v>
      </c>
      <c r="DX15" s="176" t="str">
        <f>Schedule!EH17</f>
        <v>0</v>
      </c>
      <c r="DY15" s="176" t="str">
        <f>Schedule!EI17</f>
        <v>0</v>
      </c>
      <c r="DZ15" s="176" t="str">
        <f>Schedule!EJ17</f>
        <v>0</v>
      </c>
      <c r="EA15" s="176" t="str">
        <f>Schedule!EK17</f>
        <v>0</v>
      </c>
      <c r="EB15" s="176" t="str">
        <f>Schedule!EL17</f>
        <v>0</v>
      </c>
      <c r="EC15" s="178"/>
      <c r="ED15" s="176" t="str">
        <f>Schedule!EM17</f>
        <v>0</v>
      </c>
      <c r="EE15" s="176" t="str">
        <f>Schedule!EN17</f>
        <v>0</v>
      </c>
      <c r="EF15" s="176" t="str">
        <f>Schedule!EO17</f>
        <v>0</v>
      </c>
      <c r="EG15" s="176" t="str">
        <f>Schedule!EP17</f>
        <v>0</v>
      </c>
      <c r="EH15" s="176" t="str">
        <f>Schedule!EQ17</f>
        <v>0</v>
      </c>
      <c r="EI15" s="176" t="str">
        <f>Schedule!ER17</f>
        <v>0</v>
      </c>
      <c r="EJ15" s="176" t="str">
        <f>Schedule!ES17</f>
        <v>0</v>
      </c>
      <c r="EK15" s="176" t="str">
        <f>Schedule!ET17</f>
        <v>0</v>
      </c>
      <c r="EL15" s="176" t="str">
        <f>Schedule!EU17</f>
        <v>0</v>
      </c>
      <c r="EM15" s="178"/>
      <c r="EN15" s="176" t="str">
        <f>Schedule!EV17</f>
        <v>0</v>
      </c>
      <c r="EO15" s="176" t="str">
        <f>Schedule!EW17</f>
        <v>0</v>
      </c>
      <c r="EP15" s="176" t="str">
        <f>Schedule!EX17</f>
        <v>0</v>
      </c>
      <c r="EQ15" s="176" t="str">
        <f>Schedule!EY17</f>
        <v>0</v>
      </c>
      <c r="ER15" s="176" t="str">
        <f>Schedule!EZ17</f>
        <v>0</v>
      </c>
      <c r="ES15" s="176" t="str">
        <f>Schedule!FA17</f>
        <v>0</v>
      </c>
      <c r="ET15" s="176" t="str">
        <f>Schedule!FB17</f>
        <v>0</v>
      </c>
      <c r="EU15" s="176" t="str">
        <f>Schedule!FC17</f>
        <v>0</v>
      </c>
      <c r="EV15" s="176" t="str">
        <f>Schedule!FD17</f>
        <v>0</v>
      </c>
      <c r="EW15" s="178"/>
      <c r="EX15" s="176" t="str">
        <f>Schedule!FE17</f>
        <v>0</v>
      </c>
      <c r="EY15" s="176" t="str">
        <f>Schedule!FF17</f>
        <v>0</v>
      </c>
      <c r="EZ15" s="176" t="str">
        <f>Schedule!FG17</f>
        <v>0</v>
      </c>
      <c r="FA15" s="176" t="str">
        <f>Schedule!FH17</f>
        <v>0</v>
      </c>
      <c r="FB15" s="176" t="str">
        <f>Schedule!FI17</f>
        <v>0</v>
      </c>
      <c r="FC15" s="176" t="str">
        <f>Schedule!FJ17</f>
        <v>0</v>
      </c>
      <c r="FD15" s="176" t="str">
        <f>Schedule!FK17</f>
        <v>0</v>
      </c>
      <c r="FE15" s="176" t="str">
        <f>Schedule!FL17</f>
        <v>0</v>
      </c>
      <c r="FF15" s="176" t="str">
        <f>Schedule!FM17</f>
        <v>0</v>
      </c>
      <c r="FG15" s="178"/>
      <c r="FH15" s="176" t="str">
        <f>Schedule!FN17</f>
        <v>0</v>
      </c>
      <c r="FI15" s="176" t="str">
        <f>Schedule!FO17</f>
        <v>0</v>
      </c>
      <c r="FJ15" s="176" t="str">
        <f>Schedule!FP17</f>
        <v>0</v>
      </c>
      <c r="FK15" s="176" t="str">
        <f>Schedule!FQ17</f>
        <v>0</v>
      </c>
      <c r="FL15" s="176" t="str">
        <f>Schedule!FR17</f>
        <v>0</v>
      </c>
      <c r="FM15" s="176" t="str">
        <f>Schedule!FS17</f>
        <v>0</v>
      </c>
      <c r="FN15" s="176" t="str">
        <f>Schedule!FT17</f>
        <v>0</v>
      </c>
      <c r="FO15" s="176" t="str">
        <f>Schedule!FU17</f>
        <v>0</v>
      </c>
      <c r="FP15" s="176" t="str">
        <f>Schedule!FV17</f>
        <v>0</v>
      </c>
      <c r="FQ15" s="178"/>
      <c r="FR15" s="176" t="str">
        <f>Schedule!FW17</f>
        <v>0</v>
      </c>
      <c r="FS15" s="176" t="str">
        <f>Schedule!FX17</f>
        <v>0</v>
      </c>
      <c r="FT15" s="176" t="str">
        <f>Schedule!FY17</f>
        <v>0</v>
      </c>
      <c r="FU15" s="176" t="str">
        <f>Schedule!FZ17</f>
        <v>0</v>
      </c>
      <c r="FV15" s="176" t="str">
        <f>Schedule!GA17</f>
        <v>0</v>
      </c>
      <c r="FW15" s="176" t="str">
        <f>Schedule!GB17</f>
        <v>0</v>
      </c>
      <c r="FX15" s="176" t="str">
        <f>Schedule!GC17</f>
        <v>0</v>
      </c>
      <c r="FY15" s="176" t="str">
        <f>Schedule!GD17</f>
        <v>0</v>
      </c>
      <c r="FZ15" s="176" t="str">
        <f>Schedule!GE17</f>
        <v>0</v>
      </c>
      <c r="GA15" s="178"/>
      <c r="GB15" s="176" t="str">
        <f>Schedule!GF17</f>
        <v>0</v>
      </c>
      <c r="GC15" s="176" t="str">
        <f>Schedule!GG17</f>
        <v>0</v>
      </c>
      <c r="GD15" s="176" t="str">
        <f>Schedule!GH17</f>
        <v>0</v>
      </c>
      <c r="GE15" s="176" t="str">
        <f>Schedule!GI17</f>
        <v>0</v>
      </c>
      <c r="GF15" s="176" t="str">
        <f>Schedule!GJ17</f>
        <v>0</v>
      </c>
      <c r="GG15" s="176" t="str">
        <f>Schedule!GK17</f>
        <v>0</v>
      </c>
      <c r="GH15" s="176" t="str">
        <f>Schedule!GL17</f>
        <v>0</v>
      </c>
      <c r="GI15" s="176" t="str">
        <f>Schedule!GM17</f>
        <v>0</v>
      </c>
      <c r="GJ15" s="176" t="str">
        <f>Schedule!GN17</f>
        <v>0</v>
      </c>
      <c r="GK15" s="178"/>
      <c r="GL15" s="176" t="str">
        <f>Schedule!GO17</f>
        <v>0</v>
      </c>
      <c r="GM15" s="176" t="str">
        <f>Schedule!GP17</f>
        <v>0</v>
      </c>
      <c r="GN15" s="176" t="str">
        <f>Schedule!GQ17</f>
        <v>0</v>
      </c>
      <c r="GO15" s="176" t="str">
        <f>Schedule!GR17</f>
        <v>0</v>
      </c>
      <c r="GP15" s="176" t="str">
        <f>Schedule!GS17</f>
        <v>0</v>
      </c>
      <c r="GQ15" s="176" t="str">
        <f>Schedule!GT17</f>
        <v>0</v>
      </c>
      <c r="GR15" s="176" t="str">
        <f>Schedule!GU17</f>
        <v>0</v>
      </c>
      <c r="GS15" s="176" t="str">
        <f>Schedule!GV17</f>
        <v>0</v>
      </c>
      <c r="GT15" s="176" t="str">
        <f>Schedule!GW17</f>
        <v>0</v>
      </c>
      <c r="GW15" s="227"/>
    </row>
    <row r="16" spans="2:205" ht="15.75" hidden="1" customHeight="1">
      <c r="B16" s="269"/>
      <c r="C16" s="159">
        <f>Schedule!C18</f>
        <v>0</v>
      </c>
      <c r="D16" s="176" t="str">
        <f>Schedule!Z18</f>
        <v>0</v>
      </c>
      <c r="E16" s="176" t="str">
        <f>Schedule!AA18</f>
        <v>0</v>
      </c>
      <c r="F16" s="176" t="str">
        <f>Schedule!AB18</f>
        <v>0</v>
      </c>
      <c r="G16" s="176" t="str">
        <f>Schedule!AC18</f>
        <v>0</v>
      </c>
      <c r="H16" s="176" t="str">
        <f>Schedule!AD18</f>
        <v>0</v>
      </c>
      <c r="I16" s="176" t="str">
        <f>Schedule!AE18</f>
        <v>0</v>
      </c>
      <c r="J16" s="176" t="str">
        <f>Schedule!AF18</f>
        <v>0</v>
      </c>
      <c r="K16" s="181" t="str">
        <f>Schedule!AG18</f>
        <v>0</v>
      </c>
      <c r="L16" s="181" t="str">
        <f>Schedule!AH18</f>
        <v>0</v>
      </c>
      <c r="M16" s="178"/>
      <c r="N16" s="183" t="str">
        <f>Schedule!AI18</f>
        <v>0</v>
      </c>
      <c r="O16" s="176" t="str">
        <f>Schedule!AJ18</f>
        <v>0</v>
      </c>
      <c r="P16" s="176" t="str">
        <f>Schedule!AK18</f>
        <v>0</v>
      </c>
      <c r="Q16" s="176" t="str">
        <f>Schedule!AL18</f>
        <v>0</v>
      </c>
      <c r="R16" s="176" t="str">
        <f>Schedule!AM18</f>
        <v>0</v>
      </c>
      <c r="S16" s="176" t="str">
        <f>Schedule!AN18</f>
        <v>0</v>
      </c>
      <c r="T16" s="176" t="str">
        <f>Schedule!AO18</f>
        <v>0</v>
      </c>
      <c r="U16" s="176" t="str">
        <f>Schedule!AP18</f>
        <v>0</v>
      </c>
      <c r="V16" s="176" t="str">
        <f>Schedule!AQ18</f>
        <v>0</v>
      </c>
      <c r="W16" s="178"/>
      <c r="X16" s="176" t="str">
        <f>Schedule!AR18</f>
        <v>0</v>
      </c>
      <c r="Y16" s="176" t="str">
        <f>Schedule!AS18</f>
        <v>0</v>
      </c>
      <c r="Z16" s="176" t="str">
        <f>Schedule!AT18</f>
        <v>0</v>
      </c>
      <c r="AA16" s="176" t="str">
        <f>Schedule!AU18</f>
        <v>0</v>
      </c>
      <c r="AB16" s="176" t="str">
        <f>Schedule!AV18</f>
        <v>0</v>
      </c>
      <c r="AC16" s="176" t="str">
        <f>Schedule!AW18</f>
        <v>0</v>
      </c>
      <c r="AD16" s="176" t="str">
        <f>Schedule!AX18</f>
        <v>0</v>
      </c>
      <c r="AE16" s="176" t="str">
        <f>Schedule!AY18</f>
        <v>0</v>
      </c>
      <c r="AF16" s="176" t="str">
        <f>Schedule!AZ18</f>
        <v>0</v>
      </c>
      <c r="AG16" s="178"/>
      <c r="AH16" s="176" t="str">
        <f>Schedule!BA18</f>
        <v>0</v>
      </c>
      <c r="AI16" s="176" t="str">
        <f>Schedule!BB18</f>
        <v>0</v>
      </c>
      <c r="AJ16" s="176" t="str">
        <f>Schedule!BC18</f>
        <v>0</v>
      </c>
      <c r="AK16" s="176" t="str">
        <f>Schedule!BD18</f>
        <v>0</v>
      </c>
      <c r="AL16" s="176" t="str">
        <f>Schedule!BE18</f>
        <v>0</v>
      </c>
      <c r="AM16" s="176" t="str">
        <f>Schedule!BF18</f>
        <v>0</v>
      </c>
      <c r="AN16" s="176" t="str">
        <f>Schedule!BG18</f>
        <v>0</v>
      </c>
      <c r="AO16" s="176" t="str">
        <f>Schedule!BH18</f>
        <v>0</v>
      </c>
      <c r="AP16" s="176" t="str">
        <f>Schedule!BI18</f>
        <v>0</v>
      </c>
      <c r="AQ16" s="178"/>
      <c r="AR16" s="176" t="str">
        <f>Schedule!BJ18</f>
        <v>0</v>
      </c>
      <c r="AS16" s="176" t="str">
        <f>Schedule!BK18</f>
        <v>0</v>
      </c>
      <c r="AT16" s="176" t="str">
        <f>Schedule!BL18</f>
        <v>0</v>
      </c>
      <c r="AU16" s="176" t="str">
        <f>Schedule!BM18</f>
        <v>0</v>
      </c>
      <c r="AV16" s="176" t="str">
        <f>Schedule!BN18</f>
        <v>0</v>
      </c>
      <c r="AW16" s="176" t="str">
        <f>Schedule!BO18</f>
        <v>0</v>
      </c>
      <c r="AX16" s="176" t="str">
        <f>Schedule!BP18</f>
        <v>0</v>
      </c>
      <c r="AY16" s="176" t="str">
        <f>Schedule!BQ18</f>
        <v>0</v>
      </c>
      <c r="AZ16" s="176" t="str">
        <f>Schedule!BR18</f>
        <v>0</v>
      </c>
      <c r="BA16" s="178"/>
      <c r="BB16" s="176" t="str">
        <f>Schedule!BS18</f>
        <v>0</v>
      </c>
      <c r="BC16" s="176" t="str">
        <f>Schedule!BT18</f>
        <v>0</v>
      </c>
      <c r="BD16" s="176" t="str">
        <f>Schedule!BU18</f>
        <v>0</v>
      </c>
      <c r="BE16" s="176" t="str">
        <f>Schedule!BV18</f>
        <v>0</v>
      </c>
      <c r="BF16" s="176" t="str">
        <f>Schedule!BW18</f>
        <v>0</v>
      </c>
      <c r="BG16" s="176" t="str">
        <f>Schedule!BX18</f>
        <v>0</v>
      </c>
      <c r="BH16" s="176" t="str">
        <f>Schedule!BY18</f>
        <v>0</v>
      </c>
      <c r="BI16" s="176" t="str">
        <f>Schedule!BZ18</f>
        <v>0</v>
      </c>
      <c r="BJ16" s="176" t="str">
        <f>Schedule!CA18</f>
        <v>0</v>
      </c>
      <c r="BK16" s="178"/>
      <c r="BL16" s="176" t="str">
        <f>Schedule!CB18</f>
        <v>0</v>
      </c>
      <c r="BM16" s="176" t="str">
        <f>Schedule!CC18</f>
        <v>0</v>
      </c>
      <c r="BN16" s="176" t="str">
        <f>Schedule!CD18</f>
        <v>0</v>
      </c>
      <c r="BO16" s="176" t="str">
        <f>Schedule!CE18</f>
        <v>0</v>
      </c>
      <c r="BP16" s="176" t="str">
        <f>Schedule!CF18</f>
        <v>0</v>
      </c>
      <c r="BQ16" s="176" t="str">
        <f>Schedule!CG18</f>
        <v>0</v>
      </c>
      <c r="BR16" s="176" t="str">
        <f>Schedule!CH18</f>
        <v>0</v>
      </c>
      <c r="BS16" s="176" t="str">
        <f>Schedule!CI18</f>
        <v>0</v>
      </c>
      <c r="BT16" s="176" t="str">
        <f>Schedule!CJ18</f>
        <v>0</v>
      </c>
      <c r="BU16" s="178"/>
      <c r="BV16" s="176" t="str">
        <f>Schedule!CK18</f>
        <v>0</v>
      </c>
      <c r="BW16" s="176" t="str">
        <f>Schedule!CL18</f>
        <v>0</v>
      </c>
      <c r="BX16" s="176" t="str">
        <f>Schedule!CM18</f>
        <v>0</v>
      </c>
      <c r="BY16" s="176" t="str">
        <f>Schedule!CN18</f>
        <v>0</v>
      </c>
      <c r="BZ16" s="176" t="str">
        <f>Schedule!CO18</f>
        <v>0</v>
      </c>
      <c r="CA16" s="176" t="str">
        <f>Schedule!CP18</f>
        <v>0</v>
      </c>
      <c r="CB16" s="176" t="str">
        <f>Schedule!CQ18</f>
        <v>0</v>
      </c>
      <c r="CC16" s="176" t="str">
        <f>Schedule!CR18</f>
        <v>0</v>
      </c>
      <c r="CD16" s="176" t="str">
        <f>Schedule!CS18</f>
        <v>0</v>
      </c>
      <c r="CE16" s="178"/>
      <c r="CF16" s="176" t="str">
        <f>Schedule!CT18</f>
        <v>0</v>
      </c>
      <c r="CG16" s="176" t="str">
        <f>Schedule!CU18</f>
        <v>0</v>
      </c>
      <c r="CH16" s="176" t="str">
        <f>Schedule!CV18</f>
        <v>0</v>
      </c>
      <c r="CI16" s="176" t="str">
        <f>Schedule!CW18</f>
        <v>0</v>
      </c>
      <c r="CJ16" s="176" t="str">
        <f>Schedule!CX18</f>
        <v>0</v>
      </c>
      <c r="CK16" s="176" t="str">
        <f>Schedule!CY18</f>
        <v>0</v>
      </c>
      <c r="CL16" s="176" t="str">
        <f>Schedule!CZ18</f>
        <v>0</v>
      </c>
      <c r="CM16" s="176" t="str">
        <f>Schedule!DA18</f>
        <v>0</v>
      </c>
      <c r="CN16" s="176" t="str">
        <f>Schedule!DB18</f>
        <v>0</v>
      </c>
      <c r="CO16" s="178"/>
      <c r="CP16" s="176" t="str">
        <f>Schedule!DC18</f>
        <v>0</v>
      </c>
      <c r="CQ16" s="176" t="str">
        <f>Schedule!DD18</f>
        <v>0</v>
      </c>
      <c r="CR16" s="176" t="str">
        <f>Schedule!DE18</f>
        <v>0</v>
      </c>
      <c r="CS16" s="176" t="str">
        <f>Schedule!DF18</f>
        <v>0</v>
      </c>
      <c r="CT16" s="176" t="str">
        <f>Schedule!DG18</f>
        <v>0</v>
      </c>
      <c r="CU16" s="176" t="str">
        <f>Schedule!DH18</f>
        <v>0</v>
      </c>
      <c r="CV16" s="176" t="str">
        <f>Schedule!DI18</f>
        <v>0</v>
      </c>
      <c r="CW16" s="176" t="str">
        <f>Schedule!DJ18</f>
        <v>0</v>
      </c>
      <c r="CX16" s="176" t="str">
        <f>Schedule!DK18</f>
        <v>0</v>
      </c>
      <c r="CY16" s="178"/>
      <c r="CZ16" s="176" t="str">
        <f>Schedule!DL18</f>
        <v>0</v>
      </c>
      <c r="DA16" s="176" t="str">
        <f>Schedule!DM18</f>
        <v>0</v>
      </c>
      <c r="DB16" s="176" t="str">
        <f>Schedule!DN18</f>
        <v>0</v>
      </c>
      <c r="DC16" s="176" t="str">
        <f>Schedule!DO18</f>
        <v>0</v>
      </c>
      <c r="DD16" s="176" t="str">
        <f>Schedule!DP18</f>
        <v>0</v>
      </c>
      <c r="DE16" s="176" t="str">
        <f>Schedule!DQ18</f>
        <v>0</v>
      </c>
      <c r="DF16" s="176" t="str">
        <f>Schedule!DR18</f>
        <v>0</v>
      </c>
      <c r="DG16" s="176" t="str">
        <f>Schedule!DS18</f>
        <v>0</v>
      </c>
      <c r="DH16" s="176" t="str">
        <f>Schedule!DT18</f>
        <v>0</v>
      </c>
      <c r="DI16" s="178"/>
      <c r="DJ16" s="176" t="str">
        <f>Schedule!DU18</f>
        <v>0</v>
      </c>
      <c r="DK16" s="176" t="str">
        <f>Schedule!DV18</f>
        <v>0</v>
      </c>
      <c r="DL16" s="176" t="str">
        <f>Schedule!DW18</f>
        <v>0</v>
      </c>
      <c r="DM16" s="176" t="str">
        <f>Schedule!DX18</f>
        <v>0</v>
      </c>
      <c r="DN16" s="176" t="str">
        <f>Schedule!DY18</f>
        <v>0</v>
      </c>
      <c r="DO16" s="176" t="str">
        <f>Schedule!DZ18</f>
        <v>0</v>
      </c>
      <c r="DP16" s="176" t="str">
        <f>Schedule!EA18</f>
        <v>0</v>
      </c>
      <c r="DQ16" s="176" t="str">
        <f>Schedule!EB18</f>
        <v>0</v>
      </c>
      <c r="DR16" s="176" t="str">
        <f>Schedule!EC18</f>
        <v>0</v>
      </c>
      <c r="DS16" s="178"/>
      <c r="DT16" s="176" t="str">
        <f>Schedule!ED18</f>
        <v>0</v>
      </c>
      <c r="DU16" s="176" t="str">
        <f>Schedule!EE18</f>
        <v>0</v>
      </c>
      <c r="DV16" s="176" t="str">
        <f>Schedule!EF18</f>
        <v>0</v>
      </c>
      <c r="DW16" s="176" t="str">
        <f>Schedule!EG18</f>
        <v>0</v>
      </c>
      <c r="DX16" s="176" t="str">
        <f>Schedule!EH18</f>
        <v>0</v>
      </c>
      <c r="DY16" s="176" t="str">
        <f>Schedule!EI18</f>
        <v>0</v>
      </c>
      <c r="DZ16" s="176" t="str">
        <f>Schedule!EJ18</f>
        <v>0</v>
      </c>
      <c r="EA16" s="176" t="str">
        <f>Schedule!EK18</f>
        <v>0</v>
      </c>
      <c r="EB16" s="176" t="str">
        <f>Schedule!EL18</f>
        <v>0</v>
      </c>
      <c r="EC16" s="178"/>
      <c r="ED16" s="176" t="str">
        <f>Schedule!EM18</f>
        <v>0</v>
      </c>
      <c r="EE16" s="176" t="str">
        <f>Schedule!EN18</f>
        <v>0</v>
      </c>
      <c r="EF16" s="176" t="str">
        <f>Schedule!EO18</f>
        <v>0</v>
      </c>
      <c r="EG16" s="176" t="str">
        <f>Schedule!EP18</f>
        <v>0</v>
      </c>
      <c r="EH16" s="176" t="str">
        <f>Schedule!EQ18</f>
        <v>0</v>
      </c>
      <c r="EI16" s="176" t="str">
        <f>Schedule!ER18</f>
        <v>0</v>
      </c>
      <c r="EJ16" s="176" t="str">
        <f>Schedule!ES18</f>
        <v>0</v>
      </c>
      <c r="EK16" s="176" t="str">
        <f>Schedule!ET18</f>
        <v>0</v>
      </c>
      <c r="EL16" s="176" t="str">
        <f>Schedule!EU18</f>
        <v>0</v>
      </c>
      <c r="EM16" s="178"/>
      <c r="EN16" s="176" t="str">
        <f>Schedule!EV18</f>
        <v>0</v>
      </c>
      <c r="EO16" s="176" t="str">
        <f>Schedule!EW18</f>
        <v>0</v>
      </c>
      <c r="EP16" s="176" t="str">
        <f>Schedule!EX18</f>
        <v>0</v>
      </c>
      <c r="EQ16" s="176" t="str">
        <f>Schedule!EY18</f>
        <v>0</v>
      </c>
      <c r="ER16" s="176" t="str">
        <f>Schedule!EZ18</f>
        <v>0</v>
      </c>
      <c r="ES16" s="176" t="str">
        <f>Schedule!FA18</f>
        <v>0</v>
      </c>
      <c r="ET16" s="176" t="str">
        <f>Schedule!FB18</f>
        <v>0</v>
      </c>
      <c r="EU16" s="176" t="str">
        <f>Schedule!FC18</f>
        <v>0</v>
      </c>
      <c r="EV16" s="176" t="str">
        <f>Schedule!FD18</f>
        <v>0</v>
      </c>
      <c r="EW16" s="178"/>
      <c r="EX16" s="176" t="str">
        <f>Schedule!FE18</f>
        <v>0</v>
      </c>
      <c r="EY16" s="176" t="str">
        <f>Schedule!FF18</f>
        <v>0</v>
      </c>
      <c r="EZ16" s="176" t="str">
        <f>Schedule!FG18</f>
        <v>0</v>
      </c>
      <c r="FA16" s="176" t="str">
        <f>Schedule!FH18</f>
        <v>0</v>
      </c>
      <c r="FB16" s="176" t="str">
        <f>Schedule!FI18</f>
        <v>0</v>
      </c>
      <c r="FC16" s="176" t="str">
        <f>Schedule!FJ18</f>
        <v>0</v>
      </c>
      <c r="FD16" s="176" t="str">
        <f>Schedule!FK18</f>
        <v>0</v>
      </c>
      <c r="FE16" s="176" t="str">
        <f>Schedule!FL18</f>
        <v>0</v>
      </c>
      <c r="FF16" s="176" t="str">
        <f>Schedule!FM18</f>
        <v>0</v>
      </c>
      <c r="FG16" s="178"/>
      <c r="FH16" s="176" t="str">
        <f>Schedule!FN18</f>
        <v>0</v>
      </c>
      <c r="FI16" s="176" t="str">
        <f>Schedule!FO18</f>
        <v>0</v>
      </c>
      <c r="FJ16" s="176" t="str">
        <f>Schedule!FP18</f>
        <v>0</v>
      </c>
      <c r="FK16" s="176" t="str">
        <f>Schedule!FQ18</f>
        <v>0</v>
      </c>
      <c r="FL16" s="176" t="str">
        <f>Schedule!FR18</f>
        <v>0</v>
      </c>
      <c r="FM16" s="176" t="str">
        <f>Schedule!FS18</f>
        <v>0</v>
      </c>
      <c r="FN16" s="176" t="str">
        <f>Schedule!FT18</f>
        <v>0</v>
      </c>
      <c r="FO16" s="176" t="str">
        <f>Schedule!FU18</f>
        <v>0</v>
      </c>
      <c r="FP16" s="176" t="str">
        <f>Schedule!FV18</f>
        <v>0</v>
      </c>
      <c r="FQ16" s="178"/>
      <c r="FR16" s="176" t="str">
        <f>Schedule!FW18</f>
        <v>0</v>
      </c>
      <c r="FS16" s="176" t="str">
        <f>Schedule!FX18</f>
        <v>0</v>
      </c>
      <c r="FT16" s="176" t="str">
        <f>Schedule!FY18</f>
        <v>0</v>
      </c>
      <c r="FU16" s="176" t="str">
        <f>Schedule!FZ18</f>
        <v>0</v>
      </c>
      <c r="FV16" s="176" t="str">
        <f>Schedule!GA18</f>
        <v>0</v>
      </c>
      <c r="FW16" s="176" t="str">
        <f>Schedule!GB18</f>
        <v>0</v>
      </c>
      <c r="FX16" s="176" t="str">
        <f>Schedule!GC18</f>
        <v>0</v>
      </c>
      <c r="FY16" s="176" t="str">
        <f>Schedule!GD18</f>
        <v>0</v>
      </c>
      <c r="FZ16" s="176" t="str">
        <f>Schedule!GE18</f>
        <v>0</v>
      </c>
      <c r="GA16" s="178"/>
      <c r="GB16" s="176" t="str">
        <f>Schedule!GF18</f>
        <v>0</v>
      </c>
      <c r="GC16" s="176" t="str">
        <f>Schedule!GG18</f>
        <v>0</v>
      </c>
      <c r="GD16" s="176" t="str">
        <f>Schedule!GH18</f>
        <v>0</v>
      </c>
      <c r="GE16" s="176" t="str">
        <f>Schedule!GI18</f>
        <v>0</v>
      </c>
      <c r="GF16" s="176" t="str">
        <f>Schedule!GJ18</f>
        <v>0</v>
      </c>
      <c r="GG16" s="176" t="str">
        <f>Schedule!GK18</f>
        <v>0</v>
      </c>
      <c r="GH16" s="176" t="str">
        <f>Schedule!GL18</f>
        <v>0</v>
      </c>
      <c r="GI16" s="176" t="str">
        <f>Schedule!GM18</f>
        <v>0</v>
      </c>
      <c r="GJ16" s="176" t="str">
        <f>Schedule!GN18</f>
        <v>0</v>
      </c>
      <c r="GK16" s="178"/>
      <c r="GL16" s="176" t="str">
        <f>Schedule!GO18</f>
        <v>0</v>
      </c>
      <c r="GM16" s="176" t="str">
        <f>Schedule!GP18</f>
        <v>0</v>
      </c>
      <c r="GN16" s="176" t="str">
        <f>Schedule!GQ18</f>
        <v>0</v>
      </c>
      <c r="GO16" s="176" t="str">
        <f>Schedule!GR18</f>
        <v>0</v>
      </c>
      <c r="GP16" s="176" t="str">
        <f>Schedule!GS18</f>
        <v>0</v>
      </c>
      <c r="GQ16" s="176" t="str">
        <f>Schedule!GT18</f>
        <v>0</v>
      </c>
      <c r="GR16" s="176" t="str">
        <f>Schedule!GU18</f>
        <v>0</v>
      </c>
      <c r="GS16" s="176" t="str">
        <f>Schedule!GV18</f>
        <v>0</v>
      </c>
      <c r="GT16" s="176" t="str">
        <f>Schedule!GW18</f>
        <v>0</v>
      </c>
      <c r="GW16" s="227"/>
    </row>
    <row r="17" spans="2:205" ht="15.75" hidden="1" customHeight="1">
      <c r="B17" s="269"/>
      <c r="C17" s="159">
        <f>Schedule!C19</f>
        <v>0</v>
      </c>
      <c r="D17" s="176" t="str">
        <f>Schedule!Z19</f>
        <v>0</v>
      </c>
      <c r="E17" s="176" t="str">
        <f>Schedule!AA19</f>
        <v>0</v>
      </c>
      <c r="F17" s="176" t="str">
        <f>Schedule!AB19</f>
        <v>0</v>
      </c>
      <c r="G17" s="176" t="str">
        <f>Schedule!AC19</f>
        <v>0</v>
      </c>
      <c r="H17" s="176" t="str">
        <f>Schedule!AD19</f>
        <v>0</v>
      </c>
      <c r="I17" s="176" t="str">
        <f>Schedule!AE19</f>
        <v>0</v>
      </c>
      <c r="J17" s="176" t="str">
        <f>Schedule!AF19</f>
        <v>0</v>
      </c>
      <c r="K17" s="181" t="str">
        <f>Schedule!AG19</f>
        <v>0</v>
      </c>
      <c r="L17" s="181" t="str">
        <f>Schedule!AH19</f>
        <v>0</v>
      </c>
      <c r="M17" s="178"/>
      <c r="N17" s="183" t="str">
        <f>Schedule!AI19</f>
        <v>0</v>
      </c>
      <c r="O17" s="176" t="str">
        <f>Schedule!AJ19</f>
        <v>0</v>
      </c>
      <c r="P17" s="176" t="str">
        <f>Schedule!AK19</f>
        <v>0</v>
      </c>
      <c r="Q17" s="176" t="str">
        <f>Schedule!AL19</f>
        <v>0</v>
      </c>
      <c r="R17" s="176" t="str">
        <f>Schedule!AM19</f>
        <v>0</v>
      </c>
      <c r="S17" s="176" t="str">
        <f>Schedule!AN19</f>
        <v>0</v>
      </c>
      <c r="T17" s="176" t="str">
        <f>Schedule!AO19</f>
        <v>0</v>
      </c>
      <c r="U17" s="176" t="str">
        <f>Schedule!AP19</f>
        <v>0</v>
      </c>
      <c r="V17" s="176" t="str">
        <f>Schedule!AQ19</f>
        <v>0</v>
      </c>
      <c r="W17" s="178"/>
      <c r="X17" s="176" t="str">
        <f>Schedule!AR19</f>
        <v>0</v>
      </c>
      <c r="Y17" s="176" t="str">
        <f>Schedule!AS19</f>
        <v>0</v>
      </c>
      <c r="Z17" s="176" t="str">
        <f>Schedule!AT19</f>
        <v>0</v>
      </c>
      <c r="AA17" s="176" t="str">
        <f>Schedule!AU19</f>
        <v>0</v>
      </c>
      <c r="AB17" s="176" t="str">
        <f>Schedule!AV19</f>
        <v>0</v>
      </c>
      <c r="AC17" s="176" t="str">
        <f>Schedule!AW19</f>
        <v>0</v>
      </c>
      <c r="AD17" s="176" t="str">
        <f>Schedule!AX19</f>
        <v>0</v>
      </c>
      <c r="AE17" s="176" t="str">
        <f>Schedule!AY19</f>
        <v>0</v>
      </c>
      <c r="AF17" s="176" t="str">
        <f>Schedule!AZ19</f>
        <v>0</v>
      </c>
      <c r="AG17" s="178"/>
      <c r="AH17" s="176" t="str">
        <f>Schedule!BA19</f>
        <v>0</v>
      </c>
      <c r="AI17" s="176" t="str">
        <f>Schedule!BB19</f>
        <v>0</v>
      </c>
      <c r="AJ17" s="176" t="str">
        <f>Schedule!BC19</f>
        <v>0</v>
      </c>
      <c r="AK17" s="176" t="str">
        <f>Schedule!BD19</f>
        <v>0</v>
      </c>
      <c r="AL17" s="176" t="str">
        <f>Schedule!BE19</f>
        <v>0</v>
      </c>
      <c r="AM17" s="176" t="str">
        <f>Schedule!BF19</f>
        <v>0</v>
      </c>
      <c r="AN17" s="176" t="str">
        <f>Schedule!BG19</f>
        <v>0</v>
      </c>
      <c r="AO17" s="176" t="str">
        <f>Schedule!BH19</f>
        <v>0</v>
      </c>
      <c r="AP17" s="176" t="str">
        <f>Schedule!BI19</f>
        <v>0</v>
      </c>
      <c r="AQ17" s="178"/>
      <c r="AR17" s="176" t="str">
        <f>Schedule!BJ19</f>
        <v>0</v>
      </c>
      <c r="AS17" s="176" t="str">
        <f>Schedule!BK19</f>
        <v>0</v>
      </c>
      <c r="AT17" s="176" t="str">
        <f>Schedule!BL19</f>
        <v>0</v>
      </c>
      <c r="AU17" s="176" t="str">
        <f>Schedule!BM19</f>
        <v>0</v>
      </c>
      <c r="AV17" s="176" t="str">
        <f>Schedule!BN19</f>
        <v>0</v>
      </c>
      <c r="AW17" s="176" t="str">
        <f>Schedule!BO19</f>
        <v>0</v>
      </c>
      <c r="AX17" s="176" t="str">
        <f>Schedule!BP19</f>
        <v>0</v>
      </c>
      <c r="AY17" s="176" t="str">
        <f>Schedule!BQ19</f>
        <v>0</v>
      </c>
      <c r="AZ17" s="176" t="str">
        <f>Schedule!BR19</f>
        <v>0</v>
      </c>
      <c r="BA17" s="178"/>
      <c r="BB17" s="176" t="str">
        <f>Schedule!BS19</f>
        <v>0</v>
      </c>
      <c r="BC17" s="176" t="str">
        <f>Schedule!BT19</f>
        <v>0</v>
      </c>
      <c r="BD17" s="176" t="str">
        <f>Schedule!BU19</f>
        <v>0</v>
      </c>
      <c r="BE17" s="176" t="str">
        <f>Schedule!BV19</f>
        <v>0</v>
      </c>
      <c r="BF17" s="176" t="str">
        <f>Schedule!BW19</f>
        <v>0</v>
      </c>
      <c r="BG17" s="176" t="str">
        <f>Schedule!BX19</f>
        <v>0</v>
      </c>
      <c r="BH17" s="176" t="str">
        <f>Schedule!BY19</f>
        <v>0</v>
      </c>
      <c r="BI17" s="176" t="str">
        <f>Schedule!BZ19</f>
        <v>0</v>
      </c>
      <c r="BJ17" s="176" t="str">
        <f>Schedule!CA19</f>
        <v>0</v>
      </c>
      <c r="BK17" s="178"/>
      <c r="BL17" s="176" t="str">
        <f>Schedule!CB19</f>
        <v>0</v>
      </c>
      <c r="BM17" s="176" t="str">
        <f>Schedule!CC19</f>
        <v>0</v>
      </c>
      <c r="BN17" s="176" t="str">
        <f>Schedule!CD19</f>
        <v>0</v>
      </c>
      <c r="BO17" s="176" t="str">
        <f>Schedule!CE19</f>
        <v>0</v>
      </c>
      <c r="BP17" s="176" t="str">
        <f>Schedule!CF19</f>
        <v>0</v>
      </c>
      <c r="BQ17" s="176" t="str">
        <f>Schedule!CG19</f>
        <v>0</v>
      </c>
      <c r="BR17" s="176" t="str">
        <f>Schedule!CH19</f>
        <v>0</v>
      </c>
      <c r="BS17" s="176" t="str">
        <f>Schedule!CI19</f>
        <v>0</v>
      </c>
      <c r="BT17" s="176" t="str">
        <f>Schedule!CJ19</f>
        <v>0</v>
      </c>
      <c r="BU17" s="178"/>
      <c r="BV17" s="176" t="str">
        <f>Schedule!CK19</f>
        <v>0</v>
      </c>
      <c r="BW17" s="176" t="str">
        <f>Schedule!CL19</f>
        <v>0</v>
      </c>
      <c r="BX17" s="176" t="str">
        <f>Schedule!CM19</f>
        <v>0</v>
      </c>
      <c r="BY17" s="176" t="str">
        <f>Schedule!CN19</f>
        <v>0</v>
      </c>
      <c r="BZ17" s="176" t="str">
        <f>Schedule!CO19</f>
        <v>0</v>
      </c>
      <c r="CA17" s="176" t="str">
        <f>Schedule!CP19</f>
        <v>0</v>
      </c>
      <c r="CB17" s="176" t="str">
        <f>Schedule!CQ19</f>
        <v>0</v>
      </c>
      <c r="CC17" s="176" t="str">
        <f>Schedule!CR19</f>
        <v>0</v>
      </c>
      <c r="CD17" s="176" t="str">
        <f>Schedule!CS19</f>
        <v>0</v>
      </c>
      <c r="CE17" s="178"/>
      <c r="CF17" s="176" t="str">
        <f>Schedule!CT19</f>
        <v>0</v>
      </c>
      <c r="CG17" s="176" t="str">
        <f>Schedule!CU19</f>
        <v>0</v>
      </c>
      <c r="CH17" s="176" t="str">
        <f>Schedule!CV19</f>
        <v>0</v>
      </c>
      <c r="CI17" s="176" t="str">
        <f>Schedule!CW19</f>
        <v>0</v>
      </c>
      <c r="CJ17" s="176" t="str">
        <f>Schedule!CX19</f>
        <v>0</v>
      </c>
      <c r="CK17" s="176" t="str">
        <f>Schedule!CY19</f>
        <v>0</v>
      </c>
      <c r="CL17" s="176" t="str">
        <f>Schedule!CZ19</f>
        <v>0</v>
      </c>
      <c r="CM17" s="176" t="str">
        <f>Schedule!DA19</f>
        <v>0</v>
      </c>
      <c r="CN17" s="176" t="str">
        <f>Schedule!DB19</f>
        <v>0</v>
      </c>
      <c r="CO17" s="178"/>
      <c r="CP17" s="176" t="str">
        <f>Schedule!DC19</f>
        <v>0</v>
      </c>
      <c r="CQ17" s="176" t="str">
        <f>Schedule!DD19</f>
        <v>0</v>
      </c>
      <c r="CR17" s="176" t="str">
        <f>Schedule!DE19</f>
        <v>0</v>
      </c>
      <c r="CS17" s="176" t="str">
        <f>Schedule!DF19</f>
        <v>0</v>
      </c>
      <c r="CT17" s="176" t="str">
        <f>Schedule!DG19</f>
        <v>0</v>
      </c>
      <c r="CU17" s="176" t="str">
        <f>Schedule!DH19</f>
        <v>0</v>
      </c>
      <c r="CV17" s="176" t="str">
        <f>Schedule!DI19</f>
        <v>0</v>
      </c>
      <c r="CW17" s="176" t="str">
        <f>Schedule!DJ19</f>
        <v>0</v>
      </c>
      <c r="CX17" s="176" t="str">
        <f>Schedule!DK19</f>
        <v>0</v>
      </c>
      <c r="CY17" s="178"/>
      <c r="CZ17" s="176" t="str">
        <f>Schedule!DL19</f>
        <v>0</v>
      </c>
      <c r="DA17" s="176" t="str">
        <f>Schedule!DM19</f>
        <v>0</v>
      </c>
      <c r="DB17" s="176" t="str">
        <f>Schedule!DN19</f>
        <v>0</v>
      </c>
      <c r="DC17" s="176" t="str">
        <f>Schedule!DO19</f>
        <v>0</v>
      </c>
      <c r="DD17" s="176" t="str">
        <f>Schedule!DP19</f>
        <v>0</v>
      </c>
      <c r="DE17" s="176" t="str">
        <f>Schedule!DQ19</f>
        <v>0</v>
      </c>
      <c r="DF17" s="176" t="str">
        <f>Schedule!DR19</f>
        <v>0</v>
      </c>
      <c r="DG17" s="176" t="str">
        <f>Schedule!DS19</f>
        <v>0</v>
      </c>
      <c r="DH17" s="176" t="str">
        <f>Schedule!DT19</f>
        <v>0</v>
      </c>
      <c r="DI17" s="178"/>
      <c r="DJ17" s="176" t="str">
        <f>Schedule!DU19</f>
        <v>0</v>
      </c>
      <c r="DK17" s="176" t="str">
        <f>Schedule!DV19</f>
        <v>0</v>
      </c>
      <c r="DL17" s="176" t="str">
        <f>Schedule!DW19</f>
        <v>0</v>
      </c>
      <c r="DM17" s="176" t="str">
        <f>Schedule!DX19</f>
        <v>0</v>
      </c>
      <c r="DN17" s="176" t="str">
        <f>Schedule!DY19</f>
        <v>0</v>
      </c>
      <c r="DO17" s="176" t="str">
        <f>Schedule!DZ19</f>
        <v>0</v>
      </c>
      <c r="DP17" s="176" t="str">
        <f>Schedule!EA19</f>
        <v>0</v>
      </c>
      <c r="DQ17" s="176" t="str">
        <f>Schedule!EB19</f>
        <v>0</v>
      </c>
      <c r="DR17" s="176" t="str">
        <f>Schedule!EC19</f>
        <v>0</v>
      </c>
      <c r="DS17" s="178"/>
      <c r="DT17" s="176" t="str">
        <f>Schedule!ED19</f>
        <v>0</v>
      </c>
      <c r="DU17" s="176" t="str">
        <f>Schedule!EE19</f>
        <v>0</v>
      </c>
      <c r="DV17" s="176" t="str">
        <f>Schedule!EF19</f>
        <v>0</v>
      </c>
      <c r="DW17" s="176" t="str">
        <f>Schedule!EG19</f>
        <v>0</v>
      </c>
      <c r="DX17" s="176" t="str">
        <f>Schedule!EH19</f>
        <v>0</v>
      </c>
      <c r="DY17" s="176" t="str">
        <f>Schedule!EI19</f>
        <v>0</v>
      </c>
      <c r="DZ17" s="176" t="str">
        <f>Schedule!EJ19</f>
        <v>0</v>
      </c>
      <c r="EA17" s="176" t="str">
        <f>Schedule!EK19</f>
        <v>0</v>
      </c>
      <c r="EB17" s="176" t="str">
        <f>Schedule!EL19</f>
        <v>0</v>
      </c>
      <c r="EC17" s="178"/>
      <c r="ED17" s="176" t="str">
        <f>Schedule!EM19</f>
        <v>0</v>
      </c>
      <c r="EE17" s="176" t="str">
        <f>Schedule!EN19</f>
        <v>0</v>
      </c>
      <c r="EF17" s="176" t="str">
        <f>Schedule!EO19</f>
        <v>0</v>
      </c>
      <c r="EG17" s="176" t="str">
        <f>Schedule!EP19</f>
        <v>0</v>
      </c>
      <c r="EH17" s="176" t="str">
        <f>Schedule!EQ19</f>
        <v>0</v>
      </c>
      <c r="EI17" s="176" t="str">
        <f>Schedule!ER19</f>
        <v>0</v>
      </c>
      <c r="EJ17" s="176" t="str">
        <f>Schedule!ES19</f>
        <v>0</v>
      </c>
      <c r="EK17" s="176" t="str">
        <f>Schedule!ET19</f>
        <v>0</v>
      </c>
      <c r="EL17" s="176" t="str">
        <f>Schedule!EU19</f>
        <v>0</v>
      </c>
      <c r="EM17" s="178"/>
      <c r="EN17" s="176" t="str">
        <f>Schedule!EV19</f>
        <v>0</v>
      </c>
      <c r="EO17" s="176" t="str">
        <f>Schedule!EW19</f>
        <v>0</v>
      </c>
      <c r="EP17" s="176" t="str">
        <f>Schedule!EX19</f>
        <v>0</v>
      </c>
      <c r="EQ17" s="176" t="str">
        <f>Schedule!EY19</f>
        <v>0</v>
      </c>
      <c r="ER17" s="176" t="str">
        <f>Schedule!EZ19</f>
        <v>0</v>
      </c>
      <c r="ES17" s="176" t="str">
        <f>Schedule!FA19</f>
        <v>0</v>
      </c>
      <c r="ET17" s="176" t="str">
        <f>Schedule!FB19</f>
        <v>0</v>
      </c>
      <c r="EU17" s="176" t="str">
        <f>Schedule!FC19</f>
        <v>0</v>
      </c>
      <c r="EV17" s="176" t="str">
        <f>Schedule!FD19</f>
        <v>0</v>
      </c>
      <c r="EW17" s="178"/>
      <c r="EX17" s="176" t="str">
        <f>Schedule!FE19</f>
        <v>0</v>
      </c>
      <c r="EY17" s="176" t="str">
        <f>Schedule!FF19</f>
        <v>0</v>
      </c>
      <c r="EZ17" s="176" t="str">
        <f>Schedule!FG19</f>
        <v>0</v>
      </c>
      <c r="FA17" s="176" t="str">
        <f>Schedule!FH19</f>
        <v>0</v>
      </c>
      <c r="FB17" s="176" t="str">
        <f>Schedule!FI19</f>
        <v>0</v>
      </c>
      <c r="FC17" s="176" t="str">
        <f>Schedule!FJ19</f>
        <v>0</v>
      </c>
      <c r="FD17" s="176" t="str">
        <f>Schedule!FK19</f>
        <v>0</v>
      </c>
      <c r="FE17" s="176" t="str">
        <f>Schedule!FL19</f>
        <v>0</v>
      </c>
      <c r="FF17" s="176" t="str">
        <f>Schedule!FM19</f>
        <v>0</v>
      </c>
      <c r="FG17" s="178"/>
      <c r="FH17" s="176" t="str">
        <f>Schedule!FN19</f>
        <v>0</v>
      </c>
      <c r="FI17" s="176" t="str">
        <f>Schedule!FO19</f>
        <v>0</v>
      </c>
      <c r="FJ17" s="176" t="str">
        <f>Schedule!FP19</f>
        <v>0</v>
      </c>
      <c r="FK17" s="176" t="str">
        <f>Schedule!FQ19</f>
        <v>0</v>
      </c>
      <c r="FL17" s="176" t="str">
        <f>Schedule!FR19</f>
        <v>0</v>
      </c>
      <c r="FM17" s="176" t="str">
        <f>Schedule!FS19</f>
        <v>0</v>
      </c>
      <c r="FN17" s="176" t="str">
        <f>Schedule!FT19</f>
        <v>0</v>
      </c>
      <c r="FO17" s="176" t="str">
        <f>Schedule!FU19</f>
        <v>0</v>
      </c>
      <c r="FP17" s="176" t="str">
        <f>Schedule!FV19</f>
        <v>0</v>
      </c>
      <c r="FQ17" s="178"/>
      <c r="FR17" s="176" t="str">
        <f>Schedule!FW19</f>
        <v>0</v>
      </c>
      <c r="FS17" s="176" t="str">
        <f>Schedule!FX19</f>
        <v>0</v>
      </c>
      <c r="FT17" s="176" t="str">
        <f>Schedule!FY19</f>
        <v>0</v>
      </c>
      <c r="FU17" s="176" t="str">
        <f>Schedule!FZ19</f>
        <v>0</v>
      </c>
      <c r="FV17" s="176" t="str">
        <f>Schedule!GA19</f>
        <v>0</v>
      </c>
      <c r="FW17" s="176" t="str">
        <f>Schedule!GB19</f>
        <v>0</v>
      </c>
      <c r="FX17" s="176" t="str">
        <f>Schedule!GC19</f>
        <v>0</v>
      </c>
      <c r="FY17" s="176" t="str">
        <f>Schedule!GD19</f>
        <v>0</v>
      </c>
      <c r="FZ17" s="176" t="str">
        <f>Schedule!GE19</f>
        <v>0</v>
      </c>
      <c r="GA17" s="178"/>
      <c r="GB17" s="176" t="str">
        <f>Schedule!GF19</f>
        <v>0</v>
      </c>
      <c r="GC17" s="176" t="str">
        <f>Schedule!GG19</f>
        <v>0</v>
      </c>
      <c r="GD17" s="176" t="str">
        <f>Schedule!GH19</f>
        <v>0</v>
      </c>
      <c r="GE17" s="176" t="str">
        <f>Schedule!GI19</f>
        <v>0</v>
      </c>
      <c r="GF17" s="176" t="str">
        <f>Schedule!GJ19</f>
        <v>0</v>
      </c>
      <c r="GG17" s="176" t="str">
        <f>Schedule!GK19</f>
        <v>0</v>
      </c>
      <c r="GH17" s="176" t="str">
        <f>Schedule!GL19</f>
        <v>0</v>
      </c>
      <c r="GI17" s="176" t="str">
        <f>Schedule!GM19</f>
        <v>0</v>
      </c>
      <c r="GJ17" s="176" t="str">
        <f>Schedule!GN19</f>
        <v>0</v>
      </c>
      <c r="GK17" s="178"/>
      <c r="GL17" s="176" t="str">
        <f>Schedule!GO19</f>
        <v>0</v>
      </c>
      <c r="GM17" s="176" t="str">
        <f>Schedule!GP19</f>
        <v>0</v>
      </c>
      <c r="GN17" s="176" t="str">
        <f>Schedule!GQ19</f>
        <v>0</v>
      </c>
      <c r="GO17" s="176" t="str">
        <f>Schedule!GR19</f>
        <v>0</v>
      </c>
      <c r="GP17" s="176" t="str">
        <f>Schedule!GS19</f>
        <v>0</v>
      </c>
      <c r="GQ17" s="176" t="str">
        <f>Schedule!GT19</f>
        <v>0</v>
      </c>
      <c r="GR17" s="176" t="str">
        <f>Schedule!GU19</f>
        <v>0</v>
      </c>
      <c r="GS17" s="176" t="str">
        <f>Schedule!GV19</f>
        <v>0</v>
      </c>
      <c r="GT17" s="176" t="str">
        <f>Schedule!GW19</f>
        <v>0</v>
      </c>
      <c r="GW17" s="227"/>
    </row>
    <row r="18" spans="2:205" ht="15.75" hidden="1" customHeight="1">
      <c r="B18" s="269"/>
      <c r="C18" s="159">
        <f>Schedule!C20</f>
        <v>0</v>
      </c>
      <c r="D18" s="176" t="str">
        <f>Schedule!Z20</f>
        <v>0</v>
      </c>
      <c r="E18" s="176" t="str">
        <f>Schedule!AA20</f>
        <v>0</v>
      </c>
      <c r="F18" s="176" t="str">
        <f>Schedule!AB20</f>
        <v>0</v>
      </c>
      <c r="G18" s="176" t="str">
        <f>Schedule!AC20</f>
        <v>0</v>
      </c>
      <c r="H18" s="176" t="str">
        <f>Schedule!AD20</f>
        <v>0</v>
      </c>
      <c r="I18" s="176" t="str">
        <f>Schedule!AE20</f>
        <v>0</v>
      </c>
      <c r="J18" s="176" t="str">
        <f>Schedule!AF20</f>
        <v>0</v>
      </c>
      <c r="K18" s="181" t="str">
        <f>Schedule!AG20</f>
        <v>0</v>
      </c>
      <c r="L18" s="181" t="str">
        <f>Schedule!AH20</f>
        <v>0</v>
      </c>
      <c r="M18" s="178"/>
      <c r="N18" s="183" t="str">
        <f>Schedule!AI20</f>
        <v>0</v>
      </c>
      <c r="O18" s="176" t="str">
        <f>Schedule!AJ20</f>
        <v>0</v>
      </c>
      <c r="P18" s="176" t="str">
        <f>Schedule!AK20</f>
        <v>0</v>
      </c>
      <c r="Q18" s="176" t="str">
        <f>Schedule!AL20</f>
        <v>0</v>
      </c>
      <c r="R18" s="176" t="str">
        <f>Schedule!AM20</f>
        <v>0</v>
      </c>
      <c r="S18" s="176" t="str">
        <f>Schedule!AN20</f>
        <v>0</v>
      </c>
      <c r="T18" s="176" t="str">
        <f>Schedule!AO20</f>
        <v>0</v>
      </c>
      <c r="U18" s="176" t="str">
        <f>Schedule!AP20</f>
        <v>0</v>
      </c>
      <c r="V18" s="176" t="str">
        <f>Schedule!AQ20</f>
        <v>0</v>
      </c>
      <c r="W18" s="178"/>
      <c r="X18" s="176" t="str">
        <f>Schedule!AR20</f>
        <v>0</v>
      </c>
      <c r="Y18" s="176" t="str">
        <f>Schedule!AS20</f>
        <v>0</v>
      </c>
      <c r="Z18" s="176" t="str">
        <f>Schedule!AT20</f>
        <v>0</v>
      </c>
      <c r="AA18" s="176" t="str">
        <f>Schedule!AU20</f>
        <v>0</v>
      </c>
      <c r="AB18" s="176" t="str">
        <f>Schedule!AV20</f>
        <v>0</v>
      </c>
      <c r="AC18" s="176" t="str">
        <f>Schedule!AW20</f>
        <v>0</v>
      </c>
      <c r="AD18" s="176" t="str">
        <f>Schedule!AX20</f>
        <v>0</v>
      </c>
      <c r="AE18" s="176" t="str">
        <f>Schedule!AY20</f>
        <v>0</v>
      </c>
      <c r="AF18" s="176" t="str">
        <f>Schedule!AZ20</f>
        <v>0</v>
      </c>
      <c r="AG18" s="178"/>
      <c r="AH18" s="176" t="str">
        <f>Schedule!BA20</f>
        <v>0</v>
      </c>
      <c r="AI18" s="176" t="str">
        <f>Schedule!BB20</f>
        <v>0</v>
      </c>
      <c r="AJ18" s="176" t="str">
        <f>Schedule!BC20</f>
        <v>0</v>
      </c>
      <c r="AK18" s="176" t="str">
        <f>Schedule!BD20</f>
        <v>0</v>
      </c>
      <c r="AL18" s="176" t="str">
        <f>Schedule!BE20</f>
        <v>0</v>
      </c>
      <c r="AM18" s="176" t="str">
        <f>Schedule!BF20</f>
        <v>0</v>
      </c>
      <c r="AN18" s="176" t="str">
        <f>Schedule!BG20</f>
        <v>0</v>
      </c>
      <c r="AO18" s="176" t="str">
        <f>Schedule!BH20</f>
        <v>0</v>
      </c>
      <c r="AP18" s="176" t="str">
        <f>Schedule!BI20</f>
        <v>0</v>
      </c>
      <c r="AQ18" s="178"/>
      <c r="AR18" s="176" t="str">
        <f>Schedule!BJ20</f>
        <v>0</v>
      </c>
      <c r="AS18" s="176" t="str">
        <f>Schedule!BK20</f>
        <v>0</v>
      </c>
      <c r="AT18" s="176" t="str">
        <f>Schedule!BL20</f>
        <v>0</v>
      </c>
      <c r="AU18" s="176" t="str">
        <f>Schedule!BM20</f>
        <v>0</v>
      </c>
      <c r="AV18" s="176" t="str">
        <f>Schedule!BN20</f>
        <v>0</v>
      </c>
      <c r="AW18" s="176" t="str">
        <f>Schedule!BO20</f>
        <v>0</v>
      </c>
      <c r="AX18" s="176" t="str">
        <f>Schedule!BP20</f>
        <v>0</v>
      </c>
      <c r="AY18" s="176" t="str">
        <f>Schedule!BQ20</f>
        <v>0</v>
      </c>
      <c r="AZ18" s="176" t="str">
        <f>Schedule!BR20</f>
        <v>0</v>
      </c>
      <c r="BA18" s="178"/>
      <c r="BB18" s="176" t="str">
        <f>Schedule!BS20</f>
        <v>0</v>
      </c>
      <c r="BC18" s="176" t="str">
        <f>Schedule!BT20</f>
        <v>0</v>
      </c>
      <c r="BD18" s="176" t="str">
        <f>Schedule!BU20</f>
        <v>0</v>
      </c>
      <c r="BE18" s="176" t="str">
        <f>Schedule!BV20</f>
        <v>0</v>
      </c>
      <c r="BF18" s="176" t="str">
        <f>Schedule!BW20</f>
        <v>0</v>
      </c>
      <c r="BG18" s="176" t="str">
        <f>Schedule!BX20</f>
        <v>0</v>
      </c>
      <c r="BH18" s="176" t="str">
        <f>Schedule!BY20</f>
        <v>0</v>
      </c>
      <c r="BI18" s="176" t="str">
        <f>Schedule!BZ20</f>
        <v>0</v>
      </c>
      <c r="BJ18" s="176" t="str">
        <f>Schedule!CA20</f>
        <v>0</v>
      </c>
      <c r="BK18" s="178"/>
      <c r="BL18" s="176" t="str">
        <f>Schedule!CB20</f>
        <v>0</v>
      </c>
      <c r="BM18" s="176" t="str">
        <f>Schedule!CC20</f>
        <v>0</v>
      </c>
      <c r="BN18" s="176" t="str">
        <f>Schedule!CD20</f>
        <v>0</v>
      </c>
      <c r="BO18" s="176" t="str">
        <f>Schedule!CE20</f>
        <v>0</v>
      </c>
      <c r="BP18" s="176" t="str">
        <f>Schedule!CF20</f>
        <v>0</v>
      </c>
      <c r="BQ18" s="176" t="str">
        <f>Schedule!CG20</f>
        <v>0</v>
      </c>
      <c r="BR18" s="176" t="str">
        <f>Schedule!CH20</f>
        <v>0</v>
      </c>
      <c r="BS18" s="176" t="str">
        <f>Schedule!CI20</f>
        <v>0</v>
      </c>
      <c r="BT18" s="176" t="str">
        <f>Schedule!CJ20</f>
        <v>0</v>
      </c>
      <c r="BU18" s="178"/>
      <c r="BV18" s="176" t="str">
        <f>Schedule!CK20</f>
        <v>0</v>
      </c>
      <c r="BW18" s="176" t="str">
        <f>Schedule!CL20</f>
        <v>0</v>
      </c>
      <c r="BX18" s="176" t="str">
        <f>Schedule!CM20</f>
        <v>0</v>
      </c>
      <c r="BY18" s="176" t="str">
        <f>Schedule!CN20</f>
        <v>0</v>
      </c>
      <c r="BZ18" s="176" t="str">
        <f>Schedule!CO20</f>
        <v>0</v>
      </c>
      <c r="CA18" s="176" t="str">
        <f>Schedule!CP20</f>
        <v>0</v>
      </c>
      <c r="CB18" s="176" t="str">
        <f>Schedule!CQ20</f>
        <v>0</v>
      </c>
      <c r="CC18" s="176" t="str">
        <f>Schedule!CR20</f>
        <v>0</v>
      </c>
      <c r="CD18" s="176" t="str">
        <f>Schedule!CS20</f>
        <v>0</v>
      </c>
      <c r="CE18" s="178"/>
      <c r="CF18" s="176" t="str">
        <f>Schedule!CT20</f>
        <v>0</v>
      </c>
      <c r="CG18" s="176" t="str">
        <f>Schedule!CU20</f>
        <v>0</v>
      </c>
      <c r="CH18" s="176" t="str">
        <f>Schedule!CV20</f>
        <v>0</v>
      </c>
      <c r="CI18" s="176" t="str">
        <f>Schedule!CW20</f>
        <v>0</v>
      </c>
      <c r="CJ18" s="176" t="str">
        <f>Schedule!CX20</f>
        <v>0</v>
      </c>
      <c r="CK18" s="176" t="str">
        <f>Schedule!CY20</f>
        <v>0</v>
      </c>
      <c r="CL18" s="176" t="str">
        <f>Schedule!CZ20</f>
        <v>0</v>
      </c>
      <c r="CM18" s="176" t="str">
        <f>Schedule!DA20</f>
        <v>0</v>
      </c>
      <c r="CN18" s="176" t="str">
        <f>Schedule!DB20</f>
        <v>0</v>
      </c>
      <c r="CO18" s="178"/>
      <c r="CP18" s="176" t="str">
        <f>Schedule!DC20</f>
        <v>0</v>
      </c>
      <c r="CQ18" s="176" t="str">
        <f>Schedule!DD20</f>
        <v>0</v>
      </c>
      <c r="CR18" s="176" t="str">
        <f>Schedule!DE20</f>
        <v>0</v>
      </c>
      <c r="CS18" s="176" t="str">
        <f>Schedule!DF20</f>
        <v>0</v>
      </c>
      <c r="CT18" s="176" t="str">
        <f>Schedule!DG20</f>
        <v>0</v>
      </c>
      <c r="CU18" s="176" t="str">
        <f>Schedule!DH20</f>
        <v>0</v>
      </c>
      <c r="CV18" s="176" t="str">
        <f>Schedule!DI20</f>
        <v>0</v>
      </c>
      <c r="CW18" s="176" t="str">
        <f>Schedule!DJ20</f>
        <v>0</v>
      </c>
      <c r="CX18" s="176" t="str">
        <f>Schedule!DK20</f>
        <v>0</v>
      </c>
      <c r="CY18" s="178"/>
      <c r="CZ18" s="176" t="str">
        <f>Schedule!DL20</f>
        <v>0</v>
      </c>
      <c r="DA18" s="176" t="str">
        <f>Schedule!DM20</f>
        <v>0</v>
      </c>
      <c r="DB18" s="176" t="str">
        <f>Schedule!DN20</f>
        <v>0</v>
      </c>
      <c r="DC18" s="176" t="str">
        <f>Schedule!DO20</f>
        <v>0</v>
      </c>
      <c r="DD18" s="176" t="str">
        <f>Schedule!DP20</f>
        <v>0</v>
      </c>
      <c r="DE18" s="176" t="str">
        <f>Schedule!DQ20</f>
        <v>0</v>
      </c>
      <c r="DF18" s="176" t="str">
        <f>Schedule!DR20</f>
        <v>0</v>
      </c>
      <c r="DG18" s="176" t="str">
        <f>Schedule!DS20</f>
        <v>0</v>
      </c>
      <c r="DH18" s="176" t="str">
        <f>Schedule!DT20</f>
        <v>0</v>
      </c>
      <c r="DI18" s="178"/>
      <c r="DJ18" s="176" t="str">
        <f>Schedule!DU20</f>
        <v>0</v>
      </c>
      <c r="DK18" s="176" t="str">
        <f>Schedule!DV20</f>
        <v>0</v>
      </c>
      <c r="DL18" s="176" t="str">
        <f>Schedule!DW20</f>
        <v>0</v>
      </c>
      <c r="DM18" s="176" t="str">
        <f>Schedule!DX20</f>
        <v>0</v>
      </c>
      <c r="DN18" s="176" t="str">
        <f>Schedule!DY20</f>
        <v>0</v>
      </c>
      <c r="DO18" s="176" t="str">
        <f>Schedule!DZ20</f>
        <v>0</v>
      </c>
      <c r="DP18" s="176" t="str">
        <f>Schedule!EA20</f>
        <v>0</v>
      </c>
      <c r="DQ18" s="176" t="str">
        <f>Schedule!EB20</f>
        <v>0</v>
      </c>
      <c r="DR18" s="176" t="str">
        <f>Schedule!EC20</f>
        <v>0</v>
      </c>
      <c r="DS18" s="178"/>
      <c r="DT18" s="176" t="str">
        <f>Schedule!ED20</f>
        <v>0</v>
      </c>
      <c r="DU18" s="176" t="str">
        <f>Schedule!EE20</f>
        <v>0</v>
      </c>
      <c r="DV18" s="176" t="str">
        <f>Schedule!EF20</f>
        <v>0</v>
      </c>
      <c r="DW18" s="176" t="str">
        <f>Schedule!EG20</f>
        <v>0</v>
      </c>
      <c r="DX18" s="176" t="str">
        <f>Schedule!EH20</f>
        <v>0</v>
      </c>
      <c r="DY18" s="176" t="str">
        <f>Schedule!EI20</f>
        <v>0</v>
      </c>
      <c r="DZ18" s="176" t="str">
        <f>Schedule!EJ20</f>
        <v>0</v>
      </c>
      <c r="EA18" s="176" t="str">
        <f>Schedule!EK20</f>
        <v>0</v>
      </c>
      <c r="EB18" s="176" t="str">
        <f>Schedule!EL20</f>
        <v>0</v>
      </c>
      <c r="EC18" s="178"/>
      <c r="ED18" s="176" t="str">
        <f>Schedule!EM20</f>
        <v>0</v>
      </c>
      <c r="EE18" s="176" t="str">
        <f>Schedule!EN20</f>
        <v>0</v>
      </c>
      <c r="EF18" s="176" t="str">
        <f>Schedule!EO20</f>
        <v>0</v>
      </c>
      <c r="EG18" s="176" t="str">
        <f>Schedule!EP20</f>
        <v>0</v>
      </c>
      <c r="EH18" s="176" t="str">
        <f>Schedule!EQ20</f>
        <v>0</v>
      </c>
      <c r="EI18" s="176" t="str">
        <f>Schedule!ER20</f>
        <v>0</v>
      </c>
      <c r="EJ18" s="176" t="str">
        <f>Schedule!ES20</f>
        <v>0</v>
      </c>
      <c r="EK18" s="176" t="str">
        <f>Schedule!ET20</f>
        <v>0</v>
      </c>
      <c r="EL18" s="176" t="str">
        <f>Schedule!EU20</f>
        <v>0</v>
      </c>
      <c r="EM18" s="178"/>
      <c r="EN18" s="176" t="str">
        <f>Schedule!EV20</f>
        <v>0</v>
      </c>
      <c r="EO18" s="176" t="str">
        <f>Schedule!EW20</f>
        <v>0</v>
      </c>
      <c r="EP18" s="176" t="str">
        <f>Schedule!EX20</f>
        <v>0</v>
      </c>
      <c r="EQ18" s="176" t="str">
        <f>Schedule!EY20</f>
        <v>0</v>
      </c>
      <c r="ER18" s="176" t="str">
        <f>Schedule!EZ20</f>
        <v>0</v>
      </c>
      <c r="ES18" s="176" t="str">
        <f>Schedule!FA20</f>
        <v>0</v>
      </c>
      <c r="ET18" s="176" t="str">
        <f>Schedule!FB20</f>
        <v>0</v>
      </c>
      <c r="EU18" s="176" t="str">
        <f>Schedule!FC20</f>
        <v>0</v>
      </c>
      <c r="EV18" s="176" t="str">
        <f>Schedule!FD20</f>
        <v>0</v>
      </c>
      <c r="EW18" s="178"/>
      <c r="EX18" s="176" t="str">
        <f>Schedule!FE20</f>
        <v>0</v>
      </c>
      <c r="EY18" s="176" t="str">
        <f>Schedule!FF20</f>
        <v>0</v>
      </c>
      <c r="EZ18" s="176" t="str">
        <f>Schedule!FG20</f>
        <v>0</v>
      </c>
      <c r="FA18" s="176" t="str">
        <f>Schedule!FH20</f>
        <v>0</v>
      </c>
      <c r="FB18" s="176" t="str">
        <f>Schedule!FI20</f>
        <v>0</v>
      </c>
      <c r="FC18" s="176" t="str">
        <f>Schedule!FJ20</f>
        <v>0</v>
      </c>
      <c r="FD18" s="176" t="str">
        <f>Schedule!FK20</f>
        <v>0</v>
      </c>
      <c r="FE18" s="176" t="str">
        <f>Schedule!FL20</f>
        <v>0</v>
      </c>
      <c r="FF18" s="176" t="str">
        <f>Schedule!FM20</f>
        <v>0</v>
      </c>
      <c r="FG18" s="178"/>
      <c r="FH18" s="176" t="str">
        <f>Schedule!FN20</f>
        <v>0</v>
      </c>
      <c r="FI18" s="176" t="str">
        <f>Schedule!FO20</f>
        <v>0</v>
      </c>
      <c r="FJ18" s="176" t="str">
        <f>Schedule!FP20</f>
        <v>0</v>
      </c>
      <c r="FK18" s="176" t="str">
        <f>Schedule!FQ20</f>
        <v>0</v>
      </c>
      <c r="FL18" s="176" t="str">
        <f>Schedule!FR20</f>
        <v>0</v>
      </c>
      <c r="FM18" s="176" t="str">
        <f>Schedule!FS20</f>
        <v>0</v>
      </c>
      <c r="FN18" s="176" t="str">
        <f>Schedule!FT20</f>
        <v>0</v>
      </c>
      <c r="FO18" s="176" t="str">
        <f>Schedule!FU20</f>
        <v>0</v>
      </c>
      <c r="FP18" s="176" t="str">
        <f>Schedule!FV20</f>
        <v>0</v>
      </c>
      <c r="FQ18" s="178"/>
      <c r="FR18" s="176" t="str">
        <f>Schedule!FW20</f>
        <v>0</v>
      </c>
      <c r="FS18" s="176" t="str">
        <f>Schedule!FX20</f>
        <v>0</v>
      </c>
      <c r="FT18" s="176" t="str">
        <f>Schedule!FY20</f>
        <v>0</v>
      </c>
      <c r="FU18" s="176" t="str">
        <f>Schedule!FZ20</f>
        <v>0</v>
      </c>
      <c r="FV18" s="176" t="str">
        <f>Schedule!GA20</f>
        <v>0</v>
      </c>
      <c r="FW18" s="176" t="str">
        <f>Schedule!GB20</f>
        <v>0</v>
      </c>
      <c r="FX18" s="176" t="str">
        <f>Schedule!GC20</f>
        <v>0</v>
      </c>
      <c r="FY18" s="176" t="str">
        <f>Schedule!GD20</f>
        <v>0</v>
      </c>
      <c r="FZ18" s="176" t="str">
        <f>Schedule!GE20</f>
        <v>0</v>
      </c>
      <c r="GA18" s="178"/>
      <c r="GB18" s="176" t="str">
        <f>Schedule!GF20</f>
        <v>0</v>
      </c>
      <c r="GC18" s="176" t="str">
        <f>Schedule!GG20</f>
        <v>0</v>
      </c>
      <c r="GD18" s="176" t="str">
        <f>Schedule!GH20</f>
        <v>0</v>
      </c>
      <c r="GE18" s="176" t="str">
        <f>Schedule!GI20</f>
        <v>0</v>
      </c>
      <c r="GF18" s="176" t="str">
        <f>Schedule!GJ20</f>
        <v>0</v>
      </c>
      <c r="GG18" s="176" t="str">
        <f>Schedule!GK20</f>
        <v>0</v>
      </c>
      <c r="GH18" s="176" t="str">
        <f>Schedule!GL20</f>
        <v>0</v>
      </c>
      <c r="GI18" s="176" t="str">
        <f>Schedule!GM20</f>
        <v>0</v>
      </c>
      <c r="GJ18" s="176" t="str">
        <f>Schedule!GN20</f>
        <v>0</v>
      </c>
      <c r="GK18" s="178"/>
      <c r="GL18" s="176" t="str">
        <f>Schedule!GO20</f>
        <v>0</v>
      </c>
      <c r="GM18" s="176" t="str">
        <f>Schedule!GP20</f>
        <v>0</v>
      </c>
      <c r="GN18" s="176" t="str">
        <f>Schedule!GQ20</f>
        <v>0</v>
      </c>
      <c r="GO18" s="176" t="str">
        <f>Schedule!GR20</f>
        <v>0</v>
      </c>
      <c r="GP18" s="176" t="str">
        <f>Schedule!GS20</f>
        <v>0</v>
      </c>
      <c r="GQ18" s="176" t="str">
        <f>Schedule!GT20</f>
        <v>0</v>
      </c>
      <c r="GR18" s="176" t="str">
        <f>Schedule!GU20</f>
        <v>0</v>
      </c>
      <c r="GS18" s="176" t="str">
        <f>Schedule!GV20</f>
        <v>0</v>
      </c>
      <c r="GT18" s="176" t="str">
        <f>Schedule!GW20</f>
        <v>0</v>
      </c>
      <c r="GW18" s="227"/>
    </row>
    <row r="19" spans="2:205" ht="15.75" hidden="1" customHeight="1">
      <c r="B19" s="269"/>
      <c r="C19" s="159">
        <f>Schedule!C21</f>
        <v>0</v>
      </c>
      <c r="D19" s="176" t="str">
        <f>Schedule!Z21</f>
        <v>0</v>
      </c>
      <c r="E19" s="176" t="str">
        <f>Schedule!AA21</f>
        <v>0</v>
      </c>
      <c r="F19" s="176" t="str">
        <f>Schedule!AB21</f>
        <v>0</v>
      </c>
      <c r="G19" s="176" t="str">
        <f>Schedule!AC21</f>
        <v>0</v>
      </c>
      <c r="H19" s="176" t="str">
        <f>Schedule!AD21</f>
        <v>0</v>
      </c>
      <c r="I19" s="176" t="str">
        <f>Schedule!AE21</f>
        <v>0</v>
      </c>
      <c r="J19" s="176" t="str">
        <f>Schedule!AF21</f>
        <v>0</v>
      </c>
      <c r="K19" s="181" t="str">
        <f>Schedule!AG21</f>
        <v>0</v>
      </c>
      <c r="L19" s="181" t="str">
        <f>Schedule!AH21</f>
        <v>0</v>
      </c>
      <c r="M19" s="178"/>
      <c r="N19" s="183" t="str">
        <f>Schedule!AI21</f>
        <v>0</v>
      </c>
      <c r="O19" s="176" t="str">
        <f>Schedule!AJ21</f>
        <v>0</v>
      </c>
      <c r="P19" s="176" t="str">
        <f>Schedule!AK21</f>
        <v>0</v>
      </c>
      <c r="Q19" s="176" t="str">
        <f>Schedule!AL21</f>
        <v>0</v>
      </c>
      <c r="R19" s="176" t="str">
        <f>Schedule!AM21</f>
        <v>0</v>
      </c>
      <c r="S19" s="176" t="str">
        <f>Schedule!AN21</f>
        <v>0</v>
      </c>
      <c r="T19" s="176" t="str">
        <f>Schedule!AO21</f>
        <v>0</v>
      </c>
      <c r="U19" s="176" t="str">
        <f>Schedule!AP21</f>
        <v>0</v>
      </c>
      <c r="V19" s="176" t="str">
        <f>Schedule!AQ21</f>
        <v>0</v>
      </c>
      <c r="W19" s="178"/>
      <c r="X19" s="176" t="str">
        <f>Schedule!AR21</f>
        <v>0</v>
      </c>
      <c r="Y19" s="176" t="str">
        <f>Schedule!AS21</f>
        <v>0</v>
      </c>
      <c r="Z19" s="176" t="str">
        <f>Schedule!AT21</f>
        <v>0</v>
      </c>
      <c r="AA19" s="176" t="str">
        <f>Schedule!AU21</f>
        <v>0</v>
      </c>
      <c r="AB19" s="176" t="str">
        <f>Schedule!AV21</f>
        <v>0</v>
      </c>
      <c r="AC19" s="176" t="str">
        <f>Schedule!AW21</f>
        <v>0</v>
      </c>
      <c r="AD19" s="176" t="str">
        <f>Schedule!AX21</f>
        <v>0</v>
      </c>
      <c r="AE19" s="176" t="str">
        <f>Schedule!AY21</f>
        <v>0</v>
      </c>
      <c r="AF19" s="176" t="str">
        <f>Schedule!AZ21</f>
        <v>0</v>
      </c>
      <c r="AG19" s="178"/>
      <c r="AH19" s="176" t="str">
        <f>Schedule!BA21</f>
        <v>0</v>
      </c>
      <c r="AI19" s="176" t="str">
        <f>Schedule!BB21</f>
        <v>0</v>
      </c>
      <c r="AJ19" s="176" t="str">
        <f>Schedule!BC21</f>
        <v>0</v>
      </c>
      <c r="AK19" s="176" t="str">
        <f>Schedule!BD21</f>
        <v>0</v>
      </c>
      <c r="AL19" s="176" t="str">
        <f>Schedule!BE21</f>
        <v>0</v>
      </c>
      <c r="AM19" s="176" t="str">
        <f>Schedule!BF21</f>
        <v>0</v>
      </c>
      <c r="AN19" s="176" t="str">
        <f>Schedule!BG21</f>
        <v>0</v>
      </c>
      <c r="AO19" s="176" t="str">
        <f>Schedule!BH21</f>
        <v>0</v>
      </c>
      <c r="AP19" s="176" t="str">
        <f>Schedule!BI21</f>
        <v>0</v>
      </c>
      <c r="AQ19" s="178"/>
      <c r="AR19" s="176" t="str">
        <f>Schedule!BJ21</f>
        <v>0</v>
      </c>
      <c r="AS19" s="176" t="str">
        <f>Schedule!BK21</f>
        <v>0</v>
      </c>
      <c r="AT19" s="176" t="str">
        <f>Schedule!BL21</f>
        <v>0</v>
      </c>
      <c r="AU19" s="176" t="str">
        <f>Schedule!BM21</f>
        <v>0</v>
      </c>
      <c r="AV19" s="176" t="str">
        <f>Schedule!BN21</f>
        <v>0</v>
      </c>
      <c r="AW19" s="176" t="str">
        <f>Schedule!BO21</f>
        <v>0</v>
      </c>
      <c r="AX19" s="176" t="str">
        <f>Schedule!BP21</f>
        <v>0</v>
      </c>
      <c r="AY19" s="176" t="str">
        <f>Schedule!BQ21</f>
        <v>0</v>
      </c>
      <c r="AZ19" s="176" t="str">
        <f>Schedule!BR21</f>
        <v>0</v>
      </c>
      <c r="BA19" s="178"/>
      <c r="BB19" s="176" t="str">
        <f>Schedule!BS21</f>
        <v>0</v>
      </c>
      <c r="BC19" s="176" t="str">
        <f>Schedule!BT21</f>
        <v>0</v>
      </c>
      <c r="BD19" s="176" t="str">
        <f>Schedule!BU21</f>
        <v>0</v>
      </c>
      <c r="BE19" s="176" t="str">
        <f>Schedule!BV21</f>
        <v>0</v>
      </c>
      <c r="BF19" s="176" t="str">
        <f>Schedule!BW21</f>
        <v>0</v>
      </c>
      <c r="BG19" s="176" t="str">
        <f>Schedule!BX21</f>
        <v>0</v>
      </c>
      <c r="BH19" s="176" t="str">
        <f>Schedule!BY21</f>
        <v>0</v>
      </c>
      <c r="BI19" s="176" t="str">
        <f>Schedule!BZ21</f>
        <v>0</v>
      </c>
      <c r="BJ19" s="176" t="str">
        <f>Schedule!CA21</f>
        <v>0</v>
      </c>
      <c r="BK19" s="178"/>
      <c r="BL19" s="176" t="str">
        <f>Schedule!CB21</f>
        <v>0</v>
      </c>
      <c r="BM19" s="176" t="str">
        <f>Schedule!CC21</f>
        <v>0</v>
      </c>
      <c r="BN19" s="176" t="str">
        <f>Schedule!CD21</f>
        <v>0</v>
      </c>
      <c r="BO19" s="176" t="str">
        <f>Schedule!CE21</f>
        <v>0</v>
      </c>
      <c r="BP19" s="176" t="str">
        <f>Schedule!CF21</f>
        <v>0</v>
      </c>
      <c r="BQ19" s="176" t="str">
        <f>Schedule!CG21</f>
        <v>0</v>
      </c>
      <c r="BR19" s="176" t="str">
        <f>Schedule!CH21</f>
        <v>0</v>
      </c>
      <c r="BS19" s="176" t="str">
        <f>Schedule!CI21</f>
        <v>0</v>
      </c>
      <c r="BT19" s="176" t="str">
        <f>Schedule!CJ21</f>
        <v>0</v>
      </c>
      <c r="BU19" s="178"/>
      <c r="BV19" s="176" t="str">
        <f>Schedule!CK21</f>
        <v>0</v>
      </c>
      <c r="BW19" s="176" t="str">
        <f>Schedule!CL21</f>
        <v>0</v>
      </c>
      <c r="BX19" s="176" t="str">
        <f>Schedule!CM21</f>
        <v>0</v>
      </c>
      <c r="BY19" s="176" t="str">
        <f>Schedule!CN21</f>
        <v>0</v>
      </c>
      <c r="BZ19" s="176" t="str">
        <f>Schedule!CO21</f>
        <v>0</v>
      </c>
      <c r="CA19" s="176" t="str">
        <f>Schedule!CP21</f>
        <v>0</v>
      </c>
      <c r="CB19" s="176" t="str">
        <f>Schedule!CQ21</f>
        <v>0</v>
      </c>
      <c r="CC19" s="176" t="str">
        <f>Schedule!CR21</f>
        <v>0</v>
      </c>
      <c r="CD19" s="176" t="str">
        <f>Schedule!CS21</f>
        <v>0</v>
      </c>
      <c r="CE19" s="178"/>
      <c r="CF19" s="176" t="str">
        <f>Schedule!CT21</f>
        <v>0</v>
      </c>
      <c r="CG19" s="176" t="str">
        <f>Schedule!CU21</f>
        <v>0</v>
      </c>
      <c r="CH19" s="176" t="str">
        <f>Schedule!CV21</f>
        <v>0</v>
      </c>
      <c r="CI19" s="176" t="str">
        <f>Schedule!CW21</f>
        <v>0</v>
      </c>
      <c r="CJ19" s="176" t="str">
        <f>Schedule!CX21</f>
        <v>0</v>
      </c>
      <c r="CK19" s="176" t="str">
        <f>Schedule!CY21</f>
        <v>0</v>
      </c>
      <c r="CL19" s="176" t="str">
        <f>Schedule!CZ21</f>
        <v>0</v>
      </c>
      <c r="CM19" s="176" t="str">
        <f>Schedule!DA21</f>
        <v>0</v>
      </c>
      <c r="CN19" s="176" t="str">
        <f>Schedule!DB21</f>
        <v>0</v>
      </c>
      <c r="CO19" s="178"/>
      <c r="CP19" s="176" t="str">
        <f>Schedule!DC21</f>
        <v>0</v>
      </c>
      <c r="CQ19" s="176" t="str">
        <f>Schedule!DD21</f>
        <v>0</v>
      </c>
      <c r="CR19" s="176" t="str">
        <f>Schedule!DE21</f>
        <v>0</v>
      </c>
      <c r="CS19" s="176" t="str">
        <f>Schedule!DF21</f>
        <v>0</v>
      </c>
      <c r="CT19" s="176" t="str">
        <f>Schedule!DG21</f>
        <v>0</v>
      </c>
      <c r="CU19" s="176" t="str">
        <f>Schedule!DH21</f>
        <v>0</v>
      </c>
      <c r="CV19" s="176" t="str">
        <f>Schedule!DI21</f>
        <v>0</v>
      </c>
      <c r="CW19" s="176" t="str">
        <f>Schedule!DJ21</f>
        <v>0</v>
      </c>
      <c r="CX19" s="176" t="str">
        <f>Schedule!DK21</f>
        <v>0</v>
      </c>
      <c r="CY19" s="178"/>
      <c r="CZ19" s="176" t="str">
        <f>Schedule!DL21</f>
        <v>0</v>
      </c>
      <c r="DA19" s="176" t="str">
        <f>Schedule!DM21</f>
        <v>0</v>
      </c>
      <c r="DB19" s="176" t="str">
        <f>Schedule!DN21</f>
        <v>0</v>
      </c>
      <c r="DC19" s="176" t="str">
        <f>Schedule!DO21</f>
        <v>0</v>
      </c>
      <c r="DD19" s="176" t="str">
        <f>Schedule!DP21</f>
        <v>0</v>
      </c>
      <c r="DE19" s="176" t="str">
        <f>Schedule!DQ21</f>
        <v>0</v>
      </c>
      <c r="DF19" s="176" t="str">
        <f>Schedule!DR21</f>
        <v>0</v>
      </c>
      <c r="DG19" s="176" t="str">
        <f>Schedule!DS21</f>
        <v>0</v>
      </c>
      <c r="DH19" s="176" t="str">
        <f>Schedule!DT21</f>
        <v>0</v>
      </c>
      <c r="DI19" s="178"/>
      <c r="DJ19" s="176" t="str">
        <f>Schedule!DU21</f>
        <v>0</v>
      </c>
      <c r="DK19" s="176" t="str">
        <f>Schedule!DV21</f>
        <v>0</v>
      </c>
      <c r="DL19" s="176" t="str">
        <f>Schedule!DW21</f>
        <v>0</v>
      </c>
      <c r="DM19" s="176" t="str">
        <f>Schedule!DX21</f>
        <v>0</v>
      </c>
      <c r="DN19" s="176" t="str">
        <f>Schedule!DY21</f>
        <v>0</v>
      </c>
      <c r="DO19" s="176" t="str">
        <f>Schedule!DZ21</f>
        <v>0</v>
      </c>
      <c r="DP19" s="176" t="str">
        <f>Schedule!EA21</f>
        <v>0</v>
      </c>
      <c r="DQ19" s="176" t="str">
        <f>Schedule!EB21</f>
        <v>0</v>
      </c>
      <c r="DR19" s="176" t="str">
        <f>Schedule!EC21</f>
        <v>0</v>
      </c>
      <c r="DS19" s="178"/>
      <c r="DT19" s="176" t="str">
        <f>Schedule!ED21</f>
        <v>0</v>
      </c>
      <c r="DU19" s="176" t="str">
        <f>Schedule!EE21</f>
        <v>0</v>
      </c>
      <c r="DV19" s="176" t="str">
        <f>Schedule!EF21</f>
        <v>0</v>
      </c>
      <c r="DW19" s="176" t="str">
        <f>Schedule!EG21</f>
        <v>0</v>
      </c>
      <c r="DX19" s="176" t="str">
        <f>Schedule!EH21</f>
        <v>0</v>
      </c>
      <c r="DY19" s="176" t="str">
        <f>Schedule!EI21</f>
        <v>0</v>
      </c>
      <c r="DZ19" s="176" t="str">
        <f>Schedule!EJ21</f>
        <v>0</v>
      </c>
      <c r="EA19" s="176" t="str">
        <f>Schedule!EK21</f>
        <v>0</v>
      </c>
      <c r="EB19" s="176" t="str">
        <f>Schedule!EL21</f>
        <v>0</v>
      </c>
      <c r="EC19" s="178"/>
      <c r="ED19" s="176" t="str">
        <f>Schedule!EM21</f>
        <v>0</v>
      </c>
      <c r="EE19" s="176" t="str">
        <f>Schedule!EN21</f>
        <v>0</v>
      </c>
      <c r="EF19" s="176" t="str">
        <f>Schedule!EO21</f>
        <v>0</v>
      </c>
      <c r="EG19" s="176" t="str">
        <f>Schedule!EP21</f>
        <v>0</v>
      </c>
      <c r="EH19" s="176" t="str">
        <f>Schedule!EQ21</f>
        <v>0</v>
      </c>
      <c r="EI19" s="176" t="str">
        <f>Schedule!ER21</f>
        <v>0</v>
      </c>
      <c r="EJ19" s="176" t="str">
        <f>Schedule!ES21</f>
        <v>0</v>
      </c>
      <c r="EK19" s="176" t="str">
        <f>Schedule!ET21</f>
        <v>0</v>
      </c>
      <c r="EL19" s="176" t="str">
        <f>Schedule!EU21</f>
        <v>0</v>
      </c>
      <c r="EM19" s="178"/>
      <c r="EN19" s="176" t="str">
        <f>Schedule!EV21</f>
        <v>0</v>
      </c>
      <c r="EO19" s="176" t="str">
        <f>Schedule!EW21</f>
        <v>0</v>
      </c>
      <c r="EP19" s="176" t="str">
        <f>Schedule!EX21</f>
        <v>0</v>
      </c>
      <c r="EQ19" s="176" t="str">
        <f>Schedule!EY21</f>
        <v>0</v>
      </c>
      <c r="ER19" s="176" t="str">
        <f>Schedule!EZ21</f>
        <v>0</v>
      </c>
      <c r="ES19" s="176" t="str">
        <f>Schedule!FA21</f>
        <v>0</v>
      </c>
      <c r="ET19" s="176" t="str">
        <f>Schedule!FB21</f>
        <v>0</v>
      </c>
      <c r="EU19" s="176" t="str">
        <f>Schedule!FC21</f>
        <v>0</v>
      </c>
      <c r="EV19" s="176" t="str">
        <f>Schedule!FD21</f>
        <v>0</v>
      </c>
      <c r="EW19" s="178"/>
      <c r="EX19" s="176" t="str">
        <f>Schedule!FE21</f>
        <v>0</v>
      </c>
      <c r="EY19" s="176" t="str">
        <f>Schedule!FF21</f>
        <v>0</v>
      </c>
      <c r="EZ19" s="176" t="str">
        <f>Schedule!FG21</f>
        <v>0</v>
      </c>
      <c r="FA19" s="176" t="str">
        <f>Schedule!FH21</f>
        <v>0</v>
      </c>
      <c r="FB19" s="176" t="str">
        <f>Schedule!FI21</f>
        <v>0</v>
      </c>
      <c r="FC19" s="176" t="str">
        <f>Schedule!FJ21</f>
        <v>0</v>
      </c>
      <c r="FD19" s="176" t="str">
        <f>Schedule!FK21</f>
        <v>0</v>
      </c>
      <c r="FE19" s="176" t="str">
        <f>Schedule!FL21</f>
        <v>0</v>
      </c>
      <c r="FF19" s="176" t="str">
        <f>Schedule!FM21</f>
        <v>0</v>
      </c>
      <c r="FG19" s="178"/>
      <c r="FH19" s="176" t="str">
        <f>Schedule!FN21</f>
        <v>0</v>
      </c>
      <c r="FI19" s="176" t="str">
        <f>Schedule!FO21</f>
        <v>0</v>
      </c>
      <c r="FJ19" s="176" t="str">
        <f>Schedule!FP21</f>
        <v>0</v>
      </c>
      <c r="FK19" s="176" t="str">
        <f>Schedule!FQ21</f>
        <v>0</v>
      </c>
      <c r="FL19" s="176" t="str">
        <f>Schedule!FR21</f>
        <v>0</v>
      </c>
      <c r="FM19" s="176" t="str">
        <f>Schedule!FS21</f>
        <v>0</v>
      </c>
      <c r="FN19" s="176" t="str">
        <f>Schedule!FT21</f>
        <v>0</v>
      </c>
      <c r="FO19" s="176" t="str">
        <f>Schedule!FU21</f>
        <v>0</v>
      </c>
      <c r="FP19" s="176" t="str">
        <f>Schedule!FV21</f>
        <v>0</v>
      </c>
      <c r="FQ19" s="178"/>
      <c r="FR19" s="176" t="str">
        <f>Schedule!FW21</f>
        <v>0</v>
      </c>
      <c r="FS19" s="176" t="str">
        <f>Schedule!FX21</f>
        <v>0</v>
      </c>
      <c r="FT19" s="176" t="str">
        <f>Schedule!FY21</f>
        <v>0</v>
      </c>
      <c r="FU19" s="176" t="str">
        <f>Schedule!FZ21</f>
        <v>0</v>
      </c>
      <c r="FV19" s="176" t="str">
        <f>Schedule!GA21</f>
        <v>0</v>
      </c>
      <c r="FW19" s="176" t="str">
        <f>Schedule!GB21</f>
        <v>0</v>
      </c>
      <c r="FX19" s="176" t="str">
        <f>Schedule!GC21</f>
        <v>0</v>
      </c>
      <c r="FY19" s="176" t="str">
        <f>Schedule!GD21</f>
        <v>0</v>
      </c>
      <c r="FZ19" s="176" t="str">
        <f>Schedule!GE21</f>
        <v>0</v>
      </c>
      <c r="GA19" s="178"/>
      <c r="GB19" s="176" t="str">
        <f>Schedule!GF21</f>
        <v>0</v>
      </c>
      <c r="GC19" s="176" t="str">
        <f>Schedule!GG21</f>
        <v>0</v>
      </c>
      <c r="GD19" s="176" t="str">
        <f>Schedule!GH21</f>
        <v>0</v>
      </c>
      <c r="GE19" s="176" t="str">
        <f>Schedule!GI21</f>
        <v>0</v>
      </c>
      <c r="GF19" s="176" t="str">
        <f>Schedule!GJ21</f>
        <v>0</v>
      </c>
      <c r="GG19" s="176" t="str">
        <f>Schedule!GK21</f>
        <v>0</v>
      </c>
      <c r="GH19" s="176" t="str">
        <f>Schedule!GL21</f>
        <v>0</v>
      </c>
      <c r="GI19" s="176" t="str">
        <f>Schedule!GM21</f>
        <v>0</v>
      </c>
      <c r="GJ19" s="176" t="str">
        <f>Schedule!GN21</f>
        <v>0</v>
      </c>
      <c r="GK19" s="178"/>
      <c r="GL19" s="176" t="str">
        <f>Schedule!GO21</f>
        <v>0</v>
      </c>
      <c r="GM19" s="176" t="str">
        <f>Schedule!GP21</f>
        <v>0</v>
      </c>
      <c r="GN19" s="176" t="str">
        <f>Schedule!GQ21</f>
        <v>0</v>
      </c>
      <c r="GO19" s="176" t="str">
        <f>Schedule!GR21</f>
        <v>0</v>
      </c>
      <c r="GP19" s="176" t="str">
        <f>Schedule!GS21</f>
        <v>0</v>
      </c>
      <c r="GQ19" s="176" t="str">
        <f>Schedule!GT21</f>
        <v>0</v>
      </c>
      <c r="GR19" s="176" t="str">
        <f>Schedule!GU21</f>
        <v>0</v>
      </c>
      <c r="GS19" s="176" t="str">
        <f>Schedule!GV21</f>
        <v>0</v>
      </c>
      <c r="GT19" s="176" t="str">
        <f>Schedule!GW21</f>
        <v>0</v>
      </c>
      <c r="GW19" s="227"/>
    </row>
    <row r="20" spans="2:205" ht="15.75" hidden="1" customHeight="1">
      <c r="B20" s="269"/>
      <c r="C20" s="159">
        <f>Schedule!C22</f>
        <v>0</v>
      </c>
      <c r="D20" s="176" t="str">
        <f>Schedule!Z22</f>
        <v>0</v>
      </c>
      <c r="E20" s="176" t="str">
        <f>Schedule!AA22</f>
        <v>0</v>
      </c>
      <c r="F20" s="176" t="str">
        <f>Schedule!AB22</f>
        <v>0</v>
      </c>
      <c r="G20" s="176" t="str">
        <f>Schedule!AC22</f>
        <v>0</v>
      </c>
      <c r="H20" s="176" t="str">
        <f>Schedule!AD22</f>
        <v>0</v>
      </c>
      <c r="I20" s="176" t="str">
        <f>Schedule!AE22</f>
        <v>0</v>
      </c>
      <c r="J20" s="176" t="str">
        <f>Schedule!AF22</f>
        <v>0</v>
      </c>
      <c r="K20" s="181" t="str">
        <f>Schedule!AG22</f>
        <v>0</v>
      </c>
      <c r="L20" s="181" t="str">
        <f>Schedule!AH22</f>
        <v>0</v>
      </c>
      <c r="M20" s="178"/>
      <c r="N20" s="183" t="str">
        <f>Schedule!AI22</f>
        <v>0</v>
      </c>
      <c r="O20" s="176" t="str">
        <f>Schedule!AJ22</f>
        <v>0</v>
      </c>
      <c r="P20" s="176" t="str">
        <f>Schedule!AK22</f>
        <v>0</v>
      </c>
      <c r="Q20" s="176" t="str">
        <f>Schedule!AL22</f>
        <v>0</v>
      </c>
      <c r="R20" s="176" t="str">
        <f>Schedule!AM22</f>
        <v>0</v>
      </c>
      <c r="S20" s="176" t="str">
        <f>Schedule!AN22</f>
        <v>0</v>
      </c>
      <c r="T20" s="176" t="str">
        <f>Schedule!AO22</f>
        <v>0</v>
      </c>
      <c r="U20" s="176" t="str">
        <f>Schedule!AP22</f>
        <v>0</v>
      </c>
      <c r="V20" s="176" t="str">
        <f>Schedule!AQ22</f>
        <v>0</v>
      </c>
      <c r="W20" s="178"/>
      <c r="X20" s="176" t="str">
        <f>Schedule!AR22</f>
        <v>0</v>
      </c>
      <c r="Y20" s="176" t="str">
        <f>Schedule!AS22</f>
        <v>0</v>
      </c>
      <c r="Z20" s="176" t="str">
        <f>Schedule!AT22</f>
        <v>0</v>
      </c>
      <c r="AA20" s="176" t="str">
        <f>Schedule!AU22</f>
        <v>0</v>
      </c>
      <c r="AB20" s="176" t="str">
        <f>Schedule!AV22</f>
        <v>0</v>
      </c>
      <c r="AC20" s="176" t="str">
        <f>Schedule!AW22</f>
        <v>0</v>
      </c>
      <c r="AD20" s="176" t="str">
        <f>Schedule!AX22</f>
        <v>0</v>
      </c>
      <c r="AE20" s="176" t="str">
        <f>Schedule!AY22</f>
        <v>0</v>
      </c>
      <c r="AF20" s="176" t="str">
        <f>Schedule!AZ22</f>
        <v>0</v>
      </c>
      <c r="AG20" s="178"/>
      <c r="AH20" s="176" t="str">
        <f>Schedule!BA22</f>
        <v>0</v>
      </c>
      <c r="AI20" s="176" t="str">
        <f>Schedule!BB22</f>
        <v>0</v>
      </c>
      <c r="AJ20" s="176" t="str">
        <f>Schedule!BC22</f>
        <v>0</v>
      </c>
      <c r="AK20" s="176" t="str">
        <f>Schedule!BD22</f>
        <v>0</v>
      </c>
      <c r="AL20" s="176" t="str">
        <f>Schedule!BE22</f>
        <v>0</v>
      </c>
      <c r="AM20" s="176" t="str">
        <f>Schedule!BF22</f>
        <v>0</v>
      </c>
      <c r="AN20" s="176" t="str">
        <f>Schedule!BG22</f>
        <v>0</v>
      </c>
      <c r="AO20" s="176" t="str">
        <f>Schedule!BH22</f>
        <v>0</v>
      </c>
      <c r="AP20" s="176" t="str">
        <f>Schedule!BI22</f>
        <v>0</v>
      </c>
      <c r="AQ20" s="178"/>
      <c r="AR20" s="176" t="str">
        <f>Schedule!BJ22</f>
        <v>0</v>
      </c>
      <c r="AS20" s="176" t="str">
        <f>Schedule!BK22</f>
        <v>0</v>
      </c>
      <c r="AT20" s="176" t="str">
        <f>Schedule!BL22</f>
        <v>0</v>
      </c>
      <c r="AU20" s="176" t="str">
        <f>Schedule!BM22</f>
        <v>0</v>
      </c>
      <c r="AV20" s="176" t="str">
        <f>Schedule!BN22</f>
        <v>0</v>
      </c>
      <c r="AW20" s="176" t="str">
        <f>Schedule!BO22</f>
        <v>0</v>
      </c>
      <c r="AX20" s="176" t="str">
        <f>Schedule!BP22</f>
        <v>0</v>
      </c>
      <c r="AY20" s="176" t="str">
        <f>Schedule!BQ22</f>
        <v>0</v>
      </c>
      <c r="AZ20" s="176" t="str">
        <f>Schedule!BR22</f>
        <v>0</v>
      </c>
      <c r="BA20" s="178"/>
      <c r="BB20" s="176" t="str">
        <f>Schedule!BS22</f>
        <v>0</v>
      </c>
      <c r="BC20" s="176" t="str">
        <f>Schedule!BT22</f>
        <v>0</v>
      </c>
      <c r="BD20" s="176" t="str">
        <f>Schedule!BU22</f>
        <v>0</v>
      </c>
      <c r="BE20" s="176" t="str">
        <f>Schedule!BV22</f>
        <v>0</v>
      </c>
      <c r="BF20" s="176" t="str">
        <f>Schedule!BW22</f>
        <v>0</v>
      </c>
      <c r="BG20" s="176" t="str">
        <f>Schedule!BX22</f>
        <v>0</v>
      </c>
      <c r="BH20" s="176" t="str">
        <f>Schedule!BY22</f>
        <v>0</v>
      </c>
      <c r="BI20" s="176" t="str">
        <f>Schedule!BZ22</f>
        <v>0</v>
      </c>
      <c r="BJ20" s="176" t="str">
        <f>Schedule!CA22</f>
        <v>0</v>
      </c>
      <c r="BK20" s="178"/>
      <c r="BL20" s="176" t="str">
        <f>Schedule!CB22</f>
        <v>0</v>
      </c>
      <c r="BM20" s="176" t="str">
        <f>Schedule!CC22</f>
        <v>0</v>
      </c>
      <c r="BN20" s="176" t="str">
        <f>Schedule!CD22</f>
        <v>0</v>
      </c>
      <c r="BO20" s="176" t="str">
        <f>Schedule!CE22</f>
        <v>0</v>
      </c>
      <c r="BP20" s="176" t="str">
        <f>Schedule!CF22</f>
        <v>0</v>
      </c>
      <c r="BQ20" s="176" t="str">
        <f>Schedule!CG22</f>
        <v>0</v>
      </c>
      <c r="BR20" s="176" t="str">
        <f>Schedule!CH22</f>
        <v>0</v>
      </c>
      <c r="BS20" s="176" t="str">
        <f>Schedule!CI22</f>
        <v>0</v>
      </c>
      <c r="BT20" s="176" t="str">
        <f>Schedule!CJ22</f>
        <v>0</v>
      </c>
      <c r="BU20" s="178"/>
      <c r="BV20" s="176" t="str">
        <f>Schedule!CK22</f>
        <v>0</v>
      </c>
      <c r="BW20" s="176" t="str">
        <f>Schedule!CL22</f>
        <v>0</v>
      </c>
      <c r="BX20" s="176" t="str">
        <f>Schedule!CM22</f>
        <v>0</v>
      </c>
      <c r="BY20" s="176" t="str">
        <f>Schedule!CN22</f>
        <v>0</v>
      </c>
      <c r="BZ20" s="176" t="str">
        <f>Schedule!CO22</f>
        <v>0</v>
      </c>
      <c r="CA20" s="176" t="str">
        <f>Schedule!CP22</f>
        <v>0</v>
      </c>
      <c r="CB20" s="176" t="str">
        <f>Schedule!CQ22</f>
        <v>0</v>
      </c>
      <c r="CC20" s="176" t="str">
        <f>Schedule!CR22</f>
        <v>0</v>
      </c>
      <c r="CD20" s="176" t="str">
        <f>Schedule!CS22</f>
        <v>0</v>
      </c>
      <c r="CE20" s="178"/>
      <c r="CF20" s="176" t="str">
        <f>Schedule!CT22</f>
        <v>0</v>
      </c>
      <c r="CG20" s="176" t="str">
        <f>Schedule!CU22</f>
        <v>0</v>
      </c>
      <c r="CH20" s="176" t="str">
        <f>Schedule!CV22</f>
        <v>0</v>
      </c>
      <c r="CI20" s="176" t="str">
        <f>Schedule!CW22</f>
        <v>0</v>
      </c>
      <c r="CJ20" s="176" t="str">
        <f>Schedule!CX22</f>
        <v>0</v>
      </c>
      <c r="CK20" s="176" t="str">
        <f>Schedule!CY22</f>
        <v>0</v>
      </c>
      <c r="CL20" s="176" t="str">
        <f>Schedule!CZ22</f>
        <v>0</v>
      </c>
      <c r="CM20" s="176" t="str">
        <f>Schedule!DA22</f>
        <v>0</v>
      </c>
      <c r="CN20" s="176" t="str">
        <f>Schedule!DB22</f>
        <v>0</v>
      </c>
      <c r="CO20" s="178"/>
      <c r="CP20" s="176" t="str">
        <f>Schedule!DC22</f>
        <v>0</v>
      </c>
      <c r="CQ20" s="176" t="str">
        <f>Schedule!DD22</f>
        <v>0</v>
      </c>
      <c r="CR20" s="176" t="str">
        <f>Schedule!DE22</f>
        <v>0</v>
      </c>
      <c r="CS20" s="176" t="str">
        <f>Schedule!DF22</f>
        <v>0</v>
      </c>
      <c r="CT20" s="176" t="str">
        <f>Schedule!DG22</f>
        <v>0</v>
      </c>
      <c r="CU20" s="176" t="str">
        <f>Schedule!DH22</f>
        <v>0</v>
      </c>
      <c r="CV20" s="176" t="str">
        <f>Schedule!DI22</f>
        <v>0</v>
      </c>
      <c r="CW20" s="176" t="str">
        <f>Schedule!DJ22</f>
        <v>0</v>
      </c>
      <c r="CX20" s="176" t="str">
        <f>Schedule!DK22</f>
        <v>0</v>
      </c>
      <c r="CY20" s="178"/>
      <c r="CZ20" s="176" t="str">
        <f>Schedule!DL22</f>
        <v>0</v>
      </c>
      <c r="DA20" s="176" t="str">
        <f>Schedule!DM22</f>
        <v>0</v>
      </c>
      <c r="DB20" s="176" t="str">
        <f>Schedule!DN22</f>
        <v>0</v>
      </c>
      <c r="DC20" s="176" t="str">
        <f>Schedule!DO22</f>
        <v>0</v>
      </c>
      <c r="DD20" s="176" t="str">
        <f>Schedule!DP22</f>
        <v>0</v>
      </c>
      <c r="DE20" s="176" t="str">
        <f>Schedule!DQ22</f>
        <v>0</v>
      </c>
      <c r="DF20" s="176" t="str">
        <f>Schedule!DR22</f>
        <v>0</v>
      </c>
      <c r="DG20" s="176" t="str">
        <f>Schedule!DS22</f>
        <v>0</v>
      </c>
      <c r="DH20" s="176" t="str">
        <f>Schedule!DT22</f>
        <v>0</v>
      </c>
      <c r="DI20" s="178"/>
      <c r="DJ20" s="176" t="str">
        <f>Schedule!DU22</f>
        <v>0</v>
      </c>
      <c r="DK20" s="176" t="str">
        <f>Schedule!DV22</f>
        <v>0</v>
      </c>
      <c r="DL20" s="176" t="str">
        <f>Schedule!DW22</f>
        <v>0</v>
      </c>
      <c r="DM20" s="176" t="str">
        <f>Schedule!DX22</f>
        <v>0</v>
      </c>
      <c r="DN20" s="176" t="str">
        <f>Schedule!DY22</f>
        <v>0</v>
      </c>
      <c r="DO20" s="176" t="str">
        <f>Schedule!DZ22</f>
        <v>0</v>
      </c>
      <c r="DP20" s="176" t="str">
        <f>Schedule!EA22</f>
        <v>0</v>
      </c>
      <c r="DQ20" s="176" t="str">
        <f>Schedule!EB22</f>
        <v>0</v>
      </c>
      <c r="DR20" s="176" t="str">
        <f>Schedule!EC22</f>
        <v>0</v>
      </c>
      <c r="DS20" s="178"/>
      <c r="DT20" s="176" t="str">
        <f>Schedule!ED22</f>
        <v>0</v>
      </c>
      <c r="DU20" s="176" t="str">
        <f>Schedule!EE22</f>
        <v>0</v>
      </c>
      <c r="DV20" s="176" t="str">
        <f>Schedule!EF22</f>
        <v>0</v>
      </c>
      <c r="DW20" s="176" t="str">
        <f>Schedule!EG22</f>
        <v>0</v>
      </c>
      <c r="DX20" s="176" t="str">
        <f>Schedule!EH22</f>
        <v>0</v>
      </c>
      <c r="DY20" s="176" t="str">
        <f>Schedule!EI22</f>
        <v>0</v>
      </c>
      <c r="DZ20" s="176" t="str">
        <f>Schedule!EJ22</f>
        <v>0</v>
      </c>
      <c r="EA20" s="176" t="str">
        <f>Schedule!EK22</f>
        <v>0</v>
      </c>
      <c r="EB20" s="176" t="str">
        <f>Schedule!EL22</f>
        <v>0</v>
      </c>
      <c r="EC20" s="178"/>
      <c r="ED20" s="176" t="str">
        <f>Schedule!EM22</f>
        <v>0</v>
      </c>
      <c r="EE20" s="176" t="str">
        <f>Schedule!EN22</f>
        <v>0</v>
      </c>
      <c r="EF20" s="176" t="str">
        <f>Schedule!EO22</f>
        <v>0</v>
      </c>
      <c r="EG20" s="176" t="str">
        <f>Schedule!EP22</f>
        <v>0</v>
      </c>
      <c r="EH20" s="176" t="str">
        <f>Schedule!EQ22</f>
        <v>0</v>
      </c>
      <c r="EI20" s="176" t="str">
        <f>Schedule!ER22</f>
        <v>0</v>
      </c>
      <c r="EJ20" s="176" t="str">
        <f>Schedule!ES22</f>
        <v>0</v>
      </c>
      <c r="EK20" s="176" t="str">
        <f>Schedule!ET22</f>
        <v>0</v>
      </c>
      <c r="EL20" s="176" t="str">
        <f>Schedule!EU22</f>
        <v>0</v>
      </c>
      <c r="EM20" s="178"/>
      <c r="EN20" s="176" t="str">
        <f>Schedule!EV22</f>
        <v>0</v>
      </c>
      <c r="EO20" s="176" t="str">
        <f>Schedule!EW22</f>
        <v>0</v>
      </c>
      <c r="EP20" s="176" t="str">
        <f>Schedule!EX22</f>
        <v>0</v>
      </c>
      <c r="EQ20" s="176" t="str">
        <f>Schedule!EY22</f>
        <v>0</v>
      </c>
      <c r="ER20" s="176" t="str">
        <f>Schedule!EZ22</f>
        <v>0</v>
      </c>
      <c r="ES20" s="176" t="str">
        <f>Schedule!FA22</f>
        <v>0</v>
      </c>
      <c r="ET20" s="176" t="str">
        <f>Schedule!FB22</f>
        <v>0</v>
      </c>
      <c r="EU20" s="176" t="str">
        <f>Schedule!FC22</f>
        <v>0</v>
      </c>
      <c r="EV20" s="176" t="str">
        <f>Schedule!FD22</f>
        <v>0</v>
      </c>
      <c r="EW20" s="178"/>
      <c r="EX20" s="176" t="str">
        <f>Schedule!FE22</f>
        <v>0</v>
      </c>
      <c r="EY20" s="176" t="str">
        <f>Schedule!FF22</f>
        <v>0</v>
      </c>
      <c r="EZ20" s="176" t="str">
        <f>Schedule!FG22</f>
        <v>0</v>
      </c>
      <c r="FA20" s="176" t="str">
        <f>Schedule!FH22</f>
        <v>0</v>
      </c>
      <c r="FB20" s="176" t="str">
        <f>Schedule!FI22</f>
        <v>0</v>
      </c>
      <c r="FC20" s="176" t="str">
        <f>Schedule!FJ22</f>
        <v>0</v>
      </c>
      <c r="FD20" s="176" t="str">
        <f>Schedule!FK22</f>
        <v>0</v>
      </c>
      <c r="FE20" s="176" t="str">
        <f>Schedule!FL22</f>
        <v>0</v>
      </c>
      <c r="FF20" s="176" t="str">
        <f>Schedule!FM22</f>
        <v>0</v>
      </c>
      <c r="FG20" s="178"/>
      <c r="FH20" s="176" t="str">
        <f>Schedule!FN22</f>
        <v>0</v>
      </c>
      <c r="FI20" s="176" t="str">
        <f>Schedule!FO22</f>
        <v>0</v>
      </c>
      <c r="FJ20" s="176" t="str">
        <f>Schedule!FP22</f>
        <v>0</v>
      </c>
      <c r="FK20" s="176" t="str">
        <f>Schedule!FQ22</f>
        <v>0</v>
      </c>
      <c r="FL20" s="176" t="str">
        <f>Schedule!FR22</f>
        <v>0</v>
      </c>
      <c r="FM20" s="176" t="str">
        <f>Schedule!FS22</f>
        <v>0</v>
      </c>
      <c r="FN20" s="176" t="str">
        <f>Schedule!FT22</f>
        <v>0</v>
      </c>
      <c r="FO20" s="176" t="str">
        <f>Schedule!FU22</f>
        <v>0</v>
      </c>
      <c r="FP20" s="176" t="str">
        <f>Schedule!FV22</f>
        <v>0</v>
      </c>
      <c r="FQ20" s="178"/>
      <c r="FR20" s="176" t="str">
        <f>Schedule!FW22</f>
        <v>0</v>
      </c>
      <c r="FS20" s="176" t="str">
        <f>Schedule!FX22</f>
        <v>0</v>
      </c>
      <c r="FT20" s="176" t="str">
        <f>Schedule!FY22</f>
        <v>0</v>
      </c>
      <c r="FU20" s="176" t="str">
        <f>Schedule!FZ22</f>
        <v>0</v>
      </c>
      <c r="FV20" s="176" t="str">
        <f>Schedule!GA22</f>
        <v>0</v>
      </c>
      <c r="FW20" s="176" t="str">
        <f>Schedule!GB22</f>
        <v>0</v>
      </c>
      <c r="FX20" s="176" t="str">
        <f>Schedule!GC22</f>
        <v>0</v>
      </c>
      <c r="FY20" s="176" t="str">
        <f>Schedule!GD22</f>
        <v>0</v>
      </c>
      <c r="FZ20" s="176" t="str">
        <f>Schedule!GE22</f>
        <v>0</v>
      </c>
      <c r="GA20" s="178"/>
      <c r="GB20" s="176" t="str">
        <f>Schedule!GF22</f>
        <v>0</v>
      </c>
      <c r="GC20" s="176" t="str">
        <f>Schedule!GG22</f>
        <v>0</v>
      </c>
      <c r="GD20" s="176" t="str">
        <f>Schedule!GH22</f>
        <v>0</v>
      </c>
      <c r="GE20" s="176" t="str">
        <f>Schedule!GI22</f>
        <v>0</v>
      </c>
      <c r="GF20" s="176" t="str">
        <f>Schedule!GJ22</f>
        <v>0</v>
      </c>
      <c r="GG20" s="176" t="str">
        <f>Schedule!GK22</f>
        <v>0</v>
      </c>
      <c r="GH20" s="176" t="str">
        <f>Schedule!GL22</f>
        <v>0</v>
      </c>
      <c r="GI20" s="176" t="str">
        <f>Schedule!GM22</f>
        <v>0</v>
      </c>
      <c r="GJ20" s="176" t="str">
        <f>Schedule!GN22</f>
        <v>0</v>
      </c>
      <c r="GK20" s="178"/>
      <c r="GL20" s="176" t="str">
        <f>Schedule!GO22</f>
        <v>0</v>
      </c>
      <c r="GM20" s="176" t="str">
        <f>Schedule!GP22</f>
        <v>0</v>
      </c>
      <c r="GN20" s="176" t="str">
        <f>Schedule!GQ22</f>
        <v>0</v>
      </c>
      <c r="GO20" s="176" t="str">
        <f>Schedule!GR22</f>
        <v>0</v>
      </c>
      <c r="GP20" s="176" t="str">
        <f>Schedule!GS22</f>
        <v>0</v>
      </c>
      <c r="GQ20" s="176" t="str">
        <f>Schedule!GT22</f>
        <v>0</v>
      </c>
      <c r="GR20" s="176" t="str">
        <f>Schedule!GU22</f>
        <v>0</v>
      </c>
      <c r="GS20" s="176" t="str">
        <f>Schedule!GV22</f>
        <v>0</v>
      </c>
      <c r="GT20" s="176" t="str">
        <f>Schedule!GW22</f>
        <v>0</v>
      </c>
      <c r="GW20" s="227"/>
    </row>
    <row r="21" spans="2:205" ht="15.75" hidden="1" customHeight="1">
      <c r="B21" s="269"/>
      <c r="C21" s="159">
        <f>Schedule!C23</f>
        <v>0</v>
      </c>
      <c r="D21" s="176" t="str">
        <f>Schedule!Z23</f>
        <v>0</v>
      </c>
      <c r="E21" s="176" t="str">
        <f>Schedule!AA23</f>
        <v>0</v>
      </c>
      <c r="F21" s="176" t="str">
        <f>Schedule!AB23</f>
        <v>0</v>
      </c>
      <c r="G21" s="176" t="str">
        <f>Schedule!AC23</f>
        <v>0</v>
      </c>
      <c r="H21" s="176" t="str">
        <f>Schedule!AD23</f>
        <v>0</v>
      </c>
      <c r="I21" s="176" t="str">
        <f>Schedule!AE23</f>
        <v>0</v>
      </c>
      <c r="J21" s="176" t="str">
        <f>Schedule!AF23</f>
        <v>0</v>
      </c>
      <c r="K21" s="181" t="str">
        <f>Schedule!AG23</f>
        <v>0</v>
      </c>
      <c r="L21" s="181" t="str">
        <f>Schedule!AH23</f>
        <v>0</v>
      </c>
      <c r="M21" s="178"/>
      <c r="N21" s="183" t="str">
        <f>Schedule!AI23</f>
        <v>0</v>
      </c>
      <c r="O21" s="176" t="str">
        <f>Schedule!AJ23</f>
        <v>0</v>
      </c>
      <c r="P21" s="176" t="str">
        <f>Schedule!AK23</f>
        <v>0</v>
      </c>
      <c r="Q21" s="176" t="str">
        <f>Schedule!AL23</f>
        <v>0</v>
      </c>
      <c r="R21" s="176" t="str">
        <f>Schedule!AM23</f>
        <v>0</v>
      </c>
      <c r="S21" s="176" t="str">
        <f>Schedule!AN23</f>
        <v>0</v>
      </c>
      <c r="T21" s="176" t="str">
        <f>Schedule!AO23</f>
        <v>0</v>
      </c>
      <c r="U21" s="176" t="str">
        <f>Schedule!AP23</f>
        <v>0</v>
      </c>
      <c r="V21" s="176" t="str">
        <f>Schedule!AQ23</f>
        <v>0</v>
      </c>
      <c r="W21" s="178"/>
      <c r="X21" s="176" t="str">
        <f>Schedule!AR23</f>
        <v>0</v>
      </c>
      <c r="Y21" s="176" t="str">
        <f>Schedule!AS23</f>
        <v>0</v>
      </c>
      <c r="Z21" s="176" t="str">
        <f>Schedule!AT23</f>
        <v>0</v>
      </c>
      <c r="AA21" s="176" t="str">
        <f>Schedule!AU23</f>
        <v>0</v>
      </c>
      <c r="AB21" s="176" t="str">
        <f>Schedule!AV23</f>
        <v>0</v>
      </c>
      <c r="AC21" s="176" t="str">
        <f>Schedule!AW23</f>
        <v>0</v>
      </c>
      <c r="AD21" s="176" t="str">
        <f>Schedule!AX23</f>
        <v>0</v>
      </c>
      <c r="AE21" s="176" t="str">
        <f>Schedule!AY23</f>
        <v>0</v>
      </c>
      <c r="AF21" s="176" t="str">
        <f>Schedule!AZ23</f>
        <v>0</v>
      </c>
      <c r="AG21" s="178"/>
      <c r="AH21" s="176" t="str">
        <f>Schedule!BA23</f>
        <v>0</v>
      </c>
      <c r="AI21" s="176" t="str">
        <f>Schedule!BB23</f>
        <v>0</v>
      </c>
      <c r="AJ21" s="176" t="str">
        <f>Schedule!BC23</f>
        <v>0</v>
      </c>
      <c r="AK21" s="176" t="str">
        <f>Schedule!BD23</f>
        <v>0</v>
      </c>
      <c r="AL21" s="176" t="str">
        <f>Schedule!BE23</f>
        <v>0</v>
      </c>
      <c r="AM21" s="176" t="str">
        <f>Schedule!BF23</f>
        <v>0</v>
      </c>
      <c r="AN21" s="176" t="str">
        <f>Schedule!BG23</f>
        <v>0</v>
      </c>
      <c r="AO21" s="176" t="str">
        <f>Schedule!BH23</f>
        <v>0</v>
      </c>
      <c r="AP21" s="176" t="str">
        <f>Schedule!BI23</f>
        <v>0</v>
      </c>
      <c r="AQ21" s="178"/>
      <c r="AR21" s="176" t="str">
        <f>Schedule!BJ23</f>
        <v>0</v>
      </c>
      <c r="AS21" s="176" t="str">
        <f>Schedule!BK23</f>
        <v>0</v>
      </c>
      <c r="AT21" s="176" t="str">
        <f>Schedule!BL23</f>
        <v>0</v>
      </c>
      <c r="AU21" s="176" t="str">
        <f>Schedule!BM23</f>
        <v>0</v>
      </c>
      <c r="AV21" s="176" t="str">
        <f>Schedule!BN23</f>
        <v>0</v>
      </c>
      <c r="AW21" s="176" t="str">
        <f>Schedule!BO23</f>
        <v>0</v>
      </c>
      <c r="AX21" s="176" t="str">
        <f>Schedule!BP23</f>
        <v>0</v>
      </c>
      <c r="AY21" s="176" t="str">
        <f>Schedule!BQ23</f>
        <v>0</v>
      </c>
      <c r="AZ21" s="176" t="str">
        <f>Schedule!BR23</f>
        <v>0</v>
      </c>
      <c r="BA21" s="178"/>
      <c r="BB21" s="176" t="str">
        <f>Schedule!BS23</f>
        <v>0</v>
      </c>
      <c r="BC21" s="176" t="str">
        <f>Schedule!BT23</f>
        <v>0</v>
      </c>
      <c r="BD21" s="176" t="str">
        <f>Schedule!BU23</f>
        <v>0</v>
      </c>
      <c r="BE21" s="176" t="str">
        <f>Schedule!BV23</f>
        <v>0</v>
      </c>
      <c r="BF21" s="176" t="str">
        <f>Schedule!BW23</f>
        <v>0</v>
      </c>
      <c r="BG21" s="176" t="str">
        <f>Schedule!BX23</f>
        <v>0</v>
      </c>
      <c r="BH21" s="176" t="str">
        <f>Schedule!BY23</f>
        <v>0</v>
      </c>
      <c r="BI21" s="176" t="str">
        <f>Schedule!BZ23</f>
        <v>0</v>
      </c>
      <c r="BJ21" s="176" t="str">
        <f>Schedule!CA23</f>
        <v>0</v>
      </c>
      <c r="BK21" s="178"/>
      <c r="BL21" s="176" t="str">
        <f>Schedule!CB23</f>
        <v>0</v>
      </c>
      <c r="BM21" s="176" t="str">
        <f>Schedule!CC23</f>
        <v>0</v>
      </c>
      <c r="BN21" s="176" t="str">
        <f>Schedule!CD23</f>
        <v>0</v>
      </c>
      <c r="BO21" s="176" t="str">
        <f>Schedule!CE23</f>
        <v>0</v>
      </c>
      <c r="BP21" s="176" t="str">
        <f>Schedule!CF23</f>
        <v>0</v>
      </c>
      <c r="BQ21" s="176" t="str">
        <f>Schedule!CG23</f>
        <v>0</v>
      </c>
      <c r="BR21" s="176" t="str">
        <f>Schedule!CH23</f>
        <v>0</v>
      </c>
      <c r="BS21" s="176" t="str">
        <f>Schedule!CI23</f>
        <v>0</v>
      </c>
      <c r="BT21" s="176" t="str">
        <f>Schedule!CJ23</f>
        <v>0</v>
      </c>
      <c r="BU21" s="178"/>
      <c r="BV21" s="176" t="str">
        <f>Schedule!CK23</f>
        <v>0</v>
      </c>
      <c r="BW21" s="176" t="str">
        <f>Schedule!CL23</f>
        <v>0</v>
      </c>
      <c r="BX21" s="176" t="str">
        <f>Schedule!CM23</f>
        <v>0</v>
      </c>
      <c r="BY21" s="176" t="str">
        <f>Schedule!CN23</f>
        <v>0</v>
      </c>
      <c r="BZ21" s="176" t="str">
        <f>Schedule!CO23</f>
        <v>0</v>
      </c>
      <c r="CA21" s="176" t="str">
        <f>Schedule!CP23</f>
        <v>0</v>
      </c>
      <c r="CB21" s="176" t="str">
        <f>Schedule!CQ23</f>
        <v>0</v>
      </c>
      <c r="CC21" s="176" t="str">
        <f>Schedule!CR23</f>
        <v>0</v>
      </c>
      <c r="CD21" s="176" t="str">
        <f>Schedule!CS23</f>
        <v>0</v>
      </c>
      <c r="CE21" s="178"/>
      <c r="CF21" s="176" t="str">
        <f>Schedule!CT23</f>
        <v>0</v>
      </c>
      <c r="CG21" s="176" t="str">
        <f>Schedule!CU23</f>
        <v>0</v>
      </c>
      <c r="CH21" s="176" t="str">
        <f>Schedule!CV23</f>
        <v>0</v>
      </c>
      <c r="CI21" s="176" t="str">
        <f>Schedule!CW23</f>
        <v>0</v>
      </c>
      <c r="CJ21" s="176" t="str">
        <f>Schedule!CX23</f>
        <v>0</v>
      </c>
      <c r="CK21" s="176" t="str">
        <f>Schedule!CY23</f>
        <v>0</v>
      </c>
      <c r="CL21" s="176" t="str">
        <f>Schedule!CZ23</f>
        <v>0</v>
      </c>
      <c r="CM21" s="176" t="str">
        <f>Schedule!DA23</f>
        <v>0</v>
      </c>
      <c r="CN21" s="176" t="str">
        <f>Schedule!DB23</f>
        <v>0</v>
      </c>
      <c r="CO21" s="178"/>
      <c r="CP21" s="176" t="str">
        <f>Schedule!DC23</f>
        <v>0</v>
      </c>
      <c r="CQ21" s="176" t="str">
        <f>Schedule!DD23</f>
        <v>0</v>
      </c>
      <c r="CR21" s="176" t="str">
        <f>Schedule!DE23</f>
        <v>0</v>
      </c>
      <c r="CS21" s="176" t="str">
        <f>Schedule!DF23</f>
        <v>0</v>
      </c>
      <c r="CT21" s="176" t="str">
        <f>Schedule!DG23</f>
        <v>0</v>
      </c>
      <c r="CU21" s="176" t="str">
        <f>Schedule!DH23</f>
        <v>0</v>
      </c>
      <c r="CV21" s="176" t="str">
        <f>Schedule!DI23</f>
        <v>0</v>
      </c>
      <c r="CW21" s="176" t="str">
        <f>Schedule!DJ23</f>
        <v>0</v>
      </c>
      <c r="CX21" s="176" t="str">
        <f>Schedule!DK23</f>
        <v>0</v>
      </c>
      <c r="CY21" s="178"/>
      <c r="CZ21" s="176" t="str">
        <f>Schedule!DL23</f>
        <v>0</v>
      </c>
      <c r="DA21" s="176" t="str">
        <f>Schedule!DM23</f>
        <v>0</v>
      </c>
      <c r="DB21" s="176" t="str">
        <f>Schedule!DN23</f>
        <v>0</v>
      </c>
      <c r="DC21" s="176" t="str">
        <f>Schedule!DO23</f>
        <v>0</v>
      </c>
      <c r="DD21" s="176" t="str">
        <f>Schedule!DP23</f>
        <v>0</v>
      </c>
      <c r="DE21" s="176" t="str">
        <f>Schedule!DQ23</f>
        <v>0</v>
      </c>
      <c r="DF21" s="176" t="str">
        <f>Schedule!DR23</f>
        <v>0</v>
      </c>
      <c r="DG21" s="176" t="str">
        <f>Schedule!DS23</f>
        <v>0</v>
      </c>
      <c r="DH21" s="176" t="str">
        <f>Schedule!DT23</f>
        <v>0</v>
      </c>
      <c r="DI21" s="178"/>
      <c r="DJ21" s="176" t="str">
        <f>Schedule!DU23</f>
        <v>0</v>
      </c>
      <c r="DK21" s="176" t="str">
        <f>Schedule!DV23</f>
        <v>0</v>
      </c>
      <c r="DL21" s="176" t="str">
        <f>Schedule!DW23</f>
        <v>0</v>
      </c>
      <c r="DM21" s="176" t="str">
        <f>Schedule!DX23</f>
        <v>0</v>
      </c>
      <c r="DN21" s="176" t="str">
        <f>Schedule!DY23</f>
        <v>0</v>
      </c>
      <c r="DO21" s="176" t="str">
        <f>Schedule!DZ23</f>
        <v>0</v>
      </c>
      <c r="DP21" s="176" t="str">
        <f>Schedule!EA23</f>
        <v>0</v>
      </c>
      <c r="DQ21" s="176" t="str">
        <f>Schedule!EB23</f>
        <v>0</v>
      </c>
      <c r="DR21" s="176" t="str">
        <f>Schedule!EC23</f>
        <v>0</v>
      </c>
      <c r="DS21" s="178"/>
      <c r="DT21" s="176" t="str">
        <f>Schedule!ED23</f>
        <v>0</v>
      </c>
      <c r="DU21" s="176" t="str">
        <f>Schedule!EE23</f>
        <v>0</v>
      </c>
      <c r="DV21" s="176" t="str">
        <f>Schedule!EF23</f>
        <v>0</v>
      </c>
      <c r="DW21" s="176" t="str">
        <f>Schedule!EG23</f>
        <v>0</v>
      </c>
      <c r="DX21" s="176" t="str">
        <f>Schedule!EH23</f>
        <v>0</v>
      </c>
      <c r="DY21" s="176" t="str">
        <f>Schedule!EI23</f>
        <v>0</v>
      </c>
      <c r="DZ21" s="176" t="str">
        <f>Schedule!EJ23</f>
        <v>0</v>
      </c>
      <c r="EA21" s="176" t="str">
        <f>Schedule!EK23</f>
        <v>0</v>
      </c>
      <c r="EB21" s="176" t="str">
        <f>Schedule!EL23</f>
        <v>0</v>
      </c>
      <c r="EC21" s="178"/>
      <c r="ED21" s="176" t="str">
        <f>Schedule!EM23</f>
        <v>0</v>
      </c>
      <c r="EE21" s="176" t="str">
        <f>Schedule!EN23</f>
        <v>0</v>
      </c>
      <c r="EF21" s="176" t="str">
        <f>Schedule!EO23</f>
        <v>0</v>
      </c>
      <c r="EG21" s="176" t="str">
        <f>Schedule!EP23</f>
        <v>0</v>
      </c>
      <c r="EH21" s="176" t="str">
        <f>Schedule!EQ23</f>
        <v>0</v>
      </c>
      <c r="EI21" s="176" t="str">
        <f>Schedule!ER23</f>
        <v>0</v>
      </c>
      <c r="EJ21" s="176" t="str">
        <f>Schedule!ES23</f>
        <v>0</v>
      </c>
      <c r="EK21" s="176" t="str">
        <f>Schedule!ET23</f>
        <v>0</v>
      </c>
      <c r="EL21" s="176" t="str">
        <f>Schedule!EU23</f>
        <v>0</v>
      </c>
      <c r="EM21" s="178"/>
      <c r="EN21" s="176" t="str">
        <f>Schedule!EV23</f>
        <v>0</v>
      </c>
      <c r="EO21" s="176" t="str">
        <f>Schedule!EW23</f>
        <v>0</v>
      </c>
      <c r="EP21" s="176" t="str">
        <f>Schedule!EX23</f>
        <v>0</v>
      </c>
      <c r="EQ21" s="176" t="str">
        <f>Schedule!EY23</f>
        <v>0</v>
      </c>
      <c r="ER21" s="176" t="str">
        <f>Schedule!EZ23</f>
        <v>0</v>
      </c>
      <c r="ES21" s="176" t="str">
        <f>Schedule!FA23</f>
        <v>0</v>
      </c>
      <c r="ET21" s="176" t="str">
        <f>Schedule!FB23</f>
        <v>0</v>
      </c>
      <c r="EU21" s="176" t="str">
        <f>Schedule!FC23</f>
        <v>0</v>
      </c>
      <c r="EV21" s="176" t="str">
        <f>Schedule!FD23</f>
        <v>0</v>
      </c>
      <c r="EW21" s="178"/>
      <c r="EX21" s="176" t="str">
        <f>Schedule!FE23</f>
        <v>0</v>
      </c>
      <c r="EY21" s="176" t="str">
        <f>Schedule!FF23</f>
        <v>0</v>
      </c>
      <c r="EZ21" s="176" t="str">
        <f>Schedule!FG23</f>
        <v>0</v>
      </c>
      <c r="FA21" s="176" t="str">
        <f>Schedule!FH23</f>
        <v>0</v>
      </c>
      <c r="FB21" s="176" t="str">
        <f>Schedule!FI23</f>
        <v>0</v>
      </c>
      <c r="FC21" s="176" t="str">
        <f>Schedule!FJ23</f>
        <v>0</v>
      </c>
      <c r="FD21" s="176" t="str">
        <f>Schedule!FK23</f>
        <v>0</v>
      </c>
      <c r="FE21" s="176" t="str">
        <f>Schedule!FL23</f>
        <v>0</v>
      </c>
      <c r="FF21" s="176" t="str">
        <f>Schedule!FM23</f>
        <v>0</v>
      </c>
      <c r="FG21" s="178"/>
      <c r="FH21" s="176" t="str">
        <f>Schedule!FN23</f>
        <v>0</v>
      </c>
      <c r="FI21" s="176" t="str">
        <f>Schedule!FO23</f>
        <v>0</v>
      </c>
      <c r="FJ21" s="176" t="str">
        <f>Schedule!FP23</f>
        <v>0</v>
      </c>
      <c r="FK21" s="176" t="str">
        <f>Schedule!FQ23</f>
        <v>0</v>
      </c>
      <c r="FL21" s="176" t="str">
        <f>Schedule!FR23</f>
        <v>0</v>
      </c>
      <c r="FM21" s="176" t="str">
        <f>Schedule!FS23</f>
        <v>0</v>
      </c>
      <c r="FN21" s="176" t="str">
        <f>Schedule!FT23</f>
        <v>0</v>
      </c>
      <c r="FO21" s="176" t="str">
        <f>Schedule!FU23</f>
        <v>0</v>
      </c>
      <c r="FP21" s="176" t="str">
        <f>Schedule!FV23</f>
        <v>0</v>
      </c>
      <c r="FQ21" s="178"/>
      <c r="FR21" s="176" t="str">
        <f>Schedule!FW23</f>
        <v>0</v>
      </c>
      <c r="FS21" s="176" t="str">
        <f>Schedule!FX23</f>
        <v>0</v>
      </c>
      <c r="FT21" s="176" t="str">
        <f>Schedule!FY23</f>
        <v>0</v>
      </c>
      <c r="FU21" s="176" t="str">
        <f>Schedule!FZ23</f>
        <v>0</v>
      </c>
      <c r="FV21" s="176" t="str">
        <f>Schedule!GA23</f>
        <v>0</v>
      </c>
      <c r="FW21" s="176" t="str">
        <f>Schedule!GB23</f>
        <v>0</v>
      </c>
      <c r="FX21" s="176" t="str">
        <f>Schedule!GC23</f>
        <v>0</v>
      </c>
      <c r="FY21" s="176" t="str">
        <f>Schedule!GD23</f>
        <v>0</v>
      </c>
      <c r="FZ21" s="176" t="str">
        <f>Schedule!GE23</f>
        <v>0</v>
      </c>
      <c r="GA21" s="178"/>
      <c r="GB21" s="176" t="str">
        <f>Schedule!GF23</f>
        <v>0</v>
      </c>
      <c r="GC21" s="176" t="str">
        <f>Schedule!GG23</f>
        <v>0</v>
      </c>
      <c r="GD21" s="176" t="str">
        <f>Schedule!GH23</f>
        <v>0</v>
      </c>
      <c r="GE21" s="176" t="str">
        <f>Schedule!GI23</f>
        <v>0</v>
      </c>
      <c r="GF21" s="176" t="str">
        <f>Schedule!GJ23</f>
        <v>0</v>
      </c>
      <c r="GG21" s="176" t="str">
        <f>Schedule!GK23</f>
        <v>0</v>
      </c>
      <c r="GH21" s="176" t="str">
        <f>Schedule!GL23</f>
        <v>0</v>
      </c>
      <c r="GI21" s="176" t="str">
        <f>Schedule!GM23</f>
        <v>0</v>
      </c>
      <c r="GJ21" s="176" t="str">
        <f>Schedule!GN23</f>
        <v>0</v>
      </c>
      <c r="GK21" s="178"/>
      <c r="GL21" s="176" t="str">
        <f>Schedule!GO23</f>
        <v>0</v>
      </c>
      <c r="GM21" s="176" t="str">
        <f>Schedule!GP23</f>
        <v>0</v>
      </c>
      <c r="GN21" s="176" t="str">
        <f>Schedule!GQ23</f>
        <v>0</v>
      </c>
      <c r="GO21" s="176" t="str">
        <f>Schedule!GR23</f>
        <v>0</v>
      </c>
      <c r="GP21" s="176" t="str">
        <f>Schedule!GS23</f>
        <v>0</v>
      </c>
      <c r="GQ21" s="176" t="str">
        <f>Schedule!GT23</f>
        <v>0</v>
      </c>
      <c r="GR21" s="176" t="str">
        <f>Schedule!GU23</f>
        <v>0</v>
      </c>
      <c r="GS21" s="176" t="str">
        <f>Schedule!GV23</f>
        <v>0</v>
      </c>
      <c r="GT21" s="176" t="str">
        <f>Schedule!GW23</f>
        <v>0</v>
      </c>
      <c r="GW21" s="227"/>
    </row>
    <row r="22" spans="2:205" ht="15.75" hidden="1" customHeight="1">
      <c r="B22" s="269"/>
      <c r="C22" s="159">
        <f>Schedule!C24</f>
        <v>0</v>
      </c>
      <c r="D22" s="176" t="str">
        <f>Schedule!Z24</f>
        <v>0</v>
      </c>
      <c r="E22" s="176" t="str">
        <f>Schedule!AA24</f>
        <v>0</v>
      </c>
      <c r="F22" s="176" t="str">
        <f>Schedule!AB24</f>
        <v>0</v>
      </c>
      <c r="G22" s="176" t="str">
        <f>Schedule!AC24</f>
        <v>0</v>
      </c>
      <c r="H22" s="176" t="str">
        <f>Schedule!AD24</f>
        <v>0</v>
      </c>
      <c r="I22" s="176" t="str">
        <f>Schedule!AE24</f>
        <v>0</v>
      </c>
      <c r="J22" s="176" t="str">
        <f>Schedule!AF24</f>
        <v>0</v>
      </c>
      <c r="K22" s="181" t="str">
        <f>Schedule!AG24</f>
        <v>0</v>
      </c>
      <c r="L22" s="181" t="str">
        <f>Schedule!AH24</f>
        <v>0</v>
      </c>
      <c r="M22" s="178"/>
      <c r="N22" s="183" t="str">
        <f>Schedule!AI24</f>
        <v>0</v>
      </c>
      <c r="O22" s="176" t="str">
        <f>Schedule!AJ24</f>
        <v>0</v>
      </c>
      <c r="P22" s="176" t="str">
        <f>Schedule!AK24</f>
        <v>0</v>
      </c>
      <c r="Q22" s="176" t="str">
        <f>Schedule!AL24</f>
        <v>0</v>
      </c>
      <c r="R22" s="176" t="str">
        <f>Schedule!AM24</f>
        <v>0</v>
      </c>
      <c r="S22" s="176" t="str">
        <f>Schedule!AN24</f>
        <v>0</v>
      </c>
      <c r="T22" s="176" t="str">
        <f>Schedule!AO24</f>
        <v>0</v>
      </c>
      <c r="U22" s="176" t="str">
        <f>Schedule!AP24</f>
        <v>0</v>
      </c>
      <c r="V22" s="176" t="str">
        <f>Schedule!AQ24</f>
        <v>0</v>
      </c>
      <c r="W22" s="178"/>
      <c r="X22" s="176" t="str">
        <f>Schedule!AR24</f>
        <v>0</v>
      </c>
      <c r="Y22" s="176" t="str">
        <f>Schedule!AS24</f>
        <v>0</v>
      </c>
      <c r="Z22" s="176" t="str">
        <f>Schedule!AT24</f>
        <v>0</v>
      </c>
      <c r="AA22" s="176" t="str">
        <f>Schedule!AU24</f>
        <v>0</v>
      </c>
      <c r="AB22" s="176" t="str">
        <f>Schedule!AV24</f>
        <v>0</v>
      </c>
      <c r="AC22" s="176" t="str">
        <f>Schedule!AW24</f>
        <v>0</v>
      </c>
      <c r="AD22" s="176" t="str">
        <f>Schedule!AX24</f>
        <v>0</v>
      </c>
      <c r="AE22" s="176" t="str">
        <f>Schedule!AY24</f>
        <v>0</v>
      </c>
      <c r="AF22" s="176" t="str">
        <f>Schedule!AZ24</f>
        <v>0</v>
      </c>
      <c r="AG22" s="178"/>
      <c r="AH22" s="176" t="str">
        <f>Schedule!BA24</f>
        <v>0</v>
      </c>
      <c r="AI22" s="176" t="str">
        <f>Schedule!BB24</f>
        <v>0</v>
      </c>
      <c r="AJ22" s="176" t="str">
        <f>Schedule!BC24</f>
        <v>0</v>
      </c>
      <c r="AK22" s="176" t="str">
        <f>Schedule!BD24</f>
        <v>0</v>
      </c>
      <c r="AL22" s="176" t="str">
        <f>Schedule!BE24</f>
        <v>0</v>
      </c>
      <c r="AM22" s="176" t="str">
        <f>Schedule!BF24</f>
        <v>0</v>
      </c>
      <c r="AN22" s="176" t="str">
        <f>Schedule!BG24</f>
        <v>0</v>
      </c>
      <c r="AO22" s="176" t="str">
        <f>Schedule!BH24</f>
        <v>0</v>
      </c>
      <c r="AP22" s="176" t="str">
        <f>Schedule!BI24</f>
        <v>0</v>
      </c>
      <c r="AQ22" s="178"/>
      <c r="AR22" s="176" t="str">
        <f>Schedule!BJ24</f>
        <v>0</v>
      </c>
      <c r="AS22" s="176" t="str">
        <f>Schedule!BK24</f>
        <v>0</v>
      </c>
      <c r="AT22" s="176" t="str">
        <f>Schedule!BL24</f>
        <v>0</v>
      </c>
      <c r="AU22" s="176" t="str">
        <f>Schedule!BM24</f>
        <v>0</v>
      </c>
      <c r="AV22" s="176" t="str">
        <f>Schedule!BN24</f>
        <v>0</v>
      </c>
      <c r="AW22" s="176" t="str">
        <f>Schedule!BO24</f>
        <v>0</v>
      </c>
      <c r="AX22" s="176" t="str">
        <f>Schedule!BP24</f>
        <v>0</v>
      </c>
      <c r="AY22" s="176" t="str">
        <f>Schedule!BQ24</f>
        <v>0</v>
      </c>
      <c r="AZ22" s="176" t="str">
        <f>Schedule!BR24</f>
        <v>0</v>
      </c>
      <c r="BA22" s="178"/>
      <c r="BB22" s="176" t="str">
        <f>Schedule!BS24</f>
        <v>0</v>
      </c>
      <c r="BC22" s="176" t="str">
        <f>Schedule!BT24</f>
        <v>0</v>
      </c>
      <c r="BD22" s="176" t="str">
        <f>Schedule!BU24</f>
        <v>0</v>
      </c>
      <c r="BE22" s="176" t="str">
        <f>Schedule!BV24</f>
        <v>0</v>
      </c>
      <c r="BF22" s="176" t="str">
        <f>Schedule!BW24</f>
        <v>0</v>
      </c>
      <c r="BG22" s="176" t="str">
        <f>Schedule!BX24</f>
        <v>0</v>
      </c>
      <c r="BH22" s="176" t="str">
        <f>Schedule!BY24</f>
        <v>0</v>
      </c>
      <c r="BI22" s="176" t="str">
        <f>Schedule!BZ24</f>
        <v>0</v>
      </c>
      <c r="BJ22" s="176" t="str">
        <f>Schedule!CA24</f>
        <v>0</v>
      </c>
      <c r="BK22" s="178"/>
      <c r="BL22" s="176" t="str">
        <f>Schedule!CB24</f>
        <v>0</v>
      </c>
      <c r="BM22" s="176" t="str">
        <f>Schedule!CC24</f>
        <v>0</v>
      </c>
      <c r="BN22" s="176" t="str">
        <f>Schedule!CD24</f>
        <v>0</v>
      </c>
      <c r="BO22" s="176" t="str">
        <f>Schedule!CE24</f>
        <v>0</v>
      </c>
      <c r="BP22" s="176" t="str">
        <f>Schedule!CF24</f>
        <v>0</v>
      </c>
      <c r="BQ22" s="176" t="str">
        <f>Schedule!CG24</f>
        <v>0</v>
      </c>
      <c r="BR22" s="176" t="str">
        <f>Schedule!CH24</f>
        <v>0</v>
      </c>
      <c r="BS22" s="176" t="str">
        <f>Schedule!CI24</f>
        <v>0</v>
      </c>
      <c r="BT22" s="176" t="str">
        <f>Schedule!CJ24</f>
        <v>0</v>
      </c>
      <c r="BU22" s="178"/>
      <c r="BV22" s="176" t="str">
        <f>Schedule!CK24</f>
        <v>0</v>
      </c>
      <c r="BW22" s="176" t="str">
        <f>Schedule!CL24</f>
        <v>0</v>
      </c>
      <c r="BX22" s="176" t="str">
        <f>Schedule!CM24</f>
        <v>0</v>
      </c>
      <c r="BY22" s="176" t="str">
        <f>Schedule!CN24</f>
        <v>0</v>
      </c>
      <c r="BZ22" s="176" t="str">
        <f>Schedule!CO24</f>
        <v>0</v>
      </c>
      <c r="CA22" s="176" t="str">
        <f>Schedule!CP24</f>
        <v>0</v>
      </c>
      <c r="CB22" s="176" t="str">
        <f>Schedule!CQ24</f>
        <v>0</v>
      </c>
      <c r="CC22" s="176" t="str">
        <f>Schedule!CR24</f>
        <v>0</v>
      </c>
      <c r="CD22" s="176" t="str">
        <f>Schedule!CS24</f>
        <v>0</v>
      </c>
      <c r="CE22" s="178"/>
      <c r="CF22" s="176" t="str">
        <f>Schedule!CT24</f>
        <v>0</v>
      </c>
      <c r="CG22" s="176" t="str">
        <f>Schedule!CU24</f>
        <v>0</v>
      </c>
      <c r="CH22" s="176" t="str">
        <f>Schedule!CV24</f>
        <v>0</v>
      </c>
      <c r="CI22" s="176" t="str">
        <f>Schedule!CW24</f>
        <v>0</v>
      </c>
      <c r="CJ22" s="176" t="str">
        <f>Schedule!CX24</f>
        <v>0</v>
      </c>
      <c r="CK22" s="176" t="str">
        <f>Schedule!CY24</f>
        <v>0</v>
      </c>
      <c r="CL22" s="176" t="str">
        <f>Schedule!CZ24</f>
        <v>0</v>
      </c>
      <c r="CM22" s="176" t="str">
        <f>Schedule!DA24</f>
        <v>0</v>
      </c>
      <c r="CN22" s="176" t="str">
        <f>Schedule!DB24</f>
        <v>0</v>
      </c>
      <c r="CO22" s="178"/>
      <c r="CP22" s="176" t="str">
        <f>Schedule!DC24</f>
        <v>0</v>
      </c>
      <c r="CQ22" s="176" t="str">
        <f>Schedule!DD24</f>
        <v>0</v>
      </c>
      <c r="CR22" s="176" t="str">
        <f>Schedule!DE24</f>
        <v>0</v>
      </c>
      <c r="CS22" s="176" t="str">
        <f>Schedule!DF24</f>
        <v>0</v>
      </c>
      <c r="CT22" s="176" t="str">
        <f>Schedule!DG24</f>
        <v>0</v>
      </c>
      <c r="CU22" s="176" t="str">
        <f>Schedule!DH24</f>
        <v>0</v>
      </c>
      <c r="CV22" s="176" t="str">
        <f>Schedule!DI24</f>
        <v>0</v>
      </c>
      <c r="CW22" s="176" t="str">
        <f>Schedule!DJ24</f>
        <v>0</v>
      </c>
      <c r="CX22" s="176" t="str">
        <f>Schedule!DK24</f>
        <v>0</v>
      </c>
      <c r="CY22" s="178"/>
      <c r="CZ22" s="176" t="str">
        <f>Schedule!DL24</f>
        <v>0</v>
      </c>
      <c r="DA22" s="176" t="str">
        <f>Schedule!DM24</f>
        <v>0</v>
      </c>
      <c r="DB22" s="176" t="str">
        <f>Schedule!DN24</f>
        <v>0</v>
      </c>
      <c r="DC22" s="176" t="str">
        <f>Schedule!DO24</f>
        <v>0</v>
      </c>
      <c r="DD22" s="176" t="str">
        <f>Schedule!DP24</f>
        <v>0</v>
      </c>
      <c r="DE22" s="176" t="str">
        <f>Schedule!DQ24</f>
        <v>0</v>
      </c>
      <c r="DF22" s="176" t="str">
        <f>Schedule!DR24</f>
        <v>0</v>
      </c>
      <c r="DG22" s="176" t="str">
        <f>Schedule!DS24</f>
        <v>0</v>
      </c>
      <c r="DH22" s="176" t="str">
        <f>Schedule!DT24</f>
        <v>0</v>
      </c>
      <c r="DI22" s="178"/>
      <c r="DJ22" s="176" t="str">
        <f>Schedule!DU24</f>
        <v>0</v>
      </c>
      <c r="DK22" s="176" t="str">
        <f>Schedule!DV24</f>
        <v>0</v>
      </c>
      <c r="DL22" s="176" t="str">
        <f>Schedule!DW24</f>
        <v>0</v>
      </c>
      <c r="DM22" s="176" t="str">
        <f>Schedule!DX24</f>
        <v>0</v>
      </c>
      <c r="DN22" s="176" t="str">
        <f>Schedule!DY24</f>
        <v>0</v>
      </c>
      <c r="DO22" s="176" t="str">
        <f>Schedule!DZ24</f>
        <v>0</v>
      </c>
      <c r="DP22" s="176" t="str">
        <f>Schedule!EA24</f>
        <v>0</v>
      </c>
      <c r="DQ22" s="176" t="str">
        <f>Schedule!EB24</f>
        <v>0</v>
      </c>
      <c r="DR22" s="176" t="str">
        <f>Schedule!EC24</f>
        <v>0</v>
      </c>
      <c r="DS22" s="178"/>
      <c r="DT22" s="176" t="str">
        <f>Schedule!ED24</f>
        <v>0</v>
      </c>
      <c r="DU22" s="176" t="str">
        <f>Schedule!EE24</f>
        <v>0</v>
      </c>
      <c r="DV22" s="176" t="str">
        <f>Schedule!EF24</f>
        <v>0</v>
      </c>
      <c r="DW22" s="176" t="str">
        <f>Schedule!EG24</f>
        <v>0</v>
      </c>
      <c r="DX22" s="176" t="str">
        <f>Schedule!EH24</f>
        <v>0</v>
      </c>
      <c r="DY22" s="176" t="str">
        <f>Schedule!EI24</f>
        <v>0</v>
      </c>
      <c r="DZ22" s="176" t="str">
        <f>Schedule!EJ24</f>
        <v>0</v>
      </c>
      <c r="EA22" s="176" t="str">
        <f>Schedule!EK24</f>
        <v>0</v>
      </c>
      <c r="EB22" s="176" t="str">
        <f>Schedule!EL24</f>
        <v>0</v>
      </c>
      <c r="EC22" s="178"/>
      <c r="ED22" s="176" t="str">
        <f>Schedule!EM24</f>
        <v>0</v>
      </c>
      <c r="EE22" s="176" t="str">
        <f>Schedule!EN24</f>
        <v>0</v>
      </c>
      <c r="EF22" s="176" t="str">
        <f>Schedule!EO24</f>
        <v>0</v>
      </c>
      <c r="EG22" s="176" t="str">
        <f>Schedule!EP24</f>
        <v>0</v>
      </c>
      <c r="EH22" s="176" t="str">
        <f>Schedule!EQ24</f>
        <v>0</v>
      </c>
      <c r="EI22" s="176" t="str">
        <f>Schedule!ER24</f>
        <v>0</v>
      </c>
      <c r="EJ22" s="176" t="str">
        <f>Schedule!ES24</f>
        <v>0</v>
      </c>
      <c r="EK22" s="176" t="str">
        <f>Schedule!ET24</f>
        <v>0</v>
      </c>
      <c r="EL22" s="176" t="str">
        <f>Schedule!EU24</f>
        <v>0</v>
      </c>
      <c r="EM22" s="178"/>
      <c r="EN22" s="176" t="str">
        <f>Schedule!EV24</f>
        <v>0</v>
      </c>
      <c r="EO22" s="176" t="str">
        <f>Schedule!EW24</f>
        <v>0</v>
      </c>
      <c r="EP22" s="176" t="str">
        <f>Schedule!EX24</f>
        <v>0</v>
      </c>
      <c r="EQ22" s="176" t="str">
        <f>Schedule!EY24</f>
        <v>0</v>
      </c>
      <c r="ER22" s="176" t="str">
        <f>Schedule!EZ24</f>
        <v>0</v>
      </c>
      <c r="ES22" s="176" t="str">
        <f>Schedule!FA24</f>
        <v>0</v>
      </c>
      <c r="ET22" s="176" t="str">
        <f>Schedule!FB24</f>
        <v>0</v>
      </c>
      <c r="EU22" s="176" t="str">
        <f>Schedule!FC24</f>
        <v>0</v>
      </c>
      <c r="EV22" s="176" t="str">
        <f>Schedule!FD24</f>
        <v>0</v>
      </c>
      <c r="EW22" s="178"/>
      <c r="EX22" s="176" t="str">
        <f>Schedule!FE24</f>
        <v>0</v>
      </c>
      <c r="EY22" s="176" t="str">
        <f>Schedule!FF24</f>
        <v>0</v>
      </c>
      <c r="EZ22" s="176" t="str">
        <f>Schedule!FG24</f>
        <v>0</v>
      </c>
      <c r="FA22" s="176" t="str">
        <f>Schedule!FH24</f>
        <v>0</v>
      </c>
      <c r="FB22" s="176" t="str">
        <f>Schedule!FI24</f>
        <v>0</v>
      </c>
      <c r="FC22" s="176" t="str">
        <f>Schedule!FJ24</f>
        <v>0</v>
      </c>
      <c r="FD22" s="176" t="str">
        <f>Schedule!FK24</f>
        <v>0</v>
      </c>
      <c r="FE22" s="176" t="str">
        <f>Schedule!FL24</f>
        <v>0</v>
      </c>
      <c r="FF22" s="176" t="str">
        <f>Schedule!FM24</f>
        <v>0</v>
      </c>
      <c r="FG22" s="178"/>
      <c r="FH22" s="176" t="str">
        <f>Schedule!FN24</f>
        <v>0</v>
      </c>
      <c r="FI22" s="176" t="str">
        <f>Schedule!FO24</f>
        <v>0</v>
      </c>
      <c r="FJ22" s="176" t="str">
        <f>Schedule!FP24</f>
        <v>0</v>
      </c>
      <c r="FK22" s="176" t="str">
        <f>Schedule!FQ24</f>
        <v>0</v>
      </c>
      <c r="FL22" s="176" t="str">
        <f>Schedule!FR24</f>
        <v>0</v>
      </c>
      <c r="FM22" s="176" t="str">
        <f>Schedule!FS24</f>
        <v>0</v>
      </c>
      <c r="FN22" s="176" t="str">
        <f>Schedule!FT24</f>
        <v>0</v>
      </c>
      <c r="FO22" s="176" t="str">
        <f>Schedule!FU24</f>
        <v>0</v>
      </c>
      <c r="FP22" s="176" t="str">
        <f>Schedule!FV24</f>
        <v>0</v>
      </c>
      <c r="FQ22" s="178"/>
      <c r="FR22" s="176" t="str">
        <f>Schedule!FW24</f>
        <v>0</v>
      </c>
      <c r="FS22" s="176" t="str">
        <f>Schedule!FX24</f>
        <v>0</v>
      </c>
      <c r="FT22" s="176" t="str">
        <f>Schedule!FY24</f>
        <v>0</v>
      </c>
      <c r="FU22" s="176" t="str">
        <f>Schedule!FZ24</f>
        <v>0</v>
      </c>
      <c r="FV22" s="176" t="str">
        <f>Schedule!GA24</f>
        <v>0</v>
      </c>
      <c r="FW22" s="176" t="str">
        <f>Schedule!GB24</f>
        <v>0</v>
      </c>
      <c r="FX22" s="176" t="str">
        <f>Schedule!GC24</f>
        <v>0</v>
      </c>
      <c r="FY22" s="176" t="str">
        <f>Schedule!GD24</f>
        <v>0</v>
      </c>
      <c r="FZ22" s="176" t="str">
        <f>Schedule!GE24</f>
        <v>0</v>
      </c>
      <c r="GA22" s="178"/>
      <c r="GB22" s="176" t="str">
        <f>Schedule!GF24</f>
        <v>0</v>
      </c>
      <c r="GC22" s="176" t="str">
        <f>Schedule!GG24</f>
        <v>0</v>
      </c>
      <c r="GD22" s="176" t="str">
        <f>Schedule!GH24</f>
        <v>0</v>
      </c>
      <c r="GE22" s="176" t="str">
        <f>Schedule!GI24</f>
        <v>0</v>
      </c>
      <c r="GF22" s="176" t="str">
        <f>Schedule!GJ24</f>
        <v>0</v>
      </c>
      <c r="GG22" s="176" t="str">
        <f>Schedule!GK24</f>
        <v>0</v>
      </c>
      <c r="GH22" s="176" t="str">
        <f>Schedule!GL24</f>
        <v>0</v>
      </c>
      <c r="GI22" s="176" t="str">
        <f>Schedule!GM24</f>
        <v>0</v>
      </c>
      <c r="GJ22" s="176" t="str">
        <f>Schedule!GN24</f>
        <v>0</v>
      </c>
      <c r="GK22" s="178"/>
      <c r="GL22" s="176" t="str">
        <f>Schedule!GO24</f>
        <v>0</v>
      </c>
      <c r="GM22" s="176" t="str">
        <f>Schedule!GP24</f>
        <v>0</v>
      </c>
      <c r="GN22" s="176" t="str">
        <f>Schedule!GQ24</f>
        <v>0</v>
      </c>
      <c r="GO22" s="176" t="str">
        <f>Schedule!GR24</f>
        <v>0</v>
      </c>
      <c r="GP22" s="176" t="str">
        <f>Schedule!GS24</f>
        <v>0</v>
      </c>
      <c r="GQ22" s="176" t="str">
        <f>Schedule!GT24</f>
        <v>0</v>
      </c>
      <c r="GR22" s="176" t="str">
        <f>Schedule!GU24</f>
        <v>0</v>
      </c>
      <c r="GS22" s="176" t="str">
        <f>Schedule!GV24</f>
        <v>0</v>
      </c>
      <c r="GT22" s="176" t="str">
        <f>Schedule!GW24</f>
        <v>0</v>
      </c>
      <c r="GW22" s="227"/>
    </row>
    <row r="23" spans="2:205" ht="15.75" hidden="1" customHeight="1">
      <c r="B23" s="269"/>
      <c r="C23" s="159">
        <f>Schedule!C25</f>
        <v>0</v>
      </c>
      <c r="D23" s="176" t="str">
        <f>Schedule!Z25</f>
        <v>0</v>
      </c>
      <c r="E23" s="176" t="str">
        <f>Schedule!AA25</f>
        <v>0</v>
      </c>
      <c r="F23" s="176" t="str">
        <f>Schedule!AB25</f>
        <v>0</v>
      </c>
      <c r="G23" s="176" t="str">
        <f>Schedule!AC25</f>
        <v>0</v>
      </c>
      <c r="H23" s="176" t="str">
        <f>Schedule!AD25</f>
        <v>0</v>
      </c>
      <c r="I23" s="176" t="str">
        <f>Schedule!AE25</f>
        <v>0</v>
      </c>
      <c r="J23" s="176" t="str">
        <f>Schedule!AF25</f>
        <v>0</v>
      </c>
      <c r="K23" s="181" t="str">
        <f>Schedule!AG25</f>
        <v>0</v>
      </c>
      <c r="L23" s="181" t="str">
        <f>Schedule!AH25</f>
        <v>0</v>
      </c>
      <c r="M23" s="178"/>
      <c r="N23" s="183" t="str">
        <f>Schedule!AI25</f>
        <v>0</v>
      </c>
      <c r="O23" s="176" t="str">
        <f>Schedule!AJ25</f>
        <v>0</v>
      </c>
      <c r="P23" s="176" t="str">
        <f>Schedule!AK25</f>
        <v>0</v>
      </c>
      <c r="Q23" s="176" t="str">
        <f>Schedule!AL25</f>
        <v>0</v>
      </c>
      <c r="R23" s="176" t="str">
        <f>Schedule!AM25</f>
        <v>0</v>
      </c>
      <c r="S23" s="176" t="str">
        <f>Schedule!AN25</f>
        <v>0</v>
      </c>
      <c r="T23" s="176" t="str">
        <f>Schedule!AO25</f>
        <v>0</v>
      </c>
      <c r="U23" s="176" t="str">
        <f>Schedule!AP25</f>
        <v>0</v>
      </c>
      <c r="V23" s="176" t="str">
        <f>Schedule!AQ25</f>
        <v>0</v>
      </c>
      <c r="W23" s="178"/>
      <c r="X23" s="176" t="str">
        <f>Schedule!AR25</f>
        <v>0</v>
      </c>
      <c r="Y23" s="176" t="str">
        <f>Schedule!AS25</f>
        <v>0</v>
      </c>
      <c r="Z23" s="176" t="str">
        <f>Schedule!AT25</f>
        <v>0</v>
      </c>
      <c r="AA23" s="176" t="str">
        <f>Schedule!AU25</f>
        <v>0</v>
      </c>
      <c r="AB23" s="176" t="str">
        <f>Schedule!AV25</f>
        <v>0</v>
      </c>
      <c r="AC23" s="176" t="str">
        <f>Schedule!AW25</f>
        <v>0</v>
      </c>
      <c r="AD23" s="176" t="str">
        <f>Schedule!AX25</f>
        <v>0</v>
      </c>
      <c r="AE23" s="176" t="str">
        <f>Schedule!AY25</f>
        <v>0</v>
      </c>
      <c r="AF23" s="176" t="str">
        <f>Schedule!AZ25</f>
        <v>0</v>
      </c>
      <c r="AG23" s="178"/>
      <c r="AH23" s="176" t="str">
        <f>Schedule!BA25</f>
        <v>0</v>
      </c>
      <c r="AI23" s="176" t="str">
        <f>Schedule!BB25</f>
        <v>0</v>
      </c>
      <c r="AJ23" s="176" t="str">
        <f>Schedule!BC25</f>
        <v>0</v>
      </c>
      <c r="AK23" s="176" t="str">
        <f>Schedule!BD25</f>
        <v>0</v>
      </c>
      <c r="AL23" s="176" t="str">
        <f>Schedule!BE25</f>
        <v>0</v>
      </c>
      <c r="AM23" s="176" t="str">
        <f>Schedule!BF25</f>
        <v>0</v>
      </c>
      <c r="AN23" s="176" t="str">
        <f>Schedule!BG25</f>
        <v>0</v>
      </c>
      <c r="AO23" s="176" t="str">
        <f>Schedule!BH25</f>
        <v>0</v>
      </c>
      <c r="AP23" s="176" t="str">
        <f>Schedule!BI25</f>
        <v>0</v>
      </c>
      <c r="AQ23" s="178"/>
      <c r="AR23" s="176" t="str">
        <f>Schedule!BJ25</f>
        <v>0</v>
      </c>
      <c r="AS23" s="176" t="str">
        <f>Schedule!BK25</f>
        <v>0</v>
      </c>
      <c r="AT23" s="176" t="str">
        <f>Schedule!BL25</f>
        <v>0</v>
      </c>
      <c r="AU23" s="176" t="str">
        <f>Schedule!BM25</f>
        <v>0</v>
      </c>
      <c r="AV23" s="176" t="str">
        <f>Schedule!BN25</f>
        <v>0</v>
      </c>
      <c r="AW23" s="176" t="str">
        <f>Schedule!BO25</f>
        <v>0</v>
      </c>
      <c r="AX23" s="176" t="str">
        <f>Schedule!BP25</f>
        <v>0</v>
      </c>
      <c r="AY23" s="176" t="str">
        <f>Schedule!BQ25</f>
        <v>0</v>
      </c>
      <c r="AZ23" s="176" t="str">
        <f>Schedule!BR25</f>
        <v>0</v>
      </c>
      <c r="BA23" s="178"/>
      <c r="BB23" s="176" t="str">
        <f>Schedule!BS25</f>
        <v>0</v>
      </c>
      <c r="BC23" s="176" t="str">
        <f>Schedule!BT25</f>
        <v>0</v>
      </c>
      <c r="BD23" s="176" t="str">
        <f>Schedule!BU25</f>
        <v>0</v>
      </c>
      <c r="BE23" s="176" t="str">
        <f>Schedule!BV25</f>
        <v>0</v>
      </c>
      <c r="BF23" s="176" t="str">
        <f>Schedule!BW25</f>
        <v>0</v>
      </c>
      <c r="BG23" s="176" t="str">
        <f>Schedule!BX25</f>
        <v>0</v>
      </c>
      <c r="BH23" s="176" t="str">
        <f>Schedule!BY25</f>
        <v>0</v>
      </c>
      <c r="BI23" s="176" t="str">
        <f>Schedule!BZ25</f>
        <v>0</v>
      </c>
      <c r="BJ23" s="176" t="str">
        <f>Schedule!CA25</f>
        <v>0</v>
      </c>
      <c r="BK23" s="178"/>
      <c r="BL23" s="176" t="str">
        <f>Schedule!CB25</f>
        <v>0</v>
      </c>
      <c r="BM23" s="176" t="str">
        <f>Schedule!CC25</f>
        <v>0</v>
      </c>
      <c r="BN23" s="176" t="str">
        <f>Schedule!CD25</f>
        <v>0</v>
      </c>
      <c r="BO23" s="176" t="str">
        <f>Schedule!CE25</f>
        <v>0</v>
      </c>
      <c r="BP23" s="176" t="str">
        <f>Schedule!CF25</f>
        <v>0</v>
      </c>
      <c r="BQ23" s="176" t="str">
        <f>Schedule!CG25</f>
        <v>0</v>
      </c>
      <c r="BR23" s="176" t="str">
        <f>Schedule!CH25</f>
        <v>0</v>
      </c>
      <c r="BS23" s="176" t="str">
        <f>Schedule!CI25</f>
        <v>0</v>
      </c>
      <c r="BT23" s="176" t="str">
        <f>Schedule!CJ25</f>
        <v>0</v>
      </c>
      <c r="BU23" s="178"/>
      <c r="BV23" s="176" t="str">
        <f>Schedule!CK25</f>
        <v>0</v>
      </c>
      <c r="BW23" s="176" t="str">
        <f>Schedule!CL25</f>
        <v>0</v>
      </c>
      <c r="BX23" s="176" t="str">
        <f>Schedule!CM25</f>
        <v>0</v>
      </c>
      <c r="BY23" s="176" t="str">
        <f>Schedule!CN25</f>
        <v>0</v>
      </c>
      <c r="BZ23" s="176" t="str">
        <f>Schedule!CO25</f>
        <v>0</v>
      </c>
      <c r="CA23" s="176" t="str">
        <f>Schedule!CP25</f>
        <v>0</v>
      </c>
      <c r="CB23" s="176" t="str">
        <f>Schedule!CQ25</f>
        <v>0</v>
      </c>
      <c r="CC23" s="176" t="str">
        <f>Schedule!CR25</f>
        <v>0</v>
      </c>
      <c r="CD23" s="176" t="str">
        <f>Schedule!CS25</f>
        <v>0</v>
      </c>
      <c r="CE23" s="178"/>
      <c r="CF23" s="176" t="str">
        <f>Schedule!CT25</f>
        <v>0</v>
      </c>
      <c r="CG23" s="176" t="str">
        <f>Schedule!CU25</f>
        <v>0</v>
      </c>
      <c r="CH23" s="176" t="str">
        <f>Schedule!CV25</f>
        <v>0</v>
      </c>
      <c r="CI23" s="176" t="str">
        <f>Schedule!CW25</f>
        <v>0</v>
      </c>
      <c r="CJ23" s="176" t="str">
        <f>Schedule!CX25</f>
        <v>0</v>
      </c>
      <c r="CK23" s="176" t="str">
        <f>Schedule!CY25</f>
        <v>0</v>
      </c>
      <c r="CL23" s="176" t="str">
        <f>Schedule!CZ25</f>
        <v>0</v>
      </c>
      <c r="CM23" s="176" t="str">
        <f>Schedule!DA25</f>
        <v>0</v>
      </c>
      <c r="CN23" s="176" t="str">
        <f>Schedule!DB25</f>
        <v>0</v>
      </c>
      <c r="CO23" s="178"/>
      <c r="CP23" s="176" t="str">
        <f>Schedule!DC25</f>
        <v>0</v>
      </c>
      <c r="CQ23" s="176" t="str">
        <f>Schedule!DD25</f>
        <v>0</v>
      </c>
      <c r="CR23" s="176" t="str">
        <f>Schedule!DE25</f>
        <v>0</v>
      </c>
      <c r="CS23" s="176" t="str">
        <f>Schedule!DF25</f>
        <v>0</v>
      </c>
      <c r="CT23" s="176" t="str">
        <f>Schedule!DG25</f>
        <v>0</v>
      </c>
      <c r="CU23" s="176" t="str">
        <f>Schedule!DH25</f>
        <v>0</v>
      </c>
      <c r="CV23" s="176" t="str">
        <f>Schedule!DI25</f>
        <v>0</v>
      </c>
      <c r="CW23" s="176" t="str">
        <f>Schedule!DJ25</f>
        <v>0</v>
      </c>
      <c r="CX23" s="176" t="str">
        <f>Schedule!DK25</f>
        <v>0</v>
      </c>
      <c r="CY23" s="178"/>
      <c r="CZ23" s="176" t="str">
        <f>Schedule!DL25</f>
        <v>0</v>
      </c>
      <c r="DA23" s="176" t="str">
        <f>Schedule!DM25</f>
        <v>0</v>
      </c>
      <c r="DB23" s="176" t="str">
        <f>Schedule!DN25</f>
        <v>0</v>
      </c>
      <c r="DC23" s="176" t="str">
        <f>Schedule!DO25</f>
        <v>0</v>
      </c>
      <c r="DD23" s="176" t="str">
        <f>Schedule!DP25</f>
        <v>0</v>
      </c>
      <c r="DE23" s="176" t="str">
        <f>Schedule!DQ25</f>
        <v>0</v>
      </c>
      <c r="DF23" s="176" t="str">
        <f>Schedule!DR25</f>
        <v>0</v>
      </c>
      <c r="DG23" s="176" t="str">
        <f>Schedule!DS25</f>
        <v>0</v>
      </c>
      <c r="DH23" s="176" t="str">
        <f>Schedule!DT25</f>
        <v>0</v>
      </c>
      <c r="DI23" s="178"/>
      <c r="DJ23" s="176" t="str">
        <f>Schedule!DU25</f>
        <v>0</v>
      </c>
      <c r="DK23" s="176" t="str">
        <f>Schedule!DV25</f>
        <v>0</v>
      </c>
      <c r="DL23" s="176" t="str">
        <f>Schedule!DW25</f>
        <v>0</v>
      </c>
      <c r="DM23" s="176" t="str">
        <f>Schedule!DX25</f>
        <v>0</v>
      </c>
      <c r="DN23" s="176" t="str">
        <f>Schedule!DY25</f>
        <v>0</v>
      </c>
      <c r="DO23" s="176" t="str">
        <f>Schedule!DZ25</f>
        <v>0</v>
      </c>
      <c r="DP23" s="176" t="str">
        <f>Schedule!EA25</f>
        <v>0</v>
      </c>
      <c r="DQ23" s="176" t="str">
        <f>Schedule!EB25</f>
        <v>0</v>
      </c>
      <c r="DR23" s="176" t="str">
        <f>Schedule!EC25</f>
        <v>0</v>
      </c>
      <c r="DS23" s="178"/>
      <c r="DT23" s="176" t="str">
        <f>Schedule!ED25</f>
        <v>0</v>
      </c>
      <c r="DU23" s="176" t="str">
        <f>Schedule!EE25</f>
        <v>0</v>
      </c>
      <c r="DV23" s="176" t="str">
        <f>Schedule!EF25</f>
        <v>0</v>
      </c>
      <c r="DW23" s="176" t="str">
        <f>Schedule!EG25</f>
        <v>0</v>
      </c>
      <c r="DX23" s="176" t="str">
        <f>Schedule!EH25</f>
        <v>0</v>
      </c>
      <c r="DY23" s="176" t="str">
        <f>Schedule!EI25</f>
        <v>0</v>
      </c>
      <c r="DZ23" s="176" t="str">
        <f>Schedule!EJ25</f>
        <v>0</v>
      </c>
      <c r="EA23" s="176" t="str">
        <f>Schedule!EK25</f>
        <v>0</v>
      </c>
      <c r="EB23" s="176" t="str">
        <f>Schedule!EL25</f>
        <v>0</v>
      </c>
      <c r="EC23" s="178"/>
      <c r="ED23" s="176" t="str">
        <f>Schedule!EM25</f>
        <v>0</v>
      </c>
      <c r="EE23" s="176" t="str">
        <f>Schedule!EN25</f>
        <v>0</v>
      </c>
      <c r="EF23" s="176" t="str">
        <f>Schedule!EO25</f>
        <v>0</v>
      </c>
      <c r="EG23" s="176" t="str">
        <f>Schedule!EP25</f>
        <v>0</v>
      </c>
      <c r="EH23" s="176" t="str">
        <f>Schedule!EQ25</f>
        <v>0</v>
      </c>
      <c r="EI23" s="176" t="str">
        <f>Schedule!ER25</f>
        <v>0</v>
      </c>
      <c r="EJ23" s="176" t="str">
        <f>Schedule!ES25</f>
        <v>0</v>
      </c>
      <c r="EK23" s="176" t="str">
        <f>Schedule!ET25</f>
        <v>0</v>
      </c>
      <c r="EL23" s="176" t="str">
        <f>Schedule!EU25</f>
        <v>0</v>
      </c>
      <c r="EM23" s="178"/>
      <c r="EN23" s="176" t="str">
        <f>Schedule!EV25</f>
        <v>0</v>
      </c>
      <c r="EO23" s="176" t="str">
        <f>Schedule!EW25</f>
        <v>0</v>
      </c>
      <c r="EP23" s="176" t="str">
        <f>Schedule!EX25</f>
        <v>0</v>
      </c>
      <c r="EQ23" s="176" t="str">
        <f>Schedule!EY25</f>
        <v>0</v>
      </c>
      <c r="ER23" s="176" t="str">
        <f>Schedule!EZ25</f>
        <v>0</v>
      </c>
      <c r="ES23" s="176" t="str">
        <f>Schedule!FA25</f>
        <v>0</v>
      </c>
      <c r="ET23" s="176" t="str">
        <f>Schedule!FB25</f>
        <v>0</v>
      </c>
      <c r="EU23" s="176" t="str">
        <f>Schedule!FC25</f>
        <v>0</v>
      </c>
      <c r="EV23" s="176" t="str">
        <f>Schedule!FD25</f>
        <v>0</v>
      </c>
      <c r="EW23" s="178"/>
      <c r="EX23" s="176" t="str">
        <f>Schedule!FE25</f>
        <v>0</v>
      </c>
      <c r="EY23" s="176" t="str">
        <f>Schedule!FF25</f>
        <v>0</v>
      </c>
      <c r="EZ23" s="176" t="str">
        <f>Schedule!FG25</f>
        <v>0</v>
      </c>
      <c r="FA23" s="176" t="str">
        <f>Schedule!FH25</f>
        <v>0</v>
      </c>
      <c r="FB23" s="176" t="str">
        <f>Schedule!FI25</f>
        <v>0</v>
      </c>
      <c r="FC23" s="176" t="str">
        <f>Schedule!FJ25</f>
        <v>0</v>
      </c>
      <c r="FD23" s="176" t="str">
        <f>Schedule!FK25</f>
        <v>0</v>
      </c>
      <c r="FE23" s="176" t="str">
        <f>Schedule!FL25</f>
        <v>0</v>
      </c>
      <c r="FF23" s="176" t="str">
        <f>Schedule!FM25</f>
        <v>0</v>
      </c>
      <c r="FG23" s="178"/>
      <c r="FH23" s="176" t="str">
        <f>Schedule!FN25</f>
        <v>0</v>
      </c>
      <c r="FI23" s="176" t="str">
        <f>Schedule!FO25</f>
        <v>0</v>
      </c>
      <c r="FJ23" s="176" t="str">
        <f>Schedule!FP25</f>
        <v>0</v>
      </c>
      <c r="FK23" s="176" t="str">
        <f>Schedule!FQ25</f>
        <v>0</v>
      </c>
      <c r="FL23" s="176" t="str">
        <f>Schedule!FR25</f>
        <v>0</v>
      </c>
      <c r="FM23" s="176" t="str">
        <f>Schedule!FS25</f>
        <v>0</v>
      </c>
      <c r="FN23" s="176" t="str">
        <f>Schedule!FT25</f>
        <v>0</v>
      </c>
      <c r="FO23" s="176" t="str">
        <f>Schedule!FU25</f>
        <v>0</v>
      </c>
      <c r="FP23" s="176" t="str">
        <f>Schedule!FV25</f>
        <v>0</v>
      </c>
      <c r="FQ23" s="178"/>
      <c r="FR23" s="176" t="str">
        <f>Schedule!FW25</f>
        <v>0</v>
      </c>
      <c r="FS23" s="176" t="str">
        <f>Schedule!FX25</f>
        <v>0</v>
      </c>
      <c r="FT23" s="176" t="str">
        <f>Schedule!FY25</f>
        <v>0</v>
      </c>
      <c r="FU23" s="176" t="str">
        <f>Schedule!FZ25</f>
        <v>0</v>
      </c>
      <c r="FV23" s="176" t="str">
        <f>Schedule!GA25</f>
        <v>0</v>
      </c>
      <c r="FW23" s="176" t="str">
        <f>Schedule!GB25</f>
        <v>0</v>
      </c>
      <c r="FX23" s="176" t="str">
        <f>Schedule!GC25</f>
        <v>0</v>
      </c>
      <c r="FY23" s="176" t="str">
        <f>Schedule!GD25</f>
        <v>0</v>
      </c>
      <c r="FZ23" s="176" t="str">
        <f>Schedule!GE25</f>
        <v>0</v>
      </c>
      <c r="GA23" s="178"/>
      <c r="GB23" s="176" t="str">
        <f>Schedule!GF25</f>
        <v>0</v>
      </c>
      <c r="GC23" s="176" t="str">
        <f>Schedule!GG25</f>
        <v>0</v>
      </c>
      <c r="GD23" s="176" t="str">
        <f>Schedule!GH25</f>
        <v>0</v>
      </c>
      <c r="GE23" s="176" t="str">
        <f>Schedule!GI25</f>
        <v>0</v>
      </c>
      <c r="GF23" s="176" t="str">
        <f>Schedule!GJ25</f>
        <v>0</v>
      </c>
      <c r="GG23" s="176" t="str">
        <f>Schedule!GK25</f>
        <v>0</v>
      </c>
      <c r="GH23" s="176" t="str">
        <f>Schedule!GL25</f>
        <v>0</v>
      </c>
      <c r="GI23" s="176" t="str">
        <f>Schedule!GM25</f>
        <v>0</v>
      </c>
      <c r="GJ23" s="176" t="str">
        <f>Schedule!GN25</f>
        <v>0</v>
      </c>
      <c r="GK23" s="178"/>
      <c r="GL23" s="176" t="str">
        <f>Schedule!GO25</f>
        <v>0</v>
      </c>
      <c r="GM23" s="176" t="str">
        <f>Schedule!GP25</f>
        <v>0</v>
      </c>
      <c r="GN23" s="176" t="str">
        <f>Schedule!GQ25</f>
        <v>0</v>
      </c>
      <c r="GO23" s="176" t="str">
        <f>Schedule!GR25</f>
        <v>0</v>
      </c>
      <c r="GP23" s="176" t="str">
        <f>Schedule!GS25</f>
        <v>0</v>
      </c>
      <c r="GQ23" s="176" t="str">
        <f>Schedule!GT25</f>
        <v>0</v>
      </c>
      <c r="GR23" s="176" t="str">
        <f>Schedule!GU25</f>
        <v>0</v>
      </c>
      <c r="GS23" s="176" t="str">
        <f>Schedule!GV25</f>
        <v>0</v>
      </c>
      <c r="GT23" s="176" t="str">
        <f>Schedule!GW25</f>
        <v>0</v>
      </c>
      <c r="GW23" s="227"/>
    </row>
    <row r="24" spans="2:205" ht="15.75" hidden="1" customHeight="1">
      <c r="B24" s="269"/>
      <c r="C24" s="159">
        <f>Schedule!C26</f>
        <v>0</v>
      </c>
      <c r="D24" s="176" t="str">
        <f>Schedule!Z26</f>
        <v>0</v>
      </c>
      <c r="E24" s="176" t="str">
        <f>Schedule!AA26</f>
        <v>0</v>
      </c>
      <c r="F24" s="176" t="str">
        <f>Schedule!AB26</f>
        <v>0</v>
      </c>
      <c r="G24" s="176" t="str">
        <f>Schedule!AC26</f>
        <v>0</v>
      </c>
      <c r="H24" s="176" t="str">
        <f>Schedule!AD26</f>
        <v>0</v>
      </c>
      <c r="I24" s="176" t="str">
        <f>Schedule!AE26</f>
        <v>0</v>
      </c>
      <c r="J24" s="176" t="str">
        <f>Schedule!AF26</f>
        <v>0</v>
      </c>
      <c r="K24" s="181" t="str">
        <f>Schedule!AG26</f>
        <v>0</v>
      </c>
      <c r="L24" s="181" t="str">
        <f>Schedule!AH26</f>
        <v>0</v>
      </c>
      <c r="M24" s="178"/>
      <c r="N24" s="183" t="str">
        <f>Schedule!AI26</f>
        <v>0</v>
      </c>
      <c r="O24" s="176" t="str">
        <f>Schedule!AJ26</f>
        <v>0</v>
      </c>
      <c r="P24" s="176" t="str">
        <f>Schedule!AK26</f>
        <v>0</v>
      </c>
      <c r="Q24" s="176" t="str">
        <f>Schedule!AL26</f>
        <v>0</v>
      </c>
      <c r="R24" s="176" t="str">
        <f>Schedule!AM26</f>
        <v>0</v>
      </c>
      <c r="S24" s="176" t="str">
        <f>Schedule!AN26</f>
        <v>0</v>
      </c>
      <c r="T24" s="176" t="str">
        <f>Schedule!AO26</f>
        <v>0</v>
      </c>
      <c r="U24" s="176" t="str">
        <f>Schedule!AP26</f>
        <v>0</v>
      </c>
      <c r="V24" s="176" t="str">
        <f>Schedule!AQ26</f>
        <v>0</v>
      </c>
      <c r="W24" s="178"/>
      <c r="X24" s="176" t="str">
        <f>Schedule!AR26</f>
        <v>0</v>
      </c>
      <c r="Y24" s="176" t="str">
        <f>Schedule!AS26</f>
        <v>0</v>
      </c>
      <c r="Z24" s="176" t="str">
        <f>Schedule!AT26</f>
        <v>0</v>
      </c>
      <c r="AA24" s="176" t="str">
        <f>Schedule!AU26</f>
        <v>0</v>
      </c>
      <c r="AB24" s="176" t="str">
        <f>Schedule!AV26</f>
        <v>0</v>
      </c>
      <c r="AC24" s="176" t="str">
        <f>Schedule!AW26</f>
        <v>0</v>
      </c>
      <c r="AD24" s="176" t="str">
        <f>Schedule!AX26</f>
        <v>0</v>
      </c>
      <c r="AE24" s="176" t="str">
        <f>Schedule!AY26</f>
        <v>0</v>
      </c>
      <c r="AF24" s="176" t="str">
        <f>Schedule!AZ26</f>
        <v>0</v>
      </c>
      <c r="AG24" s="178"/>
      <c r="AH24" s="176" t="str">
        <f>Schedule!BA26</f>
        <v>0</v>
      </c>
      <c r="AI24" s="176" t="str">
        <f>Schedule!BB26</f>
        <v>0</v>
      </c>
      <c r="AJ24" s="176" t="str">
        <f>Schedule!BC26</f>
        <v>0</v>
      </c>
      <c r="AK24" s="176" t="str">
        <f>Schedule!BD26</f>
        <v>0</v>
      </c>
      <c r="AL24" s="176" t="str">
        <f>Schedule!BE26</f>
        <v>0</v>
      </c>
      <c r="AM24" s="176" t="str">
        <f>Schedule!BF26</f>
        <v>0</v>
      </c>
      <c r="AN24" s="176" t="str">
        <f>Schedule!BG26</f>
        <v>0</v>
      </c>
      <c r="AO24" s="176" t="str">
        <f>Schedule!BH26</f>
        <v>0</v>
      </c>
      <c r="AP24" s="176" t="str">
        <f>Schedule!BI26</f>
        <v>0</v>
      </c>
      <c r="AQ24" s="178"/>
      <c r="AR24" s="176" t="str">
        <f>Schedule!BJ26</f>
        <v>0</v>
      </c>
      <c r="AS24" s="176" t="str">
        <f>Schedule!BK26</f>
        <v>0</v>
      </c>
      <c r="AT24" s="176" t="str">
        <f>Schedule!BL26</f>
        <v>0</v>
      </c>
      <c r="AU24" s="176" t="str">
        <f>Schedule!BM26</f>
        <v>0</v>
      </c>
      <c r="AV24" s="176" t="str">
        <f>Schedule!BN26</f>
        <v>0</v>
      </c>
      <c r="AW24" s="176" t="str">
        <f>Schedule!BO26</f>
        <v>0</v>
      </c>
      <c r="AX24" s="176" t="str">
        <f>Schedule!BP26</f>
        <v>0</v>
      </c>
      <c r="AY24" s="176" t="str">
        <f>Schedule!BQ26</f>
        <v>0</v>
      </c>
      <c r="AZ24" s="176" t="str">
        <f>Schedule!BR26</f>
        <v>0</v>
      </c>
      <c r="BA24" s="178"/>
      <c r="BB24" s="176" t="str">
        <f>Schedule!BS26</f>
        <v>0</v>
      </c>
      <c r="BC24" s="176" t="str">
        <f>Schedule!BT26</f>
        <v>0</v>
      </c>
      <c r="BD24" s="176" t="str">
        <f>Schedule!BU26</f>
        <v>0</v>
      </c>
      <c r="BE24" s="176" t="str">
        <f>Schedule!BV26</f>
        <v>0</v>
      </c>
      <c r="BF24" s="176" t="str">
        <f>Schedule!BW26</f>
        <v>0</v>
      </c>
      <c r="BG24" s="176" t="str">
        <f>Schedule!BX26</f>
        <v>0</v>
      </c>
      <c r="BH24" s="176" t="str">
        <f>Schedule!BY26</f>
        <v>0</v>
      </c>
      <c r="BI24" s="176" t="str">
        <f>Schedule!BZ26</f>
        <v>0</v>
      </c>
      <c r="BJ24" s="176" t="str">
        <f>Schedule!CA26</f>
        <v>0</v>
      </c>
      <c r="BK24" s="178"/>
      <c r="BL24" s="176" t="str">
        <f>Schedule!CB26</f>
        <v>0</v>
      </c>
      <c r="BM24" s="176" t="str">
        <f>Schedule!CC26</f>
        <v>0</v>
      </c>
      <c r="BN24" s="176" t="str">
        <f>Schedule!CD26</f>
        <v>0</v>
      </c>
      <c r="BO24" s="176" t="str">
        <f>Schedule!CE26</f>
        <v>0</v>
      </c>
      <c r="BP24" s="176" t="str">
        <f>Schedule!CF26</f>
        <v>0</v>
      </c>
      <c r="BQ24" s="176" t="str">
        <f>Schedule!CG26</f>
        <v>0</v>
      </c>
      <c r="BR24" s="176" t="str">
        <f>Schedule!CH26</f>
        <v>0</v>
      </c>
      <c r="BS24" s="176" t="str">
        <f>Schedule!CI26</f>
        <v>0</v>
      </c>
      <c r="BT24" s="176" t="str">
        <f>Schedule!CJ26</f>
        <v>0</v>
      </c>
      <c r="BU24" s="178"/>
      <c r="BV24" s="176" t="str">
        <f>Schedule!CK26</f>
        <v>0</v>
      </c>
      <c r="BW24" s="176" t="str">
        <f>Schedule!CL26</f>
        <v>0</v>
      </c>
      <c r="BX24" s="176" t="str">
        <f>Schedule!CM26</f>
        <v>0</v>
      </c>
      <c r="BY24" s="176" t="str">
        <f>Schedule!CN26</f>
        <v>0</v>
      </c>
      <c r="BZ24" s="176" t="str">
        <f>Schedule!CO26</f>
        <v>0</v>
      </c>
      <c r="CA24" s="176" t="str">
        <f>Schedule!CP26</f>
        <v>0</v>
      </c>
      <c r="CB24" s="176" t="str">
        <f>Schedule!CQ26</f>
        <v>0</v>
      </c>
      <c r="CC24" s="176" t="str">
        <f>Schedule!CR26</f>
        <v>0</v>
      </c>
      <c r="CD24" s="176" t="str">
        <f>Schedule!CS26</f>
        <v>0</v>
      </c>
      <c r="CE24" s="178"/>
      <c r="CF24" s="176" t="str">
        <f>Schedule!CT26</f>
        <v>0</v>
      </c>
      <c r="CG24" s="176" t="str">
        <f>Schedule!CU26</f>
        <v>0</v>
      </c>
      <c r="CH24" s="176" t="str">
        <f>Schedule!CV26</f>
        <v>0</v>
      </c>
      <c r="CI24" s="176" t="str">
        <f>Schedule!CW26</f>
        <v>0</v>
      </c>
      <c r="CJ24" s="176" t="str">
        <f>Schedule!CX26</f>
        <v>0</v>
      </c>
      <c r="CK24" s="176" t="str">
        <f>Schedule!CY26</f>
        <v>0</v>
      </c>
      <c r="CL24" s="176" t="str">
        <f>Schedule!CZ26</f>
        <v>0</v>
      </c>
      <c r="CM24" s="176" t="str">
        <f>Schedule!DA26</f>
        <v>0</v>
      </c>
      <c r="CN24" s="176" t="str">
        <f>Schedule!DB26</f>
        <v>0</v>
      </c>
      <c r="CO24" s="178"/>
      <c r="CP24" s="176" t="str">
        <f>Schedule!DC26</f>
        <v>0</v>
      </c>
      <c r="CQ24" s="176" t="str">
        <f>Schedule!DD26</f>
        <v>0</v>
      </c>
      <c r="CR24" s="176" t="str">
        <f>Schedule!DE26</f>
        <v>0</v>
      </c>
      <c r="CS24" s="176" t="str">
        <f>Schedule!DF26</f>
        <v>0</v>
      </c>
      <c r="CT24" s="176" t="str">
        <f>Schedule!DG26</f>
        <v>0</v>
      </c>
      <c r="CU24" s="176" t="str">
        <f>Schedule!DH26</f>
        <v>0</v>
      </c>
      <c r="CV24" s="176" t="str">
        <f>Schedule!DI26</f>
        <v>0</v>
      </c>
      <c r="CW24" s="176" t="str">
        <f>Schedule!DJ26</f>
        <v>0</v>
      </c>
      <c r="CX24" s="176" t="str">
        <f>Schedule!DK26</f>
        <v>0</v>
      </c>
      <c r="CY24" s="178"/>
      <c r="CZ24" s="176" t="str">
        <f>Schedule!DL26</f>
        <v>0</v>
      </c>
      <c r="DA24" s="176" t="str">
        <f>Schedule!DM26</f>
        <v>0</v>
      </c>
      <c r="DB24" s="176" t="str">
        <f>Schedule!DN26</f>
        <v>0</v>
      </c>
      <c r="DC24" s="176" t="str">
        <f>Schedule!DO26</f>
        <v>0</v>
      </c>
      <c r="DD24" s="176" t="str">
        <f>Schedule!DP26</f>
        <v>0</v>
      </c>
      <c r="DE24" s="176" t="str">
        <f>Schedule!DQ26</f>
        <v>0</v>
      </c>
      <c r="DF24" s="176" t="str">
        <f>Schedule!DR26</f>
        <v>0</v>
      </c>
      <c r="DG24" s="176" t="str">
        <f>Schedule!DS26</f>
        <v>0</v>
      </c>
      <c r="DH24" s="176" t="str">
        <f>Schedule!DT26</f>
        <v>0</v>
      </c>
      <c r="DI24" s="178"/>
      <c r="DJ24" s="176" t="str">
        <f>Schedule!DU26</f>
        <v>0</v>
      </c>
      <c r="DK24" s="176" t="str">
        <f>Schedule!DV26</f>
        <v>0</v>
      </c>
      <c r="DL24" s="176" t="str">
        <f>Schedule!DW26</f>
        <v>0</v>
      </c>
      <c r="DM24" s="176" t="str">
        <f>Schedule!DX26</f>
        <v>0</v>
      </c>
      <c r="DN24" s="176" t="str">
        <f>Schedule!DY26</f>
        <v>0</v>
      </c>
      <c r="DO24" s="176" t="str">
        <f>Schedule!DZ26</f>
        <v>0</v>
      </c>
      <c r="DP24" s="176" t="str">
        <f>Schedule!EA26</f>
        <v>0</v>
      </c>
      <c r="DQ24" s="176" t="str">
        <f>Schedule!EB26</f>
        <v>0</v>
      </c>
      <c r="DR24" s="176" t="str">
        <f>Schedule!EC26</f>
        <v>0</v>
      </c>
      <c r="DS24" s="178"/>
      <c r="DT24" s="176" t="str">
        <f>Schedule!ED26</f>
        <v>0</v>
      </c>
      <c r="DU24" s="176" t="str">
        <f>Schedule!EE26</f>
        <v>0</v>
      </c>
      <c r="DV24" s="176" t="str">
        <f>Schedule!EF26</f>
        <v>0</v>
      </c>
      <c r="DW24" s="176" t="str">
        <f>Schedule!EG26</f>
        <v>0</v>
      </c>
      <c r="DX24" s="176" t="str">
        <f>Schedule!EH26</f>
        <v>0</v>
      </c>
      <c r="DY24" s="176" t="str">
        <f>Schedule!EI26</f>
        <v>0</v>
      </c>
      <c r="DZ24" s="176" t="str">
        <f>Schedule!EJ26</f>
        <v>0</v>
      </c>
      <c r="EA24" s="176" t="str">
        <f>Schedule!EK26</f>
        <v>0</v>
      </c>
      <c r="EB24" s="176" t="str">
        <f>Schedule!EL26</f>
        <v>0</v>
      </c>
      <c r="EC24" s="178"/>
      <c r="ED24" s="176" t="str">
        <f>Schedule!EM26</f>
        <v>0</v>
      </c>
      <c r="EE24" s="176" t="str">
        <f>Schedule!EN26</f>
        <v>0</v>
      </c>
      <c r="EF24" s="176" t="str">
        <f>Schedule!EO26</f>
        <v>0</v>
      </c>
      <c r="EG24" s="176" t="str">
        <f>Schedule!EP26</f>
        <v>0</v>
      </c>
      <c r="EH24" s="176" t="str">
        <f>Schedule!EQ26</f>
        <v>0</v>
      </c>
      <c r="EI24" s="176" t="str">
        <f>Schedule!ER26</f>
        <v>0</v>
      </c>
      <c r="EJ24" s="176" t="str">
        <f>Schedule!ES26</f>
        <v>0</v>
      </c>
      <c r="EK24" s="176" t="str">
        <f>Schedule!ET26</f>
        <v>0</v>
      </c>
      <c r="EL24" s="176" t="str">
        <f>Schedule!EU26</f>
        <v>0</v>
      </c>
      <c r="EM24" s="178"/>
      <c r="EN24" s="176" t="str">
        <f>Schedule!EV26</f>
        <v>0</v>
      </c>
      <c r="EO24" s="176" t="str">
        <f>Schedule!EW26</f>
        <v>0</v>
      </c>
      <c r="EP24" s="176" t="str">
        <f>Schedule!EX26</f>
        <v>0</v>
      </c>
      <c r="EQ24" s="176" t="str">
        <f>Schedule!EY26</f>
        <v>0</v>
      </c>
      <c r="ER24" s="176" t="str">
        <f>Schedule!EZ26</f>
        <v>0</v>
      </c>
      <c r="ES24" s="176" t="str">
        <f>Schedule!FA26</f>
        <v>0</v>
      </c>
      <c r="ET24" s="176" t="str">
        <f>Schedule!FB26</f>
        <v>0</v>
      </c>
      <c r="EU24" s="176" t="str">
        <f>Schedule!FC26</f>
        <v>0</v>
      </c>
      <c r="EV24" s="176" t="str">
        <f>Schedule!FD26</f>
        <v>0</v>
      </c>
      <c r="EW24" s="178"/>
      <c r="EX24" s="176" t="str">
        <f>Schedule!FE26</f>
        <v>0</v>
      </c>
      <c r="EY24" s="176" t="str">
        <f>Schedule!FF26</f>
        <v>0</v>
      </c>
      <c r="EZ24" s="176" t="str">
        <f>Schedule!FG26</f>
        <v>0</v>
      </c>
      <c r="FA24" s="176" t="str">
        <f>Schedule!FH26</f>
        <v>0</v>
      </c>
      <c r="FB24" s="176" t="str">
        <f>Schedule!FI26</f>
        <v>0</v>
      </c>
      <c r="FC24" s="176" t="str">
        <f>Schedule!FJ26</f>
        <v>0</v>
      </c>
      <c r="FD24" s="176" t="str">
        <f>Schedule!FK26</f>
        <v>0</v>
      </c>
      <c r="FE24" s="176" t="str">
        <f>Schedule!FL26</f>
        <v>0</v>
      </c>
      <c r="FF24" s="176" t="str">
        <f>Schedule!FM26</f>
        <v>0</v>
      </c>
      <c r="FG24" s="178"/>
      <c r="FH24" s="176" t="str">
        <f>Schedule!FN26</f>
        <v>0</v>
      </c>
      <c r="FI24" s="176" t="str">
        <f>Schedule!FO26</f>
        <v>0</v>
      </c>
      <c r="FJ24" s="176" t="str">
        <f>Schedule!FP26</f>
        <v>0</v>
      </c>
      <c r="FK24" s="176" t="str">
        <f>Schedule!FQ26</f>
        <v>0</v>
      </c>
      <c r="FL24" s="176" t="str">
        <f>Schedule!FR26</f>
        <v>0</v>
      </c>
      <c r="FM24" s="176" t="str">
        <f>Schedule!FS26</f>
        <v>0</v>
      </c>
      <c r="FN24" s="176" t="str">
        <f>Schedule!FT26</f>
        <v>0</v>
      </c>
      <c r="FO24" s="176" t="str">
        <f>Schedule!FU26</f>
        <v>0</v>
      </c>
      <c r="FP24" s="176" t="str">
        <f>Schedule!FV26</f>
        <v>0</v>
      </c>
      <c r="FQ24" s="178"/>
      <c r="FR24" s="176" t="str">
        <f>Schedule!FW26</f>
        <v>0</v>
      </c>
      <c r="FS24" s="176" t="str">
        <f>Schedule!FX26</f>
        <v>0</v>
      </c>
      <c r="FT24" s="176" t="str">
        <f>Schedule!FY26</f>
        <v>0</v>
      </c>
      <c r="FU24" s="176" t="str">
        <f>Schedule!FZ26</f>
        <v>0</v>
      </c>
      <c r="FV24" s="176" t="str">
        <f>Schedule!GA26</f>
        <v>0</v>
      </c>
      <c r="FW24" s="176" t="str">
        <f>Schedule!GB26</f>
        <v>0</v>
      </c>
      <c r="FX24" s="176" t="str">
        <f>Schedule!GC26</f>
        <v>0</v>
      </c>
      <c r="FY24" s="176" t="str">
        <f>Schedule!GD26</f>
        <v>0</v>
      </c>
      <c r="FZ24" s="176" t="str">
        <f>Schedule!GE26</f>
        <v>0</v>
      </c>
      <c r="GA24" s="178"/>
      <c r="GB24" s="176" t="str">
        <f>Schedule!GF26</f>
        <v>0</v>
      </c>
      <c r="GC24" s="176" t="str">
        <f>Schedule!GG26</f>
        <v>0</v>
      </c>
      <c r="GD24" s="176" t="str">
        <f>Schedule!GH26</f>
        <v>0</v>
      </c>
      <c r="GE24" s="176" t="str">
        <f>Schedule!GI26</f>
        <v>0</v>
      </c>
      <c r="GF24" s="176" t="str">
        <f>Schedule!GJ26</f>
        <v>0</v>
      </c>
      <c r="GG24" s="176" t="str">
        <f>Schedule!GK26</f>
        <v>0</v>
      </c>
      <c r="GH24" s="176" t="str">
        <f>Schedule!GL26</f>
        <v>0</v>
      </c>
      <c r="GI24" s="176" t="str">
        <f>Schedule!GM26</f>
        <v>0</v>
      </c>
      <c r="GJ24" s="176" t="str">
        <f>Schedule!GN26</f>
        <v>0</v>
      </c>
      <c r="GK24" s="178"/>
      <c r="GL24" s="176" t="str">
        <f>Schedule!GO26</f>
        <v>0</v>
      </c>
      <c r="GM24" s="176" t="str">
        <f>Schedule!GP26</f>
        <v>0</v>
      </c>
      <c r="GN24" s="176" t="str">
        <f>Schedule!GQ26</f>
        <v>0</v>
      </c>
      <c r="GO24" s="176" t="str">
        <f>Schedule!GR26</f>
        <v>0</v>
      </c>
      <c r="GP24" s="176" t="str">
        <f>Schedule!GS26</f>
        <v>0</v>
      </c>
      <c r="GQ24" s="176" t="str">
        <f>Schedule!GT26</f>
        <v>0</v>
      </c>
      <c r="GR24" s="176" t="str">
        <f>Schedule!GU26</f>
        <v>0</v>
      </c>
      <c r="GS24" s="176" t="str">
        <f>Schedule!GV26</f>
        <v>0</v>
      </c>
      <c r="GT24" s="176" t="str">
        <f>Schedule!GW26</f>
        <v>0</v>
      </c>
      <c r="GW24" s="227"/>
    </row>
    <row r="25" spans="2:205" ht="15.75" hidden="1" customHeight="1">
      <c r="B25" s="269"/>
      <c r="C25" s="159">
        <f>Schedule!C27</f>
        <v>0</v>
      </c>
      <c r="D25" s="176" t="str">
        <f>Schedule!Z27</f>
        <v>0</v>
      </c>
      <c r="E25" s="176" t="str">
        <f>Schedule!AA27</f>
        <v>0</v>
      </c>
      <c r="F25" s="176" t="str">
        <f>Schedule!AB27</f>
        <v>0</v>
      </c>
      <c r="G25" s="176" t="str">
        <f>Schedule!AC27</f>
        <v>0</v>
      </c>
      <c r="H25" s="176" t="str">
        <f>Schedule!AD27</f>
        <v>0</v>
      </c>
      <c r="I25" s="176" t="str">
        <f>Schedule!AE27</f>
        <v>0</v>
      </c>
      <c r="J25" s="176" t="str">
        <f>Schedule!AF27</f>
        <v>0</v>
      </c>
      <c r="K25" s="181" t="str">
        <f>Schedule!AG27</f>
        <v>0</v>
      </c>
      <c r="L25" s="181" t="str">
        <f>Schedule!AH27</f>
        <v>0</v>
      </c>
      <c r="M25" s="178"/>
      <c r="N25" s="183" t="str">
        <f>Schedule!AI27</f>
        <v>0</v>
      </c>
      <c r="O25" s="176" t="str">
        <f>Schedule!AJ27</f>
        <v>0</v>
      </c>
      <c r="P25" s="176" t="str">
        <f>Schedule!AK27</f>
        <v>0</v>
      </c>
      <c r="Q25" s="176" t="str">
        <f>Schedule!AL27</f>
        <v>0</v>
      </c>
      <c r="R25" s="176" t="str">
        <f>Schedule!AM27</f>
        <v>0</v>
      </c>
      <c r="S25" s="176" t="str">
        <f>Schedule!AN27</f>
        <v>0</v>
      </c>
      <c r="T25" s="176" t="str">
        <f>Schedule!AO27</f>
        <v>0</v>
      </c>
      <c r="U25" s="176" t="str">
        <f>Schedule!AP27</f>
        <v>0</v>
      </c>
      <c r="V25" s="176" t="str">
        <f>Schedule!AQ27</f>
        <v>0</v>
      </c>
      <c r="W25" s="178"/>
      <c r="X25" s="176" t="str">
        <f>Schedule!AR27</f>
        <v>0</v>
      </c>
      <c r="Y25" s="176" t="str">
        <f>Schedule!AS27</f>
        <v>0</v>
      </c>
      <c r="Z25" s="176" t="str">
        <f>Schedule!AT27</f>
        <v>0</v>
      </c>
      <c r="AA25" s="176" t="str">
        <f>Schedule!AU27</f>
        <v>0</v>
      </c>
      <c r="AB25" s="176" t="str">
        <f>Schedule!AV27</f>
        <v>0</v>
      </c>
      <c r="AC25" s="176" t="str">
        <f>Schedule!AW27</f>
        <v>0</v>
      </c>
      <c r="AD25" s="176" t="str">
        <f>Schedule!AX27</f>
        <v>0</v>
      </c>
      <c r="AE25" s="176" t="str">
        <f>Schedule!AY27</f>
        <v>0</v>
      </c>
      <c r="AF25" s="176" t="str">
        <f>Schedule!AZ27</f>
        <v>0</v>
      </c>
      <c r="AG25" s="178"/>
      <c r="AH25" s="176" t="str">
        <f>Schedule!BA27</f>
        <v>0</v>
      </c>
      <c r="AI25" s="176" t="str">
        <f>Schedule!BB27</f>
        <v>0</v>
      </c>
      <c r="AJ25" s="176" t="str">
        <f>Schedule!BC27</f>
        <v>0</v>
      </c>
      <c r="AK25" s="176" t="str">
        <f>Schedule!BD27</f>
        <v>0</v>
      </c>
      <c r="AL25" s="176" t="str">
        <f>Schedule!BE27</f>
        <v>0</v>
      </c>
      <c r="AM25" s="176" t="str">
        <f>Schedule!BF27</f>
        <v>0</v>
      </c>
      <c r="AN25" s="176" t="str">
        <f>Schedule!BG27</f>
        <v>0</v>
      </c>
      <c r="AO25" s="176" t="str">
        <f>Schedule!BH27</f>
        <v>0</v>
      </c>
      <c r="AP25" s="176" t="str">
        <f>Schedule!BI27</f>
        <v>0</v>
      </c>
      <c r="AQ25" s="178"/>
      <c r="AR25" s="176" t="str">
        <f>Schedule!BJ27</f>
        <v>0</v>
      </c>
      <c r="AS25" s="176" t="str">
        <f>Schedule!BK27</f>
        <v>0</v>
      </c>
      <c r="AT25" s="176" t="str">
        <f>Schedule!BL27</f>
        <v>0</v>
      </c>
      <c r="AU25" s="176" t="str">
        <f>Schedule!BM27</f>
        <v>0</v>
      </c>
      <c r="AV25" s="176" t="str">
        <f>Schedule!BN27</f>
        <v>0</v>
      </c>
      <c r="AW25" s="176" t="str">
        <f>Schedule!BO27</f>
        <v>0</v>
      </c>
      <c r="AX25" s="176" t="str">
        <f>Schedule!BP27</f>
        <v>0</v>
      </c>
      <c r="AY25" s="176" t="str">
        <f>Schedule!BQ27</f>
        <v>0</v>
      </c>
      <c r="AZ25" s="176" t="str">
        <f>Schedule!BR27</f>
        <v>0</v>
      </c>
      <c r="BA25" s="178"/>
      <c r="BB25" s="176" t="str">
        <f>Schedule!BS27</f>
        <v>0</v>
      </c>
      <c r="BC25" s="176" t="str">
        <f>Schedule!BT27</f>
        <v>0</v>
      </c>
      <c r="BD25" s="176" t="str">
        <f>Schedule!BU27</f>
        <v>0</v>
      </c>
      <c r="BE25" s="176" t="str">
        <f>Schedule!BV27</f>
        <v>0</v>
      </c>
      <c r="BF25" s="176" t="str">
        <f>Schedule!BW27</f>
        <v>0</v>
      </c>
      <c r="BG25" s="176" t="str">
        <f>Schedule!BX27</f>
        <v>0</v>
      </c>
      <c r="BH25" s="176" t="str">
        <f>Schedule!BY27</f>
        <v>0</v>
      </c>
      <c r="BI25" s="176" t="str">
        <f>Schedule!BZ27</f>
        <v>0</v>
      </c>
      <c r="BJ25" s="176" t="str">
        <f>Schedule!CA27</f>
        <v>0</v>
      </c>
      <c r="BK25" s="178"/>
      <c r="BL25" s="176" t="str">
        <f>Schedule!CB27</f>
        <v>0</v>
      </c>
      <c r="BM25" s="176" t="str">
        <f>Schedule!CC27</f>
        <v>0</v>
      </c>
      <c r="BN25" s="176" t="str">
        <f>Schedule!CD27</f>
        <v>0</v>
      </c>
      <c r="BO25" s="176" t="str">
        <f>Schedule!CE27</f>
        <v>0</v>
      </c>
      <c r="BP25" s="176" t="str">
        <f>Schedule!CF27</f>
        <v>0</v>
      </c>
      <c r="BQ25" s="176" t="str">
        <f>Schedule!CG27</f>
        <v>0</v>
      </c>
      <c r="BR25" s="176" t="str">
        <f>Schedule!CH27</f>
        <v>0</v>
      </c>
      <c r="BS25" s="176" t="str">
        <f>Schedule!CI27</f>
        <v>0</v>
      </c>
      <c r="BT25" s="176" t="str">
        <f>Schedule!CJ27</f>
        <v>0</v>
      </c>
      <c r="BU25" s="178"/>
      <c r="BV25" s="176" t="str">
        <f>Schedule!CK27</f>
        <v>0</v>
      </c>
      <c r="BW25" s="176" t="str">
        <f>Schedule!CL27</f>
        <v>0</v>
      </c>
      <c r="BX25" s="176" t="str">
        <f>Schedule!CM27</f>
        <v>0</v>
      </c>
      <c r="BY25" s="176" t="str">
        <f>Schedule!CN27</f>
        <v>0</v>
      </c>
      <c r="BZ25" s="176" t="str">
        <f>Schedule!CO27</f>
        <v>0</v>
      </c>
      <c r="CA25" s="176" t="str">
        <f>Schedule!CP27</f>
        <v>0</v>
      </c>
      <c r="CB25" s="176" t="str">
        <f>Schedule!CQ27</f>
        <v>0</v>
      </c>
      <c r="CC25" s="176" t="str">
        <f>Schedule!CR27</f>
        <v>0</v>
      </c>
      <c r="CD25" s="176" t="str">
        <f>Schedule!CS27</f>
        <v>0</v>
      </c>
      <c r="CE25" s="178"/>
      <c r="CF25" s="176" t="str">
        <f>Schedule!CT27</f>
        <v>0</v>
      </c>
      <c r="CG25" s="176" t="str">
        <f>Schedule!CU27</f>
        <v>0</v>
      </c>
      <c r="CH25" s="176" t="str">
        <f>Schedule!CV27</f>
        <v>0</v>
      </c>
      <c r="CI25" s="176" t="str">
        <f>Schedule!CW27</f>
        <v>0</v>
      </c>
      <c r="CJ25" s="176" t="str">
        <f>Schedule!CX27</f>
        <v>0</v>
      </c>
      <c r="CK25" s="176" t="str">
        <f>Schedule!CY27</f>
        <v>0</v>
      </c>
      <c r="CL25" s="176" t="str">
        <f>Schedule!CZ27</f>
        <v>0</v>
      </c>
      <c r="CM25" s="176" t="str">
        <f>Schedule!DA27</f>
        <v>0</v>
      </c>
      <c r="CN25" s="176" t="str">
        <f>Schedule!DB27</f>
        <v>0</v>
      </c>
      <c r="CO25" s="178"/>
      <c r="CP25" s="176" t="str">
        <f>Schedule!DC27</f>
        <v>0</v>
      </c>
      <c r="CQ25" s="176" t="str">
        <f>Schedule!DD27</f>
        <v>0</v>
      </c>
      <c r="CR25" s="176" t="str">
        <f>Schedule!DE27</f>
        <v>0</v>
      </c>
      <c r="CS25" s="176" t="str">
        <f>Schedule!DF27</f>
        <v>0</v>
      </c>
      <c r="CT25" s="176" t="str">
        <f>Schedule!DG27</f>
        <v>0</v>
      </c>
      <c r="CU25" s="176" t="str">
        <f>Schedule!DH27</f>
        <v>0</v>
      </c>
      <c r="CV25" s="176" t="str">
        <f>Schedule!DI27</f>
        <v>0</v>
      </c>
      <c r="CW25" s="176" t="str">
        <f>Schedule!DJ27</f>
        <v>0</v>
      </c>
      <c r="CX25" s="176" t="str">
        <f>Schedule!DK27</f>
        <v>0</v>
      </c>
      <c r="CY25" s="178"/>
      <c r="CZ25" s="176" t="str">
        <f>Schedule!DL27</f>
        <v>0</v>
      </c>
      <c r="DA25" s="176" t="str">
        <f>Schedule!DM27</f>
        <v>0</v>
      </c>
      <c r="DB25" s="176" t="str">
        <f>Schedule!DN27</f>
        <v>0</v>
      </c>
      <c r="DC25" s="176" t="str">
        <f>Schedule!DO27</f>
        <v>0</v>
      </c>
      <c r="DD25" s="176" t="str">
        <f>Schedule!DP27</f>
        <v>0</v>
      </c>
      <c r="DE25" s="176" t="str">
        <f>Schedule!DQ27</f>
        <v>0</v>
      </c>
      <c r="DF25" s="176" t="str">
        <f>Schedule!DR27</f>
        <v>0</v>
      </c>
      <c r="DG25" s="176" t="str">
        <f>Schedule!DS27</f>
        <v>0</v>
      </c>
      <c r="DH25" s="176" t="str">
        <f>Schedule!DT27</f>
        <v>0</v>
      </c>
      <c r="DI25" s="178"/>
      <c r="DJ25" s="176" t="str">
        <f>Schedule!DU27</f>
        <v>0</v>
      </c>
      <c r="DK25" s="176" t="str">
        <f>Schedule!DV27</f>
        <v>0</v>
      </c>
      <c r="DL25" s="176" t="str">
        <f>Schedule!DW27</f>
        <v>0</v>
      </c>
      <c r="DM25" s="176" t="str">
        <f>Schedule!DX27</f>
        <v>0</v>
      </c>
      <c r="DN25" s="176" t="str">
        <f>Schedule!DY27</f>
        <v>0</v>
      </c>
      <c r="DO25" s="176" t="str">
        <f>Schedule!DZ27</f>
        <v>0</v>
      </c>
      <c r="DP25" s="176" t="str">
        <f>Schedule!EA27</f>
        <v>0</v>
      </c>
      <c r="DQ25" s="176" t="str">
        <f>Schedule!EB27</f>
        <v>0</v>
      </c>
      <c r="DR25" s="176" t="str">
        <f>Schedule!EC27</f>
        <v>0</v>
      </c>
      <c r="DS25" s="178"/>
      <c r="DT25" s="176" t="str">
        <f>Schedule!ED27</f>
        <v>0</v>
      </c>
      <c r="DU25" s="176" t="str">
        <f>Schedule!EE27</f>
        <v>0</v>
      </c>
      <c r="DV25" s="176" t="str">
        <f>Schedule!EF27</f>
        <v>0</v>
      </c>
      <c r="DW25" s="176" t="str">
        <f>Schedule!EG27</f>
        <v>0</v>
      </c>
      <c r="DX25" s="176" t="str">
        <f>Schedule!EH27</f>
        <v>0</v>
      </c>
      <c r="DY25" s="176" t="str">
        <f>Schedule!EI27</f>
        <v>0</v>
      </c>
      <c r="DZ25" s="176" t="str">
        <f>Schedule!EJ27</f>
        <v>0</v>
      </c>
      <c r="EA25" s="176" t="str">
        <f>Schedule!EK27</f>
        <v>0</v>
      </c>
      <c r="EB25" s="176" t="str">
        <f>Schedule!EL27</f>
        <v>0</v>
      </c>
      <c r="EC25" s="178"/>
      <c r="ED25" s="176" t="str">
        <f>Schedule!EM27</f>
        <v>0</v>
      </c>
      <c r="EE25" s="176" t="str">
        <f>Schedule!EN27</f>
        <v>0</v>
      </c>
      <c r="EF25" s="176" t="str">
        <f>Schedule!EO27</f>
        <v>0</v>
      </c>
      <c r="EG25" s="176" t="str">
        <f>Schedule!EP27</f>
        <v>0</v>
      </c>
      <c r="EH25" s="176" t="str">
        <f>Schedule!EQ27</f>
        <v>0</v>
      </c>
      <c r="EI25" s="176" t="str">
        <f>Schedule!ER27</f>
        <v>0</v>
      </c>
      <c r="EJ25" s="176" t="str">
        <f>Schedule!ES27</f>
        <v>0</v>
      </c>
      <c r="EK25" s="176" t="str">
        <f>Schedule!ET27</f>
        <v>0</v>
      </c>
      <c r="EL25" s="176" t="str">
        <f>Schedule!EU27</f>
        <v>0</v>
      </c>
      <c r="EM25" s="178"/>
      <c r="EN25" s="176" t="str">
        <f>Schedule!EV27</f>
        <v>0</v>
      </c>
      <c r="EO25" s="176" t="str">
        <f>Schedule!EW27</f>
        <v>0</v>
      </c>
      <c r="EP25" s="176" t="str">
        <f>Schedule!EX27</f>
        <v>0</v>
      </c>
      <c r="EQ25" s="176" t="str">
        <f>Schedule!EY27</f>
        <v>0</v>
      </c>
      <c r="ER25" s="176" t="str">
        <f>Schedule!EZ27</f>
        <v>0</v>
      </c>
      <c r="ES25" s="176" t="str">
        <f>Schedule!FA27</f>
        <v>0</v>
      </c>
      <c r="ET25" s="176" t="str">
        <f>Schedule!FB27</f>
        <v>0</v>
      </c>
      <c r="EU25" s="176" t="str">
        <f>Schedule!FC27</f>
        <v>0</v>
      </c>
      <c r="EV25" s="176" t="str">
        <f>Schedule!FD27</f>
        <v>0</v>
      </c>
      <c r="EW25" s="178"/>
      <c r="EX25" s="176" t="str">
        <f>Schedule!FE27</f>
        <v>0</v>
      </c>
      <c r="EY25" s="176" t="str">
        <f>Schedule!FF27</f>
        <v>0</v>
      </c>
      <c r="EZ25" s="176" t="str">
        <f>Schedule!FG27</f>
        <v>0</v>
      </c>
      <c r="FA25" s="176" t="str">
        <f>Schedule!FH27</f>
        <v>0</v>
      </c>
      <c r="FB25" s="176" t="str">
        <f>Schedule!FI27</f>
        <v>0</v>
      </c>
      <c r="FC25" s="176" t="str">
        <f>Schedule!FJ27</f>
        <v>0</v>
      </c>
      <c r="FD25" s="176" t="str">
        <f>Schedule!FK27</f>
        <v>0</v>
      </c>
      <c r="FE25" s="176" t="str">
        <f>Schedule!FL27</f>
        <v>0</v>
      </c>
      <c r="FF25" s="176" t="str">
        <f>Schedule!FM27</f>
        <v>0</v>
      </c>
      <c r="FG25" s="178"/>
      <c r="FH25" s="176" t="str">
        <f>Schedule!FN27</f>
        <v>0</v>
      </c>
      <c r="FI25" s="176" t="str">
        <f>Schedule!FO27</f>
        <v>0</v>
      </c>
      <c r="FJ25" s="176" t="str">
        <f>Schedule!FP27</f>
        <v>0</v>
      </c>
      <c r="FK25" s="176" t="str">
        <f>Schedule!FQ27</f>
        <v>0</v>
      </c>
      <c r="FL25" s="176" t="str">
        <f>Schedule!FR27</f>
        <v>0</v>
      </c>
      <c r="FM25" s="176" t="str">
        <f>Schedule!FS27</f>
        <v>0</v>
      </c>
      <c r="FN25" s="176" t="str">
        <f>Schedule!FT27</f>
        <v>0</v>
      </c>
      <c r="FO25" s="176" t="str">
        <f>Schedule!FU27</f>
        <v>0</v>
      </c>
      <c r="FP25" s="176" t="str">
        <f>Schedule!FV27</f>
        <v>0</v>
      </c>
      <c r="FQ25" s="178"/>
      <c r="FR25" s="176" t="str">
        <f>Schedule!FW27</f>
        <v>0</v>
      </c>
      <c r="FS25" s="176" t="str">
        <f>Schedule!FX27</f>
        <v>0</v>
      </c>
      <c r="FT25" s="176" t="str">
        <f>Schedule!FY27</f>
        <v>0</v>
      </c>
      <c r="FU25" s="176" t="str">
        <f>Schedule!FZ27</f>
        <v>0</v>
      </c>
      <c r="FV25" s="176" t="str">
        <f>Schedule!GA27</f>
        <v>0</v>
      </c>
      <c r="FW25" s="176" t="str">
        <f>Schedule!GB27</f>
        <v>0</v>
      </c>
      <c r="FX25" s="176" t="str">
        <f>Schedule!GC27</f>
        <v>0</v>
      </c>
      <c r="FY25" s="176" t="str">
        <f>Schedule!GD27</f>
        <v>0</v>
      </c>
      <c r="FZ25" s="176" t="str">
        <f>Schedule!GE27</f>
        <v>0</v>
      </c>
      <c r="GA25" s="178"/>
      <c r="GB25" s="176" t="str">
        <f>Schedule!GF27</f>
        <v>0</v>
      </c>
      <c r="GC25" s="176" t="str">
        <f>Schedule!GG27</f>
        <v>0</v>
      </c>
      <c r="GD25" s="176" t="str">
        <f>Schedule!GH27</f>
        <v>0</v>
      </c>
      <c r="GE25" s="176" t="str">
        <f>Schedule!GI27</f>
        <v>0</v>
      </c>
      <c r="GF25" s="176" t="str">
        <f>Schedule!GJ27</f>
        <v>0</v>
      </c>
      <c r="GG25" s="176" t="str">
        <f>Schedule!GK27</f>
        <v>0</v>
      </c>
      <c r="GH25" s="176" t="str">
        <f>Schedule!GL27</f>
        <v>0</v>
      </c>
      <c r="GI25" s="176" t="str">
        <f>Schedule!GM27</f>
        <v>0</v>
      </c>
      <c r="GJ25" s="176" t="str">
        <f>Schedule!GN27</f>
        <v>0</v>
      </c>
      <c r="GK25" s="178"/>
      <c r="GL25" s="176" t="str">
        <f>Schedule!GO27</f>
        <v>0</v>
      </c>
      <c r="GM25" s="176" t="str">
        <f>Schedule!GP27</f>
        <v>0</v>
      </c>
      <c r="GN25" s="176" t="str">
        <f>Schedule!GQ27</f>
        <v>0</v>
      </c>
      <c r="GO25" s="176" t="str">
        <f>Schedule!GR27</f>
        <v>0</v>
      </c>
      <c r="GP25" s="176" t="str">
        <f>Schedule!GS27</f>
        <v>0</v>
      </c>
      <c r="GQ25" s="176" t="str">
        <f>Schedule!GT27</f>
        <v>0</v>
      </c>
      <c r="GR25" s="176" t="str">
        <f>Schedule!GU27</f>
        <v>0</v>
      </c>
      <c r="GS25" s="176" t="str">
        <f>Schedule!GV27</f>
        <v>0</v>
      </c>
      <c r="GT25" s="176" t="str">
        <f>Schedule!GW27</f>
        <v>0</v>
      </c>
      <c r="GW25" s="227"/>
    </row>
    <row r="26" spans="2:205" ht="15.75" hidden="1" customHeight="1">
      <c r="B26" s="269"/>
      <c r="C26" s="159">
        <f>Schedule!C28</f>
        <v>0</v>
      </c>
      <c r="D26" s="176" t="str">
        <f>Schedule!Z28</f>
        <v>0</v>
      </c>
      <c r="E26" s="176" t="str">
        <f>Schedule!AA28</f>
        <v>0</v>
      </c>
      <c r="F26" s="176" t="str">
        <f>Schedule!AB28</f>
        <v>0</v>
      </c>
      <c r="G26" s="176" t="str">
        <f>Schedule!AC28</f>
        <v>0</v>
      </c>
      <c r="H26" s="176" t="str">
        <f>Schedule!AD28</f>
        <v>0</v>
      </c>
      <c r="I26" s="176" t="str">
        <f>Schedule!AE28</f>
        <v>0</v>
      </c>
      <c r="J26" s="176" t="str">
        <f>Schedule!AF28</f>
        <v>0</v>
      </c>
      <c r="K26" s="181" t="str">
        <f>Schedule!AG28</f>
        <v>0</v>
      </c>
      <c r="L26" s="181" t="str">
        <f>Schedule!AH28</f>
        <v>0</v>
      </c>
      <c r="M26" s="178"/>
      <c r="N26" s="183" t="str">
        <f>Schedule!AI28</f>
        <v>0</v>
      </c>
      <c r="O26" s="176" t="str">
        <f>Schedule!AJ28</f>
        <v>0</v>
      </c>
      <c r="P26" s="176" t="str">
        <f>Schedule!AK28</f>
        <v>0</v>
      </c>
      <c r="Q26" s="176" t="str">
        <f>Schedule!AL28</f>
        <v>0</v>
      </c>
      <c r="R26" s="176" t="str">
        <f>Schedule!AM28</f>
        <v>0</v>
      </c>
      <c r="S26" s="176" t="str">
        <f>Schedule!AN28</f>
        <v>0</v>
      </c>
      <c r="T26" s="176" t="str">
        <f>Schedule!AO28</f>
        <v>0</v>
      </c>
      <c r="U26" s="176" t="str">
        <f>Schedule!AP28</f>
        <v>0</v>
      </c>
      <c r="V26" s="176" t="str">
        <f>Schedule!AQ28</f>
        <v>0</v>
      </c>
      <c r="W26" s="178"/>
      <c r="X26" s="176" t="str">
        <f>Schedule!AR28</f>
        <v>0</v>
      </c>
      <c r="Y26" s="176" t="str">
        <f>Schedule!AS28</f>
        <v>0</v>
      </c>
      <c r="Z26" s="176" t="str">
        <f>Schedule!AT28</f>
        <v>0</v>
      </c>
      <c r="AA26" s="176" t="str">
        <f>Schedule!AU28</f>
        <v>0</v>
      </c>
      <c r="AB26" s="176" t="str">
        <f>Schedule!AV28</f>
        <v>0</v>
      </c>
      <c r="AC26" s="176" t="str">
        <f>Schedule!AW28</f>
        <v>0</v>
      </c>
      <c r="AD26" s="176" t="str">
        <f>Schedule!AX28</f>
        <v>0</v>
      </c>
      <c r="AE26" s="176" t="str">
        <f>Schedule!AY28</f>
        <v>0</v>
      </c>
      <c r="AF26" s="176" t="str">
        <f>Schedule!AZ28</f>
        <v>0</v>
      </c>
      <c r="AG26" s="178"/>
      <c r="AH26" s="176" t="str">
        <f>Schedule!BA28</f>
        <v>0</v>
      </c>
      <c r="AI26" s="176" t="str">
        <f>Schedule!BB28</f>
        <v>0</v>
      </c>
      <c r="AJ26" s="176" t="str">
        <f>Schedule!BC28</f>
        <v>0</v>
      </c>
      <c r="AK26" s="176" t="str">
        <f>Schedule!BD28</f>
        <v>0</v>
      </c>
      <c r="AL26" s="176" t="str">
        <f>Schedule!BE28</f>
        <v>0</v>
      </c>
      <c r="AM26" s="176" t="str">
        <f>Schedule!BF28</f>
        <v>0</v>
      </c>
      <c r="AN26" s="176" t="str">
        <f>Schedule!BG28</f>
        <v>0</v>
      </c>
      <c r="AO26" s="176" t="str">
        <f>Schedule!BH28</f>
        <v>0</v>
      </c>
      <c r="AP26" s="176" t="str">
        <f>Schedule!BI28</f>
        <v>0</v>
      </c>
      <c r="AQ26" s="178"/>
      <c r="AR26" s="176" t="str">
        <f>Schedule!BJ28</f>
        <v>0</v>
      </c>
      <c r="AS26" s="176" t="str">
        <f>Schedule!BK28</f>
        <v>0</v>
      </c>
      <c r="AT26" s="176" t="str">
        <f>Schedule!BL28</f>
        <v>0</v>
      </c>
      <c r="AU26" s="176" t="str">
        <f>Schedule!BM28</f>
        <v>0</v>
      </c>
      <c r="AV26" s="176" t="str">
        <f>Schedule!BN28</f>
        <v>0</v>
      </c>
      <c r="AW26" s="176" t="str">
        <f>Schedule!BO28</f>
        <v>0</v>
      </c>
      <c r="AX26" s="176" t="str">
        <f>Schedule!BP28</f>
        <v>0</v>
      </c>
      <c r="AY26" s="176" t="str">
        <f>Schedule!BQ28</f>
        <v>0</v>
      </c>
      <c r="AZ26" s="176" t="str">
        <f>Schedule!BR28</f>
        <v>0</v>
      </c>
      <c r="BA26" s="178"/>
      <c r="BB26" s="176" t="str">
        <f>Schedule!BS28</f>
        <v>0</v>
      </c>
      <c r="BC26" s="176" t="str">
        <f>Schedule!BT28</f>
        <v>0</v>
      </c>
      <c r="BD26" s="176" t="str">
        <f>Schedule!BU28</f>
        <v>0</v>
      </c>
      <c r="BE26" s="176" t="str">
        <f>Schedule!BV28</f>
        <v>0</v>
      </c>
      <c r="BF26" s="176" t="str">
        <f>Schedule!BW28</f>
        <v>0</v>
      </c>
      <c r="BG26" s="176" t="str">
        <f>Schedule!BX28</f>
        <v>0</v>
      </c>
      <c r="BH26" s="176" t="str">
        <f>Schedule!BY28</f>
        <v>0</v>
      </c>
      <c r="BI26" s="176" t="str">
        <f>Schedule!BZ28</f>
        <v>0</v>
      </c>
      <c r="BJ26" s="176" t="str">
        <f>Schedule!CA28</f>
        <v>0</v>
      </c>
      <c r="BK26" s="178"/>
      <c r="BL26" s="176" t="str">
        <f>Schedule!CB28</f>
        <v>0</v>
      </c>
      <c r="BM26" s="176" t="str">
        <f>Schedule!CC28</f>
        <v>0</v>
      </c>
      <c r="BN26" s="176" t="str">
        <f>Schedule!CD28</f>
        <v>0</v>
      </c>
      <c r="BO26" s="176" t="str">
        <f>Schedule!CE28</f>
        <v>0</v>
      </c>
      <c r="BP26" s="176" t="str">
        <f>Schedule!CF28</f>
        <v>0</v>
      </c>
      <c r="BQ26" s="176" t="str">
        <f>Schedule!CG28</f>
        <v>0</v>
      </c>
      <c r="BR26" s="176" t="str">
        <f>Schedule!CH28</f>
        <v>0</v>
      </c>
      <c r="BS26" s="176" t="str">
        <f>Schedule!CI28</f>
        <v>0</v>
      </c>
      <c r="BT26" s="176" t="str">
        <f>Schedule!CJ28</f>
        <v>0</v>
      </c>
      <c r="BU26" s="178"/>
      <c r="BV26" s="176" t="str">
        <f>Schedule!CK28</f>
        <v>0</v>
      </c>
      <c r="BW26" s="176" t="str">
        <f>Schedule!CL28</f>
        <v>0</v>
      </c>
      <c r="BX26" s="176" t="str">
        <f>Schedule!CM28</f>
        <v>0</v>
      </c>
      <c r="BY26" s="176" t="str">
        <f>Schedule!CN28</f>
        <v>0</v>
      </c>
      <c r="BZ26" s="176" t="str">
        <f>Schedule!CO28</f>
        <v>0</v>
      </c>
      <c r="CA26" s="176" t="str">
        <f>Schedule!CP28</f>
        <v>0</v>
      </c>
      <c r="CB26" s="176" t="str">
        <f>Schedule!CQ28</f>
        <v>0</v>
      </c>
      <c r="CC26" s="176" t="str">
        <f>Schedule!CR28</f>
        <v>0</v>
      </c>
      <c r="CD26" s="176" t="str">
        <f>Schedule!CS28</f>
        <v>0</v>
      </c>
      <c r="CE26" s="178"/>
      <c r="CF26" s="176" t="str">
        <f>Schedule!CT28</f>
        <v>0</v>
      </c>
      <c r="CG26" s="176" t="str">
        <f>Schedule!CU28</f>
        <v>0</v>
      </c>
      <c r="CH26" s="176" t="str">
        <f>Schedule!CV28</f>
        <v>0</v>
      </c>
      <c r="CI26" s="176" t="str">
        <f>Schedule!CW28</f>
        <v>0</v>
      </c>
      <c r="CJ26" s="176" t="str">
        <f>Schedule!CX28</f>
        <v>0</v>
      </c>
      <c r="CK26" s="176" t="str">
        <f>Schedule!CY28</f>
        <v>0</v>
      </c>
      <c r="CL26" s="176" t="str">
        <f>Schedule!CZ28</f>
        <v>0</v>
      </c>
      <c r="CM26" s="176" t="str">
        <f>Schedule!DA28</f>
        <v>0</v>
      </c>
      <c r="CN26" s="176" t="str">
        <f>Schedule!DB28</f>
        <v>0</v>
      </c>
      <c r="CO26" s="178"/>
      <c r="CP26" s="176" t="str">
        <f>Schedule!DC28</f>
        <v>0</v>
      </c>
      <c r="CQ26" s="176" t="str">
        <f>Schedule!DD28</f>
        <v>0</v>
      </c>
      <c r="CR26" s="176" t="str">
        <f>Schedule!DE28</f>
        <v>0</v>
      </c>
      <c r="CS26" s="176" t="str">
        <f>Schedule!DF28</f>
        <v>0</v>
      </c>
      <c r="CT26" s="176" t="str">
        <f>Schedule!DG28</f>
        <v>0</v>
      </c>
      <c r="CU26" s="176" t="str">
        <f>Schedule!DH28</f>
        <v>0</v>
      </c>
      <c r="CV26" s="176" t="str">
        <f>Schedule!DI28</f>
        <v>0</v>
      </c>
      <c r="CW26" s="176" t="str">
        <f>Schedule!DJ28</f>
        <v>0</v>
      </c>
      <c r="CX26" s="176" t="str">
        <f>Schedule!DK28</f>
        <v>0</v>
      </c>
      <c r="CY26" s="178"/>
      <c r="CZ26" s="176" t="str">
        <f>Schedule!DL28</f>
        <v>0</v>
      </c>
      <c r="DA26" s="176" t="str">
        <f>Schedule!DM28</f>
        <v>0</v>
      </c>
      <c r="DB26" s="176" t="str">
        <f>Schedule!DN28</f>
        <v>0</v>
      </c>
      <c r="DC26" s="176" t="str">
        <f>Schedule!DO28</f>
        <v>0</v>
      </c>
      <c r="DD26" s="176" t="str">
        <f>Schedule!DP28</f>
        <v>0</v>
      </c>
      <c r="DE26" s="176" t="str">
        <f>Schedule!DQ28</f>
        <v>0</v>
      </c>
      <c r="DF26" s="176" t="str">
        <f>Schedule!DR28</f>
        <v>0</v>
      </c>
      <c r="DG26" s="176" t="str">
        <f>Schedule!DS28</f>
        <v>0</v>
      </c>
      <c r="DH26" s="176" t="str">
        <f>Schedule!DT28</f>
        <v>0</v>
      </c>
      <c r="DI26" s="178"/>
      <c r="DJ26" s="176" t="str">
        <f>Schedule!DU28</f>
        <v>0</v>
      </c>
      <c r="DK26" s="176" t="str">
        <f>Schedule!DV28</f>
        <v>0</v>
      </c>
      <c r="DL26" s="176" t="str">
        <f>Schedule!DW28</f>
        <v>0</v>
      </c>
      <c r="DM26" s="176" t="str">
        <f>Schedule!DX28</f>
        <v>0</v>
      </c>
      <c r="DN26" s="176" t="str">
        <f>Schedule!DY28</f>
        <v>0</v>
      </c>
      <c r="DO26" s="176" t="str">
        <f>Schedule!DZ28</f>
        <v>0</v>
      </c>
      <c r="DP26" s="176" t="str">
        <f>Schedule!EA28</f>
        <v>0</v>
      </c>
      <c r="DQ26" s="176" t="str">
        <f>Schedule!EB28</f>
        <v>0</v>
      </c>
      <c r="DR26" s="176" t="str">
        <f>Schedule!EC28</f>
        <v>0</v>
      </c>
      <c r="DS26" s="178"/>
      <c r="DT26" s="176" t="str">
        <f>Schedule!ED28</f>
        <v>0</v>
      </c>
      <c r="DU26" s="176" t="str">
        <f>Schedule!EE28</f>
        <v>0</v>
      </c>
      <c r="DV26" s="176" t="str">
        <f>Schedule!EF28</f>
        <v>0</v>
      </c>
      <c r="DW26" s="176" t="str">
        <f>Schedule!EG28</f>
        <v>0</v>
      </c>
      <c r="DX26" s="176" t="str">
        <f>Schedule!EH28</f>
        <v>0</v>
      </c>
      <c r="DY26" s="176" t="str">
        <f>Schedule!EI28</f>
        <v>0</v>
      </c>
      <c r="DZ26" s="176" t="str">
        <f>Schedule!EJ28</f>
        <v>0</v>
      </c>
      <c r="EA26" s="176" t="str">
        <f>Schedule!EK28</f>
        <v>0</v>
      </c>
      <c r="EB26" s="176" t="str">
        <f>Schedule!EL28</f>
        <v>0</v>
      </c>
      <c r="EC26" s="178"/>
      <c r="ED26" s="176" t="str">
        <f>Schedule!EM28</f>
        <v>0</v>
      </c>
      <c r="EE26" s="176" t="str">
        <f>Schedule!EN28</f>
        <v>0</v>
      </c>
      <c r="EF26" s="176" t="str">
        <f>Schedule!EO28</f>
        <v>0</v>
      </c>
      <c r="EG26" s="176" t="str">
        <f>Schedule!EP28</f>
        <v>0</v>
      </c>
      <c r="EH26" s="176" t="str">
        <f>Schedule!EQ28</f>
        <v>0</v>
      </c>
      <c r="EI26" s="176" t="str">
        <f>Schedule!ER28</f>
        <v>0</v>
      </c>
      <c r="EJ26" s="176" t="str">
        <f>Schedule!ES28</f>
        <v>0</v>
      </c>
      <c r="EK26" s="176" t="str">
        <f>Schedule!ET28</f>
        <v>0</v>
      </c>
      <c r="EL26" s="176" t="str">
        <f>Schedule!EU28</f>
        <v>0</v>
      </c>
      <c r="EM26" s="178"/>
      <c r="EN26" s="176" t="str">
        <f>Schedule!EV28</f>
        <v>0</v>
      </c>
      <c r="EO26" s="176" t="str">
        <f>Schedule!EW28</f>
        <v>0</v>
      </c>
      <c r="EP26" s="176" t="str">
        <f>Schedule!EX28</f>
        <v>0</v>
      </c>
      <c r="EQ26" s="176" t="str">
        <f>Schedule!EY28</f>
        <v>0</v>
      </c>
      <c r="ER26" s="176" t="str">
        <f>Schedule!EZ28</f>
        <v>0</v>
      </c>
      <c r="ES26" s="176" t="str">
        <f>Schedule!FA28</f>
        <v>0</v>
      </c>
      <c r="ET26" s="176" t="str">
        <f>Schedule!FB28</f>
        <v>0</v>
      </c>
      <c r="EU26" s="176" t="str">
        <f>Schedule!FC28</f>
        <v>0</v>
      </c>
      <c r="EV26" s="176" t="str">
        <f>Schedule!FD28</f>
        <v>0</v>
      </c>
      <c r="EW26" s="178"/>
      <c r="EX26" s="176" t="str">
        <f>Schedule!FE28</f>
        <v>0</v>
      </c>
      <c r="EY26" s="176" t="str">
        <f>Schedule!FF28</f>
        <v>0</v>
      </c>
      <c r="EZ26" s="176" t="str">
        <f>Schedule!FG28</f>
        <v>0</v>
      </c>
      <c r="FA26" s="176" t="str">
        <f>Schedule!FH28</f>
        <v>0</v>
      </c>
      <c r="FB26" s="176" t="str">
        <f>Schedule!FI28</f>
        <v>0</v>
      </c>
      <c r="FC26" s="176" t="str">
        <f>Schedule!FJ28</f>
        <v>0</v>
      </c>
      <c r="FD26" s="176" t="str">
        <f>Schedule!FK28</f>
        <v>0</v>
      </c>
      <c r="FE26" s="176" t="str">
        <f>Schedule!FL28</f>
        <v>0</v>
      </c>
      <c r="FF26" s="176" t="str">
        <f>Schedule!FM28</f>
        <v>0</v>
      </c>
      <c r="FG26" s="178"/>
      <c r="FH26" s="176" t="str">
        <f>Schedule!FN28</f>
        <v>0</v>
      </c>
      <c r="FI26" s="176" t="str">
        <f>Schedule!FO28</f>
        <v>0</v>
      </c>
      <c r="FJ26" s="176" t="str">
        <f>Schedule!FP28</f>
        <v>0</v>
      </c>
      <c r="FK26" s="176" t="str">
        <f>Schedule!FQ28</f>
        <v>0</v>
      </c>
      <c r="FL26" s="176" t="str">
        <f>Schedule!FR28</f>
        <v>0</v>
      </c>
      <c r="FM26" s="176" t="str">
        <f>Schedule!FS28</f>
        <v>0</v>
      </c>
      <c r="FN26" s="176" t="str">
        <f>Schedule!FT28</f>
        <v>0</v>
      </c>
      <c r="FO26" s="176" t="str">
        <f>Schedule!FU28</f>
        <v>0</v>
      </c>
      <c r="FP26" s="176" t="str">
        <f>Schedule!FV28</f>
        <v>0</v>
      </c>
      <c r="FQ26" s="178"/>
      <c r="FR26" s="176" t="str">
        <f>Schedule!FW28</f>
        <v>0</v>
      </c>
      <c r="FS26" s="176" t="str">
        <f>Schedule!FX28</f>
        <v>0</v>
      </c>
      <c r="FT26" s="176" t="str">
        <f>Schedule!FY28</f>
        <v>0</v>
      </c>
      <c r="FU26" s="176" t="str">
        <f>Schedule!FZ28</f>
        <v>0</v>
      </c>
      <c r="FV26" s="176" t="str">
        <f>Schedule!GA28</f>
        <v>0</v>
      </c>
      <c r="FW26" s="176" t="str">
        <f>Schedule!GB28</f>
        <v>0</v>
      </c>
      <c r="FX26" s="176" t="str">
        <f>Schedule!GC28</f>
        <v>0</v>
      </c>
      <c r="FY26" s="176" t="str">
        <f>Schedule!GD28</f>
        <v>0</v>
      </c>
      <c r="FZ26" s="176" t="str">
        <f>Schedule!GE28</f>
        <v>0</v>
      </c>
      <c r="GA26" s="178"/>
      <c r="GB26" s="176" t="str">
        <f>Schedule!GF28</f>
        <v>0</v>
      </c>
      <c r="GC26" s="176" t="str">
        <f>Schedule!GG28</f>
        <v>0</v>
      </c>
      <c r="GD26" s="176" t="str">
        <f>Schedule!GH28</f>
        <v>0</v>
      </c>
      <c r="GE26" s="176" t="str">
        <f>Schedule!GI28</f>
        <v>0</v>
      </c>
      <c r="GF26" s="176" t="str">
        <f>Schedule!GJ28</f>
        <v>0</v>
      </c>
      <c r="GG26" s="176" t="str">
        <f>Schedule!GK28</f>
        <v>0</v>
      </c>
      <c r="GH26" s="176" t="str">
        <f>Schedule!GL28</f>
        <v>0</v>
      </c>
      <c r="GI26" s="176" t="str">
        <f>Schedule!GM28</f>
        <v>0</v>
      </c>
      <c r="GJ26" s="176" t="str">
        <f>Schedule!GN28</f>
        <v>0</v>
      </c>
      <c r="GK26" s="178"/>
      <c r="GL26" s="176" t="str">
        <f>Schedule!GO28</f>
        <v>0</v>
      </c>
      <c r="GM26" s="176" t="str">
        <f>Schedule!GP28</f>
        <v>0</v>
      </c>
      <c r="GN26" s="176" t="str">
        <f>Schedule!GQ28</f>
        <v>0</v>
      </c>
      <c r="GO26" s="176" t="str">
        <f>Schedule!GR28</f>
        <v>0</v>
      </c>
      <c r="GP26" s="176" t="str">
        <f>Schedule!GS28</f>
        <v>0</v>
      </c>
      <c r="GQ26" s="176" t="str">
        <f>Schedule!GT28</f>
        <v>0</v>
      </c>
      <c r="GR26" s="176" t="str">
        <f>Schedule!GU28</f>
        <v>0</v>
      </c>
      <c r="GS26" s="176" t="str">
        <f>Schedule!GV28</f>
        <v>0</v>
      </c>
      <c r="GT26" s="176" t="str">
        <f>Schedule!GW28</f>
        <v>0</v>
      </c>
      <c r="GW26" s="227"/>
    </row>
    <row r="27" spans="2:205" ht="15.75" hidden="1" customHeight="1">
      <c r="B27" s="269"/>
      <c r="C27" s="159">
        <f>Schedule!C29</f>
        <v>0</v>
      </c>
      <c r="D27" s="176" t="str">
        <f>Schedule!Z29</f>
        <v>0</v>
      </c>
      <c r="E27" s="176" t="str">
        <f>Schedule!AA29</f>
        <v>0</v>
      </c>
      <c r="F27" s="176" t="str">
        <f>Schedule!AB29</f>
        <v>0</v>
      </c>
      <c r="G27" s="176" t="str">
        <f>Schedule!AC29</f>
        <v>0</v>
      </c>
      <c r="H27" s="176" t="str">
        <f>Schedule!AD29</f>
        <v>0</v>
      </c>
      <c r="I27" s="176" t="str">
        <f>Schedule!AE29</f>
        <v>0</v>
      </c>
      <c r="J27" s="176" t="str">
        <f>Schedule!AF29</f>
        <v>0</v>
      </c>
      <c r="K27" s="181" t="str">
        <f>Schedule!AG29</f>
        <v>0</v>
      </c>
      <c r="L27" s="181" t="str">
        <f>Schedule!AH29</f>
        <v>0</v>
      </c>
      <c r="M27" s="178"/>
      <c r="N27" s="183" t="str">
        <f>Schedule!AI29</f>
        <v>0</v>
      </c>
      <c r="O27" s="176" t="str">
        <f>Schedule!AJ29</f>
        <v>0</v>
      </c>
      <c r="P27" s="176" t="str">
        <f>Schedule!AK29</f>
        <v>0</v>
      </c>
      <c r="Q27" s="176" t="str">
        <f>Schedule!AL29</f>
        <v>0</v>
      </c>
      <c r="R27" s="176" t="str">
        <f>Schedule!AM29</f>
        <v>0</v>
      </c>
      <c r="S27" s="176" t="str">
        <f>Schedule!AN29</f>
        <v>0</v>
      </c>
      <c r="T27" s="176" t="str">
        <f>Schedule!AO29</f>
        <v>0</v>
      </c>
      <c r="U27" s="176" t="str">
        <f>Schedule!AP29</f>
        <v>0</v>
      </c>
      <c r="V27" s="176" t="str">
        <f>Schedule!AQ29</f>
        <v>0</v>
      </c>
      <c r="W27" s="178"/>
      <c r="X27" s="176" t="str">
        <f>Schedule!AR29</f>
        <v>0</v>
      </c>
      <c r="Y27" s="176" t="str">
        <f>Schedule!AS29</f>
        <v>0</v>
      </c>
      <c r="Z27" s="176" t="str">
        <f>Schedule!AT29</f>
        <v>0</v>
      </c>
      <c r="AA27" s="176" t="str">
        <f>Schedule!AU29</f>
        <v>0</v>
      </c>
      <c r="AB27" s="176" t="str">
        <f>Schedule!AV29</f>
        <v>0</v>
      </c>
      <c r="AC27" s="176" t="str">
        <f>Schedule!AW29</f>
        <v>0</v>
      </c>
      <c r="AD27" s="176" t="str">
        <f>Schedule!AX29</f>
        <v>0</v>
      </c>
      <c r="AE27" s="176" t="str">
        <f>Schedule!AY29</f>
        <v>0</v>
      </c>
      <c r="AF27" s="176" t="str">
        <f>Schedule!AZ29</f>
        <v>0</v>
      </c>
      <c r="AG27" s="178"/>
      <c r="AH27" s="176" t="str">
        <f>Schedule!BA29</f>
        <v>0</v>
      </c>
      <c r="AI27" s="176" t="str">
        <f>Schedule!BB29</f>
        <v>0</v>
      </c>
      <c r="AJ27" s="176" t="str">
        <f>Schedule!BC29</f>
        <v>0</v>
      </c>
      <c r="AK27" s="176" t="str">
        <f>Schedule!BD29</f>
        <v>0</v>
      </c>
      <c r="AL27" s="176" t="str">
        <f>Schedule!BE29</f>
        <v>0</v>
      </c>
      <c r="AM27" s="176" t="str">
        <f>Schedule!BF29</f>
        <v>0</v>
      </c>
      <c r="AN27" s="176" t="str">
        <f>Schedule!BG29</f>
        <v>0</v>
      </c>
      <c r="AO27" s="176" t="str">
        <f>Schedule!BH29</f>
        <v>0</v>
      </c>
      <c r="AP27" s="176" t="str">
        <f>Schedule!BI29</f>
        <v>0</v>
      </c>
      <c r="AQ27" s="178"/>
      <c r="AR27" s="176" t="str">
        <f>Schedule!BJ29</f>
        <v>0</v>
      </c>
      <c r="AS27" s="176" t="str">
        <f>Schedule!BK29</f>
        <v>0</v>
      </c>
      <c r="AT27" s="176" t="str">
        <f>Schedule!BL29</f>
        <v>0</v>
      </c>
      <c r="AU27" s="176" t="str">
        <f>Schedule!BM29</f>
        <v>0</v>
      </c>
      <c r="AV27" s="176" t="str">
        <f>Schedule!BN29</f>
        <v>0</v>
      </c>
      <c r="AW27" s="176" t="str">
        <f>Schedule!BO29</f>
        <v>0</v>
      </c>
      <c r="AX27" s="176" t="str">
        <f>Schedule!BP29</f>
        <v>0</v>
      </c>
      <c r="AY27" s="176" t="str">
        <f>Schedule!BQ29</f>
        <v>0</v>
      </c>
      <c r="AZ27" s="176" t="str">
        <f>Schedule!BR29</f>
        <v>0</v>
      </c>
      <c r="BA27" s="178"/>
      <c r="BB27" s="176" t="str">
        <f>Schedule!BS29</f>
        <v>0</v>
      </c>
      <c r="BC27" s="176" t="str">
        <f>Schedule!BT29</f>
        <v>0</v>
      </c>
      <c r="BD27" s="176" t="str">
        <f>Schedule!BU29</f>
        <v>0</v>
      </c>
      <c r="BE27" s="176" t="str">
        <f>Schedule!BV29</f>
        <v>0</v>
      </c>
      <c r="BF27" s="176" t="str">
        <f>Schedule!BW29</f>
        <v>0</v>
      </c>
      <c r="BG27" s="176" t="str">
        <f>Schedule!BX29</f>
        <v>0</v>
      </c>
      <c r="BH27" s="176" t="str">
        <f>Schedule!BY29</f>
        <v>0</v>
      </c>
      <c r="BI27" s="176" t="str">
        <f>Schedule!BZ29</f>
        <v>0</v>
      </c>
      <c r="BJ27" s="176" t="str">
        <f>Schedule!CA29</f>
        <v>0</v>
      </c>
      <c r="BK27" s="178"/>
      <c r="BL27" s="176" t="str">
        <f>Schedule!CB29</f>
        <v>0</v>
      </c>
      <c r="BM27" s="176" t="str">
        <f>Schedule!CC29</f>
        <v>0</v>
      </c>
      <c r="BN27" s="176" t="str">
        <f>Schedule!CD29</f>
        <v>0</v>
      </c>
      <c r="BO27" s="176" t="str">
        <f>Schedule!CE29</f>
        <v>0</v>
      </c>
      <c r="BP27" s="176" t="str">
        <f>Schedule!CF29</f>
        <v>0</v>
      </c>
      <c r="BQ27" s="176" t="str">
        <f>Schedule!CG29</f>
        <v>0</v>
      </c>
      <c r="BR27" s="176" t="str">
        <f>Schedule!CH29</f>
        <v>0</v>
      </c>
      <c r="BS27" s="176" t="str">
        <f>Schedule!CI29</f>
        <v>0</v>
      </c>
      <c r="BT27" s="176" t="str">
        <f>Schedule!CJ29</f>
        <v>0</v>
      </c>
      <c r="BU27" s="178"/>
      <c r="BV27" s="176" t="str">
        <f>Schedule!CK29</f>
        <v>0</v>
      </c>
      <c r="BW27" s="176" t="str">
        <f>Schedule!CL29</f>
        <v>0</v>
      </c>
      <c r="BX27" s="176" t="str">
        <f>Schedule!CM29</f>
        <v>0</v>
      </c>
      <c r="BY27" s="176" t="str">
        <f>Schedule!CN29</f>
        <v>0</v>
      </c>
      <c r="BZ27" s="176" t="str">
        <f>Schedule!CO29</f>
        <v>0</v>
      </c>
      <c r="CA27" s="176" t="str">
        <f>Schedule!CP29</f>
        <v>0</v>
      </c>
      <c r="CB27" s="176" t="str">
        <f>Schedule!CQ29</f>
        <v>0</v>
      </c>
      <c r="CC27" s="176" t="str">
        <f>Schedule!CR29</f>
        <v>0</v>
      </c>
      <c r="CD27" s="176" t="str">
        <f>Schedule!CS29</f>
        <v>0</v>
      </c>
      <c r="CE27" s="178"/>
      <c r="CF27" s="176" t="str">
        <f>Schedule!CT29</f>
        <v>0</v>
      </c>
      <c r="CG27" s="176" t="str">
        <f>Schedule!CU29</f>
        <v>0</v>
      </c>
      <c r="CH27" s="176" t="str">
        <f>Schedule!CV29</f>
        <v>0</v>
      </c>
      <c r="CI27" s="176" t="str">
        <f>Schedule!CW29</f>
        <v>0</v>
      </c>
      <c r="CJ27" s="176" t="str">
        <f>Schedule!CX29</f>
        <v>0</v>
      </c>
      <c r="CK27" s="176" t="str">
        <f>Schedule!CY29</f>
        <v>0</v>
      </c>
      <c r="CL27" s="176" t="str">
        <f>Schedule!CZ29</f>
        <v>0</v>
      </c>
      <c r="CM27" s="176" t="str">
        <f>Schedule!DA29</f>
        <v>0</v>
      </c>
      <c r="CN27" s="176" t="str">
        <f>Schedule!DB29</f>
        <v>0</v>
      </c>
      <c r="CO27" s="178"/>
      <c r="CP27" s="176" t="str">
        <f>Schedule!DC29</f>
        <v>0</v>
      </c>
      <c r="CQ27" s="176" t="str">
        <f>Schedule!DD29</f>
        <v>0</v>
      </c>
      <c r="CR27" s="176" t="str">
        <f>Schedule!DE29</f>
        <v>0</v>
      </c>
      <c r="CS27" s="176" t="str">
        <f>Schedule!DF29</f>
        <v>0</v>
      </c>
      <c r="CT27" s="176" t="str">
        <f>Schedule!DG29</f>
        <v>0</v>
      </c>
      <c r="CU27" s="176" t="str">
        <f>Schedule!DH29</f>
        <v>0</v>
      </c>
      <c r="CV27" s="176" t="str">
        <f>Schedule!DI29</f>
        <v>0</v>
      </c>
      <c r="CW27" s="176" t="str">
        <f>Schedule!DJ29</f>
        <v>0</v>
      </c>
      <c r="CX27" s="176" t="str">
        <f>Schedule!DK29</f>
        <v>0</v>
      </c>
      <c r="CY27" s="178"/>
      <c r="CZ27" s="176" t="str">
        <f>Schedule!DL29</f>
        <v>0</v>
      </c>
      <c r="DA27" s="176" t="str">
        <f>Schedule!DM29</f>
        <v>0</v>
      </c>
      <c r="DB27" s="176" t="str">
        <f>Schedule!DN29</f>
        <v>0</v>
      </c>
      <c r="DC27" s="176" t="str">
        <f>Schedule!DO29</f>
        <v>0</v>
      </c>
      <c r="DD27" s="176" t="str">
        <f>Schedule!DP29</f>
        <v>0</v>
      </c>
      <c r="DE27" s="176" t="str">
        <f>Schedule!DQ29</f>
        <v>0</v>
      </c>
      <c r="DF27" s="176" t="str">
        <f>Schedule!DR29</f>
        <v>0</v>
      </c>
      <c r="DG27" s="176" t="str">
        <f>Schedule!DS29</f>
        <v>0</v>
      </c>
      <c r="DH27" s="176" t="str">
        <f>Schedule!DT29</f>
        <v>0</v>
      </c>
      <c r="DI27" s="178"/>
      <c r="DJ27" s="176" t="str">
        <f>Schedule!DU29</f>
        <v>0</v>
      </c>
      <c r="DK27" s="176" t="str">
        <f>Schedule!DV29</f>
        <v>0</v>
      </c>
      <c r="DL27" s="176" t="str">
        <f>Schedule!DW29</f>
        <v>0</v>
      </c>
      <c r="DM27" s="176" t="str">
        <f>Schedule!DX29</f>
        <v>0</v>
      </c>
      <c r="DN27" s="176" t="str">
        <f>Schedule!DY29</f>
        <v>0</v>
      </c>
      <c r="DO27" s="176" t="str">
        <f>Schedule!DZ29</f>
        <v>0</v>
      </c>
      <c r="DP27" s="176" t="str">
        <f>Schedule!EA29</f>
        <v>0</v>
      </c>
      <c r="DQ27" s="176" t="str">
        <f>Schedule!EB29</f>
        <v>0</v>
      </c>
      <c r="DR27" s="176" t="str">
        <f>Schedule!EC29</f>
        <v>0</v>
      </c>
      <c r="DS27" s="178"/>
      <c r="DT27" s="176" t="str">
        <f>Schedule!ED29</f>
        <v>0</v>
      </c>
      <c r="DU27" s="176" t="str">
        <f>Schedule!EE29</f>
        <v>0</v>
      </c>
      <c r="DV27" s="176" t="str">
        <f>Schedule!EF29</f>
        <v>0</v>
      </c>
      <c r="DW27" s="176" t="str">
        <f>Schedule!EG29</f>
        <v>0</v>
      </c>
      <c r="DX27" s="176" t="str">
        <f>Schedule!EH29</f>
        <v>0</v>
      </c>
      <c r="DY27" s="176" t="str">
        <f>Schedule!EI29</f>
        <v>0</v>
      </c>
      <c r="DZ27" s="176" t="str">
        <f>Schedule!EJ29</f>
        <v>0</v>
      </c>
      <c r="EA27" s="176" t="str">
        <f>Schedule!EK29</f>
        <v>0</v>
      </c>
      <c r="EB27" s="176" t="str">
        <f>Schedule!EL29</f>
        <v>0</v>
      </c>
      <c r="EC27" s="178"/>
      <c r="ED27" s="176" t="str">
        <f>Schedule!EM29</f>
        <v>0</v>
      </c>
      <c r="EE27" s="176" t="str">
        <f>Schedule!EN29</f>
        <v>0</v>
      </c>
      <c r="EF27" s="176" t="str">
        <f>Schedule!EO29</f>
        <v>0</v>
      </c>
      <c r="EG27" s="176" t="str">
        <f>Schedule!EP29</f>
        <v>0</v>
      </c>
      <c r="EH27" s="176" t="str">
        <f>Schedule!EQ29</f>
        <v>0</v>
      </c>
      <c r="EI27" s="176" t="str">
        <f>Schedule!ER29</f>
        <v>0</v>
      </c>
      <c r="EJ27" s="176" t="str">
        <f>Schedule!ES29</f>
        <v>0</v>
      </c>
      <c r="EK27" s="176" t="str">
        <f>Schedule!ET29</f>
        <v>0</v>
      </c>
      <c r="EL27" s="176" t="str">
        <f>Schedule!EU29</f>
        <v>0</v>
      </c>
      <c r="EM27" s="178"/>
      <c r="EN27" s="176" t="str">
        <f>Schedule!EV29</f>
        <v>0</v>
      </c>
      <c r="EO27" s="176" t="str">
        <f>Schedule!EW29</f>
        <v>0</v>
      </c>
      <c r="EP27" s="176" t="str">
        <f>Schedule!EX29</f>
        <v>0</v>
      </c>
      <c r="EQ27" s="176" t="str">
        <f>Schedule!EY29</f>
        <v>0</v>
      </c>
      <c r="ER27" s="176" t="str">
        <f>Schedule!EZ29</f>
        <v>0</v>
      </c>
      <c r="ES27" s="176" t="str">
        <f>Schedule!FA29</f>
        <v>0</v>
      </c>
      <c r="ET27" s="176" t="str">
        <f>Schedule!FB29</f>
        <v>0</v>
      </c>
      <c r="EU27" s="176" t="str">
        <f>Schedule!FC29</f>
        <v>0</v>
      </c>
      <c r="EV27" s="176" t="str">
        <f>Schedule!FD29</f>
        <v>0</v>
      </c>
      <c r="EW27" s="178"/>
      <c r="EX27" s="176" t="str">
        <f>Schedule!FE29</f>
        <v>0</v>
      </c>
      <c r="EY27" s="176" t="str">
        <f>Schedule!FF29</f>
        <v>0</v>
      </c>
      <c r="EZ27" s="176" t="str">
        <f>Schedule!FG29</f>
        <v>0</v>
      </c>
      <c r="FA27" s="176" t="str">
        <f>Schedule!FH29</f>
        <v>0</v>
      </c>
      <c r="FB27" s="176" t="str">
        <f>Schedule!FI29</f>
        <v>0</v>
      </c>
      <c r="FC27" s="176" t="str">
        <f>Schedule!FJ29</f>
        <v>0</v>
      </c>
      <c r="FD27" s="176" t="str">
        <f>Schedule!FK29</f>
        <v>0</v>
      </c>
      <c r="FE27" s="176" t="str">
        <f>Schedule!FL29</f>
        <v>0</v>
      </c>
      <c r="FF27" s="176" t="str">
        <f>Schedule!FM29</f>
        <v>0</v>
      </c>
      <c r="FG27" s="178"/>
      <c r="FH27" s="176" t="str">
        <f>Schedule!FN29</f>
        <v>0</v>
      </c>
      <c r="FI27" s="176" t="str">
        <f>Schedule!FO29</f>
        <v>0</v>
      </c>
      <c r="FJ27" s="176" t="str">
        <f>Schedule!FP29</f>
        <v>0</v>
      </c>
      <c r="FK27" s="176" t="str">
        <f>Schedule!FQ29</f>
        <v>0</v>
      </c>
      <c r="FL27" s="176" t="str">
        <f>Schedule!FR29</f>
        <v>0</v>
      </c>
      <c r="FM27" s="176" t="str">
        <f>Schedule!FS29</f>
        <v>0</v>
      </c>
      <c r="FN27" s="176" t="str">
        <f>Schedule!FT29</f>
        <v>0</v>
      </c>
      <c r="FO27" s="176" t="str">
        <f>Schedule!FU29</f>
        <v>0</v>
      </c>
      <c r="FP27" s="176" t="str">
        <f>Schedule!FV29</f>
        <v>0</v>
      </c>
      <c r="FQ27" s="178"/>
      <c r="FR27" s="176" t="str">
        <f>Schedule!FW29</f>
        <v>0</v>
      </c>
      <c r="FS27" s="176" t="str">
        <f>Schedule!FX29</f>
        <v>0</v>
      </c>
      <c r="FT27" s="176" t="str">
        <f>Schedule!FY29</f>
        <v>0</v>
      </c>
      <c r="FU27" s="176" t="str">
        <f>Schedule!FZ29</f>
        <v>0</v>
      </c>
      <c r="FV27" s="176" t="str">
        <f>Schedule!GA29</f>
        <v>0</v>
      </c>
      <c r="FW27" s="176" t="str">
        <f>Schedule!GB29</f>
        <v>0</v>
      </c>
      <c r="FX27" s="176" t="str">
        <f>Schedule!GC29</f>
        <v>0</v>
      </c>
      <c r="FY27" s="176" t="str">
        <f>Schedule!GD29</f>
        <v>0</v>
      </c>
      <c r="FZ27" s="176" t="str">
        <f>Schedule!GE29</f>
        <v>0</v>
      </c>
      <c r="GA27" s="178"/>
      <c r="GB27" s="176" t="str">
        <f>Schedule!GF29</f>
        <v>0</v>
      </c>
      <c r="GC27" s="176" t="str">
        <f>Schedule!GG29</f>
        <v>0</v>
      </c>
      <c r="GD27" s="176" t="str">
        <f>Schedule!GH29</f>
        <v>0</v>
      </c>
      <c r="GE27" s="176" t="str">
        <f>Schedule!GI29</f>
        <v>0</v>
      </c>
      <c r="GF27" s="176" t="str">
        <f>Schedule!GJ29</f>
        <v>0</v>
      </c>
      <c r="GG27" s="176" t="str">
        <f>Schedule!GK29</f>
        <v>0</v>
      </c>
      <c r="GH27" s="176" t="str">
        <f>Schedule!GL29</f>
        <v>0</v>
      </c>
      <c r="GI27" s="176" t="str">
        <f>Schedule!GM29</f>
        <v>0</v>
      </c>
      <c r="GJ27" s="176" t="str">
        <f>Schedule!GN29</f>
        <v>0</v>
      </c>
      <c r="GK27" s="178"/>
      <c r="GL27" s="176" t="str">
        <f>Schedule!GO29</f>
        <v>0</v>
      </c>
      <c r="GM27" s="176" t="str">
        <f>Schedule!GP29</f>
        <v>0</v>
      </c>
      <c r="GN27" s="176" t="str">
        <f>Schedule!GQ29</f>
        <v>0</v>
      </c>
      <c r="GO27" s="176" t="str">
        <f>Schedule!GR29</f>
        <v>0</v>
      </c>
      <c r="GP27" s="176" t="str">
        <f>Schedule!GS29</f>
        <v>0</v>
      </c>
      <c r="GQ27" s="176" t="str">
        <f>Schedule!GT29</f>
        <v>0</v>
      </c>
      <c r="GR27" s="176" t="str">
        <f>Schedule!GU29</f>
        <v>0</v>
      </c>
      <c r="GS27" s="176" t="str">
        <f>Schedule!GV29</f>
        <v>0</v>
      </c>
      <c r="GT27" s="176" t="str">
        <f>Schedule!GW29</f>
        <v>0</v>
      </c>
      <c r="GW27" s="227"/>
    </row>
    <row r="28" spans="2:205" ht="15.75" hidden="1" customHeight="1">
      <c r="B28" s="269"/>
      <c r="C28" s="159">
        <f>Schedule!C30</f>
        <v>0</v>
      </c>
      <c r="D28" s="176" t="str">
        <f>Schedule!Z30</f>
        <v>0</v>
      </c>
      <c r="E28" s="176" t="str">
        <f>Schedule!AA30</f>
        <v>0</v>
      </c>
      <c r="F28" s="176" t="str">
        <f>Schedule!AB30</f>
        <v>0</v>
      </c>
      <c r="G28" s="176" t="str">
        <f>Schedule!AC30</f>
        <v>0</v>
      </c>
      <c r="H28" s="176" t="str">
        <f>Schedule!AD30</f>
        <v>0</v>
      </c>
      <c r="I28" s="176" t="str">
        <f>Schedule!AE30</f>
        <v>0</v>
      </c>
      <c r="J28" s="176" t="str">
        <f>Schedule!AF30</f>
        <v>0</v>
      </c>
      <c r="K28" s="181" t="str">
        <f>Schedule!AG30</f>
        <v>0</v>
      </c>
      <c r="L28" s="181" t="str">
        <f>Schedule!AH30</f>
        <v>0</v>
      </c>
      <c r="M28" s="178"/>
      <c r="N28" s="183" t="str">
        <f>Schedule!AI30</f>
        <v>0</v>
      </c>
      <c r="O28" s="176" t="str">
        <f>Schedule!AJ30</f>
        <v>0</v>
      </c>
      <c r="P28" s="176" t="str">
        <f>Schedule!AK30</f>
        <v>0</v>
      </c>
      <c r="Q28" s="176" t="str">
        <f>Schedule!AL30</f>
        <v>0</v>
      </c>
      <c r="R28" s="176" t="str">
        <f>Schedule!AM30</f>
        <v>0</v>
      </c>
      <c r="S28" s="176" t="str">
        <f>Schedule!AN30</f>
        <v>0</v>
      </c>
      <c r="T28" s="176" t="str">
        <f>Schedule!AO30</f>
        <v>0</v>
      </c>
      <c r="U28" s="176" t="str">
        <f>Schedule!AP30</f>
        <v>0</v>
      </c>
      <c r="V28" s="176" t="str">
        <f>Schedule!AQ30</f>
        <v>0</v>
      </c>
      <c r="W28" s="178"/>
      <c r="X28" s="176" t="str">
        <f>Schedule!AR30</f>
        <v>0</v>
      </c>
      <c r="Y28" s="176" t="str">
        <f>Schedule!AS30</f>
        <v>0</v>
      </c>
      <c r="Z28" s="176" t="str">
        <f>Schedule!AT30</f>
        <v>0</v>
      </c>
      <c r="AA28" s="176" t="str">
        <f>Schedule!AU30</f>
        <v>0</v>
      </c>
      <c r="AB28" s="176" t="str">
        <f>Schedule!AV30</f>
        <v>0</v>
      </c>
      <c r="AC28" s="176" t="str">
        <f>Schedule!AW30</f>
        <v>0</v>
      </c>
      <c r="AD28" s="176" t="str">
        <f>Schedule!AX30</f>
        <v>0</v>
      </c>
      <c r="AE28" s="176" t="str">
        <f>Schedule!AY30</f>
        <v>0</v>
      </c>
      <c r="AF28" s="176" t="str">
        <f>Schedule!AZ30</f>
        <v>0</v>
      </c>
      <c r="AG28" s="178"/>
      <c r="AH28" s="176" t="str">
        <f>Schedule!BA30</f>
        <v>0</v>
      </c>
      <c r="AI28" s="176" t="str">
        <f>Schedule!BB30</f>
        <v>0</v>
      </c>
      <c r="AJ28" s="176" t="str">
        <f>Schedule!BC30</f>
        <v>0</v>
      </c>
      <c r="AK28" s="176" t="str">
        <f>Schedule!BD30</f>
        <v>0</v>
      </c>
      <c r="AL28" s="176" t="str">
        <f>Schedule!BE30</f>
        <v>0</v>
      </c>
      <c r="AM28" s="176" t="str">
        <f>Schedule!BF30</f>
        <v>0</v>
      </c>
      <c r="AN28" s="176" t="str">
        <f>Schedule!BG30</f>
        <v>0</v>
      </c>
      <c r="AO28" s="176" t="str">
        <f>Schedule!BH30</f>
        <v>0</v>
      </c>
      <c r="AP28" s="176" t="str">
        <f>Schedule!BI30</f>
        <v>0</v>
      </c>
      <c r="AQ28" s="178"/>
      <c r="AR28" s="176" t="str">
        <f>Schedule!BJ30</f>
        <v>0</v>
      </c>
      <c r="AS28" s="176" t="str">
        <f>Schedule!BK30</f>
        <v>0</v>
      </c>
      <c r="AT28" s="176" t="str">
        <f>Schedule!BL30</f>
        <v>0</v>
      </c>
      <c r="AU28" s="176" t="str">
        <f>Schedule!BM30</f>
        <v>0</v>
      </c>
      <c r="AV28" s="176" t="str">
        <f>Schedule!BN30</f>
        <v>0</v>
      </c>
      <c r="AW28" s="176" t="str">
        <f>Schedule!BO30</f>
        <v>0</v>
      </c>
      <c r="AX28" s="176" t="str">
        <f>Schedule!BP30</f>
        <v>0</v>
      </c>
      <c r="AY28" s="176" t="str">
        <f>Schedule!BQ30</f>
        <v>0</v>
      </c>
      <c r="AZ28" s="176" t="str">
        <f>Schedule!BR30</f>
        <v>0</v>
      </c>
      <c r="BA28" s="178"/>
      <c r="BB28" s="176" t="str">
        <f>Schedule!BS30</f>
        <v>0</v>
      </c>
      <c r="BC28" s="176" t="str">
        <f>Schedule!BT30</f>
        <v>0</v>
      </c>
      <c r="BD28" s="176" t="str">
        <f>Schedule!BU30</f>
        <v>0</v>
      </c>
      <c r="BE28" s="176" t="str">
        <f>Schedule!BV30</f>
        <v>0</v>
      </c>
      <c r="BF28" s="176" t="str">
        <f>Schedule!BW30</f>
        <v>0</v>
      </c>
      <c r="BG28" s="176" t="str">
        <f>Schedule!BX30</f>
        <v>0</v>
      </c>
      <c r="BH28" s="176" t="str">
        <f>Schedule!BY30</f>
        <v>0</v>
      </c>
      <c r="BI28" s="176" t="str">
        <f>Schedule!BZ30</f>
        <v>0</v>
      </c>
      <c r="BJ28" s="176" t="str">
        <f>Schedule!CA30</f>
        <v>0</v>
      </c>
      <c r="BK28" s="178"/>
      <c r="BL28" s="176" t="str">
        <f>Schedule!CB30</f>
        <v>0</v>
      </c>
      <c r="BM28" s="176" t="str">
        <f>Schedule!CC30</f>
        <v>0</v>
      </c>
      <c r="BN28" s="176" t="str">
        <f>Schedule!CD30</f>
        <v>0</v>
      </c>
      <c r="BO28" s="176" t="str">
        <f>Schedule!CE30</f>
        <v>0</v>
      </c>
      <c r="BP28" s="176" t="str">
        <f>Schedule!CF30</f>
        <v>0</v>
      </c>
      <c r="BQ28" s="176" t="str">
        <f>Schedule!CG30</f>
        <v>0</v>
      </c>
      <c r="BR28" s="176" t="str">
        <f>Schedule!CH30</f>
        <v>0</v>
      </c>
      <c r="BS28" s="176" t="str">
        <f>Schedule!CI30</f>
        <v>0</v>
      </c>
      <c r="BT28" s="176" t="str">
        <f>Schedule!CJ30</f>
        <v>0</v>
      </c>
      <c r="BU28" s="178"/>
      <c r="BV28" s="176" t="str">
        <f>Schedule!CK30</f>
        <v>0</v>
      </c>
      <c r="BW28" s="176" t="str">
        <f>Schedule!CL30</f>
        <v>0</v>
      </c>
      <c r="BX28" s="176" t="str">
        <f>Schedule!CM30</f>
        <v>0</v>
      </c>
      <c r="BY28" s="176" t="str">
        <f>Schedule!CN30</f>
        <v>0</v>
      </c>
      <c r="BZ28" s="176" t="str">
        <f>Schedule!CO30</f>
        <v>0</v>
      </c>
      <c r="CA28" s="176" t="str">
        <f>Schedule!CP30</f>
        <v>0</v>
      </c>
      <c r="CB28" s="176" t="str">
        <f>Schedule!CQ30</f>
        <v>0</v>
      </c>
      <c r="CC28" s="176" t="str">
        <f>Schedule!CR30</f>
        <v>0</v>
      </c>
      <c r="CD28" s="176" t="str">
        <f>Schedule!CS30</f>
        <v>0</v>
      </c>
      <c r="CE28" s="178"/>
      <c r="CF28" s="176" t="str">
        <f>Schedule!CT30</f>
        <v>0</v>
      </c>
      <c r="CG28" s="176" t="str">
        <f>Schedule!CU30</f>
        <v>0</v>
      </c>
      <c r="CH28" s="176" t="str">
        <f>Schedule!CV30</f>
        <v>0</v>
      </c>
      <c r="CI28" s="176" t="str">
        <f>Schedule!CW30</f>
        <v>0</v>
      </c>
      <c r="CJ28" s="176" t="str">
        <f>Schedule!CX30</f>
        <v>0</v>
      </c>
      <c r="CK28" s="176" t="str">
        <f>Schedule!CY30</f>
        <v>0</v>
      </c>
      <c r="CL28" s="176" t="str">
        <f>Schedule!CZ30</f>
        <v>0</v>
      </c>
      <c r="CM28" s="176" t="str">
        <f>Schedule!DA30</f>
        <v>0</v>
      </c>
      <c r="CN28" s="176" t="str">
        <f>Schedule!DB30</f>
        <v>0</v>
      </c>
      <c r="CO28" s="178"/>
      <c r="CP28" s="176" t="str">
        <f>Schedule!DC30</f>
        <v>0</v>
      </c>
      <c r="CQ28" s="176" t="str">
        <f>Schedule!DD30</f>
        <v>0</v>
      </c>
      <c r="CR28" s="176" t="str">
        <f>Schedule!DE30</f>
        <v>0</v>
      </c>
      <c r="CS28" s="176" t="str">
        <f>Schedule!DF30</f>
        <v>0</v>
      </c>
      <c r="CT28" s="176" t="str">
        <f>Schedule!DG30</f>
        <v>0</v>
      </c>
      <c r="CU28" s="176" t="str">
        <f>Schedule!DH30</f>
        <v>0</v>
      </c>
      <c r="CV28" s="176" t="str">
        <f>Schedule!DI30</f>
        <v>0</v>
      </c>
      <c r="CW28" s="176" t="str">
        <f>Schedule!DJ30</f>
        <v>0</v>
      </c>
      <c r="CX28" s="176" t="str">
        <f>Schedule!DK30</f>
        <v>0</v>
      </c>
      <c r="CY28" s="178"/>
      <c r="CZ28" s="176" t="str">
        <f>Schedule!DL30</f>
        <v>0</v>
      </c>
      <c r="DA28" s="176" t="str">
        <f>Schedule!DM30</f>
        <v>0</v>
      </c>
      <c r="DB28" s="176" t="str">
        <f>Schedule!DN30</f>
        <v>0</v>
      </c>
      <c r="DC28" s="176" t="str">
        <f>Schedule!DO30</f>
        <v>0</v>
      </c>
      <c r="DD28" s="176" t="str">
        <f>Schedule!DP30</f>
        <v>0</v>
      </c>
      <c r="DE28" s="176" t="str">
        <f>Schedule!DQ30</f>
        <v>0</v>
      </c>
      <c r="DF28" s="176" t="str">
        <f>Schedule!DR30</f>
        <v>0</v>
      </c>
      <c r="DG28" s="176" t="str">
        <f>Schedule!DS30</f>
        <v>0</v>
      </c>
      <c r="DH28" s="176" t="str">
        <f>Schedule!DT30</f>
        <v>0</v>
      </c>
      <c r="DI28" s="178"/>
      <c r="DJ28" s="176" t="str">
        <f>Schedule!DU30</f>
        <v>0</v>
      </c>
      <c r="DK28" s="176" t="str">
        <f>Schedule!DV30</f>
        <v>0</v>
      </c>
      <c r="DL28" s="176" t="str">
        <f>Schedule!DW30</f>
        <v>0</v>
      </c>
      <c r="DM28" s="176" t="str">
        <f>Schedule!DX30</f>
        <v>0</v>
      </c>
      <c r="DN28" s="176" t="str">
        <f>Schedule!DY30</f>
        <v>0</v>
      </c>
      <c r="DO28" s="176" t="str">
        <f>Schedule!DZ30</f>
        <v>0</v>
      </c>
      <c r="DP28" s="176" t="str">
        <f>Schedule!EA30</f>
        <v>0</v>
      </c>
      <c r="DQ28" s="176" t="str">
        <f>Schedule!EB30</f>
        <v>0</v>
      </c>
      <c r="DR28" s="176" t="str">
        <f>Schedule!EC30</f>
        <v>0</v>
      </c>
      <c r="DS28" s="178"/>
      <c r="DT28" s="176" t="str">
        <f>Schedule!ED30</f>
        <v>0</v>
      </c>
      <c r="DU28" s="176" t="str">
        <f>Schedule!EE30</f>
        <v>0</v>
      </c>
      <c r="DV28" s="176" t="str">
        <f>Schedule!EF30</f>
        <v>0</v>
      </c>
      <c r="DW28" s="176" t="str">
        <f>Schedule!EG30</f>
        <v>0</v>
      </c>
      <c r="DX28" s="176" t="str">
        <f>Schedule!EH30</f>
        <v>0</v>
      </c>
      <c r="DY28" s="176" t="str">
        <f>Schedule!EI30</f>
        <v>0</v>
      </c>
      <c r="DZ28" s="176" t="str">
        <f>Schedule!EJ30</f>
        <v>0</v>
      </c>
      <c r="EA28" s="176" t="str">
        <f>Schedule!EK30</f>
        <v>0</v>
      </c>
      <c r="EB28" s="176" t="str">
        <f>Schedule!EL30</f>
        <v>0</v>
      </c>
      <c r="EC28" s="178"/>
      <c r="ED28" s="176" t="str">
        <f>Schedule!EM30</f>
        <v>0</v>
      </c>
      <c r="EE28" s="176" t="str">
        <f>Schedule!EN30</f>
        <v>0</v>
      </c>
      <c r="EF28" s="176" t="str">
        <f>Schedule!EO30</f>
        <v>0</v>
      </c>
      <c r="EG28" s="176" t="str">
        <f>Schedule!EP30</f>
        <v>0</v>
      </c>
      <c r="EH28" s="176" t="str">
        <f>Schedule!EQ30</f>
        <v>0</v>
      </c>
      <c r="EI28" s="176" t="str">
        <f>Schedule!ER30</f>
        <v>0</v>
      </c>
      <c r="EJ28" s="176" t="str">
        <f>Schedule!ES30</f>
        <v>0</v>
      </c>
      <c r="EK28" s="176" t="str">
        <f>Schedule!ET30</f>
        <v>0</v>
      </c>
      <c r="EL28" s="176" t="str">
        <f>Schedule!EU30</f>
        <v>0</v>
      </c>
      <c r="EM28" s="178"/>
      <c r="EN28" s="176" t="str">
        <f>Schedule!EV30</f>
        <v>0</v>
      </c>
      <c r="EO28" s="176" t="str">
        <f>Schedule!EW30</f>
        <v>0</v>
      </c>
      <c r="EP28" s="176" t="str">
        <f>Schedule!EX30</f>
        <v>0</v>
      </c>
      <c r="EQ28" s="176" t="str">
        <f>Schedule!EY30</f>
        <v>0</v>
      </c>
      <c r="ER28" s="176" t="str">
        <f>Schedule!EZ30</f>
        <v>0</v>
      </c>
      <c r="ES28" s="176" t="str">
        <f>Schedule!FA30</f>
        <v>0</v>
      </c>
      <c r="ET28" s="176" t="str">
        <f>Schedule!FB30</f>
        <v>0</v>
      </c>
      <c r="EU28" s="176" t="str">
        <f>Schedule!FC30</f>
        <v>0</v>
      </c>
      <c r="EV28" s="176" t="str">
        <f>Schedule!FD30</f>
        <v>0</v>
      </c>
      <c r="EW28" s="178"/>
      <c r="EX28" s="176" t="str">
        <f>Schedule!FE30</f>
        <v>0</v>
      </c>
      <c r="EY28" s="176" t="str">
        <f>Schedule!FF30</f>
        <v>0</v>
      </c>
      <c r="EZ28" s="176" t="str">
        <f>Schedule!FG30</f>
        <v>0</v>
      </c>
      <c r="FA28" s="176" t="str">
        <f>Schedule!FH30</f>
        <v>0</v>
      </c>
      <c r="FB28" s="176" t="str">
        <f>Schedule!FI30</f>
        <v>0</v>
      </c>
      <c r="FC28" s="176" t="str">
        <f>Schedule!FJ30</f>
        <v>0</v>
      </c>
      <c r="FD28" s="176" t="str">
        <f>Schedule!FK30</f>
        <v>0</v>
      </c>
      <c r="FE28" s="176" t="str">
        <f>Schedule!FL30</f>
        <v>0</v>
      </c>
      <c r="FF28" s="176" t="str">
        <f>Schedule!FM30</f>
        <v>0</v>
      </c>
      <c r="FG28" s="178"/>
      <c r="FH28" s="176" t="str">
        <f>Schedule!FN30</f>
        <v>0</v>
      </c>
      <c r="FI28" s="176" t="str">
        <f>Schedule!FO30</f>
        <v>0</v>
      </c>
      <c r="FJ28" s="176" t="str">
        <f>Schedule!FP30</f>
        <v>0</v>
      </c>
      <c r="FK28" s="176" t="str">
        <f>Schedule!FQ30</f>
        <v>0</v>
      </c>
      <c r="FL28" s="176" t="str">
        <f>Schedule!FR30</f>
        <v>0</v>
      </c>
      <c r="FM28" s="176" t="str">
        <f>Schedule!FS30</f>
        <v>0</v>
      </c>
      <c r="FN28" s="176" t="str">
        <f>Schedule!FT30</f>
        <v>0</v>
      </c>
      <c r="FO28" s="176" t="str">
        <f>Schedule!FU30</f>
        <v>0</v>
      </c>
      <c r="FP28" s="176" t="str">
        <f>Schedule!FV30</f>
        <v>0</v>
      </c>
      <c r="FQ28" s="178"/>
      <c r="FR28" s="176" t="str">
        <f>Schedule!FW30</f>
        <v>0</v>
      </c>
      <c r="FS28" s="176" t="str">
        <f>Schedule!FX30</f>
        <v>0</v>
      </c>
      <c r="FT28" s="176" t="str">
        <f>Schedule!FY30</f>
        <v>0</v>
      </c>
      <c r="FU28" s="176" t="str">
        <f>Schedule!FZ30</f>
        <v>0</v>
      </c>
      <c r="FV28" s="176" t="str">
        <f>Schedule!GA30</f>
        <v>0</v>
      </c>
      <c r="FW28" s="176" t="str">
        <f>Schedule!GB30</f>
        <v>0</v>
      </c>
      <c r="FX28" s="176" t="str">
        <f>Schedule!GC30</f>
        <v>0</v>
      </c>
      <c r="FY28" s="176" t="str">
        <f>Schedule!GD30</f>
        <v>0</v>
      </c>
      <c r="FZ28" s="176" t="str">
        <f>Schedule!GE30</f>
        <v>0</v>
      </c>
      <c r="GA28" s="178"/>
      <c r="GB28" s="176" t="str">
        <f>Schedule!GF30</f>
        <v>0</v>
      </c>
      <c r="GC28" s="176" t="str">
        <f>Schedule!GG30</f>
        <v>0</v>
      </c>
      <c r="GD28" s="176" t="str">
        <f>Schedule!GH30</f>
        <v>0</v>
      </c>
      <c r="GE28" s="176" t="str">
        <f>Schedule!GI30</f>
        <v>0</v>
      </c>
      <c r="GF28" s="176" t="str">
        <f>Schedule!GJ30</f>
        <v>0</v>
      </c>
      <c r="GG28" s="176" t="str">
        <f>Schedule!GK30</f>
        <v>0</v>
      </c>
      <c r="GH28" s="176" t="str">
        <f>Schedule!GL30</f>
        <v>0</v>
      </c>
      <c r="GI28" s="176" t="str">
        <f>Schedule!GM30</f>
        <v>0</v>
      </c>
      <c r="GJ28" s="176" t="str">
        <f>Schedule!GN30</f>
        <v>0</v>
      </c>
      <c r="GK28" s="178"/>
      <c r="GL28" s="176" t="str">
        <f>Schedule!GO30</f>
        <v>0</v>
      </c>
      <c r="GM28" s="176" t="str">
        <f>Schedule!GP30</f>
        <v>0</v>
      </c>
      <c r="GN28" s="176" t="str">
        <f>Schedule!GQ30</f>
        <v>0</v>
      </c>
      <c r="GO28" s="176" t="str">
        <f>Schedule!GR30</f>
        <v>0</v>
      </c>
      <c r="GP28" s="176" t="str">
        <f>Schedule!GS30</f>
        <v>0</v>
      </c>
      <c r="GQ28" s="176" t="str">
        <f>Schedule!GT30</f>
        <v>0</v>
      </c>
      <c r="GR28" s="176" t="str">
        <f>Schedule!GU30</f>
        <v>0</v>
      </c>
      <c r="GS28" s="176" t="str">
        <f>Schedule!GV30</f>
        <v>0</v>
      </c>
      <c r="GT28" s="176" t="str">
        <f>Schedule!GW30</f>
        <v>0</v>
      </c>
      <c r="GW28" s="227"/>
    </row>
    <row r="29" spans="2:205" ht="15.75" hidden="1" customHeight="1">
      <c r="B29" s="269"/>
      <c r="C29" s="159">
        <f>Schedule!C31</f>
        <v>0</v>
      </c>
      <c r="D29" s="176" t="str">
        <f>Schedule!Z31</f>
        <v>0</v>
      </c>
      <c r="E29" s="176" t="str">
        <f>Schedule!AA31</f>
        <v>0</v>
      </c>
      <c r="F29" s="176" t="str">
        <f>Schedule!AB31</f>
        <v>0</v>
      </c>
      <c r="G29" s="176" t="str">
        <f>Schedule!AC31</f>
        <v>0</v>
      </c>
      <c r="H29" s="176" t="str">
        <f>Schedule!AD31</f>
        <v>0</v>
      </c>
      <c r="I29" s="176" t="str">
        <f>Schedule!AE31</f>
        <v>0</v>
      </c>
      <c r="J29" s="176" t="str">
        <f>Schedule!AF31</f>
        <v>0</v>
      </c>
      <c r="K29" s="181" t="str">
        <f>Schedule!AG31</f>
        <v>0</v>
      </c>
      <c r="L29" s="181" t="str">
        <f>Schedule!AH31</f>
        <v>0</v>
      </c>
      <c r="M29" s="178"/>
      <c r="N29" s="183" t="str">
        <f>Schedule!AI31</f>
        <v>0</v>
      </c>
      <c r="O29" s="176" t="str">
        <f>Schedule!AJ31</f>
        <v>0</v>
      </c>
      <c r="P29" s="176" t="str">
        <f>Schedule!AK31</f>
        <v>0</v>
      </c>
      <c r="Q29" s="176" t="str">
        <f>Schedule!AL31</f>
        <v>0</v>
      </c>
      <c r="R29" s="176" t="str">
        <f>Schedule!AM31</f>
        <v>0</v>
      </c>
      <c r="S29" s="176" t="str">
        <f>Schedule!AN31</f>
        <v>0</v>
      </c>
      <c r="T29" s="176" t="str">
        <f>Schedule!AO31</f>
        <v>0</v>
      </c>
      <c r="U29" s="176" t="str">
        <f>Schedule!AP31</f>
        <v>0</v>
      </c>
      <c r="V29" s="176" t="str">
        <f>Schedule!AQ31</f>
        <v>0</v>
      </c>
      <c r="W29" s="178"/>
      <c r="X29" s="176" t="str">
        <f>Schedule!AR31</f>
        <v>0</v>
      </c>
      <c r="Y29" s="176" t="str">
        <f>Schedule!AS31</f>
        <v>0</v>
      </c>
      <c r="Z29" s="176" t="str">
        <f>Schedule!AT31</f>
        <v>0</v>
      </c>
      <c r="AA29" s="176" t="str">
        <f>Schedule!AU31</f>
        <v>0</v>
      </c>
      <c r="AB29" s="176" t="str">
        <f>Schedule!AV31</f>
        <v>0</v>
      </c>
      <c r="AC29" s="176" t="str">
        <f>Schedule!AW31</f>
        <v>0</v>
      </c>
      <c r="AD29" s="176" t="str">
        <f>Schedule!AX31</f>
        <v>0</v>
      </c>
      <c r="AE29" s="176" t="str">
        <f>Schedule!AY31</f>
        <v>0</v>
      </c>
      <c r="AF29" s="176" t="str">
        <f>Schedule!AZ31</f>
        <v>0</v>
      </c>
      <c r="AG29" s="178"/>
      <c r="AH29" s="176" t="str">
        <f>Schedule!BA31</f>
        <v>0</v>
      </c>
      <c r="AI29" s="176" t="str">
        <f>Schedule!BB31</f>
        <v>0</v>
      </c>
      <c r="AJ29" s="176" t="str">
        <f>Schedule!BC31</f>
        <v>0</v>
      </c>
      <c r="AK29" s="176" t="str">
        <f>Schedule!BD31</f>
        <v>0</v>
      </c>
      <c r="AL29" s="176" t="str">
        <f>Schedule!BE31</f>
        <v>0</v>
      </c>
      <c r="AM29" s="176" t="str">
        <f>Schedule!BF31</f>
        <v>0</v>
      </c>
      <c r="AN29" s="176" t="str">
        <f>Schedule!BG31</f>
        <v>0</v>
      </c>
      <c r="AO29" s="176" t="str">
        <f>Schedule!BH31</f>
        <v>0</v>
      </c>
      <c r="AP29" s="176" t="str">
        <f>Schedule!BI31</f>
        <v>0</v>
      </c>
      <c r="AQ29" s="178"/>
      <c r="AR29" s="176" t="str">
        <f>Schedule!BJ31</f>
        <v>0</v>
      </c>
      <c r="AS29" s="176" t="str">
        <f>Schedule!BK31</f>
        <v>0</v>
      </c>
      <c r="AT29" s="176" t="str">
        <f>Schedule!BL31</f>
        <v>0</v>
      </c>
      <c r="AU29" s="176" t="str">
        <f>Schedule!BM31</f>
        <v>0</v>
      </c>
      <c r="AV29" s="176" t="str">
        <f>Schedule!BN31</f>
        <v>0</v>
      </c>
      <c r="AW29" s="176" t="str">
        <f>Schedule!BO31</f>
        <v>0</v>
      </c>
      <c r="AX29" s="176" t="str">
        <f>Schedule!BP31</f>
        <v>0</v>
      </c>
      <c r="AY29" s="176" t="str">
        <f>Schedule!BQ31</f>
        <v>0</v>
      </c>
      <c r="AZ29" s="176" t="str">
        <f>Schedule!BR31</f>
        <v>0</v>
      </c>
      <c r="BA29" s="178"/>
      <c r="BB29" s="176" t="str">
        <f>Schedule!BS31</f>
        <v>0</v>
      </c>
      <c r="BC29" s="176" t="str">
        <f>Schedule!BT31</f>
        <v>0</v>
      </c>
      <c r="BD29" s="176" t="str">
        <f>Schedule!BU31</f>
        <v>0</v>
      </c>
      <c r="BE29" s="176" t="str">
        <f>Schedule!BV31</f>
        <v>0</v>
      </c>
      <c r="BF29" s="176" t="str">
        <f>Schedule!BW31</f>
        <v>0</v>
      </c>
      <c r="BG29" s="176" t="str">
        <f>Schedule!BX31</f>
        <v>0</v>
      </c>
      <c r="BH29" s="176" t="str">
        <f>Schedule!BY31</f>
        <v>0</v>
      </c>
      <c r="BI29" s="176" t="str">
        <f>Schedule!BZ31</f>
        <v>0</v>
      </c>
      <c r="BJ29" s="176" t="str">
        <f>Schedule!CA31</f>
        <v>0</v>
      </c>
      <c r="BK29" s="178"/>
      <c r="BL29" s="176" t="str">
        <f>Schedule!CB31</f>
        <v>0</v>
      </c>
      <c r="BM29" s="176" t="str">
        <f>Schedule!CC31</f>
        <v>0</v>
      </c>
      <c r="BN29" s="176" t="str">
        <f>Schedule!CD31</f>
        <v>0</v>
      </c>
      <c r="BO29" s="176" t="str">
        <f>Schedule!CE31</f>
        <v>0</v>
      </c>
      <c r="BP29" s="176" t="str">
        <f>Schedule!CF31</f>
        <v>0</v>
      </c>
      <c r="BQ29" s="176" t="str">
        <f>Schedule!CG31</f>
        <v>0</v>
      </c>
      <c r="BR29" s="176" t="str">
        <f>Schedule!CH31</f>
        <v>0</v>
      </c>
      <c r="BS29" s="176" t="str">
        <f>Schedule!CI31</f>
        <v>0</v>
      </c>
      <c r="BT29" s="176" t="str">
        <f>Schedule!CJ31</f>
        <v>0</v>
      </c>
      <c r="BU29" s="178"/>
      <c r="BV29" s="176" t="str">
        <f>Schedule!CK31</f>
        <v>0</v>
      </c>
      <c r="BW29" s="176" t="str">
        <f>Schedule!CL31</f>
        <v>0</v>
      </c>
      <c r="BX29" s="176" t="str">
        <f>Schedule!CM31</f>
        <v>0</v>
      </c>
      <c r="BY29" s="176" t="str">
        <f>Schedule!CN31</f>
        <v>0</v>
      </c>
      <c r="BZ29" s="176" t="str">
        <f>Schedule!CO31</f>
        <v>0</v>
      </c>
      <c r="CA29" s="176" t="str">
        <f>Schedule!CP31</f>
        <v>0</v>
      </c>
      <c r="CB29" s="176" t="str">
        <f>Schedule!CQ31</f>
        <v>0</v>
      </c>
      <c r="CC29" s="176" t="str">
        <f>Schedule!CR31</f>
        <v>0</v>
      </c>
      <c r="CD29" s="176" t="str">
        <f>Schedule!CS31</f>
        <v>0</v>
      </c>
      <c r="CE29" s="178"/>
      <c r="CF29" s="176" t="str">
        <f>Schedule!CT31</f>
        <v>0</v>
      </c>
      <c r="CG29" s="176" t="str">
        <f>Schedule!CU31</f>
        <v>0</v>
      </c>
      <c r="CH29" s="176" t="str">
        <f>Schedule!CV31</f>
        <v>0</v>
      </c>
      <c r="CI29" s="176" t="str">
        <f>Schedule!CW31</f>
        <v>0</v>
      </c>
      <c r="CJ29" s="176" t="str">
        <f>Schedule!CX31</f>
        <v>0</v>
      </c>
      <c r="CK29" s="176" t="str">
        <f>Schedule!CY31</f>
        <v>0</v>
      </c>
      <c r="CL29" s="176" t="str">
        <f>Schedule!CZ31</f>
        <v>0</v>
      </c>
      <c r="CM29" s="176" t="str">
        <f>Schedule!DA31</f>
        <v>0</v>
      </c>
      <c r="CN29" s="176" t="str">
        <f>Schedule!DB31</f>
        <v>0</v>
      </c>
      <c r="CO29" s="178"/>
      <c r="CP29" s="176" t="str">
        <f>Schedule!DC31</f>
        <v>0</v>
      </c>
      <c r="CQ29" s="176" t="str">
        <f>Schedule!DD31</f>
        <v>0</v>
      </c>
      <c r="CR29" s="176" t="str">
        <f>Schedule!DE31</f>
        <v>0</v>
      </c>
      <c r="CS29" s="176" t="str">
        <f>Schedule!DF31</f>
        <v>0</v>
      </c>
      <c r="CT29" s="176" t="str">
        <f>Schedule!DG31</f>
        <v>0</v>
      </c>
      <c r="CU29" s="176" t="str">
        <f>Schedule!DH31</f>
        <v>0</v>
      </c>
      <c r="CV29" s="176" t="str">
        <f>Schedule!DI31</f>
        <v>0</v>
      </c>
      <c r="CW29" s="176" t="str">
        <f>Schedule!DJ31</f>
        <v>0</v>
      </c>
      <c r="CX29" s="176" t="str">
        <f>Schedule!DK31</f>
        <v>0</v>
      </c>
      <c r="CY29" s="178"/>
      <c r="CZ29" s="176" t="str">
        <f>Schedule!DL31</f>
        <v>0</v>
      </c>
      <c r="DA29" s="176" t="str">
        <f>Schedule!DM31</f>
        <v>0</v>
      </c>
      <c r="DB29" s="176" t="str">
        <f>Schedule!DN31</f>
        <v>0</v>
      </c>
      <c r="DC29" s="176" t="str">
        <f>Schedule!DO31</f>
        <v>0</v>
      </c>
      <c r="DD29" s="176" t="str">
        <f>Schedule!DP31</f>
        <v>0</v>
      </c>
      <c r="DE29" s="176" t="str">
        <f>Schedule!DQ31</f>
        <v>0</v>
      </c>
      <c r="DF29" s="176" t="str">
        <f>Schedule!DR31</f>
        <v>0</v>
      </c>
      <c r="DG29" s="176" t="str">
        <f>Schedule!DS31</f>
        <v>0</v>
      </c>
      <c r="DH29" s="176" t="str">
        <f>Schedule!DT31</f>
        <v>0</v>
      </c>
      <c r="DI29" s="178"/>
      <c r="DJ29" s="176" t="str">
        <f>Schedule!DU31</f>
        <v>0</v>
      </c>
      <c r="DK29" s="176" t="str">
        <f>Schedule!DV31</f>
        <v>0</v>
      </c>
      <c r="DL29" s="176" t="str">
        <f>Schedule!DW31</f>
        <v>0</v>
      </c>
      <c r="DM29" s="176" t="str">
        <f>Schedule!DX31</f>
        <v>0</v>
      </c>
      <c r="DN29" s="176" t="str">
        <f>Schedule!DY31</f>
        <v>0</v>
      </c>
      <c r="DO29" s="176" t="str">
        <f>Schedule!DZ31</f>
        <v>0</v>
      </c>
      <c r="DP29" s="176" t="str">
        <f>Schedule!EA31</f>
        <v>0</v>
      </c>
      <c r="DQ29" s="176" t="str">
        <f>Schedule!EB31</f>
        <v>0</v>
      </c>
      <c r="DR29" s="176" t="str">
        <f>Schedule!EC31</f>
        <v>0</v>
      </c>
      <c r="DS29" s="178"/>
      <c r="DT29" s="176" t="str">
        <f>Schedule!ED31</f>
        <v>0</v>
      </c>
      <c r="DU29" s="176" t="str">
        <f>Schedule!EE31</f>
        <v>0</v>
      </c>
      <c r="DV29" s="176" t="str">
        <f>Schedule!EF31</f>
        <v>0</v>
      </c>
      <c r="DW29" s="176" t="str">
        <f>Schedule!EG31</f>
        <v>0</v>
      </c>
      <c r="DX29" s="176" t="str">
        <f>Schedule!EH31</f>
        <v>0</v>
      </c>
      <c r="DY29" s="176" t="str">
        <f>Schedule!EI31</f>
        <v>0</v>
      </c>
      <c r="DZ29" s="176" t="str">
        <f>Schedule!EJ31</f>
        <v>0</v>
      </c>
      <c r="EA29" s="176" t="str">
        <f>Schedule!EK31</f>
        <v>0</v>
      </c>
      <c r="EB29" s="176" t="str">
        <f>Schedule!EL31</f>
        <v>0</v>
      </c>
      <c r="EC29" s="178"/>
      <c r="ED29" s="176" t="str">
        <f>Schedule!EM31</f>
        <v>0</v>
      </c>
      <c r="EE29" s="176" t="str">
        <f>Schedule!EN31</f>
        <v>0</v>
      </c>
      <c r="EF29" s="176" t="str">
        <f>Schedule!EO31</f>
        <v>0</v>
      </c>
      <c r="EG29" s="176" t="str">
        <f>Schedule!EP31</f>
        <v>0</v>
      </c>
      <c r="EH29" s="176" t="str">
        <f>Schedule!EQ31</f>
        <v>0</v>
      </c>
      <c r="EI29" s="176" t="str">
        <f>Schedule!ER31</f>
        <v>0</v>
      </c>
      <c r="EJ29" s="176" t="str">
        <f>Schedule!ES31</f>
        <v>0</v>
      </c>
      <c r="EK29" s="176" t="str">
        <f>Schedule!ET31</f>
        <v>0</v>
      </c>
      <c r="EL29" s="176" t="str">
        <f>Schedule!EU31</f>
        <v>0</v>
      </c>
      <c r="EM29" s="178"/>
      <c r="EN29" s="176" t="str">
        <f>Schedule!EV31</f>
        <v>0</v>
      </c>
      <c r="EO29" s="176" t="str">
        <f>Schedule!EW31</f>
        <v>0</v>
      </c>
      <c r="EP29" s="176" t="str">
        <f>Schedule!EX31</f>
        <v>0</v>
      </c>
      <c r="EQ29" s="176" t="str">
        <f>Schedule!EY31</f>
        <v>0</v>
      </c>
      <c r="ER29" s="176" t="str">
        <f>Schedule!EZ31</f>
        <v>0</v>
      </c>
      <c r="ES29" s="176" t="str">
        <f>Schedule!FA31</f>
        <v>0</v>
      </c>
      <c r="ET29" s="176" t="str">
        <f>Schedule!FB31</f>
        <v>0</v>
      </c>
      <c r="EU29" s="176" t="str">
        <f>Schedule!FC31</f>
        <v>0</v>
      </c>
      <c r="EV29" s="176" t="str">
        <f>Schedule!FD31</f>
        <v>0</v>
      </c>
      <c r="EW29" s="178"/>
      <c r="EX29" s="176" t="str">
        <f>Schedule!FE31</f>
        <v>0</v>
      </c>
      <c r="EY29" s="176" t="str">
        <f>Schedule!FF31</f>
        <v>0</v>
      </c>
      <c r="EZ29" s="176" t="str">
        <f>Schedule!FG31</f>
        <v>0</v>
      </c>
      <c r="FA29" s="176" t="str">
        <f>Schedule!FH31</f>
        <v>0</v>
      </c>
      <c r="FB29" s="176" t="str">
        <f>Schedule!FI31</f>
        <v>0</v>
      </c>
      <c r="FC29" s="176" t="str">
        <f>Schedule!FJ31</f>
        <v>0</v>
      </c>
      <c r="FD29" s="176" t="str">
        <f>Schedule!FK31</f>
        <v>0</v>
      </c>
      <c r="FE29" s="176" t="str">
        <f>Schedule!FL31</f>
        <v>0</v>
      </c>
      <c r="FF29" s="176" t="str">
        <f>Schedule!FM31</f>
        <v>0</v>
      </c>
      <c r="FG29" s="178"/>
      <c r="FH29" s="176" t="str">
        <f>Schedule!FN31</f>
        <v>0</v>
      </c>
      <c r="FI29" s="176" t="str">
        <f>Schedule!FO31</f>
        <v>0</v>
      </c>
      <c r="FJ29" s="176" t="str">
        <f>Schedule!FP31</f>
        <v>0</v>
      </c>
      <c r="FK29" s="176" t="str">
        <f>Schedule!FQ31</f>
        <v>0</v>
      </c>
      <c r="FL29" s="176" t="str">
        <f>Schedule!FR31</f>
        <v>0</v>
      </c>
      <c r="FM29" s="176" t="str">
        <f>Schedule!FS31</f>
        <v>0</v>
      </c>
      <c r="FN29" s="176" t="str">
        <f>Schedule!FT31</f>
        <v>0</v>
      </c>
      <c r="FO29" s="176" t="str">
        <f>Schedule!FU31</f>
        <v>0</v>
      </c>
      <c r="FP29" s="176" t="str">
        <f>Schedule!FV31</f>
        <v>0</v>
      </c>
      <c r="FQ29" s="178"/>
      <c r="FR29" s="176" t="str">
        <f>Schedule!FW31</f>
        <v>0</v>
      </c>
      <c r="FS29" s="176" t="str">
        <f>Schedule!FX31</f>
        <v>0</v>
      </c>
      <c r="FT29" s="176" t="str">
        <f>Schedule!FY31</f>
        <v>0</v>
      </c>
      <c r="FU29" s="176" t="str">
        <f>Schedule!FZ31</f>
        <v>0</v>
      </c>
      <c r="FV29" s="176" t="str">
        <f>Schedule!GA31</f>
        <v>0</v>
      </c>
      <c r="FW29" s="176" t="str">
        <f>Schedule!GB31</f>
        <v>0</v>
      </c>
      <c r="FX29" s="176" t="str">
        <f>Schedule!GC31</f>
        <v>0</v>
      </c>
      <c r="FY29" s="176" t="str">
        <f>Schedule!GD31</f>
        <v>0</v>
      </c>
      <c r="FZ29" s="176" t="str">
        <f>Schedule!GE31</f>
        <v>0</v>
      </c>
      <c r="GA29" s="178"/>
      <c r="GB29" s="176" t="str">
        <f>Schedule!GF31</f>
        <v>0</v>
      </c>
      <c r="GC29" s="176" t="str">
        <f>Schedule!GG31</f>
        <v>0</v>
      </c>
      <c r="GD29" s="176" t="str">
        <f>Schedule!GH31</f>
        <v>0</v>
      </c>
      <c r="GE29" s="176" t="str">
        <f>Schedule!GI31</f>
        <v>0</v>
      </c>
      <c r="GF29" s="176" t="str">
        <f>Schedule!GJ31</f>
        <v>0</v>
      </c>
      <c r="GG29" s="176" t="str">
        <f>Schedule!GK31</f>
        <v>0</v>
      </c>
      <c r="GH29" s="176" t="str">
        <f>Schedule!GL31</f>
        <v>0</v>
      </c>
      <c r="GI29" s="176" t="str">
        <f>Schedule!GM31</f>
        <v>0</v>
      </c>
      <c r="GJ29" s="176" t="str">
        <f>Schedule!GN31</f>
        <v>0</v>
      </c>
      <c r="GK29" s="178"/>
      <c r="GL29" s="176" t="str">
        <f>Schedule!GO31</f>
        <v>0</v>
      </c>
      <c r="GM29" s="176" t="str">
        <f>Schedule!GP31</f>
        <v>0</v>
      </c>
      <c r="GN29" s="176" t="str">
        <f>Schedule!GQ31</f>
        <v>0</v>
      </c>
      <c r="GO29" s="176" t="str">
        <f>Schedule!GR31</f>
        <v>0</v>
      </c>
      <c r="GP29" s="176" t="str">
        <f>Schedule!GS31</f>
        <v>0</v>
      </c>
      <c r="GQ29" s="176" t="str">
        <f>Schedule!GT31</f>
        <v>0</v>
      </c>
      <c r="GR29" s="176" t="str">
        <f>Schedule!GU31</f>
        <v>0</v>
      </c>
      <c r="GS29" s="176" t="str">
        <f>Schedule!GV31</f>
        <v>0</v>
      </c>
      <c r="GT29" s="176" t="str">
        <f>Schedule!GW31</f>
        <v>0</v>
      </c>
      <c r="GW29" s="227"/>
    </row>
    <row r="30" spans="2:205" ht="15.75" hidden="1" customHeight="1">
      <c r="B30" s="269"/>
      <c r="C30" s="159">
        <f>Schedule!C32</f>
        <v>0</v>
      </c>
      <c r="D30" s="176" t="str">
        <f>Schedule!Z32</f>
        <v>0</v>
      </c>
      <c r="E30" s="176" t="str">
        <f>Schedule!AA32</f>
        <v>0</v>
      </c>
      <c r="F30" s="176" t="str">
        <f>Schedule!AB32</f>
        <v>0</v>
      </c>
      <c r="G30" s="176" t="str">
        <f>Schedule!AC32</f>
        <v>0</v>
      </c>
      <c r="H30" s="176" t="str">
        <f>Schedule!AD32</f>
        <v>0</v>
      </c>
      <c r="I30" s="176" t="str">
        <f>Schedule!AE32</f>
        <v>0</v>
      </c>
      <c r="J30" s="176" t="str">
        <f>Schedule!AF32</f>
        <v>0</v>
      </c>
      <c r="K30" s="181" t="str">
        <f>Schedule!AG32</f>
        <v>0</v>
      </c>
      <c r="L30" s="181" t="str">
        <f>Schedule!AH32</f>
        <v>0</v>
      </c>
      <c r="M30" s="178"/>
      <c r="N30" s="183" t="str">
        <f>Schedule!AI32</f>
        <v>0</v>
      </c>
      <c r="O30" s="176" t="str">
        <f>Schedule!AJ32</f>
        <v>0</v>
      </c>
      <c r="P30" s="176" t="str">
        <f>Schedule!AK32</f>
        <v>0</v>
      </c>
      <c r="Q30" s="176" t="str">
        <f>Schedule!AL32</f>
        <v>0</v>
      </c>
      <c r="R30" s="176" t="str">
        <f>Schedule!AM32</f>
        <v>0</v>
      </c>
      <c r="S30" s="176" t="str">
        <f>Schedule!AN32</f>
        <v>0</v>
      </c>
      <c r="T30" s="176" t="str">
        <f>Schedule!AO32</f>
        <v>0</v>
      </c>
      <c r="U30" s="176" t="str">
        <f>Schedule!AP32</f>
        <v>0</v>
      </c>
      <c r="V30" s="176" t="str">
        <f>Schedule!AQ32</f>
        <v>0</v>
      </c>
      <c r="W30" s="178"/>
      <c r="X30" s="176" t="str">
        <f>Schedule!AR32</f>
        <v>0</v>
      </c>
      <c r="Y30" s="176" t="str">
        <f>Schedule!AS32</f>
        <v>0</v>
      </c>
      <c r="Z30" s="176" t="str">
        <f>Schedule!AT32</f>
        <v>0</v>
      </c>
      <c r="AA30" s="176" t="str">
        <f>Schedule!AU32</f>
        <v>0</v>
      </c>
      <c r="AB30" s="176" t="str">
        <f>Schedule!AV32</f>
        <v>0</v>
      </c>
      <c r="AC30" s="176" t="str">
        <f>Schedule!AW32</f>
        <v>0</v>
      </c>
      <c r="AD30" s="176" t="str">
        <f>Schedule!AX32</f>
        <v>0</v>
      </c>
      <c r="AE30" s="176" t="str">
        <f>Schedule!AY32</f>
        <v>0</v>
      </c>
      <c r="AF30" s="176" t="str">
        <f>Schedule!AZ32</f>
        <v>0</v>
      </c>
      <c r="AG30" s="178"/>
      <c r="AH30" s="176" t="str">
        <f>Schedule!BA32</f>
        <v>0</v>
      </c>
      <c r="AI30" s="176" t="str">
        <f>Schedule!BB32</f>
        <v>0</v>
      </c>
      <c r="AJ30" s="176" t="str">
        <f>Schedule!BC32</f>
        <v>0</v>
      </c>
      <c r="AK30" s="176" t="str">
        <f>Schedule!BD32</f>
        <v>0</v>
      </c>
      <c r="AL30" s="176" t="str">
        <f>Schedule!BE32</f>
        <v>0</v>
      </c>
      <c r="AM30" s="176" t="str">
        <f>Schedule!BF32</f>
        <v>0</v>
      </c>
      <c r="AN30" s="176" t="str">
        <f>Schedule!BG32</f>
        <v>0</v>
      </c>
      <c r="AO30" s="176" t="str">
        <f>Schedule!BH32</f>
        <v>0</v>
      </c>
      <c r="AP30" s="176" t="str">
        <f>Schedule!BI32</f>
        <v>0</v>
      </c>
      <c r="AQ30" s="178"/>
      <c r="AR30" s="176" t="str">
        <f>Schedule!BJ32</f>
        <v>0</v>
      </c>
      <c r="AS30" s="176" t="str">
        <f>Schedule!BK32</f>
        <v>0</v>
      </c>
      <c r="AT30" s="176" t="str">
        <f>Schedule!BL32</f>
        <v>0</v>
      </c>
      <c r="AU30" s="176" t="str">
        <f>Schedule!BM32</f>
        <v>0</v>
      </c>
      <c r="AV30" s="176" t="str">
        <f>Schedule!BN32</f>
        <v>0</v>
      </c>
      <c r="AW30" s="176" t="str">
        <f>Schedule!BO32</f>
        <v>0</v>
      </c>
      <c r="AX30" s="176" t="str">
        <f>Schedule!BP32</f>
        <v>0</v>
      </c>
      <c r="AY30" s="176" t="str">
        <f>Schedule!BQ32</f>
        <v>0</v>
      </c>
      <c r="AZ30" s="176" t="str">
        <f>Schedule!BR32</f>
        <v>0</v>
      </c>
      <c r="BA30" s="178"/>
      <c r="BB30" s="176" t="str">
        <f>Schedule!BS32</f>
        <v>0</v>
      </c>
      <c r="BC30" s="176" t="str">
        <f>Schedule!BT32</f>
        <v>0</v>
      </c>
      <c r="BD30" s="176" t="str">
        <f>Schedule!BU32</f>
        <v>0</v>
      </c>
      <c r="BE30" s="176" t="str">
        <f>Schedule!BV32</f>
        <v>0</v>
      </c>
      <c r="BF30" s="176" t="str">
        <f>Schedule!BW32</f>
        <v>0</v>
      </c>
      <c r="BG30" s="176" t="str">
        <f>Schedule!BX32</f>
        <v>0</v>
      </c>
      <c r="BH30" s="176" t="str">
        <f>Schedule!BY32</f>
        <v>0</v>
      </c>
      <c r="BI30" s="176" t="str">
        <f>Schedule!BZ32</f>
        <v>0</v>
      </c>
      <c r="BJ30" s="176" t="str">
        <f>Schedule!CA32</f>
        <v>0</v>
      </c>
      <c r="BK30" s="178"/>
      <c r="BL30" s="176" t="str">
        <f>Schedule!CB32</f>
        <v>0</v>
      </c>
      <c r="BM30" s="176" t="str">
        <f>Schedule!CC32</f>
        <v>0</v>
      </c>
      <c r="BN30" s="176" t="str">
        <f>Schedule!CD32</f>
        <v>0</v>
      </c>
      <c r="BO30" s="176" t="str">
        <f>Schedule!CE32</f>
        <v>0</v>
      </c>
      <c r="BP30" s="176" t="str">
        <f>Schedule!CF32</f>
        <v>0</v>
      </c>
      <c r="BQ30" s="176" t="str">
        <f>Schedule!CG32</f>
        <v>0</v>
      </c>
      <c r="BR30" s="176" t="str">
        <f>Schedule!CH32</f>
        <v>0</v>
      </c>
      <c r="BS30" s="176" t="str">
        <f>Schedule!CI32</f>
        <v>0</v>
      </c>
      <c r="BT30" s="176" t="str">
        <f>Schedule!CJ32</f>
        <v>0</v>
      </c>
      <c r="BU30" s="178"/>
      <c r="BV30" s="176" t="str">
        <f>Schedule!CK32</f>
        <v>0</v>
      </c>
      <c r="BW30" s="176" t="str">
        <f>Schedule!CL32</f>
        <v>0</v>
      </c>
      <c r="BX30" s="176" t="str">
        <f>Schedule!CM32</f>
        <v>0</v>
      </c>
      <c r="BY30" s="176" t="str">
        <f>Schedule!CN32</f>
        <v>0</v>
      </c>
      <c r="BZ30" s="176" t="str">
        <f>Schedule!CO32</f>
        <v>0</v>
      </c>
      <c r="CA30" s="176" t="str">
        <f>Schedule!CP32</f>
        <v>0</v>
      </c>
      <c r="CB30" s="176" t="str">
        <f>Schedule!CQ32</f>
        <v>0</v>
      </c>
      <c r="CC30" s="176" t="str">
        <f>Schedule!CR32</f>
        <v>0</v>
      </c>
      <c r="CD30" s="176" t="str">
        <f>Schedule!CS32</f>
        <v>0</v>
      </c>
      <c r="CE30" s="178"/>
      <c r="CF30" s="176" t="str">
        <f>Schedule!CT32</f>
        <v>0</v>
      </c>
      <c r="CG30" s="176" t="str">
        <f>Schedule!CU32</f>
        <v>0</v>
      </c>
      <c r="CH30" s="176" t="str">
        <f>Schedule!CV32</f>
        <v>0</v>
      </c>
      <c r="CI30" s="176" t="str">
        <f>Schedule!CW32</f>
        <v>0</v>
      </c>
      <c r="CJ30" s="176" t="str">
        <f>Schedule!CX32</f>
        <v>0</v>
      </c>
      <c r="CK30" s="176" t="str">
        <f>Schedule!CY32</f>
        <v>0</v>
      </c>
      <c r="CL30" s="176" t="str">
        <f>Schedule!CZ32</f>
        <v>0</v>
      </c>
      <c r="CM30" s="176" t="str">
        <f>Schedule!DA32</f>
        <v>0</v>
      </c>
      <c r="CN30" s="176" t="str">
        <f>Schedule!DB32</f>
        <v>0</v>
      </c>
      <c r="CO30" s="178"/>
      <c r="CP30" s="176" t="str">
        <f>Schedule!DC32</f>
        <v>0</v>
      </c>
      <c r="CQ30" s="176" t="str">
        <f>Schedule!DD32</f>
        <v>0</v>
      </c>
      <c r="CR30" s="176" t="str">
        <f>Schedule!DE32</f>
        <v>0</v>
      </c>
      <c r="CS30" s="176" t="str">
        <f>Schedule!DF32</f>
        <v>0</v>
      </c>
      <c r="CT30" s="176" t="str">
        <f>Schedule!DG32</f>
        <v>0</v>
      </c>
      <c r="CU30" s="176" t="str">
        <f>Schedule!DH32</f>
        <v>0</v>
      </c>
      <c r="CV30" s="176" t="str">
        <f>Schedule!DI32</f>
        <v>0</v>
      </c>
      <c r="CW30" s="176" t="str">
        <f>Schedule!DJ32</f>
        <v>0</v>
      </c>
      <c r="CX30" s="176" t="str">
        <f>Schedule!DK32</f>
        <v>0</v>
      </c>
      <c r="CY30" s="178"/>
      <c r="CZ30" s="176" t="str">
        <f>Schedule!DL32</f>
        <v>0</v>
      </c>
      <c r="DA30" s="176" t="str">
        <f>Schedule!DM32</f>
        <v>0</v>
      </c>
      <c r="DB30" s="176" t="str">
        <f>Schedule!DN32</f>
        <v>0</v>
      </c>
      <c r="DC30" s="176" t="str">
        <f>Schedule!DO32</f>
        <v>0</v>
      </c>
      <c r="DD30" s="176" t="str">
        <f>Schedule!DP32</f>
        <v>0</v>
      </c>
      <c r="DE30" s="176" t="str">
        <f>Schedule!DQ32</f>
        <v>0</v>
      </c>
      <c r="DF30" s="176" t="str">
        <f>Schedule!DR32</f>
        <v>0</v>
      </c>
      <c r="DG30" s="176" t="str">
        <f>Schedule!DS32</f>
        <v>0</v>
      </c>
      <c r="DH30" s="176" t="str">
        <f>Schedule!DT32</f>
        <v>0</v>
      </c>
      <c r="DI30" s="178"/>
      <c r="DJ30" s="176" t="str">
        <f>Schedule!DU32</f>
        <v>0</v>
      </c>
      <c r="DK30" s="176" t="str">
        <f>Schedule!DV32</f>
        <v>0</v>
      </c>
      <c r="DL30" s="176" t="str">
        <f>Schedule!DW32</f>
        <v>0</v>
      </c>
      <c r="DM30" s="176" t="str">
        <f>Schedule!DX32</f>
        <v>0</v>
      </c>
      <c r="DN30" s="176" t="str">
        <f>Schedule!DY32</f>
        <v>0</v>
      </c>
      <c r="DO30" s="176" t="str">
        <f>Schedule!DZ32</f>
        <v>0</v>
      </c>
      <c r="DP30" s="176" t="str">
        <f>Schedule!EA32</f>
        <v>0</v>
      </c>
      <c r="DQ30" s="176" t="str">
        <f>Schedule!EB32</f>
        <v>0</v>
      </c>
      <c r="DR30" s="176" t="str">
        <f>Schedule!EC32</f>
        <v>0</v>
      </c>
      <c r="DS30" s="178"/>
      <c r="DT30" s="176" t="str">
        <f>Schedule!ED32</f>
        <v>0</v>
      </c>
      <c r="DU30" s="176" t="str">
        <f>Schedule!EE32</f>
        <v>0</v>
      </c>
      <c r="DV30" s="176" t="str">
        <f>Schedule!EF32</f>
        <v>0</v>
      </c>
      <c r="DW30" s="176" t="str">
        <f>Schedule!EG32</f>
        <v>0</v>
      </c>
      <c r="DX30" s="176" t="str">
        <f>Schedule!EH32</f>
        <v>0</v>
      </c>
      <c r="DY30" s="176" t="str">
        <f>Schedule!EI32</f>
        <v>0</v>
      </c>
      <c r="DZ30" s="176" t="str">
        <f>Schedule!EJ32</f>
        <v>0</v>
      </c>
      <c r="EA30" s="176" t="str">
        <f>Schedule!EK32</f>
        <v>0</v>
      </c>
      <c r="EB30" s="176" t="str">
        <f>Schedule!EL32</f>
        <v>0</v>
      </c>
      <c r="EC30" s="178"/>
      <c r="ED30" s="176" t="str">
        <f>Schedule!EM32</f>
        <v>0</v>
      </c>
      <c r="EE30" s="176" t="str">
        <f>Schedule!EN32</f>
        <v>0</v>
      </c>
      <c r="EF30" s="176" t="str">
        <f>Schedule!EO32</f>
        <v>0</v>
      </c>
      <c r="EG30" s="176" t="str">
        <f>Schedule!EP32</f>
        <v>0</v>
      </c>
      <c r="EH30" s="176" t="str">
        <f>Schedule!EQ32</f>
        <v>0</v>
      </c>
      <c r="EI30" s="176" t="str">
        <f>Schedule!ER32</f>
        <v>0</v>
      </c>
      <c r="EJ30" s="176" t="str">
        <f>Schedule!ES32</f>
        <v>0</v>
      </c>
      <c r="EK30" s="176" t="str">
        <f>Schedule!ET32</f>
        <v>0</v>
      </c>
      <c r="EL30" s="176" t="str">
        <f>Schedule!EU32</f>
        <v>0</v>
      </c>
      <c r="EM30" s="178"/>
      <c r="EN30" s="176" t="str">
        <f>Schedule!EV32</f>
        <v>0</v>
      </c>
      <c r="EO30" s="176" t="str">
        <f>Schedule!EW32</f>
        <v>0</v>
      </c>
      <c r="EP30" s="176" t="str">
        <f>Schedule!EX32</f>
        <v>0</v>
      </c>
      <c r="EQ30" s="176" t="str">
        <f>Schedule!EY32</f>
        <v>0</v>
      </c>
      <c r="ER30" s="176" t="str">
        <f>Schedule!EZ32</f>
        <v>0</v>
      </c>
      <c r="ES30" s="176" t="str">
        <f>Schedule!FA32</f>
        <v>0</v>
      </c>
      <c r="ET30" s="176" t="str">
        <f>Schedule!FB32</f>
        <v>0</v>
      </c>
      <c r="EU30" s="176" t="str">
        <f>Schedule!FC32</f>
        <v>0</v>
      </c>
      <c r="EV30" s="176" t="str">
        <f>Schedule!FD32</f>
        <v>0</v>
      </c>
      <c r="EW30" s="178"/>
      <c r="EX30" s="176" t="str">
        <f>Schedule!FE32</f>
        <v>0</v>
      </c>
      <c r="EY30" s="176" t="str">
        <f>Schedule!FF32</f>
        <v>0</v>
      </c>
      <c r="EZ30" s="176" t="str">
        <f>Schedule!FG32</f>
        <v>0</v>
      </c>
      <c r="FA30" s="176" t="str">
        <f>Schedule!FH32</f>
        <v>0</v>
      </c>
      <c r="FB30" s="176" t="str">
        <f>Schedule!FI32</f>
        <v>0</v>
      </c>
      <c r="FC30" s="176" t="str">
        <f>Schedule!FJ32</f>
        <v>0</v>
      </c>
      <c r="FD30" s="176" t="str">
        <f>Schedule!FK32</f>
        <v>0</v>
      </c>
      <c r="FE30" s="176" t="str">
        <f>Schedule!FL32</f>
        <v>0</v>
      </c>
      <c r="FF30" s="176" t="str">
        <f>Schedule!FM32</f>
        <v>0</v>
      </c>
      <c r="FG30" s="178"/>
      <c r="FH30" s="176" t="str">
        <f>Schedule!FN32</f>
        <v>0</v>
      </c>
      <c r="FI30" s="176" t="str">
        <f>Schedule!FO32</f>
        <v>0</v>
      </c>
      <c r="FJ30" s="176" t="str">
        <f>Schedule!FP32</f>
        <v>0</v>
      </c>
      <c r="FK30" s="176" t="str">
        <f>Schedule!FQ32</f>
        <v>0</v>
      </c>
      <c r="FL30" s="176" t="str">
        <f>Schedule!FR32</f>
        <v>0</v>
      </c>
      <c r="FM30" s="176" t="str">
        <f>Schedule!FS32</f>
        <v>0</v>
      </c>
      <c r="FN30" s="176" t="str">
        <f>Schedule!FT32</f>
        <v>0</v>
      </c>
      <c r="FO30" s="176" t="str">
        <f>Schedule!FU32</f>
        <v>0</v>
      </c>
      <c r="FP30" s="176" t="str">
        <f>Schedule!FV32</f>
        <v>0</v>
      </c>
      <c r="FQ30" s="178"/>
      <c r="FR30" s="176" t="str">
        <f>Schedule!FW32</f>
        <v>0</v>
      </c>
      <c r="FS30" s="176" t="str">
        <f>Schedule!FX32</f>
        <v>0</v>
      </c>
      <c r="FT30" s="176" t="str">
        <f>Schedule!FY32</f>
        <v>0</v>
      </c>
      <c r="FU30" s="176" t="str">
        <f>Schedule!FZ32</f>
        <v>0</v>
      </c>
      <c r="FV30" s="176" t="str">
        <f>Schedule!GA32</f>
        <v>0</v>
      </c>
      <c r="FW30" s="176" t="str">
        <f>Schedule!GB32</f>
        <v>0</v>
      </c>
      <c r="FX30" s="176" t="str">
        <f>Schedule!GC32</f>
        <v>0</v>
      </c>
      <c r="FY30" s="176" t="str">
        <f>Schedule!GD32</f>
        <v>0</v>
      </c>
      <c r="FZ30" s="176" t="str">
        <f>Schedule!GE32</f>
        <v>0</v>
      </c>
      <c r="GA30" s="178"/>
      <c r="GB30" s="176" t="str">
        <f>Schedule!GF32</f>
        <v>0</v>
      </c>
      <c r="GC30" s="176" t="str">
        <f>Schedule!GG32</f>
        <v>0</v>
      </c>
      <c r="GD30" s="176" t="str">
        <f>Schedule!GH32</f>
        <v>0</v>
      </c>
      <c r="GE30" s="176" t="str">
        <f>Schedule!GI32</f>
        <v>0</v>
      </c>
      <c r="GF30" s="176" t="str">
        <f>Schedule!GJ32</f>
        <v>0</v>
      </c>
      <c r="GG30" s="176" t="str">
        <f>Schedule!GK32</f>
        <v>0</v>
      </c>
      <c r="GH30" s="176" t="str">
        <f>Schedule!GL32</f>
        <v>0</v>
      </c>
      <c r="GI30" s="176" t="str">
        <f>Schedule!GM32</f>
        <v>0</v>
      </c>
      <c r="GJ30" s="176" t="str">
        <f>Schedule!GN32</f>
        <v>0</v>
      </c>
      <c r="GK30" s="178"/>
      <c r="GL30" s="176" t="str">
        <f>Schedule!GO32</f>
        <v>0</v>
      </c>
      <c r="GM30" s="176" t="str">
        <f>Schedule!GP32</f>
        <v>0</v>
      </c>
      <c r="GN30" s="176" t="str">
        <f>Schedule!GQ32</f>
        <v>0</v>
      </c>
      <c r="GO30" s="176" t="str">
        <f>Schedule!GR32</f>
        <v>0</v>
      </c>
      <c r="GP30" s="176" t="str">
        <f>Schedule!GS32</f>
        <v>0</v>
      </c>
      <c r="GQ30" s="176" t="str">
        <f>Schedule!GT32</f>
        <v>0</v>
      </c>
      <c r="GR30" s="176" t="str">
        <f>Schedule!GU32</f>
        <v>0</v>
      </c>
      <c r="GS30" s="176" t="str">
        <f>Schedule!GV32</f>
        <v>0</v>
      </c>
      <c r="GT30" s="176" t="str">
        <f>Schedule!GW32</f>
        <v>0</v>
      </c>
      <c r="GW30" s="227"/>
    </row>
    <row r="31" spans="2:205" ht="15.75" hidden="1" customHeight="1">
      <c r="B31" s="269"/>
      <c r="C31" s="159">
        <f>Schedule!C33</f>
        <v>0</v>
      </c>
      <c r="D31" s="176" t="str">
        <f>Schedule!Z33</f>
        <v>0</v>
      </c>
      <c r="E31" s="176" t="str">
        <f>Schedule!AA33</f>
        <v>0</v>
      </c>
      <c r="F31" s="176" t="str">
        <f>Schedule!AB33</f>
        <v>0</v>
      </c>
      <c r="G31" s="176" t="str">
        <f>Schedule!AC33</f>
        <v>0</v>
      </c>
      <c r="H31" s="176" t="str">
        <f>Schedule!AD33</f>
        <v>0</v>
      </c>
      <c r="I31" s="176" t="str">
        <f>Schedule!AE33</f>
        <v>0</v>
      </c>
      <c r="J31" s="176" t="str">
        <f>Schedule!AF33</f>
        <v>0</v>
      </c>
      <c r="K31" s="181" t="str">
        <f>Schedule!AG33</f>
        <v>0</v>
      </c>
      <c r="L31" s="181" t="str">
        <f>Schedule!AH33</f>
        <v>0</v>
      </c>
      <c r="M31" s="178"/>
      <c r="N31" s="183" t="str">
        <f>Schedule!AI33</f>
        <v>0</v>
      </c>
      <c r="O31" s="176" t="str">
        <f>Schedule!AJ33</f>
        <v>0</v>
      </c>
      <c r="P31" s="176" t="str">
        <f>Schedule!AK33</f>
        <v>0</v>
      </c>
      <c r="Q31" s="176" t="str">
        <f>Schedule!AL33</f>
        <v>0</v>
      </c>
      <c r="R31" s="176" t="str">
        <f>Schedule!AM33</f>
        <v>0</v>
      </c>
      <c r="S31" s="176" t="str">
        <f>Schedule!AN33</f>
        <v>0</v>
      </c>
      <c r="T31" s="176" t="str">
        <f>Schedule!AO33</f>
        <v>0</v>
      </c>
      <c r="U31" s="176" t="str">
        <f>Schedule!AP33</f>
        <v>0</v>
      </c>
      <c r="V31" s="176" t="str">
        <f>Schedule!AQ33</f>
        <v>0</v>
      </c>
      <c r="W31" s="178"/>
      <c r="X31" s="176" t="str">
        <f>Schedule!AR33</f>
        <v>0</v>
      </c>
      <c r="Y31" s="176" t="str">
        <f>Schedule!AS33</f>
        <v>0</v>
      </c>
      <c r="Z31" s="176" t="str">
        <f>Schedule!AT33</f>
        <v>0</v>
      </c>
      <c r="AA31" s="176" t="str">
        <f>Schedule!AU33</f>
        <v>0</v>
      </c>
      <c r="AB31" s="176" t="str">
        <f>Schedule!AV33</f>
        <v>0</v>
      </c>
      <c r="AC31" s="176" t="str">
        <f>Schedule!AW33</f>
        <v>0</v>
      </c>
      <c r="AD31" s="176" t="str">
        <f>Schedule!AX33</f>
        <v>0</v>
      </c>
      <c r="AE31" s="176" t="str">
        <f>Schedule!AY33</f>
        <v>0</v>
      </c>
      <c r="AF31" s="176" t="str">
        <f>Schedule!AZ33</f>
        <v>0</v>
      </c>
      <c r="AG31" s="178"/>
      <c r="AH31" s="176" t="str">
        <f>Schedule!BA33</f>
        <v>0</v>
      </c>
      <c r="AI31" s="176" t="str">
        <f>Schedule!BB33</f>
        <v>0</v>
      </c>
      <c r="AJ31" s="176" t="str">
        <f>Schedule!BC33</f>
        <v>0</v>
      </c>
      <c r="AK31" s="176" t="str">
        <f>Schedule!BD33</f>
        <v>0</v>
      </c>
      <c r="AL31" s="176" t="str">
        <f>Schedule!BE33</f>
        <v>0</v>
      </c>
      <c r="AM31" s="176" t="str">
        <f>Schedule!BF33</f>
        <v>0</v>
      </c>
      <c r="AN31" s="176" t="str">
        <f>Schedule!BG33</f>
        <v>0</v>
      </c>
      <c r="AO31" s="176" t="str">
        <f>Schedule!BH33</f>
        <v>0</v>
      </c>
      <c r="AP31" s="176" t="str">
        <f>Schedule!BI33</f>
        <v>0</v>
      </c>
      <c r="AQ31" s="178"/>
      <c r="AR31" s="176" t="str">
        <f>Schedule!BJ33</f>
        <v>0</v>
      </c>
      <c r="AS31" s="176" t="str">
        <f>Schedule!BK33</f>
        <v>0</v>
      </c>
      <c r="AT31" s="176" t="str">
        <f>Schedule!BL33</f>
        <v>0</v>
      </c>
      <c r="AU31" s="176" t="str">
        <f>Schedule!BM33</f>
        <v>0</v>
      </c>
      <c r="AV31" s="176" t="str">
        <f>Schedule!BN33</f>
        <v>0</v>
      </c>
      <c r="AW31" s="176" t="str">
        <f>Schedule!BO33</f>
        <v>0</v>
      </c>
      <c r="AX31" s="176" t="str">
        <f>Schedule!BP33</f>
        <v>0</v>
      </c>
      <c r="AY31" s="176" t="str">
        <f>Schedule!BQ33</f>
        <v>0</v>
      </c>
      <c r="AZ31" s="176" t="str">
        <f>Schedule!BR33</f>
        <v>0</v>
      </c>
      <c r="BA31" s="178"/>
      <c r="BB31" s="176" t="str">
        <f>Schedule!BS33</f>
        <v>0</v>
      </c>
      <c r="BC31" s="176" t="str">
        <f>Schedule!BT33</f>
        <v>0</v>
      </c>
      <c r="BD31" s="176" t="str">
        <f>Schedule!BU33</f>
        <v>0</v>
      </c>
      <c r="BE31" s="176" t="str">
        <f>Schedule!BV33</f>
        <v>0</v>
      </c>
      <c r="BF31" s="176" t="str">
        <f>Schedule!BW33</f>
        <v>0</v>
      </c>
      <c r="BG31" s="176" t="str">
        <f>Schedule!BX33</f>
        <v>0</v>
      </c>
      <c r="BH31" s="176" t="str">
        <f>Schedule!BY33</f>
        <v>0</v>
      </c>
      <c r="BI31" s="176" t="str">
        <f>Schedule!BZ33</f>
        <v>0</v>
      </c>
      <c r="BJ31" s="176" t="str">
        <f>Schedule!CA33</f>
        <v>0</v>
      </c>
      <c r="BK31" s="178"/>
      <c r="BL31" s="176" t="str">
        <f>Schedule!CB33</f>
        <v>0</v>
      </c>
      <c r="BM31" s="176" t="str">
        <f>Schedule!CC33</f>
        <v>0</v>
      </c>
      <c r="BN31" s="176" t="str">
        <f>Schedule!CD33</f>
        <v>0</v>
      </c>
      <c r="BO31" s="176" t="str">
        <f>Schedule!CE33</f>
        <v>0</v>
      </c>
      <c r="BP31" s="176" t="str">
        <f>Schedule!CF33</f>
        <v>0</v>
      </c>
      <c r="BQ31" s="176" t="str">
        <f>Schedule!CG33</f>
        <v>0</v>
      </c>
      <c r="BR31" s="176" t="str">
        <f>Schedule!CH33</f>
        <v>0</v>
      </c>
      <c r="BS31" s="176" t="str">
        <f>Schedule!CI33</f>
        <v>0</v>
      </c>
      <c r="BT31" s="176" t="str">
        <f>Schedule!CJ33</f>
        <v>0</v>
      </c>
      <c r="BU31" s="178"/>
      <c r="BV31" s="176" t="str">
        <f>Schedule!CK33</f>
        <v>0</v>
      </c>
      <c r="BW31" s="176" t="str">
        <f>Schedule!CL33</f>
        <v>0</v>
      </c>
      <c r="BX31" s="176" t="str">
        <f>Schedule!CM33</f>
        <v>0</v>
      </c>
      <c r="BY31" s="176" t="str">
        <f>Schedule!CN33</f>
        <v>0</v>
      </c>
      <c r="BZ31" s="176" t="str">
        <f>Schedule!CO33</f>
        <v>0</v>
      </c>
      <c r="CA31" s="176" t="str">
        <f>Schedule!CP33</f>
        <v>0</v>
      </c>
      <c r="CB31" s="176" t="str">
        <f>Schedule!CQ33</f>
        <v>0</v>
      </c>
      <c r="CC31" s="176" t="str">
        <f>Schedule!CR33</f>
        <v>0</v>
      </c>
      <c r="CD31" s="176" t="str">
        <f>Schedule!CS33</f>
        <v>0</v>
      </c>
      <c r="CE31" s="178"/>
      <c r="CF31" s="176" t="str">
        <f>Schedule!CT33</f>
        <v>0</v>
      </c>
      <c r="CG31" s="176" t="str">
        <f>Schedule!CU33</f>
        <v>0</v>
      </c>
      <c r="CH31" s="176" t="str">
        <f>Schedule!CV33</f>
        <v>0</v>
      </c>
      <c r="CI31" s="176" t="str">
        <f>Schedule!CW33</f>
        <v>0</v>
      </c>
      <c r="CJ31" s="176" t="str">
        <f>Schedule!CX33</f>
        <v>0</v>
      </c>
      <c r="CK31" s="176" t="str">
        <f>Schedule!CY33</f>
        <v>0</v>
      </c>
      <c r="CL31" s="176" t="str">
        <f>Schedule!CZ33</f>
        <v>0</v>
      </c>
      <c r="CM31" s="176" t="str">
        <f>Schedule!DA33</f>
        <v>0</v>
      </c>
      <c r="CN31" s="176" t="str">
        <f>Schedule!DB33</f>
        <v>0</v>
      </c>
      <c r="CO31" s="178"/>
      <c r="CP31" s="176" t="str">
        <f>Schedule!DC33</f>
        <v>0</v>
      </c>
      <c r="CQ31" s="176" t="str">
        <f>Schedule!DD33</f>
        <v>0</v>
      </c>
      <c r="CR31" s="176" t="str">
        <f>Schedule!DE33</f>
        <v>0</v>
      </c>
      <c r="CS31" s="176" t="str">
        <f>Schedule!DF33</f>
        <v>0</v>
      </c>
      <c r="CT31" s="176" t="str">
        <f>Schedule!DG33</f>
        <v>0</v>
      </c>
      <c r="CU31" s="176" t="str">
        <f>Schedule!DH33</f>
        <v>0</v>
      </c>
      <c r="CV31" s="176" t="str">
        <f>Schedule!DI33</f>
        <v>0</v>
      </c>
      <c r="CW31" s="176" t="str">
        <f>Schedule!DJ33</f>
        <v>0</v>
      </c>
      <c r="CX31" s="176" t="str">
        <f>Schedule!DK33</f>
        <v>0</v>
      </c>
      <c r="CY31" s="178"/>
      <c r="CZ31" s="176" t="str">
        <f>Schedule!DL33</f>
        <v>0</v>
      </c>
      <c r="DA31" s="176" t="str">
        <f>Schedule!DM33</f>
        <v>0</v>
      </c>
      <c r="DB31" s="176" t="str">
        <f>Schedule!DN33</f>
        <v>0</v>
      </c>
      <c r="DC31" s="176" t="str">
        <f>Schedule!DO33</f>
        <v>0</v>
      </c>
      <c r="DD31" s="176" t="str">
        <f>Schedule!DP33</f>
        <v>0</v>
      </c>
      <c r="DE31" s="176" t="str">
        <f>Schedule!DQ33</f>
        <v>0</v>
      </c>
      <c r="DF31" s="176" t="str">
        <f>Schedule!DR33</f>
        <v>0</v>
      </c>
      <c r="DG31" s="176" t="str">
        <f>Schedule!DS33</f>
        <v>0</v>
      </c>
      <c r="DH31" s="176" t="str">
        <f>Schedule!DT33</f>
        <v>0</v>
      </c>
      <c r="DI31" s="178"/>
      <c r="DJ31" s="176" t="str">
        <f>Schedule!DU33</f>
        <v>0</v>
      </c>
      <c r="DK31" s="176" t="str">
        <f>Schedule!DV33</f>
        <v>0</v>
      </c>
      <c r="DL31" s="176" t="str">
        <f>Schedule!DW33</f>
        <v>0</v>
      </c>
      <c r="DM31" s="176" t="str">
        <f>Schedule!DX33</f>
        <v>0</v>
      </c>
      <c r="DN31" s="176" t="str">
        <f>Schedule!DY33</f>
        <v>0</v>
      </c>
      <c r="DO31" s="176" t="str">
        <f>Schedule!DZ33</f>
        <v>0</v>
      </c>
      <c r="DP31" s="176" t="str">
        <f>Schedule!EA33</f>
        <v>0</v>
      </c>
      <c r="DQ31" s="176" t="str">
        <f>Schedule!EB33</f>
        <v>0</v>
      </c>
      <c r="DR31" s="176" t="str">
        <f>Schedule!EC33</f>
        <v>0</v>
      </c>
      <c r="DS31" s="178"/>
      <c r="DT31" s="176" t="str">
        <f>Schedule!ED33</f>
        <v>0</v>
      </c>
      <c r="DU31" s="176" t="str">
        <f>Schedule!EE33</f>
        <v>0</v>
      </c>
      <c r="DV31" s="176" t="str">
        <f>Schedule!EF33</f>
        <v>0</v>
      </c>
      <c r="DW31" s="176" t="str">
        <f>Schedule!EG33</f>
        <v>0</v>
      </c>
      <c r="DX31" s="176" t="str">
        <f>Schedule!EH33</f>
        <v>0</v>
      </c>
      <c r="DY31" s="176" t="str">
        <f>Schedule!EI33</f>
        <v>0</v>
      </c>
      <c r="DZ31" s="176" t="str">
        <f>Schedule!EJ33</f>
        <v>0</v>
      </c>
      <c r="EA31" s="176" t="str">
        <f>Schedule!EK33</f>
        <v>0</v>
      </c>
      <c r="EB31" s="176" t="str">
        <f>Schedule!EL33</f>
        <v>0</v>
      </c>
      <c r="EC31" s="178"/>
      <c r="ED31" s="176" t="str">
        <f>Schedule!EM33</f>
        <v>0</v>
      </c>
      <c r="EE31" s="176" t="str">
        <f>Schedule!EN33</f>
        <v>0</v>
      </c>
      <c r="EF31" s="176" t="str">
        <f>Schedule!EO33</f>
        <v>0</v>
      </c>
      <c r="EG31" s="176" t="str">
        <f>Schedule!EP33</f>
        <v>0</v>
      </c>
      <c r="EH31" s="176" t="str">
        <f>Schedule!EQ33</f>
        <v>0</v>
      </c>
      <c r="EI31" s="176" t="str">
        <f>Schedule!ER33</f>
        <v>0</v>
      </c>
      <c r="EJ31" s="176" t="str">
        <f>Schedule!ES33</f>
        <v>0</v>
      </c>
      <c r="EK31" s="176" t="str">
        <f>Schedule!ET33</f>
        <v>0</v>
      </c>
      <c r="EL31" s="176" t="str">
        <f>Schedule!EU33</f>
        <v>0</v>
      </c>
      <c r="EM31" s="178"/>
      <c r="EN31" s="176" t="str">
        <f>Schedule!EV33</f>
        <v>0</v>
      </c>
      <c r="EO31" s="176" t="str">
        <f>Schedule!EW33</f>
        <v>0</v>
      </c>
      <c r="EP31" s="176" t="str">
        <f>Schedule!EX33</f>
        <v>0</v>
      </c>
      <c r="EQ31" s="176" t="str">
        <f>Schedule!EY33</f>
        <v>0</v>
      </c>
      <c r="ER31" s="176" t="str">
        <f>Schedule!EZ33</f>
        <v>0</v>
      </c>
      <c r="ES31" s="176" t="str">
        <f>Schedule!FA33</f>
        <v>0</v>
      </c>
      <c r="ET31" s="176" t="str">
        <f>Schedule!FB33</f>
        <v>0</v>
      </c>
      <c r="EU31" s="176" t="str">
        <f>Schedule!FC33</f>
        <v>0</v>
      </c>
      <c r="EV31" s="176" t="str">
        <f>Schedule!FD33</f>
        <v>0</v>
      </c>
      <c r="EW31" s="178"/>
      <c r="EX31" s="176" t="str">
        <f>Schedule!FE33</f>
        <v>0</v>
      </c>
      <c r="EY31" s="176" t="str">
        <f>Schedule!FF33</f>
        <v>0</v>
      </c>
      <c r="EZ31" s="176" t="str">
        <f>Schedule!FG33</f>
        <v>0</v>
      </c>
      <c r="FA31" s="176" t="str">
        <f>Schedule!FH33</f>
        <v>0</v>
      </c>
      <c r="FB31" s="176" t="str">
        <f>Schedule!FI33</f>
        <v>0</v>
      </c>
      <c r="FC31" s="176" t="str">
        <f>Schedule!FJ33</f>
        <v>0</v>
      </c>
      <c r="FD31" s="176" t="str">
        <f>Schedule!FK33</f>
        <v>0</v>
      </c>
      <c r="FE31" s="176" t="str">
        <f>Schedule!FL33</f>
        <v>0</v>
      </c>
      <c r="FF31" s="176" t="str">
        <f>Schedule!FM33</f>
        <v>0</v>
      </c>
      <c r="FG31" s="178"/>
      <c r="FH31" s="176" t="str">
        <f>Schedule!FN33</f>
        <v>0</v>
      </c>
      <c r="FI31" s="176" t="str">
        <f>Schedule!FO33</f>
        <v>0</v>
      </c>
      <c r="FJ31" s="176" t="str">
        <f>Schedule!FP33</f>
        <v>0</v>
      </c>
      <c r="FK31" s="176" t="str">
        <f>Schedule!FQ33</f>
        <v>0</v>
      </c>
      <c r="FL31" s="176" t="str">
        <f>Schedule!FR33</f>
        <v>0</v>
      </c>
      <c r="FM31" s="176" t="str">
        <f>Schedule!FS33</f>
        <v>0</v>
      </c>
      <c r="FN31" s="176" t="str">
        <f>Schedule!FT33</f>
        <v>0</v>
      </c>
      <c r="FO31" s="176" t="str">
        <f>Schedule!FU33</f>
        <v>0</v>
      </c>
      <c r="FP31" s="176" t="str">
        <f>Schedule!FV33</f>
        <v>0</v>
      </c>
      <c r="FQ31" s="178"/>
      <c r="FR31" s="176" t="str">
        <f>Schedule!FW33</f>
        <v>0</v>
      </c>
      <c r="FS31" s="176" t="str">
        <f>Schedule!FX33</f>
        <v>0</v>
      </c>
      <c r="FT31" s="176" t="str">
        <f>Schedule!FY33</f>
        <v>0</v>
      </c>
      <c r="FU31" s="176" t="str">
        <f>Schedule!FZ33</f>
        <v>0</v>
      </c>
      <c r="FV31" s="176" t="str">
        <f>Schedule!GA33</f>
        <v>0</v>
      </c>
      <c r="FW31" s="176" t="str">
        <f>Schedule!GB33</f>
        <v>0</v>
      </c>
      <c r="FX31" s="176" t="str">
        <f>Schedule!GC33</f>
        <v>0</v>
      </c>
      <c r="FY31" s="176" t="str">
        <f>Schedule!GD33</f>
        <v>0</v>
      </c>
      <c r="FZ31" s="176" t="str">
        <f>Schedule!GE33</f>
        <v>0</v>
      </c>
      <c r="GA31" s="178"/>
      <c r="GB31" s="176" t="str">
        <f>Schedule!GF33</f>
        <v>0</v>
      </c>
      <c r="GC31" s="176" t="str">
        <f>Schedule!GG33</f>
        <v>0</v>
      </c>
      <c r="GD31" s="176" t="str">
        <f>Schedule!GH33</f>
        <v>0</v>
      </c>
      <c r="GE31" s="176" t="str">
        <f>Schedule!GI33</f>
        <v>0</v>
      </c>
      <c r="GF31" s="176" t="str">
        <f>Schedule!GJ33</f>
        <v>0</v>
      </c>
      <c r="GG31" s="176" t="str">
        <f>Schedule!GK33</f>
        <v>0</v>
      </c>
      <c r="GH31" s="176" t="str">
        <f>Schedule!GL33</f>
        <v>0</v>
      </c>
      <c r="GI31" s="176" t="str">
        <f>Schedule!GM33</f>
        <v>0</v>
      </c>
      <c r="GJ31" s="176" t="str">
        <f>Schedule!GN33</f>
        <v>0</v>
      </c>
      <c r="GK31" s="178"/>
      <c r="GL31" s="176" t="str">
        <f>Schedule!GO33</f>
        <v>0</v>
      </c>
      <c r="GM31" s="176" t="str">
        <f>Schedule!GP33</f>
        <v>0</v>
      </c>
      <c r="GN31" s="176" t="str">
        <f>Schedule!GQ33</f>
        <v>0</v>
      </c>
      <c r="GO31" s="176" t="str">
        <f>Schedule!GR33</f>
        <v>0</v>
      </c>
      <c r="GP31" s="176" t="str">
        <f>Schedule!GS33</f>
        <v>0</v>
      </c>
      <c r="GQ31" s="176" t="str">
        <f>Schedule!GT33</f>
        <v>0</v>
      </c>
      <c r="GR31" s="176" t="str">
        <f>Schedule!GU33</f>
        <v>0</v>
      </c>
      <c r="GS31" s="176" t="str">
        <f>Schedule!GV33</f>
        <v>0</v>
      </c>
      <c r="GT31" s="176" t="str">
        <f>Schedule!GW33</f>
        <v>0</v>
      </c>
      <c r="GW31" s="227"/>
    </row>
    <row r="32" spans="2:205" ht="15.75" hidden="1" customHeight="1">
      <c r="B32" s="269"/>
      <c r="C32" s="159">
        <f>Schedule!C34</f>
        <v>0</v>
      </c>
      <c r="D32" s="176" t="str">
        <f>Schedule!Z34</f>
        <v>0</v>
      </c>
      <c r="E32" s="176" t="str">
        <f>Schedule!AA34</f>
        <v>0</v>
      </c>
      <c r="F32" s="176" t="str">
        <f>Schedule!AB34</f>
        <v>0</v>
      </c>
      <c r="G32" s="176" t="str">
        <f>Schedule!AC34</f>
        <v>0</v>
      </c>
      <c r="H32" s="176" t="str">
        <f>Schedule!AD34</f>
        <v>0</v>
      </c>
      <c r="I32" s="176" t="str">
        <f>Schedule!AE34</f>
        <v>0</v>
      </c>
      <c r="J32" s="176" t="str">
        <f>Schedule!AF34</f>
        <v>0</v>
      </c>
      <c r="K32" s="181" t="str">
        <f>Schedule!AG34</f>
        <v>0</v>
      </c>
      <c r="L32" s="181" t="str">
        <f>Schedule!AH34</f>
        <v>0</v>
      </c>
      <c r="M32" s="178"/>
      <c r="N32" s="183" t="str">
        <f>Schedule!AI34</f>
        <v>0</v>
      </c>
      <c r="O32" s="176" t="str">
        <f>Schedule!AJ34</f>
        <v>0</v>
      </c>
      <c r="P32" s="176" t="str">
        <f>Schedule!AK34</f>
        <v>0</v>
      </c>
      <c r="Q32" s="176" t="str">
        <f>Schedule!AL34</f>
        <v>0</v>
      </c>
      <c r="R32" s="176" t="str">
        <f>Schedule!AM34</f>
        <v>0</v>
      </c>
      <c r="S32" s="176" t="str">
        <f>Schedule!AN34</f>
        <v>0</v>
      </c>
      <c r="T32" s="176" t="str">
        <f>Schedule!AO34</f>
        <v>0</v>
      </c>
      <c r="U32" s="176" t="str">
        <f>Schedule!AP34</f>
        <v>0</v>
      </c>
      <c r="V32" s="176" t="str">
        <f>Schedule!AQ34</f>
        <v>0</v>
      </c>
      <c r="W32" s="178"/>
      <c r="X32" s="176" t="str">
        <f>Schedule!AR34</f>
        <v>0</v>
      </c>
      <c r="Y32" s="176" t="str">
        <f>Schedule!AS34</f>
        <v>0</v>
      </c>
      <c r="Z32" s="176" t="str">
        <f>Schedule!AT34</f>
        <v>0</v>
      </c>
      <c r="AA32" s="176" t="str">
        <f>Schedule!AU34</f>
        <v>0</v>
      </c>
      <c r="AB32" s="176" t="str">
        <f>Schedule!AV34</f>
        <v>0</v>
      </c>
      <c r="AC32" s="176" t="str">
        <f>Schedule!AW34</f>
        <v>0</v>
      </c>
      <c r="AD32" s="176" t="str">
        <f>Schedule!AX34</f>
        <v>0</v>
      </c>
      <c r="AE32" s="176" t="str">
        <f>Schedule!AY34</f>
        <v>0</v>
      </c>
      <c r="AF32" s="176" t="str">
        <f>Schedule!AZ34</f>
        <v>0</v>
      </c>
      <c r="AG32" s="178"/>
      <c r="AH32" s="176" t="str">
        <f>Schedule!BA34</f>
        <v>0</v>
      </c>
      <c r="AI32" s="176" t="str">
        <f>Schedule!BB34</f>
        <v>0</v>
      </c>
      <c r="AJ32" s="176" t="str">
        <f>Schedule!BC34</f>
        <v>0</v>
      </c>
      <c r="AK32" s="176" t="str">
        <f>Schedule!BD34</f>
        <v>0</v>
      </c>
      <c r="AL32" s="176" t="str">
        <f>Schedule!BE34</f>
        <v>0</v>
      </c>
      <c r="AM32" s="176" t="str">
        <f>Schedule!BF34</f>
        <v>0</v>
      </c>
      <c r="AN32" s="176" t="str">
        <f>Schedule!BG34</f>
        <v>0</v>
      </c>
      <c r="AO32" s="176" t="str">
        <f>Schedule!BH34</f>
        <v>0</v>
      </c>
      <c r="AP32" s="176" t="str">
        <f>Schedule!BI34</f>
        <v>0</v>
      </c>
      <c r="AQ32" s="178"/>
      <c r="AR32" s="176" t="str">
        <f>Schedule!BJ34</f>
        <v>0</v>
      </c>
      <c r="AS32" s="176" t="str">
        <f>Schedule!BK34</f>
        <v>0</v>
      </c>
      <c r="AT32" s="176" t="str">
        <f>Schedule!BL34</f>
        <v>0</v>
      </c>
      <c r="AU32" s="176" t="str">
        <f>Schedule!BM34</f>
        <v>0</v>
      </c>
      <c r="AV32" s="176" t="str">
        <f>Schedule!BN34</f>
        <v>0</v>
      </c>
      <c r="AW32" s="176" t="str">
        <f>Schedule!BO34</f>
        <v>0</v>
      </c>
      <c r="AX32" s="176" t="str">
        <f>Schedule!BP34</f>
        <v>0</v>
      </c>
      <c r="AY32" s="176" t="str">
        <f>Schedule!BQ34</f>
        <v>0</v>
      </c>
      <c r="AZ32" s="176" t="str">
        <f>Schedule!BR34</f>
        <v>0</v>
      </c>
      <c r="BA32" s="178"/>
      <c r="BB32" s="176" t="str">
        <f>Schedule!BS34</f>
        <v>0</v>
      </c>
      <c r="BC32" s="176" t="str">
        <f>Schedule!BT34</f>
        <v>0</v>
      </c>
      <c r="BD32" s="176" t="str">
        <f>Schedule!BU34</f>
        <v>0</v>
      </c>
      <c r="BE32" s="176" t="str">
        <f>Schedule!BV34</f>
        <v>0</v>
      </c>
      <c r="BF32" s="176" t="str">
        <f>Schedule!BW34</f>
        <v>0</v>
      </c>
      <c r="BG32" s="176" t="str">
        <f>Schedule!BX34</f>
        <v>0</v>
      </c>
      <c r="BH32" s="176" t="str">
        <f>Schedule!BY34</f>
        <v>0</v>
      </c>
      <c r="BI32" s="176" t="str">
        <f>Schedule!BZ34</f>
        <v>0</v>
      </c>
      <c r="BJ32" s="176" t="str">
        <f>Schedule!CA34</f>
        <v>0</v>
      </c>
      <c r="BK32" s="178"/>
      <c r="BL32" s="176" t="str">
        <f>Schedule!CB34</f>
        <v>0</v>
      </c>
      <c r="BM32" s="176" t="str">
        <f>Schedule!CC34</f>
        <v>0</v>
      </c>
      <c r="BN32" s="176" t="str">
        <f>Schedule!CD34</f>
        <v>0</v>
      </c>
      <c r="BO32" s="176" t="str">
        <f>Schedule!CE34</f>
        <v>0</v>
      </c>
      <c r="BP32" s="176" t="str">
        <f>Schedule!CF34</f>
        <v>0</v>
      </c>
      <c r="BQ32" s="176" t="str">
        <f>Schedule!CG34</f>
        <v>0</v>
      </c>
      <c r="BR32" s="176" t="str">
        <f>Schedule!CH34</f>
        <v>0</v>
      </c>
      <c r="BS32" s="176" t="str">
        <f>Schedule!CI34</f>
        <v>0</v>
      </c>
      <c r="BT32" s="176" t="str">
        <f>Schedule!CJ34</f>
        <v>0</v>
      </c>
      <c r="BU32" s="178"/>
      <c r="BV32" s="176" t="str">
        <f>Schedule!CK34</f>
        <v>0</v>
      </c>
      <c r="BW32" s="176" t="str">
        <f>Schedule!CL34</f>
        <v>0</v>
      </c>
      <c r="BX32" s="176" t="str">
        <f>Schedule!CM34</f>
        <v>0</v>
      </c>
      <c r="BY32" s="176" t="str">
        <f>Schedule!CN34</f>
        <v>0</v>
      </c>
      <c r="BZ32" s="176" t="str">
        <f>Schedule!CO34</f>
        <v>0</v>
      </c>
      <c r="CA32" s="176" t="str">
        <f>Schedule!CP34</f>
        <v>0</v>
      </c>
      <c r="CB32" s="176" t="str">
        <f>Schedule!CQ34</f>
        <v>0</v>
      </c>
      <c r="CC32" s="176" t="str">
        <f>Schedule!CR34</f>
        <v>0</v>
      </c>
      <c r="CD32" s="176" t="str">
        <f>Schedule!CS34</f>
        <v>0</v>
      </c>
      <c r="CE32" s="178"/>
      <c r="CF32" s="176" t="str">
        <f>Schedule!CT34</f>
        <v>0</v>
      </c>
      <c r="CG32" s="176" t="str">
        <f>Schedule!CU34</f>
        <v>0</v>
      </c>
      <c r="CH32" s="176" t="str">
        <f>Schedule!CV34</f>
        <v>0</v>
      </c>
      <c r="CI32" s="176" t="str">
        <f>Schedule!CW34</f>
        <v>0</v>
      </c>
      <c r="CJ32" s="176" t="str">
        <f>Schedule!CX34</f>
        <v>0</v>
      </c>
      <c r="CK32" s="176" t="str">
        <f>Schedule!CY34</f>
        <v>0</v>
      </c>
      <c r="CL32" s="176" t="str">
        <f>Schedule!CZ34</f>
        <v>0</v>
      </c>
      <c r="CM32" s="176" t="str">
        <f>Schedule!DA34</f>
        <v>0</v>
      </c>
      <c r="CN32" s="176" t="str">
        <f>Schedule!DB34</f>
        <v>0</v>
      </c>
      <c r="CO32" s="178"/>
      <c r="CP32" s="176" t="str">
        <f>Schedule!DC34</f>
        <v>0</v>
      </c>
      <c r="CQ32" s="176" t="str">
        <f>Schedule!DD34</f>
        <v>0</v>
      </c>
      <c r="CR32" s="176" t="str">
        <f>Schedule!DE34</f>
        <v>0</v>
      </c>
      <c r="CS32" s="176" t="str">
        <f>Schedule!DF34</f>
        <v>0</v>
      </c>
      <c r="CT32" s="176" t="str">
        <f>Schedule!DG34</f>
        <v>0</v>
      </c>
      <c r="CU32" s="176" t="str">
        <f>Schedule!DH34</f>
        <v>0</v>
      </c>
      <c r="CV32" s="176" t="str">
        <f>Schedule!DI34</f>
        <v>0</v>
      </c>
      <c r="CW32" s="176" t="str">
        <f>Schedule!DJ34</f>
        <v>0</v>
      </c>
      <c r="CX32" s="176" t="str">
        <f>Schedule!DK34</f>
        <v>0</v>
      </c>
      <c r="CY32" s="178"/>
      <c r="CZ32" s="176" t="str">
        <f>Schedule!DL34</f>
        <v>0</v>
      </c>
      <c r="DA32" s="176" t="str">
        <f>Schedule!DM34</f>
        <v>0</v>
      </c>
      <c r="DB32" s="176" t="str">
        <f>Schedule!DN34</f>
        <v>0</v>
      </c>
      <c r="DC32" s="176" t="str">
        <f>Schedule!DO34</f>
        <v>0</v>
      </c>
      <c r="DD32" s="176" t="str">
        <f>Schedule!DP34</f>
        <v>0</v>
      </c>
      <c r="DE32" s="176" t="str">
        <f>Schedule!DQ34</f>
        <v>0</v>
      </c>
      <c r="DF32" s="176" t="str">
        <f>Schedule!DR34</f>
        <v>0</v>
      </c>
      <c r="DG32" s="176" t="str">
        <f>Schedule!DS34</f>
        <v>0</v>
      </c>
      <c r="DH32" s="176" t="str">
        <f>Schedule!DT34</f>
        <v>0</v>
      </c>
      <c r="DI32" s="178"/>
      <c r="DJ32" s="176" t="str">
        <f>Schedule!DU34</f>
        <v>0</v>
      </c>
      <c r="DK32" s="176" t="str">
        <f>Schedule!DV34</f>
        <v>0</v>
      </c>
      <c r="DL32" s="176" t="str">
        <f>Schedule!DW34</f>
        <v>0</v>
      </c>
      <c r="DM32" s="176" t="str">
        <f>Schedule!DX34</f>
        <v>0</v>
      </c>
      <c r="DN32" s="176" t="str">
        <f>Schedule!DY34</f>
        <v>0</v>
      </c>
      <c r="DO32" s="176" t="str">
        <f>Schedule!DZ34</f>
        <v>0</v>
      </c>
      <c r="DP32" s="176" t="str">
        <f>Schedule!EA34</f>
        <v>0</v>
      </c>
      <c r="DQ32" s="176" t="str">
        <f>Schedule!EB34</f>
        <v>0</v>
      </c>
      <c r="DR32" s="176" t="str">
        <f>Schedule!EC34</f>
        <v>0</v>
      </c>
      <c r="DS32" s="178"/>
      <c r="DT32" s="176" t="str">
        <f>Schedule!ED34</f>
        <v>0</v>
      </c>
      <c r="DU32" s="176" t="str">
        <f>Schedule!EE34</f>
        <v>0</v>
      </c>
      <c r="DV32" s="176" t="str">
        <f>Schedule!EF34</f>
        <v>0</v>
      </c>
      <c r="DW32" s="176" t="str">
        <f>Schedule!EG34</f>
        <v>0</v>
      </c>
      <c r="DX32" s="176" t="str">
        <f>Schedule!EH34</f>
        <v>0</v>
      </c>
      <c r="DY32" s="176" t="str">
        <f>Schedule!EI34</f>
        <v>0</v>
      </c>
      <c r="DZ32" s="176" t="str">
        <f>Schedule!EJ34</f>
        <v>0</v>
      </c>
      <c r="EA32" s="176" t="str">
        <f>Schedule!EK34</f>
        <v>0</v>
      </c>
      <c r="EB32" s="176" t="str">
        <f>Schedule!EL34</f>
        <v>0</v>
      </c>
      <c r="EC32" s="178"/>
      <c r="ED32" s="176" t="str">
        <f>Schedule!EM34</f>
        <v>0</v>
      </c>
      <c r="EE32" s="176" t="str">
        <f>Schedule!EN34</f>
        <v>0</v>
      </c>
      <c r="EF32" s="176" t="str">
        <f>Schedule!EO34</f>
        <v>0</v>
      </c>
      <c r="EG32" s="176" t="str">
        <f>Schedule!EP34</f>
        <v>0</v>
      </c>
      <c r="EH32" s="176" t="str">
        <f>Schedule!EQ34</f>
        <v>0</v>
      </c>
      <c r="EI32" s="176" t="str">
        <f>Schedule!ER34</f>
        <v>0</v>
      </c>
      <c r="EJ32" s="176" t="str">
        <f>Schedule!ES34</f>
        <v>0</v>
      </c>
      <c r="EK32" s="176" t="str">
        <f>Schedule!ET34</f>
        <v>0</v>
      </c>
      <c r="EL32" s="176" t="str">
        <f>Schedule!EU34</f>
        <v>0</v>
      </c>
      <c r="EM32" s="178"/>
      <c r="EN32" s="176" t="str">
        <f>Schedule!EV34</f>
        <v>0</v>
      </c>
      <c r="EO32" s="176" t="str">
        <f>Schedule!EW34</f>
        <v>0</v>
      </c>
      <c r="EP32" s="176" t="str">
        <f>Schedule!EX34</f>
        <v>0</v>
      </c>
      <c r="EQ32" s="176" t="str">
        <f>Schedule!EY34</f>
        <v>0</v>
      </c>
      <c r="ER32" s="176" t="str">
        <f>Schedule!EZ34</f>
        <v>0</v>
      </c>
      <c r="ES32" s="176" t="str">
        <f>Schedule!FA34</f>
        <v>0</v>
      </c>
      <c r="ET32" s="176" t="str">
        <f>Schedule!FB34</f>
        <v>0</v>
      </c>
      <c r="EU32" s="176" t="str">
        <f>Schedule!FC34</f>
        <v>0</v>
      </c>
      <c r="EV32" s="176" t="str">
        <f>Schedule!FD34</f>
        <v>0</v>
      </c>
      <c r="EW32" s="178"/>
      <c r="EX32" s="176" t="str">
        <f>Schedule!FE34</f>
        <v>0</v>
      </c>
      <c r="EY32" s="176" t="str">
        <f>Schedule!FF34</f>
        <v>0</v>
      </c>
      <c r="EZ32" s="176" t="str">
        <f>Schedule!FG34</f>
        <v>0</v>
      </c>
      <c r="FA32" s="176" t="str">
        <f>Schedule!FH34</f>
        <v>0</v>
      </c>
      <c r="FB32" s="176" t="str">
        <f>Schedule!FI34</f>
        <v>0</v>
      </c>
      <c r="FC32" s="176" t="str">
        <f>Schedule!FJ34</f>
        <v>0</v>
      </c>
      <c r="FD32" s="176" t="str">
        <f>Schedule!FK34</f>
        <v>0</v>
      </c>
      <c r="FE32" s="176" t="str">
        <f>Schedule!FL34</f>
        <v>0</v>
      </c>
      <c r="FF32" s="176" t="str">
        <f>Schedule!FM34</f>
        <v>0</v>
      </c>
      <c r="FG32" s="178"/>
      <c r="FH32" s="176" t="str">
        <f>Schedule!FN34</f>
        <v>0</v>
      </c>
      <c r="FI32" s="176" t="str">
        <f>Schedule!FO34</f>
        <v>0</v>
      </c>
      <c r="FJ32" s="176" t="str">
        <f>Schedule!FP34</f>
        <v>0</v>
      </c>
      <c r="FK32" s="176" t="str">
        <f>Schedule!FQ34</f>
        <v>0</v>
      </c>
      <c r="FL32" s="176" t="str">
        <f>Schedule!FR34</f>
        <v>0</v>
      </c>
      <c r="FM32" s="176" t="str">
        <f>Schedule!FS34</f>
        <v>0</v>
      </c>
      <c r="FN32" s="176" t="str">
        <f>Schedule!FT34</f>
        <v>0</v>
      </c>
      <c r="FO32" s="176" t="str">
        <f>Schedule!FU34</f>
        <v>0</v>
      </c>
      <c r="FP32" s="176" t="str">
        <f>Schedule!FV34</f>
        <v>0</v>
      </c>
      <c r="FQ32" s="178"/>
      <c r="FR32" s="176" t="str">
        <f>Schedule!FW34</f>
        <v>0</v>
      </c>
      <c r="FS32" s="176" t="str">
        <f>Schedule!FX34</f>
        <v>0</v>
      </c>
      <c r="FT32" s="176" t="str">
        <f>Schedule!FY34</f>
        <v>0</v>
      </c>
      <c r="FU32" s="176" t="str">
        <f>Schedule!FZ34</f>
        <v>0</v>
      </c>
      <c r="FV32" s="176" t="str">
        <f>Schedule!GA34</f>
        <v>0</v>
      </c>
      <c r="FW32" s="176" t="str">
        <f>Schedule!GB34</f>
        <v>0</v>
      </c>
      <c r="FX32" s="176" t="str">
        <f>Schedule!GC34</f>
        <v>0</v>
      </c>
      <c r="FY32" s="176" t="str">
        <f>Schedule!GD34</f>
        <v>0</v>
      </c>
      <c r="FZ32" s="176" t="str">
        <f>Schedule!GE34</f>
        <v>0</v>
      </c>
      <c r="GA32" s="178"/>
      <c r="GB32" s="176" t="str">
        <f>Schedule!GF34</f>
        <v>0</v>
      </c>
      <c r="GC32" s="176" t="str">
        <f>Schedule!GG34</f>
        <v>0</v>
      </c>
      <c r="GD32" s="176" t="str">
        <f>Schedule!GH34</f>
        <v>0</v>
      </c>
      <c r="GE32" s="176" t="str">
        <f>Schedule!GI34</f>
        <v>0</v>
      </c>
      <c r="GF32" s="176" t="str">
        <f>Schedule!GJ34</f>
        <v>0</v>
      </c>
      <c r="GG32" s="176" t="str">
        <f>Schedule!GK34</f>
        <v>0</v>
      </c>
      <c r="GH32" s="176" t="str">
        <f>Schedule!GL34</f>
        <v>0</v>
      </c>
      <c r="GI32" s="176" t="str">
        <f>Schedule!GM34</f>
        <v>0</v>
      </c>
      <c r="GJ32" s="176" t="str">
        <f>Schedule!GN34</f>
        <v>0</v>
      </c>
      <c r="GK32" s="178"/>
      <c r="GL32" s="176" t="str">
        <f>Schedule!GO34</f>
        <v>0</v>
      </c>
      <c r="GM32" s="176" t="str">
        <f>Schedule!GP34</f>
        <v>0</v>
      </c>
      <c r="GN32" s="176" t="str">
        <f>Schedule!GQ34</f>
        <v>0</v>
      </c>
      <c r="GO32" s="176" t="str">
        <f>Schedule!GR34</f>
        <v>0</v>
      </c>
      <c r="GP32" s="176" t="str">
        <f>Schedule!GS34</f>
        <v>0</v>
      </c>
      <c r="GQ32" s="176" t="str">
        <f>Schedule!GT34</f>
        <v>0</v>
      </c>
      <c r="GR32" s="176" t="str">
        <f>Schedule!GU34</f>
        <v>0</v>
      </c>
      <c r="GS32" s="176" t="str">
        <f>Schedule!GV34</f>
        <v>0</v>
      </c>
      <c r="GT32" s="176" t="str">
        <f>Schedule!GW34</f>
        <v>0</v>
      </c>
      <c r="GW32" s="227"/>
    </row>
    <row r="33" spans="1:205" ht="15.75" hidden="1" customHeight="1">
      <c r="B33" s="272"/>
      <c r="C33" s="159">
        <f>Schedule!C35</f>
        <v>0</v>
      </c>
      <c r="D33" s="176" t="str">
        <f>Schedule!Z35</f>
        <v>0</v>
      </c>
      <c r="E33" s="176" t="str">
        <f>Schedule!AA35</f>
        <v>0</v>
      </c>
      <c r="F33" s="176" t="str">
        <f>Schedule!AB35</f>
        <v>0</v>
      </c>
      <c r="G33" s="176" t="str">
        <f>Schedule!AC35</f>
        <v>0</v>
      </c>
      <c r="H33" s="176" t="str">
        <f>Schedule!AD35</f>
        <v>0</v>
      </c>
      <c r="I33" s="176" t="str">
        <f>Schedule!AE35</f>
        <v>0</v>
      </c>
      <c r="J33" s="176" t="str">
        <f>Schedule!AF35</f>
        <v>0</v>
      </c>
      <c r="K33" s="181" t="str">
        <f>Schedule!AG35</f>
        <v>0</v>
      </c>
      <c r="L33" s="181" t="str">
        <f>Schedule!AH35</f>
        <v>0</v>
      </c>
      <c r="M33" s="178"/>
      <c r="N33" s="183" t="str">
        <f>Schedule!AI35</f>
        <v>0</v>
      </c>
      <c r="O33" s="176" t="str">
        <f>Schedule!AJ35</f>
        <v>0</v>
      </c>
      <c r="P33" s="176" t="str">
        <f>Schedule!AK35</f>
        <v>0</v>
      </c>
      <c r="Q33" s="176" t="str">
        <f>Schedule!AL35</f>
        <v>0</v>
      </c>
      <c r="R33" s="176" t="str">
        <f>Schedule!AM35</f>
        <v>0</v>
      </c>
      <c r="S33" s="176" t="str">
        <f>Schedule!AN35</f>
        <v>0</v>
      </c>
      <c r="T33" s="176" t="str">
        <f>Schedule!AO35</f>
        <v>0</v>
      </c>
      <c r="U33" s="176" t="str">
        <f>Schedule!AP35</f>
        <v>0</v>
      </c>
      <c r="V33" s="176" t="str">
        <f>Schedule!AQ35</f>
        <v>0</v>
      </c>
      <c r="W33" s="178"/>
      <c r="X33" s="176" t="str">
        <f>Schedule!AR35</f>
        <v>0</v>
      </c>
      <c r="Y33" s="176" t="str">
        <f>Schedule!AS35</f>
        <v>0</v>
      </c>
      <c r="Z33" s="176" t="str">
        <f>Schedule!AT35</f>
        <v>0</v>
      </c>
      <c r="AA33" s="176" t="str">
        <f>Schedule!AU35</f>
        <v>0</v>
      </c>
      <c r="AB33" s="176" t="str">
        <f>Schedule!AV35</f>
        <v>0</v>
      </c>
      <c r="AC33" s="176" t="str">
        <f>Schedule!AW35</f>
        <v>0</v>
      </c>
      <c r="AD33" s="176" t="str">
        <f>Schedule!AX35</f>
        <v>0</v>
      </c>
      <c r="AE33" s="176" t="str">
        <f>Schedule!AY35</f>
        <v>0</v>
      </c>
      <c r="AF33" s="176" t="str">
        <f>Schedule!AZ35</f>
        <v>0</v>
      </c>
      <c r="AG33" s="178"/>
      <c r="AH33" s="176" t="str">
        <f>Schedule!BA35</f>
        <v>0</v>
      </c>
      <c r="AI33" s="176" t="str">
        <f>Schedule!BB35</f>
        <v>0</v>
      </c>
      <c r="AJ33" s="176" t="str">
        <f>Schedule!BC35</f>
        <v>0</v>
      </c>
      <c r="AK33" s="176" t="str">
        <f>Schedule!BD35</f>
        <v>0</v>
      </c>
      <c r="AL33" s="176" t="str">
        <f>Schedule!BE35</f>
        <v>0</v>
      </c>
      <c r="AM33" s="176" t="str">
        <f>Schedule!BF35</f>
        <v>0</v>
      </c>
      <c r="AN33" s="176" t="str">
        <f>Schedule!BG35</f>
        <v>0</v>
      </c>
      <c r="AO33" s="176" t="str">
        <f>Schedule!BH35</f>
        <v>0</v>
      </c>
      <c r="AP33" s="176" t="str">
        <f>Schedule!BI35</f>
        <v>0</v>
      </c>
      <c r="AQ33" s="178"/>
      <c r="AR33" s="176" t="str">
        <f>Schedule!BJ35</f>
        <v>0</v>
      </c>
      <c r="AS33" s="176" t="str">
        <f>Schedule!BK35</f>
        <v>0</v>
      </c>
      <c r="AT33" s="176" t="str">
        <f>Schedule!BL35</f>
        <v>0</v>
      </c>
      <c r="AU33" s="176" t="str">
        <f>Schedule!BM35</f>
        <v>0</v>
      </c>
      <c r="AV33" s="176" t="str">
        <f>Schedule!BN35</f>
        <v>0</v>
      </c>
      <c r="AW33" s="176" t="str">
        <f>Schedule!BO35</f>
        <v>0</v>
      </c>
      <c r="AX33" s="176" t="str">
        <f>Schedule!BP35</f>
        <v>0</v>
      </c>
      <c r="AY33" s="176" t="str">
        <f>Schedule!BQ35</f>
        <v>0</v>
      </c>
      <c r="AZ33" s="176" t="str">
        <f>Schedule!BR35</f>
        <v>0</v>
      </c>
      <c r="BA33" s="178"/>
      <c r="BB33" s="176" t="str">
        <f>Schedule!BS35</f>
        <v>0</v>
      </c>
      <c r="BC33" s="176" t="str">
        <f>Schedule!BT35</f>
        <v>0</v>
      </c>
      <c r="BD33" s="176" t="str">
        <f>Schedule!BU35</f>
        <v>0</v>
      </c>
      <c r="BE33" s="176" t="str">
        <f>Schedule!BV35</f>
        <v>0</v>
      </c>
      <c r="BF33" s="176" t="str">
        <f>Schedule!BW35</f>
        <v>0</v>
      </c>
      <c r="BG33" s="176" t="str">
        <f>Schedule!BX35</f>
        <v>0</v>
      </c>
      <c r="BH33" s="176" t="str">
        <f>Schedule!BY35</f>
        <v>0</v>
      </c>
      <c r="BI33" s="176" t="str">
        <f>Schedule!BZ35</f>
        <v>0</v>
      </c>
      <c r="BJ33" s="176" t="str">
        <f>Schedule!CA35</f>
        <v>0</v>
      </c>
      <c r="BK33" s="178"/>
      <c r="BL33" s="176" t="str">
        <f>Schedule!CB35</f>
        <v>0</v>
      </c>
      <c r="BM33" s="176" t="str">
        <f>Schedule!CC35</f>
        <v>0</v>
      </c>
      <c r="BN33" s="176" t="str">
        <f>Schedule!CD35</f>
        <v>0</v>
      </c>
      <c r="BO33" s="176" t="str">
        <f>Schedule!CE35</f>
        <v>0</v>
      </c>
      <c r="BP33" s="176" t="str">
        <f>Schedule!CF35</f>
        <v>0</v>
      </c>
      <c r="BQ33" s="176" t="str">
        <f>Schedule!CG35</f>
        <v>0</v>
      </c>
      <c r="BR33" s="176" t="str">
        <f>Schedule!CH35</f>
        <v>0</v>
      </c>
      <c r="BS33" s="176" t="str">
        <f>Schedule!CI35</f>
        <v>0</v>
      </c>
      <c r="BT33" s="176" t="str">
        <f>Schedule!CJ35</f>
        <v>0</v>
      </c>
      <c r="BU33" s="178"/>
      <c r="BV33" s="176" t="str">
        <f>Schedule!CK35</f>
        <v>0</v>
      </c>
      <c r="BW33" s="176" t="str">
        <f>Schedule!CL35</f>
        <v>0</v>
      </c>
      <c r="BX33" s="176" t="str">
        <f>Schedule!CM35</f>
        <v>0</v>
      </c>
      <c r="BY33" s="176" t="str">
        <f>Schedule!CN35</f>
        <v>0</v>
      </c>
      <c r="BZ33" s="176" t="str">
        <f>Schedule!CO35</f>
        <v>0</v>
      </c>
      <c r="CA33" s="176" t="str">
        <f>Schedule!CP35</f>
        <v>0</v>
      </c>
      <c r="CB33" s="176" t="str">
        <f>Schedule!CQ35</f>
        <v>0</v>
      </c>
      <c r="CC33" s="176" t="str">
        <f>Schedule!CR35</f>
        <v>0</v>
      </c>
      <c r="CD33" s="176" t="str">
        <f>Schedule!CS35</f>
        <v>0</v>
      </c>
      <c r="CE33" s="178"/>
      <c r="CF33" s="176" t="str">
        <f>Schedule!CT35</f>
        <v>0</v>
      </c>
      <c r="CG33" s="176" t="str">
        <f>Schedule!CU35</f>
        <v>0</v>
      </c>
      <c r="CH33" s="176" t="str">
        <f>Schedule!CV35</f>
        <v>0</v>
      </c>
      <c r="CI33" s="176" t="str">
        <f>Schedule!CW35</f>
        <v>0</v>
      </c>
      <c r="CJ33" s="176" t="str">
        <f>Schedule!CX35</f>
        <v>0</v>
      </c>
      <c r="CK33" s="176" t="str">
        <f>Schedule!CY35</f>
        <v>0</v>
      </c>
      <c r="CL33" s="176" t="str">
        <f>Schedule!CZ35</f>
        <v>0</v>
      </c>
      <c r="CM33" s="176" t="str">
        <f>Schedule!DA35</f>
        <v>0</v>
      </c>
      <c r="CN33" s="176" t="str">
        <f>Schedule!DB35</f>
        <v>0</v>
      </c>
      <c r="CO33" s="178"/>
      <c r="CP33" s="176" t="str">
        <f>Schedule!DC35</f>
        <v>0</v>
      </c>
      <c r="CQ33" s="176" t="str">
        <f>Schedule!DD35</f>
        <v>0</v>
      </c>
      <c r="CR33" s="176" t="str">
        <f>Schedule!DE35</f>
        <v>0</v>
      </c>
      <c r="CS33" s="176" t="str">
        <f>Schedule!DF35</f>
        <v>0</v>
      </c>
      <c r="CT33" s="176" t="str">
        <f>Schedule!DG35</f>
        <v>0</v>
      </c>
      <c r="CU33" s="176" t="str">
        <f>Schedule!DH35</f>
        <v>0</v>
      </c>
      <c r="CV33" s="176" t="str">
        <f>Schedule!DI35</f>
        <v>0</v>
      </c>
      <c r="CW33" s="176" t="str">
        <f>Schedule!DJ35</f>
        <v>0</v>
      </c>
      <c r="CX33" s="176" t="str">
        <f>Schedule!DK35</f>
        <v>0</v>
      </c>
      <c r="CY33" s="178"/>
      <c r="CZ33" s="176" t="str">
        <f>Schedule!DL35</f>
        <v>0</v>
      </c>
      <c r="DA33" s="176" t="str">
        <f>Schedule!DM35</f>
        <v>0</v>
      </c>
      <c r="DB33" s="176" t="str">
        <f>Schedule!DN35</f>
        <v>0</v>
      </c>
      <c r="DC33" s="176" t="str">
        <f>Schedule!DO35</f>
        <v>0</v>
      </c>
      <c r="DD33" s="176" t="str">
        <f>Schedule!DP35</f>
        <v>0</v>
      </c>
      <c r="DE33" s="176" t="str">
        <f>Schedule!DQ35</f>
        <v>0</v>
      </c>
      <c r="DF33" s="176" t="str">
        <f>Schedule!DR35</f>
        <v>0</v>
      </c>
      <c r="DG33" s="176" t="str">
        <f>Schedule!DS35</f>
        <v>0</v>
      </c>
      <c r="DH33" s="176" t="str">
        <f>Schedule!DT35</f>
        <v>0</v>
      </c>
      <c r="DI33" s="178"/>
      <c r="DJ33" s="176" t="str">
        <f>Schedule!DU35</f>
        <v>0</v>
      </c>
      <c r="DK33" s="176" t="str">
        <f>Schedule!DV35</f>
        <v>0</v>
      </c>
      <c r="DL33" s="176" t="str">
        <f>Schedule!DW35</f>
        <v>0</v>
      </c>
      <c r="DM33" s="176" t="str">
        <f>Schedule!DX35</f>
        <v>0</v>
      </c>
      <c r="DN33" s="176" t="str">
        <f>Schedule!DY35</f>
        <v>0</v>
      </c>
      <c r="DO33" s="176" t="str">
        <f>Schedule!DZ35</f>
        <v>0</v>
      </c>
      <c r="DP33" s="176" t="str">
        <f>Schedule!EA35</f>
        <v>0</v>
      </c>
      <c r="DQ33" s="176" t="str">
        <f>Schedule!EB35</f>
        <v>0</v>
      </c>
      <c r="DR33" s="176" t="str">
        <f>Schedule!EC35</f>
        <v>0</v>
      </c>
      <c r="DS33" s="178"/>
      <c r="DT33" s="176" t="str">
        <f>Schedule!ED35</f>
        <v>0</v>
      </c>
      <c r="DU33" s="176" t="str">
        <f>Schedule!EE35</f>
        <v>0</v>
      </c>
      <c r="DV33" s="176" t="str">
        <f>Schedule!EF35</f>
        <v>0</v>
      </c>
      <c r="DW33" s="176" t="str">
        <f>Schedule!EG35</f>
        <v>0</v>
      </c>
      <c r="DX33" s="176" t="str">
        <f>Schedule!EH35</f>
        <v>0</v>
      </c>
      <c r="DY33" s="176" t="str">
        <f>Schedule!EI35</f>
        <v>0</v>
      </c>
      <c r="DZ33" s="176" t="str">
        <f>Schedule!EJ35</f>
        <v>0</v>
      </c>
      <c r="EA33" s="176" t="str">
        <f>Schedule!EK35</f>
        <v>0</v>
      </c>
      <c r="EB33" s="176" t="str">
        <f>Schedule!EL35</f>
        <v>0</v>
      </c>
      <c r="EC33" s="178"/>
      <c r="ED33" s="176" t="str">
        <f>Schedule!EM35</f>
        <v>0</v>
      </c>
      <c r="EE33" s="176" t="str">
        <f>Schedule!EN35</f>
        <v>0</v>
      </c>
      <c r="EF33" s="176" t="str">
        <f>Schedule!EO35</f>
        <v>0</v>
      </c>
      <c r="EG33" s="176" t="str">
        <f>Schedule!EP35</f>
        <v>0</v>
      </c>
      <c r="EH33" s="176" t="str">
        <f>Schedule!EQ35</f>
        <v>0</v>
      </c>
      <c r="EI33" s="176" t="str">
        <f>Schedule!ER35</f>
        <v>0</v>
      </c>
      <c r="EJ33" s="176" t="str">
        <f>Schedule!ES35</f>
        <v>0</v>
      </c>
      <c r="EK33" s="176" t="str">
        <f>Schedule!ET35</f>
        <v>0</v>
      </c>
      <c r="EL33" s="176" t="str">
        <f>Schedule!EU35</f>
        <v>0</v>
      </c>
      <c r="EM33" s="178"/>
      <c r="EN33" s="176" t="str">
        <f>Schedule!EV35</f>
        <v>0</v>
      </c>
      <c r="EO33" s="176" t="str">
        <f>Schedule!EW35</f>
        <v>0</v>
      </c>
      <c r="EP33" s="176" t="str">
        <f>Schedule!EX35</f>
        <v>0</v>
      </c>
      <c r="EQ33" s="176" t="str">
        <f>Schedule!EY35</f>
        <v>0</v>
      </c>
      <c r="ER33" s="176" t="str">
        <f>Schedule!EZ35</f>
        <v>0</v>
      </c>
      <c r="ES33" s="176" t="str">
        <f>Schedule!FA35</f>
        <v>0</v>
      </c>
      <c r="ET33" s="176" t="str">
        <f>Schedule!FB35</f>
        <v>0</v>
      </c>
      <c r="EU33" s="176" t="str">
        <f>Schedule!FC35</f>
        <v>0</v>
      </c>
      <c r="EV33" s="176" t="str">
        <f>Schedule!FD35</f>
        <v>0</v>
      </c>
      <c r="EW33" s="178"/>
      <c r="EX33" s="176" t="str">
        <f>Schedule!FE35</f>
        <v>0</v>
      </c>
      <c r="EY33" s="176" t="str">
        <f>Schedule!FF35</f>
        <v>0</v>
      </c>
      <c r="EZ33" s="176" t="str">
        <f>Schedule!FG35</f>
        <v>0</v>
      </c>
      <c r="FA33" s="176" t="str">
        <f>Schedule!FH35</f>
        <v>0</v>
      </c>
      <c r="FB33" s="176" t="str">
        <f>Schedule!FI35</f>
        <v>0</v>
      </c>
      <c r="FC33" s="176" t="str">
        <f>Schedule!FJ35</f>
        <v>0</v>
      </c>
      <c r="FD33" s="176" t="str">
        <f>Schedule!FK35</f>
        <v>0</v>
      </c>
      <c r="FE33" s="176" t="str">
        <f>Schedule!FL35</f>
        <v>0</v>
      </c>
      <c r="FF33" s="176" t="str">
        <f>Schedule!FM35</f>
        <v>0</v>
      </c>
      <c r="FG33" s="178"/>
      <c r="FH33" s="176" t="str">
        <f>Schedule!FN35</f>
        <v>0</v>
      </c>
      <c r="FI33" s="176" t="str">
        <f>Schedule!FO35</f>
        <v>0</v>
      </c>
      <c r="FJ33" s="176" t="str">
        <f>Schedule!FP35</f>
        <v>0</v>
      </c>
      <c r="FK33" s="176" t="str">
        <f>Schedule!FQ35</f>
        <v>0</v>
      </c>
      <c r="FL33" s="176" t="str">
        <f>Schedule!FR35</f>
        <v>0</v>
      </c>
      <c r="FM33" s="176" t="str">
        <f>Schedule!FS35</f>
        <v>0</v>
      </c>
      <c r="FN33" s="176" t="str">
        <f>Schedule!FT35</f>
        <v>0</v>
      </c>
      <c r="FO33" s="176" t="str">
        <f>Schedule!FU35</f>
        <v>0</v>
      </c>
      <c r="FP33" s="176" t="str">
        <f>Schedule!FV35</f>
        <v>0</v>
      </c>
      <c r="FQ33" s="178"/>
      <c r="FR33" s="176" t="str">
        <f>Schedule!FW35</f>
        <v>0</v>
      </c>
      <c r="FS33" s="176" t="str">
        <f>Schedule!FX35</f>
        <v>0</v>
      </c>
      <c r="FT33" s="176" t="str">
        <f>Schedule!FY35</f>
        <v>0</v>
      </c>
      <c r="FU33" s="176" t="str">
        <f>Schedule!FZ35</f>
        <v>0</v>
      </c>
      <c r="FV33" s="176" t="str">
        <f>Schedule!GA35</f>
        <v>0</v>
      </c>
      <c r="FW33" s="176" t="str">
        <f>Schedule!GB35</f>
        <v>0</v>
      </c>
      <c r="FX33" s="176" t="str">
        <f>Schedule!GC35</f>
        <v>0</v>
      </c>
      <c r="FY33" s="176" t="str">
        <f>Schedule!GD35</f>
        <v>0</v>
      </c>
      <c r="FZ33" s="176" t="str">
        <f>Schedule!GE35</f>
        <v>0</v>
      </c>
      <c r="GA33" s="178"/>
      <c r="GB33" s="176" t="str">
        <f>Schedule!GF35</f>
        <v>0</v>
      </c>
      <c r="GC33" s="176" t="str">
        <f>Schedule!GG35</f>
        <v>0</v>
      </c>
      <c r="GD33" s="176" t="str">
        <f>Schedule!GH35</f>
        <v>0</v>
      </c>
      <c r="GE33" s="176" t="str">
        <f>Schedule!GI35</f>
        <v>0</v>
      </c>
      <c r="GF33" s="176" t="str">
        <f>Schedule!GJ35</f>
        <v>0</v>
      </c>
      <c r="GG33" s="176" t="str">
        <f>Schedule!GK35</f>
        <v>0</v>
      </c>
      <c r="GH33" s="176" t="str">
        <f>Schedule!GL35</f>
        <v>0</v>
      </c>
      <c r="GI33" s="176" t="str">
        <f>Schedule!GM35</f>
        <v>0</v>
      </c>
      <c r="GJ33" s="176" t="str">
        <f>Schedule!GN35</f>
        <v>0</v>
      </c>
      <c r="GK33" s="178"/>
      <c r="GL33" s="176" t="str">
        <f>Schedule!GO35</f>
        <v>0</v>
      </c>
      <c r="GM33" s="176" t="str">
        <f>Schedule!GP35</f>
        <v>0</v>
      </c>
      <c r="GN33" s="176" t="str">
        <f>Schedule!GQ35</f>
        <v>0</v>
      </c>
      <c r="GO33" s="176" t="str">
        <f>Schedule!GR35</f>
        <v>0</v>
      </c>
      <c r="GP33" s="176" t="str">
        <f>Schedule!GS35</f>
        <v>0</v>
      </c>
      <c r="GQ33" s="176" t="str">
        <f>Schedule!GT35</f>
        <v>0</v>
      </c>
      <c r="GR33" s="176" t="str">
        <f>Schedule!GU35</f>
        <v>0</v>
      </c>
      <c r="GS33" s="176" t="str">
        <f>Schedule!GV35</f>
        <v>0</v>
      </c>
      <c r="GT33" s="176" t="str">
        <f>Schedule!GW35</f>
        <v>0</v>
      </c>
      <c r="GW33" s="227"/>
    </row>
    <row r="34" spans="1:205" ht="5.65" customHeight="1">
      <c r="A34" s="167"/>
      <c r="B34" s="170"/>
      <c r="C34" s="171"/>
      <c r="D34" s="178"/>
      <c r="E34" s="178"/>
      <c r="F34" s="178"/>
      <c r="G34" s="178"/>
      <c r="H34" s="178"/>
      <c r="I34" s="178"/>
      <c r="J34" s="178"/>
      <c r="K34" s="179"/>
      <c r="L34" s="179"/>
      <c r="M34" s="178"/>
      <c r="N34" s="180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/>
      <c r="CQ34" s="178"/>
      <c r="CR34" s="178"/>
      <c r="CS34" s="178"/>
      <c r="CT34" s="178"/>
      <c r="CU34" s="178"/>
      <c r="CV34" s="178"/>
      <c r="CW34" s="178"/>
      <c r="CX34" s="178"/>
      <c r="CY34" s="178"/>
      <c r="CZ34" s="178"/>
      <c r="DA34" s="178"/>
      <c r="DB34" s="178"/>
      <c r="DC34" s="178"/>
      <c r="DD34" s="178"/>
      <c r="DE34" s="178"/>
      <c r="DF34" s="178"/>
      <c r="DG34" s="178"/>
      <c r="DH34" s="178"/>
      <c r="DI34" s="178"/>
      <c r="DJ34" s="178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  <c r="GR34" s="178"/>
      <c r="GS34" s="178"/>
      <c r="GT34" s="178"/>
      <c r="GU34" s="168"/>
    </row>
    <row r="35" spans="1:205" ht="18" customHeight="1">
      <c r="B35" s="271" t="s">
        <v>62</v>
      </c>
      <c r="C35" s="169">
        <f>Schedule!C37</f>
        <v>0</v>
      </c>
      <c r="D35" s="177" t="str">
        <f>Schedule!Z37</f>
        <v>0</v>
      </c>
      <c r="E35" s="177" t="str">
        <f>Schedule!AA37</f>
        <v>0</v>
      </c>
      <c r="F35" s="177" t="str">
        <f>Schedule!AB37</f>
        <v>0</v>
      </c>
      <c r="G35" s="177" t="str">
        <f>Schedule!AC37</f>
        <v>0</v>
      </c>
      <c r="H35" s="177" t="str">
        <f>Schedule!AD37</f>
        <v>0</v>
      </c>
      <c r="I35" s="177" t="str">
        <f>Schedule!AE37</f>
        <v>0</v>
      </c>
      <c r="J35" s="177" t="str">
        <f>Schedule!AF37</f>
        <v>0</v>
      </c>
      <c r="K35" s="182" t="str">
        <f>Schedule!AG37</f>
        <v>0</v>
      </c>
      <c r="L35" s="182" t="str">
        <f>Schedule!AH37</f>
        <v>0</v>
      </c>
      <c r="M35" s="178"/>
      <c r="N35" s="184" t="str">
        <f>Schedule!AI37</f>
        <v>0</v>
      </c>
      <c r="O35" s="177" t="str">
        <f>Schedule!AJ37</f>
        <v>0</v>
      </c>
      <c r="P35" s="177" t="str">
        <f>Schedule!AK37</f>
        <v>0</v>
      </c>
      <c r="Q35" s="177" t="str">
        <f>Schedule!AL37</f>
        <v>0</v>
      </c>
      <c r="R35" s="177" t="str">
        <f>Schedule!AM37</f>
        <v>0</v>
      </c>
      <c r="S35" s="177" t="str">
        <f>Schedule!AN37</f>
        <v>0</v>
      </c>
      <c r="T35" s="177" t="str">
        <f>Schedule!AO37</f>
        <v>0</v>
      </c>
      <c r="U35" s="177" t="str">
        <f>Schedule!AP37</f>
        <v>0</v>
      </c>
      <c r="V35" s="177" t="str">
        <f>Schedule!AQ37</f>
        <v>0</v>
      </c>
      <c r="W35" s="178"/>
      <c r="X35" s="177" t="str">
        <f>Schedule!AR37</f>
        <v>0</v>
      </c>
      <c r="Y35" s="177" t="str">
        <f>Schedule!AS37</f>
        <v>0</v>
      </c>
      <c r="Z35" s="177" t="str">
        <f>Schedule!AT37</f>
        <v>0</v>
      </c>
      <c r="AA35" s="177" t="str">
        <f>Schedule!AU37</f>
        <v>0</v>
      </c>
      <c r="AB35" s="177" t="str">
        <f>Schedule!AV37</f>
        <v>0</v>
      </c>
      <c r="AC35" s="177" t="str">
        <f>Schedule!AW37</f>
        <v>0</v>
      </c>
      <c r="AD35" s="177" t="str">
        <f>Schedule!AX37</f>
        <v>0</v>
      </c>
      <c r="AE35" s="177" t="str">
        <f>Schedule!AY37</f>
        <v>0</v>
      </c>
      <c r="AF35" s="177" t="str">
        <f>Schedule!AZ37</f>
        <v>0</v>
      </c>
      <c r="AG35" s="178"/>
      <c r="AH35" s="177" t="str">
        <f>Schedule!BA37</f>
        <v>0</v>
      </c>
      <c r="AI35" s="177" t="str">
        <f>Schedule!BB37</f>
        <v>0</v>
      </c>
      <c r="AJ35" s="177" t="str">
        <f>Schedule!BC37</f>
        <v>0</v>
      </c>
      <c r="AK35" s="177" t="str">
        <f>Schedule!BD37</f>
        <v>0</v>
      </c>
      <c r="AL35" s="177" t="str">
        <f>Schedule!BE37</f>
        <v>0</v>
      </c>
      <c r="AM35" s="177" t="str">
        <f>Schedule!BF37</f>
        <v>0</v>
      </c>
      <c r="AN35" s="177" t="str">
        <f>Schedule!BG37</f>
        <v>0</v>
      </c>
      <c r="AO35" s="177" t="str">
        <f>Schedule!BH37</f>
        <v>0</v>
      </c>
      <c r="AP35" s="177" t="str">
        <f>Schedule!BI37</f>
        <v>0</v>
      </c>
      <c r="AQ35" s="178"/>
      <c r="AR35" s="177" t="str">
        <f>Schedule!BJ37</f>
        <v>0</v>
      </c>
      <c r="AS35" s="177" t="str">
        <f>Schedule!BK37</f>
        <v>0</v>
      </c>
      <c r="AT35" s="177" t="str">
        <f>Schedule!BL37</f>
        <v>0</v>
      </c>
      <c r="AU35" s="177" t="str">
        <f>Schedule!BM37</f>
        <v>0</v>
      </c>
      <c r="AV35" s="177" t="str">
        <f>Schedule!BN37</f>
        <v>0</v>
      </c>
      <c r="AW35" s="177" t="str">
        <f>Schedule!BO37</f>
        <v>0</v>
      </c>
      <c r="AX35" s="177" t="str">
        <f>Schedule!BP37</f>
        <v>0</v>
      </c>
      <c r="AY35" s="177" t="str">
        <f>Schedule!BQ37</f>
        <v>0</v>
      </c>
      <c r="AZ35" s="177" t="str">
        <f>Schedule!BR37</f>
        <v>0</v>
      </c>
      <c r="BA35" s="178"/>
      <c r="BB35" s="177" t="str">
        <f>Schedule!BS37</f>
        <v>0</v>
      </c>
      <c r="BC35" s="177" t="str">
        <f>Schedule!BT37</f>
        <v>0</v>
      </c>
      <c r="BD35" s="177" t="str">
        <f>Schedule!BU37</f>
        <v>0</v>
      </c>
      <c r="BE35" s="177" t="str">
        <f>Schedule!BV37</f>
        <v>0</v>
      </c>
      <c r="BF35" s="177" t="str">
        <f>Schedule!BW37</f>
        <v>0</v>
      </c>
      <c r="BG35" s="177" t="str">
        <f>Schedule!BX37</f>
        <v>0</v>
      </c>
      <c r="BH35" s="177" t="str">
        <f>Schedule!BY37</f>
        <v>0</v>
      </c>
      <c r="BI35" s="177" t="str">
        <f>Schedule!BZ37</f>
        <v>0</v>
      </c>
      <c r="BJ35" s="177" t="str">
        <f>Schedule!CA37</f>
        <v>0</v>
      </c>
      <c r="BK35" s="178"/>
      <c r="BL35" s="177" t="str">
        <f>Schedule!CB37</f>
        <v>0</v>
      </c>
      <c r="BM35" s="177" t="str">
        <f>Schedule!CC37</f>
        <v>0</v>
      </c>
      <c r="BN35" s="177" t="str">
        <f>Schedule!CD37</f>
        <v>0</v>
      </c>
      <c r="BO35" s="177" t="str">
        <f>Schedule!CE37</f>
        <v>0</v>
      </c>
      <c r="BP35" s="177" t="str">
        <f>Schedule!CF37</f>
        <v>0</v>
      </c>
      <c r="BQ35" s="177" t="str">
        <f>Schedule!CG37</f>
        <v>0</v>
      </c>
      <c r="BR35" s="177" t="str">
        <f>Schedule!CH37</f>
        <v>0</v>
      </c>
      <c r="BS35" s="177" t="str">
        <f>Schedule!CI37</f>
        <v>0</v>
      </c>
      <c r="BT35" s="177" t="str">
        <f>Schedule!CJ37</f>
        <v>0</v>
      </c>
      <c r="BU35" s="178"/>
      <c r="BV35" s="177" t="str">
        <f>Schedule!CK37</f>
        <v>0</v>
      </c>
      <c r="BW35" s="177" t="str">
        <f>Schedule!CL37</f>
        <v>0</v>
      </c>
      <c r="BX35" s="177" t="str">
        <f>Schedule!CM37</f>
        <v>0</v>
      </c>
      <c r="BY35" s="177" t="str">
        <f>Schedule!CN37</f>
        <v>0</v>
      </c>
      <c r="BZ35" s="177" t="str">
        <f>Schedule!CO37</f>
        <v>0</v>
      </c>
      <c r="CA35" s="177" t="str">
        <f>Schedule!CP37</f>
        <v>0</v>
      </c>
      <c r="CB35" s="177" t="str">
        <f>Schedule!CQ37</f>
        <v>0</v>
      </c>
      <c r="CC35" s="177" t="str">
        <f>Schedule!CR37</f>
        <v>0</v>
      </c>
      <c r="CD35" s="177" t="str">
        <f>Schedule!CS37</f>
        <v>0</v>
      </c>
      <c r="CE35" s="178"/>
      <c r="CF35" s="177" t="str">
        <f>Schedule!CT37</f>
        <v>0</v>
      </c>
      <c r="CG35" s="177" t="str">
        <f>Schedule!CU37</f>
        <v>0</v>
      </c>
      <c r="CH35" s="177" t="str">
        <f>Schedule!CV37</f>
        <v>0</v>
      </c>
      <c r="CI35" s="177" t="str">
        <f>Schedule!CW37</f>
        <v>0</v>
      </c>
      <c r="CJ35" s="177" t="str">
        <f>Schedule!CX37</f>
        <v>0</v>
      </c>
      <c r="CK35" s="177" t="str">
        <f>Schedule!CY37</f>
        <v>0</v>
      </c>
      <c r="CL35" s="177" t="str">
        <f>Schedule!CZ37</f>
        <v>0</v>
      </c>
      <c r="CM35" s="177" t="str">
        <f>Schedule!DA37</f>
        <v>0</v>
      </c>
      <c r="CN35" s="177" t="str">
        <f>Schedule!DB37</f>
        <v>0</v>
      </c>
      <c r="CO35" s="178"/>
      <c r="CP35" s="177" t="str">
        <f>Schedule!DC37</f>
        <v>0</v>
      </c>
      <c r="CQ35" s="177" t="str">
        <f>Schedule!DD37</f>
        <v>0</v>
      </c>
      <c r="CR35" s="177" t="str">
        <f>Schedule!DE37</f>
        <v>0</v>
      </c>
      <c r="CS35" s="177" t="str">
        <f>Schedule!DF37</f>
        <v>0</v>
      </c>
      <c r="CT35" s="177" t="str">
        <f>Schedule!DG37</f>
        <v>0</v>
      </c>
      <c r="CU35" s="177" t="str">
        <f>Schedule!DH37</f>
        <v>0</v>
      </c>
      <c r="CV35" s="177" t="str">
        <f>Schedule!DI37</f>
        <v>0</v>
      </c>
      <c r="CW35" s="177" t="str">
        <f>Schedule!DJ37</f>
        <v>0</v>
      </c>
      <c r="CX35" s="177" t="str">
        <f>Schedule!DK37</f>
        <v>0</v>
      </c>
      <c r="CY35" s="178"/>
      <c r="CZ35" s="177" t="str">
        <f>Schedule!DL37</f>
        <v>0</v>
      </c>
      <c r="DA35" s="177" t="str">
        <f>Schedule!DM37</f>
        <v>0</v>
      </c>
      <c r="DB35" s="177" t="str">
        <f>Schedule!DN37</f>
        <v>0</v>
      </c>
      <c r="DC35" s="177" t="str">
        <f>Schedule!DO37</f>
        <v>0</v>
      </c>
      <c r="DD35" s="177" t="str">
        <f>Schedule!DP37</f>
        <v>0</v>
      </c>
      <c r="DE35" s="177" t="str">
        <f>Schedule!DQ37</f>
        <v>0</v>
      </c>
      <c r="DF35" s="177" t="str">
        <f>Schedule!DR37</f>
        <v>0</v>
      </c>
      <c r="DG35" s="177" t="str">
        <f>Schedule!DS37</f>
        <v>0</v>
      </c>
      <c r="DH35" s="177" t="str">
        <f>Schedule!DT37</f>
        <v>0</v>
      </c>
      <c r="DI35" s="178"/>
      <c r="DJ35" s="177" t="str">
        <f>Schedule!DU37</f>
        <v>0</v>
      </c>
      <c r="DK35" s="177" t="str">
        <f>Schedule!DV37</f>
        <v>0</v>
      </c>
      <c r="DL35" s="177" t="str">
        <f>Schedule!DW37</f>
        <v>0</v>
      </c>
      <c r="DM35" s="177" t="str">
        <f>Schedule!DX37</f>
        <v>0</v>
      </c>
      <c r="DN35" s="177" t="str">
        <f>Schedule!DY37</f>
        <v>0</v>
      </c>
      <c r="DO35" s="177" t="str">
        <f>Schedule!DZ37</f>
        <v>0</v>
      </c>
      <c r="DP35" s="177" t="str">
        <f>Schedule!EA37</f>
        <v>0</v>
      </c>
      <c r="DQ35" s="177" t="str">
        <f>Schedule!EB37</f>
        <v>0</v>
      </c>
      <c r="DR35" s="177" t="str">
        <f>Schedule!EC37</f>
        <v>0</v>
      </c>
      <c r="DS35" s="178"/>
      <c r="DT35" s="177" t="str">
        <f>Schedule!ED37</f>
        <v>0</v>
      </c>
      <c r="DU35" s="177" t="str">
        <f>Schedule!EE37</f>
        <v>0</v>
      </c>
      <c r="DV35" s="177" t="str">
        <f>Schedule!EF37</f>
        <v>0</v>
      </c>
      <c r="DW35" s="177" t="str">
        <f>Schedule!EG37</f>
        <v>0</v>
      </c>
      <c r="DX35" s="177" t="str">
        <f>Schedule!EH37</f>
        <v>0</v>
      </c>
      <c r="DY35" s="177" t="str">
        <f>Schedule!EI37</f>
        <v>0</v>
      </c>
      <c r="DZ35" s="177" t="str">
        <f>Schedule!EJ37</f>
        <v>0</v>
      </c>
      <c r="EA35" s="177" t="str">
        <f>Schedule!EK37</f>
        <v>0</v>
      </c>
      <c r="EB35" s="177" t="str">
        <f>Schedule!EL37</f>
        <v>0</v>
      </c>
      <c r="EC35" s="178"/>
      <c r="ED35" s="177" t="str">
        <f>Schedule!EM37</f>
        <v>0</v>
      </c>
      <c r="EE35" s="177" t="str">
        <f>Schedule!EN37</f>
        <v>0</v>
      </c>
      <c r="EF35" s="177" t="str">
        <f>Schedule!EO37</f>
        <v>0</v>
      </c>
      <c r="EG35" s="177" t="str">
        <f>Schedule!EP37</f>
        <v>0</v>
      </c>
      <c r="EH35" s="177" t="str">
        <f>Schedule!EQ37</f>
        <v>0</v>
      </c>
      <c r="EI35" s="177" t="str">
        <f>Schedule!ER37</f>
        <v>0</v>
      </c>
      <c r="EJ35" s="177" t="str">
        <f>Schedule!ES37</f>
        <v>0</v>
      </c>
      <c r="EK35" s="177" t="str">
        <f>Schedule!ET37</f>
        <v>0</v>
      </c>
      <c r="EL35" s="177" t="str">
        <f>Schedule!EU37</f>
        <v>0</v>
      </c>
      <c r="EM35" s="178"/>
      <c r="EN35" s="177" t="str">
        <f>Schedule!EV37</f>
        <v>0</v>
      </c>
      <c r="EO35" s="177" t="str">
        <f>Schedule!EW37</f>
        <v>0</v>
      </c>
      <c r="EP35" s="177" t="str">
        <f>Schedule!EX37</f>
        <v>0</v>
      </c>
      <c r="EQ35" s="177" t="str">
        <f>Schedule!EY37</f>
        <v>0</v>
      </c>
      <c r="ER35" s="177" t="str">
        <f>Schedule!EZ37</f>
        <v>0</v>
      </c>
      <c r="ES35" s="177" t="str">
        <f>Schedule!FA37</f>
        <v>0</v>
      </c>
      <c r="ET35" s="177" t="str">
        <f>Schedule!FB37</f>
        <v>0</v>
      </c>
      <c r="EU35" s="177" t="str">
        <f>Schedule!FC37</f>
        <v>0</v>
      </c>
      <c r="EV35" s="177" t="str">
        <f>Schedule!FD37</f>
        <v>0</v>
      </c>
      <c r="EW35" s="178"/>
      <c r="EX35" s="177" t="str">
        <f>Schedule!FE37</f>
        <v>0</v>
      </c>
      <c r="EY35" s="177" t="str">
        <f>Schedule!FF37</f>
        <v>0</v>
      </c>
      <c r="EZ35" s="177" t="str">
        <f>Schedule!FG37</f>
        <v>0</v>
      </c>
      <c r="FA35" s="177" t="str">
        <f>Schedule!FH37</f>
        <v>0</v>
      </c>
      <c r="FB35" s="177" t="str">
        <f>Schedule!FI37</f>
        <v>0</v>
      </c>
      <c r="FC35" s="177" t="str">
        <f>Schedule!FJ37</f>
        <v>0</v>
      </c>
      <c r="FD35" s="177" t="str">
        <f>Schedule!FK37</f>
        <v>0</v>
      </c>
      <c r="FE35" s="177" t="str">
        <f>Schedule!FL37</f>
        <v>0</v>
      </c>
      <c r="FF35" s="177" t="str">
        <f>Schedule!FM37</f>
        <v>0</v>
      </c>
      <c r="FG35" s="178"/>
      <c r="FH35" s="177" t="str">
        <f>Schedule!FN37</f>
        <v>0</v>
      </c>
      <c r="FI35" s="177" t="str">
        <f>Schedule!FO37</f>
        <v>0</v>
      </c>
      <c r="FJ35" s="177" t="str">
        <f>Schedule!FP37</f>
        <v>0</v>
      </c>
      <c r="FK35" s="177" t="str">
        <f>Schedule!FQ37</f>
        <v>0</v>
      </c>
      <c r="FL35" s="177" t="str">
        <f>Schedule!FR37</f>
        <v>0</v>
      </c>
      <c r="FM35" s="177" t="str">
        <f>Schedule!FS37</f>
        <v>0</v>
      </c>
      <c r="FN35" s="177" t="str">
        <f>Schedule!FT37</f>
        <v>0</v>
      </c>
      <c r="FO35" s="177" t="str">
        <f>Schedule!FU37</f>
        <v>0</v>
      </c>
      <c r="FP35" s="177" t="str">
        <f>Schedule!FV37</f>
        <v>0</v>
      </c>
      <c r="FQ35" s="178"/>
      <c r="FR35" s="177" t="str">
        <f>Schedule!FW37</f>
        <v>0</v>
      </c>
      <c r="FS35" s="177" t="str">
        <f>Schedule!FX37</f>
        <v>0</v>
      </c>
      <c r="FT35" s="177" t="str">
        <f>Schedule!FY37</f>
        <v>0</v>
      </c>
      <c r="FU35" s="177" t="str">
        <f>Schedule!FZ37</f>
        <v>0</v>
      </c>
      <c r="FV35" s="177" t="str">
        <f>Schedule!GA37</f>
        <v>0</v>
      </c>
      <c r="FW35" s="177" t="str">
        <f>Schedule!GB37</f>
        <v>0</v>
      </c>
      <c r="FX35" s="177" t="str">
        <f>Schedule!GC37</f>
        <v>0</v>
      </c>
      <c r="FY35" s="177" t="str">
        <f>Schedule!GD37</f>
        <v>0</v>
      </c>
      <c r="FZ35" s="177" t="str">
        <f>Schedule!GE37</f>
        <v>0</v>
      </c>
      <c r="GA35" s="178"/>
      <c r="GB35" s="177" t="str">
        <f>Schedule!GF37</f>
        <v>0</v>
      </c>
      <c r="GC35" s="177" t="str">
        <f>Schedule!GG37</f>
        <v>0</v>
      </c>
      <c r="GD35" s="177" t="str">
        <f>Schedule!GH37</f>
        <v>0</v>
      </c>
      <c r="GE35" s="177" t="str">
        <f>Schedule!GI37</f>
        <v>0</v>
      </c>
      <c r="GF35" s="177" t="str">
        <f>Schedule!GJ37</f>
        <v>0</v>
      </c>
      <c r="GG35" s="177" t="str">
        <f>Schedule!GK37</f>
        <v>0</v>
      </c>
      <c r="GH35" s="177" t="str">
        <f>Schedule!GL37</f>
        <v>0</v>
      </c>
      <c r="GI35" s="177" t="str">
        <f>Schedule!GM37</f>
        <v>0</v>
      </c>
      <c r="GJ35" s="177" t="str">
        <f>Schedule!GN37</f>
        <v>0</v>
      </c>
      <c r="GK35" s="178"/>
      <c r="GL35" s="177" t="str">
        <f>Schedule!GO37</f>
        <v>0</v>
      </c>
      <c r="GM35" s="177" t="str">
        <f>Schedule!GP37</f>
        <v>0</v>
      </c>
      <c r="GN35" s="177" t="str">
        <f>Schedule!GQ37</f>
        <v>0</v>
      </c>
      <c r="GO35" s="177" t="str">
        <f>Schedule!GR37</f>
        <v>0</v>
      </c>
      <c r="GP35" s="177" t="str">
        <f>Schedule!GS37</f>
        <v>0</v>
      </c>
      <c r="GQ35" s="177" t="str">
        <f>Schedule!GT37</f>
        <v>0</v>
      </c>
      <c r="GR35" s="177" t="str">
        <f>Schedule!GU37</f>
        <v>0</v>
      </c>
      <c r="GS35" s="177" t="str">
        <f>Schedule!GV37</f>
        <v>0</v>
      </c>
      <c r="GT35" s="177" t="str">
        <f>Schedule!GW37</f>
        <v>0</v>
      </c>
    </row>
    <row r="36" spans="1:205" ht="18" customHeight="1">
      <c r="B36" s="269"/>
      <c r="C36" s="169">
        <f>Schedule!C38</f>
        <v>0</v>
      </c>
      <c r="D36" s="177" t="str">
        <f>Schedule!Z38</f>
        <v>0</v>
      </c>
      <c r="E36" s="177" t="str">
        <f>Schedule!AA38</f>
        <v>0</v>
      </c>
      <c r="F36" s="177" t="str">
        <f>Schedule!AB38</f>
        <v>0</v>
      </c>
      <c r="G36" s="177" t="str">
        <f>Schedule!AC38</f>
        <v>0</v>
      </c>
      <c r="H36" s="177" t="str">
        <f>Schedule!AD38</f>
        <v>0</v>
      </c>
      <c r="I36" s="177" t="str">
        <f>Schedule!AE38</f>
        <v>0</v>
      </c>
      <c r="J36" s="177" t="str">
        <f>Schedule!AF38</f>
        <v>0</v>
      </c>
      <c r="K36" s="182" t="str">
        <f>Schedule!AG38</f>
        <v>0</v>
      </c>
      <c r="L36" s="182" t="str">
        <f>Schedule!AH38</f>
        <v>0</v>
      </c>
      <c r="M36" s="178"/>
      <c r="N36" s="184" t="str">
        <f>Schedule!AI38</f>
        <v>0</v>
      </c>
      <c r="O36" s="177" t="str">
        <f>Schedule!AJ38</f>
        <v>0</v>
      </c>
      <c r="P36" s="177" t="str">
        <f>Schedule!AK38</f>
        <v>0</v>
      </c>
      <c r="Q36" s="177" t="str">
        <f>Schedule!AL38</f>
        <v>0</v>
      </c>
      <c r="R36" s="177" t="str">
        <f>Schedule!AM38</f>
        <v>0</v>
      </c>
      <c r="S36" s="177" t="str">
        <f>Schedule!AN38</f>
        <v>0</v>
      </c>
      <c r="T36" s="177" t="str">
        <f>Schedule!AO38</f>
        <v>0</v>
      </c>
      <c r="U36" s="177" t="str">
        <f>Schedule!AP38</f>
        <v>0</v>
      </c>
      <c r="V36" s="177" t="str">
        <f>Schedule!AQ38</f>
        <v>0</v>
      </c>
      <c r="W36" s="178"/>
      <c r="X36" s="177" t="str">
        <f>Schedule!AR38</f>
        <v>0</v>
      </c>
      <c r="Y36" s="177" t="str">
        <f>Schedule!AS38</f>
        <v>0</v>
      </c>
      <c r="Z36" s="177" t="str">
        <f>Schedule!AT38</f>
        <v>0</v>
      </c>
      <c r="AA36" s="177" t="str">
        <f>Schedule!AU38</f>
        <v>0</v>
      </c>
      <c r="AB36" s="177" t="str">
        <f>Schedule!AV38</f>
        <v>0</v>
      </c>
      <c r="AC36" s="177" t="str">
        <f>Schedule!AW38</f>
        <v>0</v>
      </c>
      <c r="AD36" s="177" t="str">
        <f>Schedule!AX38</f>
        <v>0</v>
      </c>
      <c r="AE36" s="177" t="str">
        <f>Schedule!AY38</f>
        <v>0</v>
      </c>
      <c r="AF36" s="177" t="str">
        <f>Schedule!AZ38</f>
        <v>0</v>
      </c>
      <c r="AG36" s="178"/>
      <c r="AH36" s="177" t="str">
        <f>Schedule!BA38</f>
        <v>0</v>
      </c>
      <c r="AI36" s="177" t="str">
        <f>Schedule!BB38</f>
        <v>0</v>
      </c>
      <c r="AJ36" s="177" t="str">
        <f>Schedule!BC38</f>
        <v>0</v>
      </c>
      <c r="AK36" s="177" t="str">
        <f>Schedule!BD38</f>
        <v>0</v>
      </c>
      <c r="AL36" s="177" t="str">
        <f>Schedule!BE38</f>
        <v>0</v>
      </c>
      <c r="AM36" s="177" t="str">
        <f>Schedule!BF38</f>
        <v>0</v>
      </c>
      <c r="AN36" s="177" t="str">
        <f>Schedule!BG38</f>
        <v>0</v>
      </c>
      <c r="AO36" s="177" t="str">
        <f>Schedule!BH38</f>
        <v>0</v>
      </c>
      <c r="AP36" s="177" t="str">
        <f>Schedule!BI38</f>
        <v>0</v>
      </c>
      <c r="AQ36" s="178"/>
      <c r="AR36" s="177" t="str">
        <f>Schedule!BJ38</f>
        <v>0</v>
      </c>
      <c r="AS36" s="177" t="str">
        <f>Schedule!BK38</f>
        <v>0</v>
      </c>
      <c r="AT36" s="177" t="str">
        <f>Schedule!BL38</f>
        <v>0</v>
      </c>
      <c r="AU36" s="177" t="str">
        <f>Schedule!BM38</f>
        <v>0</v>
      </c>
      <c r="AV36" s="177" t="str">
        <f>Schedule!BN38</f>
        <v>0</v>
      </c>
      <c r="AW36" s="177" t="str">
        <f>Schedule!BO38</f>
        <v>0</v>
      </c>
      <c r="AX36" s="177" t="str">
        <f>Schedule!BP38</f>
        <v>0</v>
      </c>
      <c r="AY36" s="177" t="str">
        <f>Schedule!BQ38</f>
        <v>0</v>
      </c>
      <c r="AZ36" s="177" t="str">
        <f>Schedule!BR38</f>
        <v>0</v>
      </c>
      <c r="BA36" s="178"/>
      <c r="BB36" s="177" t="str">
        <f>Schedule!BS38</f>
        <v>0</v>
      </c>
      <c r="BC36" s="177" t="str">
        <f>Schedule!BT38</f>
        <v>0</v>
      </c>
      <c r="BD36" s="177" t="str">
        <f>Schedule!BU38</f>
        <v>0</v>
      </c>
      <c r="BE36" s="177" t="str">
        <f>Schedule!BV38</f>
        <v>0</v>
      </c>
      <c r="BF36" s="177" t="str">
        <f>Schedule!BW38</f>
        <v>0</v>
      </c>
      <c r="BG36" s="177" t="str">
        <f>Schedule!BX38</f>
        <v>0</v>
      </c>
      <c r="BH36" s="177" t="str">
        <f>Schedule!BY38</f>
        <v>0</v>
      </c>
      <c r="BI36" s="177" t="str">
        <f>Schedule!BZ38</f>
        <v>0</v>
      </c>
      <c r="BJ36" s="177" t="str">
        <f>Schedule!CA38</f>
        <v>0</v>
      </c>
      <c r="BK36" s="178"/>
      <c r="BL36" s="177" t="str">
        <f>Schedule!CB38</f>
        <v>0</v>
      </c>
      <c r="BM36" s="177" t="str">
        <f>Schedule!CC38</f>
        <v>0</v>
      </c>
      <c r="BN36" s="177" t="str">
        <f>Schedule!CD38</f>
        <v>0</v>
      </c>
      <c r="BO36" s="177" t="str">
        <f>Schedule!CE38</f>
        <v>0</v>
      </c>
      <c r="BP36" s="177" t="str">
        <f>Schedule!CF38</f>
        <v>0</v>
      </c>
      <c r="BQ36" s="177" t="str">
        <f>Schedule!CG38</f>
        <v>0</v>
      </c>
      <c r="BR36" s="177" t="str">
        <f>Schedule!CH38</f>
        <v>0</v>
      </c>
      <c r="BS36" s="177" t="str">
        <f>Schedule!CI38</f>
        <v>0</v>
      </c>
      <c r="BT36" s="177" t="str">
        <f>Schedule!CJ38</f>
        <v>0</v>
      </c>
      <c r="BU36" s="178"/>
      <c r="BV36" s="177" t="str">
        <f>Schedule!CK38</f>
        <v>0</v>
      </c>
      <c r="BW36" s="177" t="str">
        <f>Schedule!CL38</f>
        <v>0</v>
      </c>
      <c r="BX36" s="177" t="str">
        <f>Schedule!CM38</f>
        <v>0</v>
      </c>
      <c r="BY36" s="177" t="str">
        <f>Schedule!CN38</f>
        <v>0</v>
      </c>
      <c r="BZ36" s="177" t="str">
        <f>Schedule!CO38</f>
        <v>0</v>
      </c>
      <c r="CA36" s="177" t="str">
        <f>Schedule!CP38</f>
        <v>0</v>
      </c>
      <c r="CB36" s="177" t="str">
        <f>Schedule!CQ38</f>
        <v>0</v>
      </c>
      <c r="CC36" s="177" t="str">
        <f>Schedule!CR38</f>
        <v>0</v>
      </c>
      <c r="CD36" s="177" t="str">
        <f>Schedule!CS38</f>
        <v>0</v>
      </c>
      <c r="CE36" s="178"/>
      <c r="CF36" s="177" t="str">
        <f>Schedule!CT38</f>
        <v>0</v>
      </c>
      <c r="CG36" s="177" t="str">
        <f>Schedule!CU38</f>
        <v>0</v>
      </c>
      <c r="CH36" s="177" t="str">
        <f>Schedule!CV38</f>
        <v>0</v>
      </c>
      <c r="CI36" s="177" t="str">
        <f>Schedule!CW38</f>
        <v>0</v>
      </c>
      <c r="CJ36" s="177" t="str">
        <f>Schedule!CX38</f>
        <v>0</v>
      </c>
      <c r="CK36" s="177" t="str">
        <f>Schedule!CY38</f>
        <v>0</v>
      </c>
      <c r="CL36" s="177" t="str">
        <f>Schedule!CZ38</f>
        <v>0</v>
      </c>
      <c r="CM36" s="177" t="str">
        <f>Schedule!DA38</f>
        <v>0</v>
      </c>
      <c r="CN36" s="177" t="str">
        <f>Schedule!DB38</f>
        <v>0</v>
      </c>
      <c r="CO36" s="178"/>
      <c r="CP36" s="177" t="str">
        <f>Schedule!DC38</f>
        <v>0</v>
      </c>
      <c r="CQ36" s="177" t="str">
        <f>Schedule!DD38</f>
        <v>0</v>
      </c>
      <c r="CR36" s="177" t="str">
        <f>Schedule!DE38</f>
        <v>0</v>
      </c>
      <c r="CS36" s="177" t="str">
        <f>Schedule!DF38</f>
        <v>0</v>
      </c>
      <c r="CT36" s="177" t="str">
        <f>Schedule!DG38</f>
        <v>0</v>
      </c>
      <c r="CU36" s="177" t="str">
        <f>Schedule!DH38</f>
        <v>0</v>
      </c>
      <c r="CV36" s="177" t="str">
        <f>Schedule!DI38</f>
        <v>0</v>
      </c>
      <c r="CW36" s="177" t="str">
        <f>Schedule!DJ38</f>
        <v>0</v>
      </c>
      <c r="CX36" s="177" t="str">
        <f>Schedule!DK38</f>
        <v>0</v>
      </c>
      <c r="CY36" s="178"/>
      <c r="CZ36" s="177" t="str">
        <f>Schedule!DL38</f>
        <v>0</v>
      </c>
      <c r="DA36" s="177" t="str">
        <f>Schedule!DM38</f>
        <v>0</v>
      </c>
      <c r="DB36" s="177" t="str">
        <f>Schedule!DN38</f>
        <v>0</v>
      </c>
      <c r="DC36" s="177" t="str">
        <f>Schedule!DO38</f>
        <v>0</v>
      </c>
      <c r="DD36" s="177" t="str">
        <f>Schedule!DP38</f>
        <v>0</v>
      </c>
      <c r="DE36" s="177" t="str">
        <f>Schedule!DQ38</f>
        <v>0</v>
      </c>
      <c r="DF36" s="177" t="str">
        <f>Schedule!DR38</f>
        <v>0</v>
      </c>
      <c r="DG36" s="177" t="str">
        <f>Schedule!DS38</f>
        <v>0</v>
      </c>
      <c r="DH36" s="177" t="str">
        <f>Schedule!DT38</f>
        <v>0</v>
      </c>
      <c r="DI36" s="178"/>
      <c r="DJ36" s="177" t="str">
        <f>Schedule!DU38</f>
        <v>0</v>
      </c>
      <c r="DK36" s="177" t="str">
        <f>Schedule!DV38</f>
        <v>0</v>
      </c>
      <c r="DL36" s="177" t="str">
        <f>Schedule!DW38</f>
        <v>0</v>
      </c>
      <c r="DM36" s="177" t="str">
        <f>Schedule!DX38</f>
        <v>0</v>
      </c>
      <c r="DN36" s="177" t="str">
        <f>Schedule!DY38</f>
        <v>0</v>
      </c>
      <c r="DO36" s="177" t="str">
        <f>Schedule!DZ38</f>
        <v>0</v>
      </c>
      <c r="DP36" s="177" t="str">
        <f>Schedule!EA38</f>
        <v>0</v>
      </c>
      <c r="DQ36" s="177" t="str">
        <f>Schedule!EB38</f>
        <v>0</v>
      </c>
      <c r="DR36" s="177" t="str">
        <f>Schedule!EC38</f>
        <v>0</v>
      </c>
      <c r="DS36" s="178"/>
      <c r="DT36" s="177" t="str">
        <f>Schedule!ED38</f>
        <v>0</v>
      </c>
      <c r="DU36" s="177" t="str">
        <f>Schedule!EE38</f>
        <v>0</v>
      </c>
      <c r="DV36" s="177" t="str">
        <f>Schedule!EF38</f>
        <v>0</v>
      </c>
      <c r="DW36" s="177" t="str">
        <f>Schedule!EG38</f>
        <v>0</v>
      </c>
      <c r="DX36" s="177" t="str">
        <f>Schedule!EH38</f>
        <v>0</v>
      </c>
      <c r="DY36" s="177" t="str">
        <f>Schedule!EI38</f>
        <v>0</v>
      </c>
      <c r="DZ36" s="177" t="str">
        <f>Schedule!EJ38</f>
        <v>0</v>
      </c>
      <c r="EA36" s="177" t="str">
        <f>Schedule!EK38</f>
        <v>0</v>
      </c>
      <c r="EB36" s="177" t="str">
        <f>Schedule!EL38</f>
        <v>0</v>
      </c>
      <c r="EC36" s="178"/>
      <c r="ED36" s="177" t="str">
        <f>Schedule!EM38</f>
        <v>0</v>
      </c>
      <c r="EE36" s="177" t="str">
        <f>Schedule!EN38</f>
        <v>0</v>
      </c>
      <c r="EF36" s="177" t="str">
        <f>Schedule!EO38</f>
        <v>0</v>
      </c>
      <c r="EG36" s="177" t="str">
        <f>Schedule!EP38</f>
        <v>0</v>
      </c>
      <c r="EH36" s="177" t="str">
        <f>Schedule!EQ38</f>
        <v>0</v>
      </c>
      <c r="EI36" s="177" t="str">
        <f>Schedule!ER38</f>
        <v>0</v>
      </c>
      <c r="EJ36" s="177" t="str">
        <f>Schedule!ES38</f>
        <v>0</v>
      </c>
      <c r="EK36" s="177" t="str">
        <f>Schedule!ET38</f>
        <v>0</v>
      </c>
      <c r="EL36" s="177" t="str">
        <f>Schedule!EU38</f>
        <v>0</v>
      </c>
      <c r="EM36" s="178"/>
      <c r="EN36" s="177" t="str">
        <f>Schedule!EV38</f>
        <v>0</v>
      </c>
      <c r="EO36" s="177" t="str">
        <f>Schedule!EW38</f>
        <v>0</v>
      </c>
      <c r="EP36" s="177" t="str">
        <f>Schedule!EX38</f>
        <v>0</v>
      </c>
      <c r="EQ36" s="177" t="str">
        <f>Schedule!EY38</f>
        <v>0</v>
      </c>
      <c r="ER36" s="177" t="str">
        <f>Schedule!EZ38</f>
        <v>0</v>
      </c>
      <c r="ES36" s="177" t="str">
        <f>Schedule!FA38</f>
        <v>0</v>
      </c>
      <c r="ET36" s="177" t="str">
        <f>Schedule!FB38</f>
        <v>0</v>
      </c>
      <c r="EU36" s="177" t="str">
        <f>Schedule!FC38</f>
        <v>0</v>
      </c>
      <c r="EV36" s="177" t="str">
        <f>Schedule!FD38</f>
        <v>0</v>
      </c>
      <c r="EW36" s="178"/>
      <c r="EX36" s="177" t="str">
        <f>Schedule!FE38</f>
        <v>0</v>
      </c>
      <c r="EY36" s="177" t="str">
        <f>Schedule!FF38</f>
        <v>0</v>
      </c>
      <c r="EZ36" s="177" t="str">
        <f>Schedule!FG38</f>
        <v>0</v>
      </c>
      <c r="FA36" s="177" t="str">
        <f>Schedule!FH38</f>
        <v>0</v>
      </c>
      <c r="FB36" s="177" t="str">
        <f>Schedule!FI38</f>
        <v>0</v>
      </c>
      <c r="FC36" s="177" t="str">
        <f>Schedule!FJ38</f>
        <v>0</v>
      </c>
      <c r="FD36" s="177" t="str">
        <f>Schedule!FK38</f>
        <v>0</v>
      </c>
      <c r="FE36" s="177" t="str">
        <f>Schedule!FL38</f>
        <v>0</v>
      </c>
      <c r="FF36" s="177" t="str">
        <f>Schedule!FM38</f>
        <v>0</v>
      </c>
      <c r="FG36" s="178"/>
      <c r="FH36" s="177" t="str">
        <f>Schedule!FN38</f>
        <v>0</v>
      </c>
      <c r="FI36" s="177" t="str">
        <f>Schedule!FO38</f>
        <v>0</v>
      </c>
      <c r="FJ36" s="177" t="str">
        <f>Schedule!FP38</f>
        <v>0</v>
      </c>
      <c r="FK36" s="177" t="str">
        <f>Schedule!FQ38</f>
        <v>0</v>
      </c>
      <c r="FL36" s="177" t="str">
        <f>Schedule!FR38</f>
        <v>0</v>
      </c>
      <c r="FM36" s="177" t="str">
        <f>Schedule!FS38</f>
        <v>0</v>
      </c>
      <c r="FN36" s="177" t="str">
        <f>Schedule!FT38</f>
        <v>0</v>
      </c>
      <c r="FO36" s="177" t="str">
        <f>Schedule!FU38</f>
        <v>0</v>
      </c>
      <c r="FP36" s="177" t="str">
        <f>Schedule!FV38</f>
        <v>0</v>
      </c>
      <c r="FQ36" s="178"/>
      <c r="FR36" s="177" t="str">
        <f>Schedule!FW38</f>
        <v>0</v>
      </c>
      <c r="FS36" s="177" t="str">
        <f>Schedule!FX38</f>
        <v>0</v>
      </c>
      <c r="FT36" s="177" t="str">
        <f>Schedule!FY38</f>
        <v>0</v>
      </c>
      <c r="FU36" s="177" t="str">
        <f>Schedule!FZ38</f>
        <v>0</v>
      </c>
      <c r="FV36" s="177" t="str">
        <f>Schedule!GA38</f>
        <v>0</v>
      </c>
      <c r="FW36" s="177" t="str">
        <f>Schedule!GB38</f>
        <v>0</v>
      </c>
      <c r="FX36" s="177" t="str">
        <f>Schedule!GC38</f>
        <v>0</v>
      </c>
      <c r="FY36" s="177" t="str">
        <f>Schedule!GD38</f>
        <v>0</v>
      </c>
      <c r="FZ36" s="177" t="str">
        <f>Schedule!GE38</f>
        <v>0</v>
      </c>
      <c r="GA36" s="178"/>
      <c r="GB36" s="177" t="str">
        <f>Schedule!GF38</f>
        <v>0</v>
      </c>
      <c r="GC36" s="177" t="str">
        <f>Schedule!GG38</f>
        <v>0</v>
      </c>
      <c r="GD36" s="177" t="str">
        <f>Schedule!GH38</f>
        <v>0</v>
      </c>
      <c r="GE36" s="177" t="str">
        <f>Schedule!GI38</f>
        <v>0</v>
      </c>
      <c r="GF36" s="177" t="str">
        <f>Schedule!GJ38</f>
        <v>0</v>
      </c>
      <c r="GG36" s="177" t="str">
        <f>Schedule!GK38</f>
        <v>0</v>
      </c>
      <c r="GH36" s="177" t="str">
        <f>Schedule!GL38</f>
        <v>0</v>
      </c>
      <c r="GI36" s="177" t="str">
        <f>Schedule!GM38</f>
        <v>0</v>
      </c>
      <c r="GJ36" s="177" t="str">
        <f>Schedule!GN38</f>
        <v>0</v>
      </c>
      <c r="GK36" s="178"/>
      <c r="GL36" s="177" t="str">
        <f>Schedule!GO38</f>
        <v>0</v>
      </c>
      <c r="GM36" s="177" t="str">
        <f>Schedule!GP38</f>
        <v>0</v>
      </c>
      <c r="GN36" s="177" t="str">
        <f>Schedule!GQ38</f>
        <v>0</v>
      </c>
      <c r="GO36" s="177" t="str">
        <f>Schedule!GR38</f>
        <v>0</v>
      </c>
      <c r="GP36" s="177" t="str">
        <f>Schedule!GS38</f>
        <v>0</v>
      </c>
      <c r="GQ36" s="177" t="str">
        <f>Schedule!GT38</f>
        <v>0</v>
      </c>
      <c r="GR36" s="177" t="str">
        <f>Schedule!GU38</f>
        <v>0</v>
      </c>
      <c r="GS36" s="177" t="str">
        <f>Schedule!GV38</f>
        <v>0</v>
      </c>
      <c r="GT36" s="177" t="str">
        <f>Schedule!GW38</f>
        <v>0</v>
      </c>
    </row>
    <row r="37" spans="1:205" ht="18" customHeight="1">
      <c r="B37" s="269"/>
      <c r="C37" s="169">
        <f>Schedule!C39</f>
        <v>0</v>
      </c>
      <c r="D37" s="177" t="str">
        <f>Schedule!Z39</f>
        <v>0</v>
      </c>
      <c r="E37" s="177" t="str">
        <f>Schedule!AA39</f>
        <v>0</v>
      </c>
      <c r="F37" s="177" t="str">
        <f>Schedule!AB39</f>
        <v>0</v>
      </c>
      <c r="G37" s="177" t="str">
        <f>Schedule!AC39</f>
        <v>0</v>
      </c>
      <c r="H37" s="177" t="str">
        <f>Schedule!AD39</f>
        <v>0</v>
      </c>
      <c r="I37" s="177" t="str">
        <f>Schedule!AE39</f>
        <v>0</v>
      </c>
      <c r="J37" s="177" t="str">
        <f>Schedule!AF39</f>
        <v>0</v>
      </c>
      <c r="K37" s="182" t="str">
        <f>Schedule!AG39</f>
        <v>0</v>
      </c>
      <c r="L37" s="182" t="str">
        <f>Schedule!AH39</f>
        <v>0</v>
      </c>
      <c r="M37" s="178"/>
      <c r="N37" s="184" t="str">
        <f>Schedule!AI39</f>
        <v>0</v>
      </c>
      <c r="O37" s="177" t="str">
        <f>Schedule!AJ39</f>
        <v>0</v>
      </c>
      <c r="P37" s="177" t="str">
        <f>Schedule!AK39</f>
        <v>0</v>
      </c>
      <c r="Q37" s="177" t="str">
        <f>Schedule!AL39</f>
        <v>0</v>
      </c>
      <c r="R37" s="177" t="str">
        <f>Schedule!AM39</f>
        <v>0</v>
      </c>
      <c r="S37" s="177" t="str">
        <f>Schedule!AN39</f>
        <v>0</v>
      </c>
      <c r="T37" s="177" t="str">
        <f>Schedule!AO39</f>
        <v>0</v>
      </c>
      <c r="U37" s="177" t="str">
        <f>Schedule!AP39</f>
        <v>0</v>
      </c>
      <c r="V37" s="177" t="str">
        <f>Schedule!AQ39</f>
        <v>0</v>
      </c>
      <c r="W37" s="178"/>
      <c r="X37" s="177" t="str">
        <f>Schedule!AR39</f>
        <v>0</v>
      </c>
      <c r="Y37" s="177" t="str">
        <f>Schedule!AS39</f>
        <v>0</v>
      </c>
      <c r="Z37" s="177" t="str">
        <f>Schedule!AT39</f>
        <v>0</v>
      </c>
      <c r="AA37" s="177" t="str">
        <f>Schedule!AU39</f>
        <v>0</v>
      </c>
      <c r="AB37" s="177" t="str">
        <f>Schedule!AV39</f>
        <v>0</v>
      </c>
      <c r="AC37" s="177" t="str">
        <f>Schedule!AW39</f>
        <v>0</v>
      </c>
      <c r="AD37" s="177" t="str">
        <f>Schedule!AX39</f>
        <v>0</v>
      </c>
      <c r="AE37" s="177" t="str">
        <f>Schedule!AY39</f>
        <v>0</v>
      </c>
      <c r="AF37" s="177" t="str">
        <f>Schedule!AZ39</f>
        <v>0</v>
      </c>
      <c r="AG37" s="178"/>
      <c r="AH37" s="177" t="str">
        <f>Schedule!BA39</f>
        <v>0</v>
      </c>
      <c r="AI37" s="177" t="str">
        <f>Schedule!BB39</f>
        <v>0</v>
      </c>
      <c r="AJ37" s="177" t="str">
        <f>Schedule!BC39</f>
        <v>0</v>
      </c>
      <c r="AK37" s="177" t="str">
        <f>Schedule!BD39</f>
        <v>0</v>
      </c>
      <c r="AL37" s="177" t="str">
        <f>Schedule!BE39</f>
        <v>0</v>
      </c>
      <c r="AM37" s="177" t="str">
        <f>Schedule!BF39</f>
        <v>0</v>
      </c>
      <c r="AN37" s="177" t="str">
        <f>Schedule!BG39</f>
        <v>0</v>
      </c>
      <c r="AO37" s="177" t="str">
        <f>Schedule!BH39</f>
        <v>0</v>
      </c>
      <c r="AP37" s="177" t="str">
        <f>Schedule!BI39</f>
        <v>0</v>
      </c>
      <c r="AQ37" s="178"/>
      <c r="AR37" s="177" t="str">
        <f>Schedule!BJ39</f>
        <v>0</v>
      </c>
      <c r="AS37" s="177" t="str">
        <f>Schedule!BK39</f>
        <v>0</v>
      </c>
      <c r="AT37" s="177" t="str">
        <f>Schedule!BL39</f>
        <v>0</v>
      </c>
      <c r="AU37" s="177" t="str">
        <f>Schedule!BM39</f>
        <v>0</v>
      </c>
      <c r="AV37" s="177" t="str">
        <f>Schedule!BN39</f>
        <v>0</v>
      </c>
      <c r="AW37" s="177" t="str">
        <f>Schedule!BO39</f>
        <v>0</v>
      </c>
      <c r="AX37" s="177" t="str">
        <f>Schedule!BP39</f>
        <v>0</v>
      </c>
      <c r="AY37" s="177" t="str">
        <f>Schedule!BQ39</f>
        <v>0</v>
      </c>
      <c r="AZ37" s="177" t="str">
        <f>Schedule!BR39</f>
        <v>0</v>
      </c>
      <c r="BA37" s="178"/>
      <c r="BB37" s="177" t="str">
        <f>Schedule!BS39</f>
        <v>0</v>
      </c>
      <c r="BC37" s="177" t="str">
        <f>Schedule!BT39</f>
        <v>0</v>
      </c>
      <c r="BD37" s="177" t="str">
        <f>Schedule!BU39</f>
        <v>0</v>
      </c>
      <c r="BE37" s="177" t="str">
        <f>Schedule!BV39</f>
        <v>0</v>
      </c>
      <c r="BF37" s="177" t="str">
        <f>Schedule!BW39</f>
        <v>0</v>
      </c>
      <c r="BG37" s="177" t="str">
        <f>Schedule!BX39</f>
        <v>0</v>
      </c>
      <c r="BH37" s="177" t="str">
        <f>Schedule!BY39</f>
        <v>0</v>
      </c>
      <c r="BI37" s="177" t="str">
        <f>Schedule!BZ39</f>
        <v>0</v>
      </c>
      <c r="BJ37" s="177" t="str">
        <f>Schedule!CA39</f>
        <v>0</v>
      </c>
      <c r="BK37" s="178"/>
      <c r="BL37" s="177" t="str">
        <f>Schedule!CB39</f>
        <v>0</v>
      </c>
      <c r="BM37" s="177" t="str">
        <f>Schedule!CC39</f>
        <v>0</v>
      </c>
      <c r="BN37" s="177" t="str">
        <f>Schedule!CD39</f>
        <v>0</v>
      </c>
      <c r="BO37" s="177" t="str">
        <f>Schedule!CE39</f>
        <v>0</v>
      </c>
      <c r="BP37" s="177" t="str">
        <f>Schedule!CF39</f>
        <v>0</v>
      </c>
      <c r="BQ37" s="177" t="str">
        <f>Schedule!CG39</f>
        <v>0</v>
      </c>
      <c r="BR37" s="177" t="str">
        <f>Schedule!CH39</f>
        <v>0</v>
      </c>
      <c r="BS37" s="177" t="str">
        <f>Schedule!CI39</f>
        <v>0</v>
      </c>
      <c r="BT37" s="177" t="str">
        <f>Schedule!CJ39</f>
        <v>0</v>
      </c>
      <c r="BU37" s="178"/>
      <c r="BV37" s="177" t="str">
        <f>Schedule!CK39</f>
        <v>0</v>
      </c>
      <c r="BW37" s="177" t="str">
        <f>Schedule!CL39</f>
        <v>0</v>
      </c>
      <c r="BX37" s="177" t="str">
        <f>Schedule!CM39</f>
        <v>0</v>
      </c>
      <c r="BY37" s="177" t="str">
        <f>Schedule!CN39</f>
        <v>0</v>
      </c>
      <c r="BZ37" s="177" t="str">
        <f>Schedule!CO39</f>
        <v>0</v>
      </c>
      <c r="CA37" s="177" t="str">
        <f>Schedule!CP39</f>
        <v>0</v>
      </c>
      <c r="CB37" s="177" t="str">
        <f>Schedule!CQ39</f>
        <v>0</v>
      </c>
      <c r="CC37" s="177" t="str">
        <f>Schedule!CR39</f>
        <v>0</v>
      </c>
      <c r="CD37" s="177" t="str">
        <f>Schedule!CS39</f>
        <v>0</v>
      </c>
      <c r="CE37" s="178"/>
      <c r="CF37" s="177" t="str">
        <f>Schedule!CT39</f>
        <v>0</v>
      </c>
      <c r="CG37" s="177" t="str">
        <f>Schedule!CU39</f>
        <v>0</v>
      </c>
      <c r="CH37" s="177" t="str">
        <f>Schedule!CV39</f>
        <v>0</v>
      </c>
      <c r="CI37" s="177" t="str">
        <f>Schedule!CW39</f>
        <v>0</v>
      </c>
      <c r="CJ37" s="177" t="str">
        <f>Schedule!CX39</f>
        <v>0</v>
      </c>
      <c r="CK37" s="177" t="str">
        <f>Schedule!CY39</f>
        <v>0</v>
      </c>
      <c r="CL37" s="177" t="str">
        <f>Schedule!CZ39</f>
        <v>0</v>
      </c>
      <c r="CM37" s="177" t="str">
        <f>Schedule!DA39</f>
        <v>0</v>
      </c>
      <c r="CN37" s="177" t="str">
        <f>Schedule!DB39</f>
        <v>0</v>
      </c>
      <c r="CO37" s="178"/>
      <c r="CP37" s="177" t="str">
        <f>Schedule!DC39</f>
        <v>0</v>
      </c>
      <c r="CQ37" s="177" t="str">
        <f>Schedule!DD39</f>
        <v>0</v>
      </c>
      <c r="CR37" s="177" t="str">
        <f>Schedule!DE39</f>
        <v>0</v>
      </c>
      <c r="CS37" s="177" t="str">
        <f>Schedule!DF39</f>
        <v>0</v>
      </c>
      <c r="CT37" s="177" t="str">
        <f>Schedule!DG39</f>
        <v>0</v>
      </c>
      <c r="CU37" s="177" t="str">
        <f>Schedule!DH39</f>
        <v>0</v>
      </c>
      <c r="CV37" s="177" t="str">
        <f>Schedule!DI39</f>
        <v>0</v>
      </c>
      <c r="CW37" s="177" t="str">
        <f>Schedule!DJ39</f>
        <v>0</v>
      </c>
      <c r="CX37" s="177" t="str">
        <f>Schedule!DK39</f>
        <v>0</v>
      </c>
      <c r="CY37" s="178"/>
      <c r="CZ37" s="177" t="str">
        <f>Schedule!DL39</f>
        <v>0</v>
      </c>
      <c r="DA37" s="177" t="str">
        <f>Schedule!DM39</f>
        <v>0</v>
      </c>
      <c r="DB37" s="177" t="str">
        <f>Schedule!DN39</f>
        <v>0</v>
      </c>
      <c r="DC37" s="177" t="str">
        <f>Schedule!DO39</f>
        <v>0</v>
      </c>
      <c r="DD37" s="177" t="str">
        <f>Schedule!DP39</f>
        <v>0</v>
      </c>
      <c r="DE37" s="177" t="str">
        <f>Schedule!DQ39</f>
        <v>0</v>
      </c>
      <c r="DF37" s="177" t="str">
        <f>Schedule!DR39</f>
        <v>0</v>
      </c>
      <c r="DG37" s="177" t="str">
        <f>Schedule!DS39</f>
        <v>0</v>
      </c>
      <c r="DH37" s="177" t="str">
        <f>Schedule!DT39</f>
        <v>0</v>
      </c>
      <c r="DI37" s="178"/>
      <c r="DJ37" s="177" t="str">
        <f>Schedule!DU39</f>
        <v>0</v>
      </c>
      <c r="DK37" s="177" t="str">
        <f>Schedule!DV39</f>
        <v>0</v>
      </c>
      <c r="DL37" s="177" t="str">
        <f>Schedule!DW39</f>
        <v>0</v>
      </c>
      <c r="DM37" s="177" t="str">
        <f>Schedule!DX39</f>
        <v>0</v>
      </c>
      <c r="DN37" s="177" t="str">
        <f>Schedule!DY39</f>
        <v>0</v>
      </c>
      <c r="DO37" s="177" t="str">
        <f>Schedule!DZ39</f>
        <v>0</v>
      </c>
      <c r="DP37" s="177" t="str">
        <f>Schedule!EA39</f>
        <v>0</v>
      </c>
      <c r="DQ37" s="177" t="str">
        <f>Schedule!EB39</f>
        <v>0</v>
      </c>
      <c r="DR37" s="177" t="str">
        <f>Schedule!EC39</f>
        <v>0</v>
      </c>
      <c r="DS37" s="178"/>
      <c r="DT37" s="177" t="str">
        <f>Schedule!ED39</f>
        <v>0</v>
      </c>
      <c r="DU37" s="177" t="str">
        <f>Schedule!EE39</f>
        <v>0</v>
      </c>
      <c r="DV37" s="177" t="str">
        <f>Schedule!EF39</f>
        <v>0</v>
      </c>
      <c r="DW37" s="177" t="str">
        <f>Schedule!EG39</f>
        <v>0</v>
      </c>
      <c r="DX37" s="177" t="str">
        <f>Schedule!EH39</f>
        <v>0</v>
      </c>
      <c r="DY37" s="177" t="str">
        <f>Schedule!EI39</f>
        <v>0</v>
      </c>
      <c r="DZ37" s="177" t="str">
        <f>Schedule!EJ39</f>
        <v>0</v>
      </c>
      <c r="EA37" s="177" t="str">
        <f>Schedule!EK39</f>
        <v>0</v>
      </c>
      <c r="EB37" s="177" t="str">
        <f>Schedule!EL39</f>
        <v>0</v>
      </c>
      <c r="EC37" s="178"/>
      <c r="ED37" s="177" t="str">
        <f>Schedule!EM39</f>
        <v>0</v>
      </c>
      <c r="EE37" s="177" t="str">
        <f>Schedule!EN39</f>
        <v>0</v>
      </c>
      <c r="EF37" s="177" t="str">
        <f>Schedule!EO39</f>
        <v>0</v>
      </c>
      <c r="EG37" s="177" t="str">
        <f>Schedule!EP39</f>
        <v>0</v>
      </c>
      <c r="EH37" s="177" t="str">
        <f>Schedule!EQ39</f>
        <v>0</v>
      </c>
      <c r="EI37" s="177" t="str">
        <f>Schedule!ER39</f>
        <v>0</v>
      </c>
      <c r="EJ37" s="177" t="str">
        <f>Schedule!ES39</f>
        <v>0</v>
      </c>
      <c r="EK37" s="177" t="str">
        <f>Schedule!ET39</f>
        <v>0</v>
      </c>
      <c r="EL37" s="177" t="str">
        <f>Schedule!EU39</f>
        <v>0</v>
      </c>
      <c r="EM37" s="178"/>
      <c r="EN37" s="177" t="str">
        <f>Schedule!EV39</f>
        <v>0</v>
      </c>
      <c r="EO37" s="177" t="str">
        <f>Schedule!EW39</f>
        <v>0</v>
      </c>
      <c r="EP37" s="177" t="str">
        <f>Schedule!EX39</f>
        <v>0</v>
      </c>
      <c r="EQ37" s="177" t="str">
        <f>Schedule!EY39</f>
        <v>0</v>
      </c>
      <c r="ER37" s="177" t="str">
        <f>Schedule!EZ39</f>
        <v>0</v>
      </c>
      <c r="ES37" s="177" t="str">
        <f>Schedule!FA39</f>
        <v>0</v>
      </c>
      <c r="ET37" s="177" t="str">
        <f>Schedule!FB39</f>
        <v>0</v>
      </c>
      <c r="EU37" s="177" t="str">
        <f>Schedule!FC39</f>
        <v>0</v>
      </c>
      <c r="EV37" s="177" t="str">
        <f>Schedule!FD39</f>
        <v>0</v>
      </c>
      <c r="EW37" s="178"/>
      <c r="EX37" s="177" t="str">
        <f>Schedule!FE39</f>
        <v>0</v>
      </c>
      <c r="EY37" s="177" t="str">
        <f>Schedule!FF39</f>
        <v>0</v>
      </c>
      <c r="EZ37" s="177" t="str">
        <f>Schedule!FG39</f>
        <v>0</v>
      </c>
      <c r="FA37" s="177" t="str">
        <f>Schedule!FH39</f>
        <v>0</v>
      </c>
      <c r="FB37" s="177" t="str">
        <f>Schedule!FI39</f>
        <v>0</v>
      </c>
      <c r="FC37" s="177" t="str">
        <f>Schedule!FJ39</f>
        <v>0</v>
      </c>
      <c r="FD37" s="177" t="str">
        <f>Schedule!FK39</f>
        <v>0</v>
      </c>
      <c r="FE37" s="177" t="str">
        <f>Schedule!FL39</f>
        <v>0</v>
      </c>
      <c r="FF37" s="177" t="str">
        <f>Schedule!FM39</f>
        <v>0</v>
      </c>
      <c r="FG37" s="178"/>
      <c r="FH37" s="177" t="str">
        <f>Schedule!FN39</f>
        <v>0</v>
      </c>
      <c r="FI37" s="177" t="str">
        <f>Schedule!FO39</f>
        <v>0</v>
      </c>
      <c r="FJ37" s="177" t="str">
        <f>Schedule!FP39</f>
        <v>0</v>
      </c>
      <c r="FK37" s="177" t="str">
        <f>Schedule!FQ39</f>
        <v>0</v>
      </c>
      <c r="FL37" s="177" t="str">
        <f>Schedule!FR39</f>
        <v>0</v>
      </c>
      <c r="FM37" s="177" t="str">
        <f>Schedule!FS39</f>
        <v>0</v>
      </c>
      <c r="FN37" s="177" t="str">
        <f>Schedule!FT39</f>
        <v>0</v>
      </c>
      <c r="FO37" s="177" t="str">
        <f>Schedule!FU39</f>
        <v>0</v>
      </c>
      <c r="FP37" s="177" t="str">
        <f>Schedule!FV39</f>
        <v>0</v>
      </c>
      <c r="FQ37" s="178"/>
      <c r="FR37" s="177" t="str">
        <f>Schedule!FW39</f>
        <v>0</v>
      </c>
      <c r="FS37" s="177" t="str">
        <f>Schedule!FX39</f>
        <v>0</v>
      </c>
      <c r="FT37" s="177" t="str">
        <f>Schedule!FY39</f>
        <v>0</v>
      </c>
      <c r="FU37" s="177" t="str">
        <f>Schedule!FZ39</f>
        <v>0</v>
      </c>
      <c r="FV37" s="177" t="str">
        <f>Schedule!GA39</f>
        <v>0</v>
      </c>
      <c r="FW37" s="177" t="str">
        <f>Schedule!GB39</f>
        <v>0</v>
      </c>
      <c r="FX37" s="177" t="str">
        <f>Schedule!GC39</f>
        <v>0</v>
      </c>
      <c r="FY37" s="177" t="str">
        <f>Schedule!GD39</f>
        <v>0</v>
      </c>
      <c r="FZ37" s="177" t="str">
        <f>Schedule!GE39</f>
        <v>0</v>
      </c>
      <c r="GA37" s="178"/>
      <c r="GB37" s="177" t="str">
        <f>Schedule!GF39</f>
        <v>0</v>
      </c>
      <c r="GC37" s="177" t="str">
        <f>Schedule!GG39</f>
        <v>0</v>
      </c>
      <c r="GD37" s="177" t="str">
        <f>Schedule!GH39</f>
        <v>0</v>
      </c>
      <c r="GE37" s="177" t="str">
        <f>Schedule!GI39</f>
        <v>0</v>
      </c>
      <c r="GF37" s="177" t="str">
        <f>Schedule!GJ39</f>
        <v>0</v>
      </c>
      <c r="GG37" s="177" t="str">
        <f>Schedule!GK39</f>
        <v>0</v>
      </c>
      <c r="GH37" s="177" t="str">
        <f>Schedule!GL39</f>
        <v>0</v>
      </c>
      <c r="GI37" s="177" t="str">
        <f>Schedule!GM39</f>
        <v>0</v>
      </c>
      <c r="GJ37" s="177" t="str">
        <f>Schedule!GN39</f>
        <v>0</v>
      </c>
      <c r="GK37" s="178"/>
      <c r="GL37" s="177" t="str">
        <f>Schedule!GO39</f>
        <v>0</v>
      </c>
      <c r="GM37" s="177" t="str">
        <f>Schedule!GP39</f>
        <v>0</v>
      </c>
      <c r="GN37" s="177" t="str">
        <f>Schedule!GQ39</f>
        <v>0</v>
      </c>
      <c r="GO37" s="177" t="str">
        <f>Schedule!GR39</f>
        <v>0</v>
      </c>
      <c r="GP37" s="177" t="str">
        <f>Schedule!GS39</f>
        <v>0</v>
      </c>
      <c r="GQ37" s="177" t="str">
        <f>Schedule!GT39</f>
        <v>0</v>
      </c>
      <c r="GR37" s="177" t="str">
        <f>Schedule!GU39</f>
        <v>0</v>
      </c>
      <c r="GS37" s="177" t="str">
        <f>Schedule!GV39</f>
        <v>0</v>
      </c>
      <c r="GT37" s="177" t="str">
        <f>Schedule!GW39</f>
        <v>0</v>
      </c>
    </row>
    <row r="38" spans="1:205" ht="18" customHeight="1">
      <c r="B38" s="269"/>
      <c r="C38" s="169">
        <f>Schedule!C40</f>
        <v>0</v>
      </c>
      <c r="D38" s="177" t="str">
        <f>Schedule!Z40</f>
        <v>0</v>
      </c>
      <c r="E38" s="177" t="str">
        <f>Schedule!AA40</f>
        <v>0</v>
      </c>
      <c r="F38" s="177" t="str">
        <f>Schedule!AB40</f>
        <v>0</v>
      </c>
      <c r="G38" s="177" t="str">
        <f>Schedule!AC40</f>
        <v>0</v>
      </c>
      <c r="H38" s="177" t="str">
        <f>Schedule!AD40</f>
        <v>0</v>
      </c>
      <c r="I38" s="177" t="str">
        <f>Schedule!AE40</f>
        <v>0</v>
      </c>
      <c r="J38" s="177" t="str">
        <f>Schedule!AF40</f>
        <v>0</v>
      </c>
      <c r="K38" s="182" t="str">
        <f>Schedule!AG40</f>
        <v>0</v>
      </c>
      <c r="L38" s="182" t="str">
        <f>Schedule!AH40</f>
        <v>0</v>
      </c>
      <c r="M38" s="178"/>
      <c r="N38" s="184" t="str">
        <f>Schedule!AI40</f>
        <v>0</v>
      </c>
      <c r="O38" s="177" t="str">
        <f>Schedule!AJ40</f>
        <v>0</v>
      </c>
      <c r="P38" s="177" t="str">
        <f>Schedule!AK40</f>
        <v>0</v>
      </c>
      <c r="Q38" s="177" t="str">
        <f>Schedule!AL40</f>
        <v>0</v>
      </c>
      <c r="R38" s="177" t="str">
        <f>Schedule!AM40</f>
        <v>0</v>
      </c>
      <c r="S38" s="177" t="str">
        <f>Schedule!AN40</f>
        <v>0</v>
      </c>
      <c r="T38" s="177" t="str">
        <f>Schedule!AO40</f>
        <v>0</v>
      </c>
      <c r="U38" s="177" t="str">
        <f>Schedule!AP40</f>
        <v>0</v>
      </c>
      <c r="V38" s="177" t="str">
        <f>Schedule!AQ40</f>
        <v>0</v>
      </c>
      <c r="W38" s="178"/>
      <c r="X38" s="177" t="str">
        <f>Schedule!AR40</f>
        <v>0</v>
      </c>
      <c r="Y38" s="177" t="str">
        <f>Schedule!AS40</f>
        <v>0</v>
      </c>
      <c r="Z38" s="177" t="str">
        <f>Schedule!AT40</f>
        <v>0</v>
      </c>
      <c r="AA38" s="177" t="str">
        <f>Schedule!AU40</f>
        <v>0</v>
      </c>
      <c r="AB38" s="177" t="str">
        <f>Schedule!AV40</f>
        <v>0</v>
      </c>
      <c r="AC38" s="177" t="str">
        <f>Schedule!AW40</f>
        <v>0</v>
      </c>
      <c r="AD38" s="177" t="str">
        <f>Schedule!AX40</f>
        <v>0</v>
      </c>
      <c r="AE38" s="177" t="str">
        <f>Schedule!AY40</f>
        <v>0</v>
      </c>
      <c r="AF38" s="177" t="str">
        <f>Schedule!AZ40</f>
        <v>0</v>
      </c>
      <c r="AG38" s="178"/>
      <c r="AH38" s="177" t="str">
        <f>Schedule!BA40</f>
        <v>0</v>
      </c>
      <c r="AI38" s="177" t="str">
        <f>Schedule!BB40</f>
        <v>0</v>
      </c>
      <c r="AJ38" s="177" t="str">
        <f>Schedule!BC40</f>
        <v>0</v>
      </c>
      <c r="AK38" s="177" t="str">
        <f>Schedule!BD40</f>
        <v>0</v>
      </c>
      <c r="AL38" s="177" t="str">
        <f>Schedule!BE40</f>
        <v>0</v>
      </c>
      <c r="AM38" s="177" t="str">
        <f>Schedule!BF40</f>
        <v>0</v>
      </c>
      <c r="AN38" s="177" t="str">
        <f>Schedule!BG40</f>
        <v>0</v>
      </c>
      <c r="AO38" s="177" t="str">
        <f>Schedule!BH40</f>
        <v>0</v>
      </c>
      <c r="AP38" s="177" t="str">
        <f>Schedule!BI40</f>
        <v>0</v>
      </c>
      <c r="AQ38" s="178"/>
      <c r="AR38" s="177" t="str">
        <f>Schedule!BJ40</f>
        <v>0</v>
      </c>
      <c r="AS38" s="177" t="str">
        <f>Schedule!BK40</f>
        <v>0</v>
      </c>
      <c r="AT38" s="177" t="str">
        <f>Schedule!BL40</f>
        <v>0</v>
      </c>
      <c r="AU38" s="177" t="str">
        <f>Schedule!BM40</f>
        <v>0</v>
      </c>
      <c r="AV38" s="177" t="str">
        <f>Schedule!BN40</f>
        <v>0</v>
      </c>
      <c r="AW38" s="177" t="str">
        <f>Schedule!BO40</f>
        <v>0</v>
      </c>
      <c r="AX38" s="177" t="str">
        <f>Schedule!BP40</f>
        <v>0</v>
      </c>
      <c r="AY38" s="177" t="str">
        <f>Schedule!BQ40</f>
        <v>0</v>
      </c>
      <c r="AZ38" s="177" t="str">
        <f>Schedule!BR40</f>
        <v>0</v>
      </c>
      <c r="BA38" s="178"/>
      <c r="BB38" s="177" t="str">
        <f>Schedule!BS40</f>
        <v>0</v>
      </c>
      <c r="BC38" s="177" t="str">
        <f>Schedule!BT40</f>
        <v>0</v>
      </c>
      <c r="BD38" s="177" t="str">
        <f>Schedule!BU40</f>
        <v>0</v>
      </c>
      <c r="BE38" s="177" t="str">
        <f>Schedule!BV40</f>
        <v>0</v>
      </c>
      <c r="BF38" s="177" t="str">
        <f>Schedule!BW40</f>
        <v>0</v>
      </c>
      <c r="BG38" s="177" t="str">
        <f>Schedule!BX40</f>
        <v>0</v>
      </c>
      <c r="BH38" s="177" t="str">
        <f>Schedule!BY40</f>
        <v>0</v>
      </c>
      <c r="BI38" s="177" t="str">
        <f>Schedule!BZ40</f>
        <v>0</v>
      </c>
      <c r="BJ38" s="177" t="str">
        <f>Schedule!CA40</f>
        <v>0</v>
      </c>
      <c r="BK38" s="178"/>
      <c r="BL38" s="177" t="str">
        <f>Schedule!CB40</f>
        <v>0</v>
      </c>
      <c r="BM38" s="177" t="str">
        <f>Schedule!CC40</f>
        <v>0</v>
      </c>
      <c r="BN38" s="177" t="str">
        <f>Schedule!CD40</f>
        <v>0</v>
      </c>
      <c r="BO38" s="177" t="str">
        <f>Schedule!CE40</f>
        <v>0</v>
      </c>
      <c r="BP38" s="177" t="str">
        <f>Schedule!CF40</f>
        <v>0</v>
      </c>
      <c r="BQ38" s="177" t="str">
        <f>Schedule!CG40</f>
        <v>0</v>
      </c>
      <c r="BR38" s="177" t="str">
        <f>Schedule!CH40</f>
        <v>0</v>
      </c>
      <c r="BS38" s="177" t="str">
        <f>Schedule!CI40</f>
        <v>0</v>
      </c>
      <c r="BT38" s="177" t="str">
        <f>Schedule!CJ40</f>
        <v>0</v>
      </c>
      <c r="BU38" s="178"/>
      <c r="BV38" s="177" t="str">
        <f>Schedule!CK40</f>
        <v>0</v>
      </c>
      <c r="BW38" s="177" t="str">
        <f>Schedule!CL40</f>
        <v>0</v>
      </c>
      <c r="BX38" s="177" t="str">
        <f>Schedule!CM40</f>
        <v>0</v>
      </c>
      <c r="BY38" s="177" t="str">
        <f>Schedule!CN40</f>
        <v>0</v>
      </c>
      <c r="BZ38" s="177" t="str">
        <f>Schedule!CO40</f>
        <v>0</v>
      </c>
      <c r="CA38" s="177" t="str">
        <f>Schedule!CP40</f>
        <v>0</v>
      </c>
      <c r="CB38" s="177" t="str">
        <f>Schedule!CQ40</f>
        <v>0</v>
      </c>
      <c r="CC38" s="177" t="str">
        <f>Schedule!CR40</f>
        <v>0</v>
      </c>
      <c r="CD38" s="177" t="str">
        <f>Schedule!CS40</f>
        <v>0</v>
      </c>
      <c r="CE38" s="178"/>
      <c r="CF38" s="177" t="str">
        <f>Schedule!CT40</f>
        <v>0</v>
      </c>
      <c r="CG38" s="177" t="str">
        <f>Schedule!CU40</f>
        <v>0</v>
      </c>
      <c r="CH38" s="177" t="str">
        <f>Schedule!CV40</f>
        <v>0</v>
      </c>
      <c r="CI38" s="177" t="str">
        <f>Schedule!CW40</f>
        <v>0</v>
      </c>
      <c r="CJ38" s="177" t="str">
        <f>Schedule!CX40</f>
        <v>0</v>
      </c>
      <c r="CK38" s="177" t="str">
        <f>Schedule!CY40</f>
        <v>0</v>
      </c>
      <c r="CL38" s="177" t="str">
        <f>Schedule!CZ40</f>
        <v>0</v>
      </c>
      <c r="CM38" s="177" t="str">
        <f>Schedule!DA40</f>
        <v>0</v>
      </c>
      <c r="CN38" s="177" t="str">
        <f>Schedule!DB40</f>
        <v>0</v>
      </c>
      <c r="CO38" s="178"/>
      <c r="CP38" s="177" t="str">
        <f>Schedule!DC40</f>
        <v>0</v>
      </c>
      <c r="CQ38" s="177" t="str">
        <f>Schedule!DD40</f>
        <v>0</v>
      </c>
      <c r="CR38" s="177" t="str">
        <f>Schedule!DE40</f>
        <v>0</v>
      </c>
      <c r="CS38" s="177" t="str">
        <f>Schedule!DF40</f>
        <v>0</v>
      </c>
      <c r="CT38" s="177" t="str">
        <f>Schedule!DG40</f>
        <v>0</v>
      </c>
      <c r="CU38" s="177" t="str">
        <f>Schedule!DH40</f>
        <v>0</v>
      </c>
      <c r="CV38" s="177" t="str">
        <f>Schedule!DI40</f>
        <v>0</v>
      </c>
      <c r="CW38" s="177" t="str">
        <f>Schedule!DJ40</f>
        <v>0</v>
      </c>
      <c r="CX38" s="177" t="str">
        <f>Schedule!DK40</f>
        <v>0</v>
      </c>
      <c r="CY38" s="178"/>
      <c r="CZ38" s="177" t="str">
        <f>Schedule!DL40</f>
        <v>0</v>
      </c>
      <c r="DA38" s="177" t="str">
        <f>Schedule!DM40</f>
        <v>0</v>
      </c>
      <c r="DB38" s="177" t="str">
        <f>Schedule!DN40</f>
        <v>0</v>
      </c>
      <c r="DC38" s="177" t="str">
        <f>Schedule!DO40</f>
        <v>0</v>
      </c>
      <c r="DD38" s="177" t="str">
        <f>Schedule!DP40</f>
        <v>0</v>
      </c>
      <c r="DE38" s="177" t="str">
        <f>Schedule!DQ40</f>
        <v>0</v>
      </c>
      <c r="DF38" s="177" t="str">
        <f>Schedule!DR40</f>
        <v>0</v>
      </c>
      <c r="DG38" s="177" t="str">
        <f>Schedule!DS40</f>
        <v>0</v>
      </c>
      <c r="DH38" s="177" t="str">
        <f>Schedule!DT40</f>
        <v>0</v>
      </c>
      <c r="DI38" s="178"/>
      <c r="DJ38" s="177" t="str">
        <f>Schedule!DU40</f>
        <v>0</v>
      </c>
      <c r="DK38" s="177" t="str">
        <f>Schedule!DV40</f>
        <v>0</v>
      </c>
      <c r="DL38" s="177" t="str">
        <f>Schedule!DW40</f>
        <v>0</v>
      </c>
      <c r="DM38" s="177" t="str">
        <f>Schedule!DX40</f>
        <v>0</v>
      </c>
      <c r="DN38" s="177" t="str">
        <f>Schedule!DY40</f>
        <v>0</v>
      </c>
      <c r="DO38" s="177" t="str">
        <f>Schedule!DZ40</f>
        <v>0</v>
      </c>
      <c r="DP38" s="177" t="str">
        <f>Schedule!EA40</f>
        <v>0</v>
      </c>
      <c r="DQ38" s="177" t="str">
        <f>Schedule!EB40</f>
        <v>0</v>
      </c>
      <c r="DR38" s="177" t="str">
        <f>Schedule!EC40</f>
        <v>0</v>
      </c>
      <c r="DS38" s="178"/>
      <c r="DT38" s="177" t="str">
        <f>Schedule!ED40</f>
        <v>0</v>
      </c>
      <c r="DU38" s="177" t="str">
        <f>Schedule!EE40</f>
        <v>0</v>
      </c>
      <c r="DV38" s="177" t="str">
        <f>Schedule!EF40</f>
        <v>0</v>
      </c>
      <c r="DW38" s="177" t="str">
        <f>Schedule!EG40</f>
        <v>0</v>
      </c>
      <c r="DX38" s="177" t="str">
        <f>Schedule!EH40</f>
        <v>0</v>
      </c>
      <c r="DY38" s="177" t="str">
        <f>Schedule!EI40</f>
        <v>0</v>
      </c>
      <c r="DZ38" s="177" t="str">
        <f>Schedule!EJ40</f>
        <v>0</v>
      </c>
      <c r="EA38" s="177" t="str">
        <f>Schedule!EK40</f>
        <v>0</v>
      </c>
      <c r="EB38" s="177" t="str">
        <f>Schedule!EL40</f>
        <v>0</v>
      </c>
      <c r="EC38" s="178"/>
      <c r="ED38" s="177" t="str">
        <f>Schedule!EM40</f>
        <v>0</v>
      </c>
      <c r="EE38" s="177" t="str">
        <f>Schedule!EN40</f>
        <v>0</v>
      </c>
      <c r="EF38" s="177" t="str">
        <f>Schedule!EO40</f>
        <v>0</v>
      </c>
      <c r="EG38" s="177" t="str">
        <f>Schedule!EP40</f>
        <v>0</v>
      </c>
      <c r="EH38" s="177" t="str">
        <f>Schedule!EQ40</f>
        <v>0</v>
      </c>
      <c r="EI38" s="177" t="str">
        <f>Schedule!ER40</f>
        <v>0</v>
      </c>
      <c r="EJ38" s="177" t="str">
        <f>Schedule!ES40</f>
        <v>0</v>
      </c>
      <c r="EK38" s="177" t="str">
        <f>Schedule!ET40</f>
        <v>0</v>
      </c>
      <c r="EL38" s="177" t="str">
        <f>Schedule!EU40</f>
        <v>0</v>
      </c>
      <c r="EM38" s="178"/>
      <c r="EN38" s="177" t="str">
        <f>Schedule!EV40</f>
        <v>0</v>
      </c>
      <c r="EO38" s="177" t="str">
        <f>Schedule!EW40</f>
        <v>0</v>
      </c>
      <c r="EP38" s="177" t="str">
        <f>Schedule!EX40</f>
        <v>0</v>
      </c>
      <c r="EQ38" s="177" t="str">
        <f>Schedule!EY40</f>
        <v>0</v>
      </c>
      <c r="ER38" s="177" t="str">
        <f>Schedule!EZ40</f>
        <v>0</v>
      </c>
      <c r="ES38" s="177" t="str">
        <f>Schedule!FA40</f>
        <v>0</v>
      </c>
      <c r="ET38" s="177" t="str">
        <f>Schedule!FB40</f>
        <v>0</v>
      </c>
      <c r="EU38" s="177" t="str">
        <f>Schedule!FC40</f>
        <v>0</v>
      </c>
      <c r="EV38" s="177" t="str">
        <f>Schedule!FD40</f>
        <v>0</v>
      </c>
      <c r="EW38" s="178"/>
      <c r="EX38" s="177" t="str">
        <f>Schedule!FE40</f>
        <v>0</v>
      </c>
      <c r="EY38" s="177" t="str">
        <f>Schedule!FF40</f>
        <v>0</v>
      </c>
      <c r="EZ38" s="177" t="str">
        <f>Schedule!FG40</f>
        <v>0</v>
      </c>
      <c r="FA38" s="177" t="str">
        <f>Schedule!FH40</f>
        <v>0</v>
      </c>
      <c r="FB38" s="177" t="str">
        <f>Schedule!FI40</f>
        <v>0</v>
      </c>
      <c r="FC38" s="177" t="str">
        <f>Schedule!FJ40</f>
        <v>0</v>
      </c>
      <c r="FD38" s="177" t="str">
        <f>Schedule!FK40</f>
        <v>0</v>
      </c>
      <c r="FE38" s="177" t="str">
        <f>Schedule!FL40</f>
        <v>0</v>
      </c>
      <c r="FF38" s="177" t="str">
        <f>Schedule!FM40</f>
        <v>0</v>
      </c>
      <c r="FG38" s="178"/>
      <c r="FH38" s="177" t="str">
        <f>Schedule!FN40</f>
        <v>0</v>
      </c>
      <c r="FI38" s="177" t="str">
        <f>Schedule!FO40</f>
        <v>0</v>
      </c>
      <c r="FJ38" s="177" t="str">
        <f>Schedule!FP40</f>
        <v>0</v>
      </c>
      <c r="FK38" s="177" t="str">
        <f>Schedule!FQ40</f>
        <v>0</v>
      </c>
      <c r="FL38" s="177" t="str">
        <f>Schedule!FR40</f>
        <v>0</v>
      </c>
      <c r="FM38" s="177" t="str">
        <f>Schedule!FS40</f>
        <v>0</v>
      </c>
      <c r="FN38" s="177" t="str">
        <f>Schedule!FT40</f>
        <v>0</v>
      </c>
      <c r="FO38" s="177" t="str">
        <f>Schedule!FU40</f>
        <v>0</v>
      </c>
      <c r="FP38" s="177" t="str">
        <f>Schedule!FV40</f>
        <v>0</v>
      </c>
      <c r="FQ38" s="178"/>
      <c r="FR38" s="177" t="str">
        <f>Schedule!FW40</f>
        <v>0</v>
      </c>
      <c r="FS38" s="177" t="str">
        <f>Schedule!FX40</f>
        <v>0</v>
      </c>
      <c r="FT38" s="177" t="str">
        <f>Schedule!FY40</f>
        <v>0</v>
      </c>
      <c r="FU38" s="177" t="str">
        <f>Schedule!FZ40</f>
        <v>0</v>
      </c>
      <c r="FV38" s="177" t="str">
        <f>Schedule!GA40</f>
        <v>0</v>
      </c>
      <c r="FW38" s="177" t="str">
        <f>Schedule!GB40</f>
        <v>0</v>
      </c>
      <c r="FX38" s="177" t="str">
        <f>Schedule!GC40</f>
        <v>0</v>
      </c>
      <c r="FY38" s="177" t="str">
        <f>Schedule!GD40</f>
        <v>0</v>
      </c>
      <c r="FZ38" s="177" t="str">
        <f>Schedule!GE40</f>
        <v>0</v>
      </c>
      <c r="GA38" s="178"/>
      <c r="GB38" s="177" t="str">
        <f>Schedule!GF40</f>
        <v>0</v>
      </c>
      <c r="GC38" s="177" t="str">
        <f>Schedule!GG40</f>
        <v>0</v>
      </c>
      <c r="GD38" s="177" t="str">
        <f>Schedule!GH40</f>
        <v>0</v>
      </c>
      <c r="GE38" s="177" t="str">
        <f>Schedule!GI40</f>
        <v>0</v>
      </c>
      <c r="GF38" s="177" t="str">
        <f>Schedule!GJ40</f>
        <v>0</v>
      </c>
      <c r="GG38" s="177" t="str">
        <f>Schedule!GK40</f>
        <v>0</v>
      </c>
      <c r="GH38" s="177" t="str">
        <f>Schedule!GL40</f>
        <v>0</v>
      </c>
      <c r="GI38" s="177" t="str">
        <f>Schedule!GM40</f>
        <v>0</v>
      </c>
      <c r="GJ38" s="177" t="str">
        <f>Schedule!GN40</f>
        <v>0</v>
      </c>
      <c r="GK38" s="178"/>
      <c r="GL38" s="177" t="str">
        <f>Schedule!GO40</f>
        <v>0</v>
      </c>
      <c r="GM38" s="177" t="str">
        <f>Schedule!GP40</f>
        <v>0</v>
      </c>
      <c r="GN38" s="177" t="str">
        <f>Schedule!GQ40</f>
        <v>0</v>
      </c>
      <c r="GO38" s="177" t="str">
        <f>Schedule!GR40</f>
        <v>0</v>
      </c>
      <c r="GP38" s="177" t="str">
        <f>Schedule!GS40</f>
        <v>0</v>
      </c>
      <c r="GQ38" s="177" t="str">
        <f>Schedule!GT40</f>
        <v>0</v>
      </c>
      <c r="GR38" s="177" t="str">
        <f>Schedule!GU40</f>
        <v>0</v>
      </c>
      <c r="GS38" s="177" t="str">
        <f>Schedule!GV40</f>
        <v>0</v>
      </c>
      <c r="GT38" s="177" t="str">
        <f>Schedule!GW40</f>
        <v>0</v>
      </c>
    </row>
    <row r="39" spans="1:205" ht="18" customHeight="1">
      <c r="B39" s="269"/>
      <c r="C39" s="169">
        <f>Schedule!C41</f>
        <v>0</v>
      </c>
      <c r="D39" s="177" t="str">
        <f>Schedule!Z41</f>
        <v>0</v>
      </c>
      <c r="E39" s="177" t="str">
        <f>Schedule!AA41</f>
        <v>0</v>
      </c>
      <c r="F39" s="177" t="str">
        <f>Schedule!AB41</f>
        <v>0</v>
      </c>
      <c r="G39" s="177" t="str">
        <f>Schedule!AC41</f>
        <v>0</v>
      </c>
      <c r="H39" s="177" t="str">
        <f>Schedule!AD41</f>
        <v>0</v>
      </c>
      <c r="I39" s="177" t="str">
        <f>Schedule!AE41</f>
        <v>0</v>
      </c>
      <c r="J39" s="177" t="str">
        <f>Schedule!AF41</f>
        <v>0</v>
      </c>
      <c r="K39" s="182" t="str">
        <f>Schedule!AG41</f>
        <v>0</v>
      </c>
      <c r="L39" s="182" t="str">
        <f>Schedule!AH41</f>
        <v>0</v>
      </c>
      <c r="M39" s="178"/>
      <c r="N39" s="184" t="str">
        <f>Schedule!AI41</f>
        <v>0</v>
      </c>
      <c r="O39" s="177" t="str">
        <f>Schedule!AJ41</f>
        <v>0</v>
      </c>
      <c r="P39" s="177" t="str">
        <f>Schedule!AK41</f>
        <v>0</v>
      </c>
      <c r="Q39" s="177" t="str">
        <f>Schedule!AL41</f>
        <v>0</v>
      </c>
      <c r="R39" s="177" t="str">
        <f>Schedule!AM41</f>
        <v>0</v>
      </c>
      <c r="S39" s="177" t="str">
        <f>Schedule!AN41</f>
        <v>0</v>
      </c>
      <c r="T39" s="177" t="str">
        <f>Schedule!AO41</f>
        <v>0</v>
      </c>
      <c r="U39" s="177" t="str">
        <f>Schedule!AP41</f>
        <v>0</v>
      </c>
      <c r="V39" s="177" t="str">
        <f>Schedule!AQ41</f>
        <v>0</v>
      </c>
      <c r="W39" s="178"/>
      <c r="X39" s="177" t="str">
        <f>Schedule!AR41</f>
        <v>0</v>
      </c>
      <c r="Y39" s="177" t="str">
        <f>Schedule!AS41</f>
        <v>0</v>
      </c>
      <c r="Z39" s="177" t="str">
        <f>Schedule!AT41</f>
        <v>0</v>
      </c>
      <c r="AA39" s="177" t="str">
        <f>Schedule!AU41</f>
        <v>0</v>
      </c>
      <c r="AB39" s="177" t="str">
        <f>Schedule!AV41</f>
        <v>0</v>
      </c>
      <c r="AC39" s="177" t="str">
        <f>Schedule!AW41</f>
        <v>0</v>
      </c>
      <c r="AD39" s="177" t="str">
        <f>Schedule!AX41</f>
        <v>0</v>
      </c>
      <c r="AE39" s="177" t="str">
        <f>Schedule!AY41</f>
        <v>0</v>
      </c>
      <c r="AF39" s="177" t="str">
        <f>Schedule!AZ41</f>
        <v>0</v>
      </c>
      <c r="AG39" s="178"/>
      <c r="AH39" s="177" t="str">
        <f>Schedule!BA41</f>
        <v>0</v>
      </c>
      <c r="AI39" s="177" t="str">
        <f>Schedule!BB41</f>
        <v>0</v>
      </c>
      <c r="AJ39" s="177" t="str">
        <f>Schedule!BC41</f>
        <v>0</v>
      </c>
      <c r="AK39" s="177" t="str">
        <f>Schedule!BD41</f>
        <v>0</v>
      </c>
      <c r="AL39" s="177" t="str">
        <f>Schedule!BE41</f>
        <v>0</v>
      </c>
      <c r="AM39" s="177" t="str">
        <f>Schedule!BF41</f>
        <v>0</v>
      </c>
      <c r="AN39" s="177" t="str">
        <f>Schedule!BG41</f>
        <v>0</v>
      </c>
      <c r="AO39" s="177" t="str">
        <f>Schedule!BH41</f>
        <v>0</v>
      </c>
      <c r="AP39" s="177" t="str">
        <f>Schedule!BI41</f>
        <v>0</v>
      </c>
      <c r="AQ39" s="178"/>
      <c r="AR39" s="177" t="str">
        <f>Schedule!BJ41</f>
        <v>0</v>
      </c>
      <c r="AS39" s="177" t="str">
        <f>Schedule!BK41</f>
        <v>0</v>
      </c>
      <c r="AT39" s="177" t="str">
        <f>Schedule!BL41</f>
        <v>0</v>
      </c>
      <c r="AU39" s="177" t="str">
        <f>Schedule!BM41</f>
        <v>0</v>
      </c>
      <c r="AV39" s="177" t="str">
        <f>Schedule!BN41</f>
        <v>0</v>
      </c>
      <c r="AW39" s="177" t="str">
        <f>Schedule!BO41</f>
        <v>0</v>
      </c>
      <c r="AX39" s="177" t="str">
        <f>Schedule!BP41</f>
        <v>0</v>
      </c>
      <c r="AY39" s="177" t="str">
        <f>Schedule!BQ41</f>
        <v>0</v>
      </c>
      <c r="AZ39" s="177" t="str">
        <f>Schedule!BR41</f>
        <v>0</v>
      </c>
      <c r="BA39" s="178"/>
      <c r="BB39" s="177" t="str">
        <f>Schedule!BS41</f>
        <v>0</v>
      </c>
      <c r="BC39" s="177" t="str">
        <f>Schedule!BT41</f>
        <v>0</v>
      </c>
      <c r="BD39" s="177" t="str">
        <f>Schedule!BU41</f>
        <v>0</v>
      </c>
      <c r="BE39" s="177" t="str">
        <f>Schedule!BV41</f>
        <v>0</v>
      </c>
      <c r="BF39" s="177" t="str">
        <f>Schedule!BW41</f>
        <v>0</v>
      </c>
      <c r="BG39" s="177" t="str">
        <f>Schedule!BX41</f>
        <v>0</v>
      </c>
      <c r="BH39" s="177" t="str">
        <f>Schedule!BY41</f>
        <v>0</v>
      </c>
      <c r="BI39" s="177" t="str">
        <f>Schedule!BZ41</f>
        <v>0</v>
      </c>
      <c r="BJ39" s="177" t="str">
        <f>Schedule!CA41</f>
        <v>0</v>
      </c>
      <c r="BK39" s="178"/>
      <c r="BL39" s="177" t="str">
        <f>Schedule!CB41</f>
        <v>0</v>
      </c>
      <c r="BM39" s="177" t="str">
        <f>Schedule!CC41</f>
        <v>0</v>
      </c>
      <c r="BN39" s="177" t="str">
        <f>Schedule!CD41</f>
        <v>0</v>
      </c>
      <c r="BO39" s="177" t="str">
        <f>Schedule!CE41</f>
        <v>0</v>
      </c>
      <c r="BP39" s="177" t="str">
        <f>Schedule!CF41</f>
        <v>0</v>
      </c>
      <c r="BQ39" s="177" t="str">
        <f>Schedule!CG41</f>
        <v>0</v>
      </c>
      <c r="BR39" s="177" t="str">
        <f>Schedule!CH41</f>
        <v>0</v>
      </c>
      <c r="BS39" s="177" t="str">
        <f>Schedule!CI41</f>
        <v>0</v>
      </c>
      <c r="BT39" s="177" t="str">
        <f>Schedule!CJ41</f>
        <v>0</v>
      </c>
      <c r="BU39" s="178"/>
      <c r="BV39" s="177" t="str">
        <f>Schedule!CK41</f>
        <v>0</v>
      </c>
      <c r="BW39" s="177" t="str">
        <f>Schedule!CL41</f>
        <v>0</v>
      </c>
      <c r="BX39" s="177" t="str">
        <f>Schedule!CM41</f>
        <v>0</v>
      </c>
      <c r="BY39" s="177" t="str">
        <f>Schedule!CN41</f>
        <v>0</v>
      </c>
      <c r="BZ39" s="177" t="str">
        <f>Schedule!CO41</f>
        <v>0</v>
      </c>
      <c r="CA39" s="177" t="str">
        <f>Schedule!CP41</f>
        <v>0</v>
      </c>
      <c r="CB39" s="177" t="str">
        <f>Schedule!CQ41</f>
        <v>0</v>
      </c>
      <c r="CC39" s="177" t="str">
        <f>Schedule!CR41</f>
        <v>0</v>
      </c>
      <c r="CD39" s="177" t="str">
        <f>Schedule!CS41</f>
        <v>0</v>
      </c>
      <c r="CE39" s="178"/>
      <c r="CF39" s="177" t="str">
        <f>Schedule!CT41</f>
        <v>0</v>
      </c>
      <c r="CG39" s="177" t="str">
        <f>Schedule!CU41</f>
        <v>0</v>
      </c>
      <c r="CH39" s="177" t="str">
        <f>Schedule!CV41</f>
        <v>0</v>
      </c>
      <c r="CI39" s="177" t="str">
        <f>Schedule!CW41</f>
        <v>0</v>
      </c>
      <c r="CJ39" s="177" t="str">
        <f>Schedule!CX41</f>
        <v>0</v>
      </c>
      <c r="CK39" s="177" t="str">
        <f>Schedule!CY41</f>
        <v>0</v>
      </c>
      <c r="CL39" s="177" t="str">
        <f>Schedule!CZ41</f>
        <v>0</v>
      </c>
      <c r="CM39" s="177" t="str">
        <f>Schedule!DA41</f>
        <v>0</v>
      </c>
      <c r="CN39" s="177" t="str">
        <f>Schedule!DB41</f>
        <v>0</v>
      </c>
      <c r="CO39" s="178"/>
      <c r="CP39" s="177" t="str">
        <f>Schedule!DC41</f>
        <v>0</v>
      </c>
      <c r="CQ39" s="177" t="str">
        <f>Schedule!DD41</f>
        <v>0</v>
      </c>
      <c r="CR39" s="177" t="str">
        <f>Schedule!DE41</f>
        <v>0</v>
      </c>
      <c r="CS39" s="177" t="str">
        <f>Schedule!DF41</f>
        <v>0</v>
      </c>
      <c r="CT39" s="177" t="str">
        <f>Schedule!DG41</f>
        <v>0</v>
      </c>
      <c r="CU39" s="177" t="str">
        <f>Schedule!DH41</f>
        <v>0</v>
      </c>
      <c r="CV39" s="177" t="str">
        <f>Schedule!DI41</f>
        <v>0</v>
      </c>
      <c r="CW39" s="177" t="str">
        <f>Schedule!DJ41</f>
        <v>0</v>
      </c>
      <c r="CX39" s="177" t="str">
        <f>Schedule!DK41</f>
        <v>0</v>
      </c>
      <c r="CY39" s="178"/>
      <c r="CZ39" s="177" t="str">
        <f>Schedule!DL41</f>
        <v>0</v>
      </c>
      <c r="DA39" s="177" t="str">
        <f>Schedule!DM41</f>
        <v>0</v>
      </c>
      <c r="DB39" s="177" t="str">
        <f>Schedule!DN41</f>
        <v>0</v>
      </c>
      <c r="DC39" s="177" t="str">
        <f>Schedule!DO41</f>
        <v>0</v>
      </c>
      <c r="DD39" s="177" t="str">
        <f>Schedule!DP41</f>
        <v>0</v>
      </c>
      <c r="DE39" s="177" t="str">
        <f>Schedule!DQ41</f>
        <v>0</v>
      </c>
      <c r="DF39" s="177" t="str">
        <f>Schedule!DR41</f>
        <v>0</v>
      </c>
      <c r="DG39" s="177" t="str">
        <f>Schedule!DS41</f>
        <v>0</v>
      </c>
      <c r="DH39" s="177" t="str">
        <f>Schedule!DT41</f>
        <v>0</v>
      </c>
      <c r="DI39" s="178"/>
      <c r="DJ39" s="177" t="str">
        <f>Schedule!DU41</f>
        <v>0</v>
      </c>
      <c r="DK39" s="177" t="str">
        <f>Schedule!DV41</f>
        <v>0</v>
      </c>
      <c r="DL39" s="177" t="str">
        <f>Schedule!DW41</f>
        <v>0</v>
      </c>
      <c r="DM39" s="177" t="str">
        <f>Schedule!DX41</f>
        <v>0</v>
      </c>
      <c r="DN39" s="177" t="str">
        <f>Schedule!DY41</f>
        <v>0</v>
      </c>
      <c r="DO39" s="177" t="str">
        <f>Schedule!DZ41</f>
        <v>0</v>
      </c>
      <c r="DP39" s="177" t="str">
        <f>Schedule!EA41</f>
        <v>0</v>
      </c>
      <c r="DQ39" s="177" t="str">
        <f>Schedule!EB41</f>
        <v>0</v>
      </c>
      <c r="DR39" s="177" t="str">
        <f>Schedule!EC41</f>
        <v>0</v>
      </c>
      <c r="DS39" s="178"/>
      <c r="DT39" s="177" t="str">
        <f>Schedule!ED41</f>
        <v>0</v>
      </c>
      <c r="DU39" s="177" t="str">
        <f>Schedule!EE41</f>
        <v>0</v>
      </c>
      <c r="DV39" s="177" t="str">
        <f>Schedule!EF41</f>
        <v>0</v>
      </c>
      <c r="DW39" s="177" t="str">
        <f>Schedule!EG41</f>
        <v>0</v>
      </c>
      <c r="DX39" s="177" t="str">
        <f>Schedule!EH41</f>
        <v>0</v>
      </c>
      <c r="DY39" s="177" t="str">
        <f>Schedule!EI41</f>
        <v>0</v>
      </c>
      <c r="DZ39" s="177" t="str">
        <f>Schedule!EJ41</f>
        <v>0</v>
      </c>
      <c r="EA39" s="177" t="str">
        <f>Schedule!EK41</f>
        <v>0</v>
      </c>
      <c r="EB39" s="177" t="str">
        <f>Schedule!EL41</f>
        <v>0</v>
      </c>
      <c r="EC39" s="178"/>
      <c r="ED39" s="177" t="str">
        <f>Schedule!EM41</f>
        <v>0</v>
      </c>
      <c r="EE39" s="177" t="str">
        <f>Schedule!EN41</f>
        <v>0</v>
      </c>
      <c r="EF39" s="177" t="str">
        <f>Schedule!EO41</f>
        <v>0</v>
      </c>
      <c r="EG39" s="177" t="str">
        <f>Schedule!EP41</f>
        <v>0</v>
      </c>
      <c r="EH39" s="177" t="str">
        <f>Schedule!EQ41</f>
        <v>0</v>
      </c>
      <c r="EI39" s="177" t="str">
        <f>Schedule!ER41</f>
        <v>0</v>
      </c>
      <c r="EJ39" s="177" t="str">
        <f>Schedule!ES41</f>
        <v>0</v>
      </c>
      <c r="EK39" s="177" t="str">
        <f>Schedule!ET41</f>
        <v>0</v>
      </c>
      <c r="EL39" s="177" t="str">
        <f>Schedule!EU41</f>
        <v>0</v>
      </c>
      <c r="EM39" s="178"/>
      <c r="EN39" s="177" t="str">
        <f>Schedule!EV41</f>
        <v>0</v>
      </c>
      <c r="EO39" s="177" t="str">
        <f>Schedule!EW41</f>
        <v>0</v>
      </c>
      <c r="EP39" s="177" t="str">
        <f>Schedule!EX41</f>
        <v>0</v>
      </c>
      <c r="EQ39" s="177" t="str">
        <f>Schedule!EY41</f>
        <v>0</v>
      </c>
      <c r="ER39" s="177" t="str">
        <f>Schedule!EZ41</f>
        <v>0</v>
      </c>
      <c r="ES39" s="177" t="str">
        <f>Schedule!FA41</f>
        <v>0</v>
      </c>
      <c r="ET39" s="177" t="str">
        <f>Schedule!FB41</f>
        <v>0</v>
      </c>
      <c r="EU39" s="177" t="str">
        <f>Schedule!FC41</f>
        <v>0</v>
      </c>
      <c r="EV39" s="177" t="str">
        <f>Schedule!FD41</f>
        <v>0</v>
      </c>
      <c r="EW39" s="178"/>
      <c r="EX39" s="177" t="str">
        <f>Schedule!FE41</f>
        <v>0</v>
      </c>
      <c r="EY39" s="177" t="str">
        <f>Schedule!FF41</f>
        <v>0</v>
      </c>
      <c r="EZ39" s="177" t="str">
        <f>Schedule!FG41</f>
        <v>0</v>
      </c>
      <c r="FA39" s="177" t="str">
        <f>Schedule!FH41</f>
        <v>0</v>
      </c>
      <c r="FB39" s="177" t="str">
        <f>Schedule!FI41</f>
        <v>0</v>
      </c>
      <c r="FC39" s="177" t="str">
        <f>Schedule!FJ41</f>
        <v>0</v>
      </c>
      <c r="FD39" s="177" t="str">
        <f>Schedule!FK41</f>
        <v>0</v>
      </c>
      <c r="FE39" s="177" t="str">
        <f>Schedule!FL41</f>
        <v>0</v>
      </c>
      <c r="FF39" s="177" t="str">
        <f>Schedule!FM41</f>
        <v>0</v>
      </c>
      <c r="FG39" s="178"/>
      <c r="FH39" s="177" t="str">
        <f>Schedule!FN41</f>
        <v>0</v>
      </c>
      <c r="FI39" s="177" t="str">
        <f>Schedule!FO41</f>
        <v>0</v>
      </c>
      <c r="FJ39" s="177" t="str">
        <f>Schedule!FP41</f>
        <v>0</v>
      </c>
      <c r="FK39" s="177" t="str">
        <f>Schedule!FQ41</f>
        <v>0</v>
      </c>
      <c r="FL39" s="177" t="str">
        <f>Schedule!FR41</f>
        <v>0</v>
      </c>
      <c r="FM39" s="177" t="str">
        <f>Schedule!FS41</f>
        <v>0</v>
      </c>
      <c r="FN39" s="177" t="str">
        <f>Schedule!FT41</f>
        <v>0</v>
      </c>
      <c r="FO39" s="177" t="str">
        <f>Schedule!FU41</f>
        <v>0</v>
      </c>
      <c r="FP39" s="177" t="str">
        <f>Schedule!FV41</f>
        <v>0</v>
      </c>
      <c r="FQ39" s="178"/>
      <c r="FR39" s="177" t="str">
        <f>Schedule!FW41</f>
        <v>0</v>
      </c>
      <c r="FS39" s="177" t="str">
        <f>Schedule!FX41</f>
        <v>0</v>
      </c>
      <c r="FT39" s="177" t="str">
        <f>Schedule!FY41</f>
        <v>0</v>
      </c>
      <c r="FU39" s="177" t="str">
        <f>Schedule!FZ41</f>
        <v>0</v>
      </c>
      <c r="FV39" s="177" t="str">
        <f>Schedule!GA41</f>
        <v>0</v>
      </c>
      <c r="FW39" s="177" t="str">
        <f>Schedule!GB41</f>
        <v>0</v>
      </c>
      <c r="FX39" s="177" t="str">
        <f>Schedule!GC41</f>
        <v>0</v>
      </c>
      <c r="FY39" s="177" t="str">
        <f>Schedule!GD41</f>
        <v>0</v>
      </c>
      <c r="FZ39" s="177" t="str">
        <f>Schedule!GE41</f>
        <v>0</v>
      </c>
      <c r="GA39" s="178"/>
      <c r="GB39" s="177" t="str">
        <f>Schedule!GF41</f>
        <v>0</v>
      </c>
      <c r="GC39" s="177" t="str">
        <f>Schedule!GG41</f>
        <v>0</v>
      </c>
      <c r="GD39" s="177" t="str">
        <f>Schedule!GH41</f>
        <v>0</v>
      </c>
      <c r="GE39" s="177" t="str">
        <f>Schedule!GI41</f>
        <v>0</v>
      </c>
      <c r="GF39" s="177" t="str">
        <f>Schedule!GJ41</f>
        <v>0</v>
      </c>
      <c r="GG39" s="177" t="str">
        <f>Schedule!GK41</f>
        <v>0</v>
      </c>
      <c r="GH39" s="177" t="str">
        <f>Schedule!GL41</f>
        <v>0</v>
      </c>
      <c r="GI39" s="177" t="str">
        <f>Schedule!GM41</f>
        <v>0</v>
      </c>
      <c r="GJ39" s="177" t="str">
        <f>Schedule!GN41</f>
        <v>0</v>
      </c>
      <c r="GK39" s="178"/>
      <c r="GL39" s="177" t="str">
        <f>Schedule!GO41</f>
        <v>0</v>
      </c>
      <c r="GM39" s="177" t="str">
        <f>Schedule!GP41</f>
        <v>0</v>
      </c>
      <c r="GN39" s="177" t="str">
        <f>Schedule!GQ41</f>
        <v>0</v>
      </c>
      <c r="GO39" s="177" t="str">
        <f>Schedule!GR41</f>
        <v>0</v>
      </c>
      <c r="GP39" s="177" t="str">
        <f>Schedule!GS41</f>
        <v>0</v>
      </c>
      <c r="GQ39" s="177" t="str">
        <f>Schedule!GT41</f>
        <v>0</v>
      </c>
      <c r="GR39" s="177" t="str">
        <f>Schedule!GU41</f>
        <v>0</v>
      </c>
      <c r="GS39" s="177" t="str">
        <f>Schedule!GV41</f>
        <v>0</v>
      </c>
      <c r="GT39" s="177" t="str">
        <f>Schedule!GW41</f>
        <v>0</v>
      </c>
    </row>
    <row r="40" spans="1:205" ht="18" customHeight="1">
      <c r="B40" s="269"/>
      <c r="C40" s="169">
        <f>Schedule!C42</f>
        <v>0</v>
      </c>
      <c r="D40" s="177" t="str">
        <f>Schedule!Z42</f>
        <v>0</v>
      </c>
      <c r="E40" s="177" t="str">
        <f>Schedule!AA42</f>
        <v>0</v>
      </c>
      <c r="F40" s="177" t="str">
        <f>Schedule!AB42</f>
        <v>0</v>
      </c>
      <c r="G40" s="177" t="str">
        <f>Schedule!AC42</f>
        <v>0</v>
      </c>
      <c r="H40" s="177" t="str">
        <f>Schedule!AD42</f>
        <v>0</v>
      </c>
      <c r="I40" s="177" t="str">
        <f>Schedule!AE42</f>
        <v>0</v>
      </c>
      <c r="J40" s="177" t="str">
        <f>Schedule!AF42</f>
        <v>0</v>
      </c>
      <c r="K40" s="182" t="str">
        <f>Schedule!AG42</f>
        <v>0</v>
      </c>
      <c r="L40" s="182" t="str">
        <f>Schedule!AH42</f>
        <v>0</v>
      </c>
      <c r="M40" s="178"/>
      <c r="N40" s="184" t="str">
        <f>Schedule!AI42</f>
        <v>0</v>
      </c>
      <c r="O40" s="177" t="str">
        <f>Schedule!AJ42</f>
        <v>0</v>
      </c>
      <c r="P40" s="177" t="str">
        <f>Schedule!AK42</f>
        <v>0</v>
      </c>
      <c r="Q40" s="177" t="str">
        <f>Schedule!AL42</f>
        <v>0</v>
      </c>
      <c r="R40" s="177" t="str">
        <f>Schedule!AM42</f>
        <v>0</v>
      </c>
      <c r="S40" s="177" t="str">
        <f>Schedule!AN42</f>
        <v>0</v>
      </c>
      <c r="T40" s="177" t="str">
        <f>Schedule!AO42</f>
        <v>0</v>
      </c>
      <c r="U40" s="177" t="str">
        <f>Schedule!AP42</f>
        <v>0</v>
      </c>
      <c r="V40" s="177" t="str">
        <f>Schedule!AQ42</f>
        <v>0</v>
      </c>
      <c r="W40" s="178"/>
      <c r="X40" s="177" t="str">
        <f>Schedule!AR42</f>
        <v>0</v>
      </c>
      <c r="Y40" s="177" t="str">
        <f>Schedule!AS42</f>
        <v>0</v>
      </c>
      <c r="Z40" s="177" t="str">
        <f>Schedule!AT42</f>
        <v>0</v>
      </c>
      <c r="AA40" s="177" t="str">
        <f>Schedule!AU42</f>
        <v>0</v>
      </c>
      <c r="AB40" s="177" t="str">
        <f>Schedule!AV42</f>
        <v>0</v>
      </c>
      <c r="AC40" s="177" t="str">
        <f>Schedule!AW42</f>
        <v>0</v>
      </c>
      <c r="AD40" s="177" t="str">
        <f>Schedule!AX42</f>
        <v>0</v>
      </c>
      <c r="AE40" s="177" t="str">
        <f>Schedule!AY42</f>
        <v>0</v>
      </c>
      <c r="AF40" s="177" t="str">
        <f>Schedule!AZ42</f>
        <v>0</v>
      </c>
      <c r="AG40" s="178"/>
      <c r="AH40" s="177" t="str">
        <f>Schedule!BA42</f>
        <v>0</v>
      </c>
      <c r="AI40" s="177" t="str">
        <f>Schedule!BB42</f>
        <v>0</v>
      </c>
      <c r="AJ40" s="177" t="str">
        <f>Schedule!BC42</f>
        <v>0</v>
      </c>
      <c r="AK40" s="177" t="str">
        <f>Schedule!BD42</f>
        <v>0</v>
      </c>
      <c r="AL40" s="177" t="str">
        <f>Schedule!BE42</f>
        <v>0</v>
      </c>
      <c r="AM40" s="177" t="str">
        <f>Schedule!BF42</f>
        <v>0</v>
      </c>
      <c r="AN40" s="177" t="str">
        <f>Schedule!BG42</f>
        <v>0</v>
      </c>
      <c r="AO40" s="177" t="str">
        <f>Schedule!BH42</f>
        <v>0</v>
      </c>
      <c r="AP40" s="177" t="str">
        <f>Schedule!BI42</f>
        <v>0</v>
      </c>
      <c r="AQ40" s="178"/>
      <c r="AR40" s="177" t="str">
        <f>Schedule!BJ42</f>
        <v>0</v>
      </c>
      <c r="AS40" s="177" t="str">
        <f>Schedule!BK42</f>
        <v>0</v>
      </c>
      <c r="AT40" s="177" t="str">
        <f>Schedule!BL42</f>
        <v>0</v>
      </c>
      <c r="AU40" s="177" t="str">
        <f>Schedule!BM42</f>
        <v>0</v>
      </c>
      <c r="AV40" s="177" t="str">
        <f>Schedule!BN42</f>
        <v>0</v>
      </c>
      <c r="AW40" s="177" t="str">
        <f>Schedule!BO42</f>
        <v>0</v>
      </c>
      <c r="AX40" s="177" t="str">
        <f>Schedule!BP42</f>
        <v>0</v>
      </c>
      <c r="AY40" s="177" t="str">
        <f>Schedule!BQ42</f>
        <v>0</v>
      </c>
      <c r="AZ40" s="177" t="str">
        <f>Schedule!BR42</f>
        <v>0</v>
      </c>
      <c r="BA40" s="178"/>
      <c r="BB40" s="177" t="str">
        <f>Schedule!BS42</f>
        <v>0</v>
      </c>
      <c r="BC40" s="177" t="str">
        <f>Schedule!BT42</f>
        <v>0</v>
      </c>
      <c r="BD40" s="177" t="str">
        <f>Schedule!BU42</f>
        <v>0</v>
      </c>
      <c r="BE40" s="177" t="str">
        <f>Schedule!BV42</f>
        <v>0</v>
      </c>
      <c r="BF40" s="177" t="str">
        <f>Schedule!BW42</f>
        <v>0</v>
      </c>
      <c r="BG40" s="177" t="str">
        <f>Schedule!BX42</f>
        <v>0</v>
      </c>
      <c r="BH40" s="177" t="str">
        <f>Schedule!BY42</f>
        <v>0</v>
      </c>
      <c r="BI40" s="177" t="str">
        <f>Schedule!BZ42</f>
        <v>0</v>
      </c>
      <c r="BJ40" s="177" t="str">
        <f>Schedule!CA42</f>
        <v>0</v>
      </c>
      <c r="BK40" s="178"/>
      <c r="BL40" s="177" t="str">
        <f>Schedule!CB42</f>
        <v>0</v>
      </c>
      <c r="BM40" s="177" t="str">
        <f>Schedule!CC42</f>
        <v>0</v>
      </c>
      <c r="BN40" s="177" t="str">
        <f>Schedule!CD42</f>
        <v>0</v>
      </c>
      <c r="BO40" s="177" t="str">
        <f>Schedule!CE42</f>
        <v>0</v>
      </c>
      <c r="BP40" s="177" t="str">
        <f>Schedule!CF42</f>
        <v>0</v>
      </c>
      <c r="BQ40" s="177" t="str">
        <f>Schedule!CG42</f>
        <v>0</v>
      </c>
      <c r="BR40" s="177" t="str">
        <f>Schedule!CH42</f>
        <v>0</v>
      </c>
      <c r="BS40" s="177" t="str">
        <f>Schedule!CI42</f>
        <v>0</v>
      </c>
      <c r="BT40" s="177" t="str">
        <f>Schedule!CJ42</f>
        <v>0</v>
      </c>
      <c r="BU40" s="178"/>
      <c r="BV40" s="177" t="str">
        <f>Schedule!CK42</f>
        <v>0</v>
      </c>
      <c r="BW40" s="177" t="str">
        <f>Schedule!CL42</f>
        <v>0</v>
      </c>
      <c r="BX40" s="177" t="str">
        <f>Schedule!CM42</f>
        <v>0</v>
      </c>
      <c r="BY40" s="177" t="str">
        <f>Schedule!CN42</f>
        <v>0</v>
      </c>
      <c r="BZ40" s="177" t="str">
        <f>Schedule!CO42</f>
        <v>0</v>
      </c>
      <c r="CA40" s="177" t="str">
        <f>Schedule!CP42</f>
        <v>0</v>
      </c>
      <c r="CB40" s="177" t="str">
        <f>Schedule!CQ42</f>
        <v>0</v>
      </c>
      <c r="CC40" s="177" t="str">
        <f>Schedule!CR42</f>
        <v>0</v>
      </c>
      <c r="CD40" s="177" t="str">
        <f>Schedule!CS42</f>
        <v>0</v>
      </c>
      <c r="CE40" s="178"/>
      <c r="CF40" s="177" t="str">
        <f>Schedule!CT42</f>
        <v>0</v>
      </c>
      <c r="CG40" s="177" t="str">
        <f>Schedule!CU42</f>
        <v>0</v>
      </c>
      <c r="CH40" s="177" t="str">
        <f>Schedule!CV42</f>
        <v>0</v>
      </c>
      <c r="CI40" s="177" t="str">
        <f>Schedule!CW42</f>
        <v>0</v>
      </c>
      <c r="CJ40" s="177" t="str">
        <f>Schedule!CX42</f>
        <v>0</v>
      </c>
      <c r="CK40" s="177" t="str">
        <f>Schedule!CY42</f>
        <v>0</v>
      </c>
      <c r="CL40" s="177" t="str">
        <f>Schedule!CZ42</f>
        <v>0</v>
      </c>
      <c r="CM40" s="177" t="str">
        <f>Schedule!DA42</f>
        <v>0</v>
      </c>
      <c r="CN40" s="177" t="str">
        <f>Schedule!DB42</f>
        <v>0</v>
      </c>
      <c r="CO40" s="178"/>
      <c r="CP40" s="177" t="str">
        <f>Schedule!DC42</f>
        <v>0</v>
      </c>
      <c r="CQ40" s="177" t="str">
        <f>Schedule!DD42</f>
        <v>0</v>
      </c>
      <c r="CR40" s="177" t="str">
        <f>Schedule!DE42</f>
        <v>0</v>
      </c>
      <c r="CS40" s="177" t="str">
        <f>Schedule!DF42</f>
        <v>0</v>
      </c>
      <c r="CT40" s="177" t="str">
        <f>Schedule!DG42</f>
        <v>0</v>
      </c>
      <c r="CU40" s="177" t="str">
        <f>Schedule!DH42</f>
        <v>0</v>
      </c>
      <c r="CV40" s="177" t="str">
        <f>Schedule!DI42</f>
        <v>0</v>
      </c>
      <c r="CW40" s="177" t="str">
        <f>Schedule!DJ42</f>
        <v>0</v>
      </c>
      <c r="CX40" s="177" t="str">
        <f>Schedule!DK42</f>
        <v>0</v>
      </c>
      <c r="CY40" s="178"/>
      <c r="CZ40" s="177" t="str">
        <f>Schedule!DL42</f>
        <v>0</v>
      </c>
      <c r="DA40" s="177" t="str">
        <f>Schedule!DM42</f>
        <v>0</v>
      </c>
      <c r="DB40" s="177" t="str">
        <f>Schedule!DN42</f>
        <v>0</v>
      </c>
      <c r="DC40" s="177" t="str">
        <f>Schedule!DO42</f>
        <v>0</v>
      </c>
      <c r="DD40" s="177" t="str">
        <f>Schedule!DP42</f>
        <v>0</v>
      </c>
      <c r="DE40" s="177" t="str">
        <f>Schedule!DQ42</f>
        <v>0</v>
      </c>
      <c r="DF40" s="177" t="str">
        <f>Schedule!DR42</f>
        <v>0</v>
      </c>
      <c r="DG40" s="177" t="str">
        <f>Schedule!DS42</f>
        <v>0</v>
      </c>
      <c r="DH40" s="177" t="str">
        <f>Schedule!DT42</f>
        <v>0</v>
      </c>
      <c r="DI40" s="178"/>
      <c r="DJ40" s="177" t="str">
        <f>Schedule!DU42</f>
        <v>0</v>
      </c>
      <c r="DK40" s="177" t="str">
        <f>Schedule!DV42</f>
        <v>0</v>
      </c>
      <c r="DL40" s="177" t="str">
        <f>Schedule!DW42</f>
        <v>0</v>
      </c>
      <c r="DM40" s="177" t="str">
        <f>Schedule!DX42</f>
        <v>0</v>
      </c>
      <c r="DN40" s="177" t="str">
        <f>Schedule!DY42</f>
        <v>0</v>
      </c>
      <c r="DO40" s="177" t="str">
        <f>Schedule!DZ42</f>
        <v>0</v>
      </c>
      <c r="DP40" s="177" t="str">
        <f>Schedule!EA42</f>
        <v>0</v>
      </c>
      <c r="DQ40" s="177" t="str">
        <f>Schedule!EB42</f>
        <v>0</v>
      </c>
      <c r="DR40" s="177" t="str">
        <f>Schedule!EC42</f>
        <v>0</v>
      </c>
      <c r="DS40" s="178"/>
      <c r="DT40" s="177" t="str">
        <f>Schedule!ED42</f>
        <v>0</v>
      </c>
      <c r="DU40" s="177" t="str">
        <f>Schedule!EE42</f>
        <v>0</v>
      </c>
      <c r="DV40" s="177" t="str">
        <f>Schedule!EF42</f>
        <v>0</v>
      </c>
      <c r="DW40" s="177" t="str">
        <f>Schedule!EG42</f>
        <v>0</v>
      </c>
      <c r="DX40" s="177" t="str">
        <f>Schedule!EH42</f>
        <v>0</v>
      </c>
      <c r="DY40" s="177" t="str">
        <f>Schedule!EI42</f>
        <v>0</v>
      </c>
      <c r="DZ40" s="177" t="str">
        <f>Schedule!EJ42</f>
        <v>0</v>
      </c>
      <c r="EA40" s="177" t="str">
        <f>Schedule!EK42</f>
        <v>0</v>
      </c>
      <c r="EB40" s="177" t="str">
        <f>Schedule!EL42</f>
        <v>0</v>
      </c>
      <c r="EC40" s="178"/>
      <c r="ED40" s="177" t="str">
        <f>Schedule!EM42</f>
        <v>0</v>
      </c>
      <c r="EE40" s="177" t="str">
        <f>Schedule!EN42</f>
        <v>0</v>
      </c>
      <c r="EF40" s="177" t="str">
        <f>Schedule!EO42</f>
        <v>0</v>
      </c>
      <c r="EG40" s="177" t="str">
        <f>Schedule!EP42</f>
        <v>0</v>
      </c>
      <c r="EH40" s="177" t="str">
        <f>Schedule!EQ42</f>
        <v>0</v>
      </c>
      <c r="EI40" s="177" t="str">
        <f>Schedule!ER42</f>
        <v>0</v>
      </c>
      <c r="EJ40" s="177" t="str">
        <f>Schedule!ES42</f>
        <v>0</v>
      </c>
      <c r="EK40" s="177" t="str">
        <f>Schedule!ET42</f>
        <v>0</v>
      </c>
      <c r="EL40" s="177" t="str">
        <f>Schedule!EU42</f>
        <v>0</v>
      </c>
      <c r="EM40" s="178"/>
      <c r="EN40" s="177" t="str">
        <f>Schedule!EV42</f>
        <v>0</v>
      </c>
      <c r="EO40" s="177" t="str">
        <f>Schedule!EW42</f>
        <v>0</v>
      </c>
      <c r="EP40" s="177" t="str">
        <f>Schedule!EX42</f>
        <v>0</v>
      </c>
      <c r="EQ40" s="177" t="str">
        <f>Schedule!EY42</f>
        <v>0</v>
      </c>
      <c r="ER40" s="177" t="str">
        <f>Schedule!EZ42</f>
        <v>0</v>
      </c>
      <c r="ES40" s="177" t="str">
        <f>Schedule!FA42</f>
        <v>0</v>
      </c>
      <c r="ET40" s="177" t="str">
        <f>Schedule!FB42</f>
        <v>0</v>
      </c>
      <c r="EU40" s="177" t="str">
        <f>Schedule!FC42</f>
        <v>0</v>
      </c>
      <c r="EV40" s="177" t="str">
        <f>Schedule!FD42</f>
        <v>0</v>
      </c>
      <c r="EW40" s="178"/>
      <c r="EX40" s="177" t="str">
        <f>Schedule!FE42</f>
        <v>0</v>
      </c>
      <c r="EY40" s="177" t="str">
        <f>Schedule!FF42</f>
        <v>0</v>
      </c>
      <c r="EZ40" s="177" t="str">
        <f>Schedule!FG42</f>
        <v>0</v>
      </c>
      <c r="FA40" s="177" t="str">
        <f>Schedule!FH42</f>
        <v>0</v>
      </c>
      <c r="FB40" s="177" t="str">
        <f>Schedule!FI42</f>
        <v>0</v>
      </c>
      <c r="FC40" s="177" t="str">
        <f>Schedule!FJ42</f>
        <v>0</v>
      </c>
      <c r="FD40" s="177" t="str">
        <f>Schedule!FK42</f>
        <v>0</v>
      </c>
      <c r="FE40" s="177" t="str">
        <f>Schedule!FL42</f>
        <v>0</v>
      </c>
      <c r="FF40" s="177" t="str">
        <f>Schedule!FM42</f>
        <v>0</v>
      </c>
      <c r="FG40" s="178"/>
      <c r="FH40" s="177" t="str">
        <f>Schedule!FN42</f>
        <v>0</v>
      </c>
      <c r="FI40" s="177" t="str">
        <f>Schedule!FO42</f>
        <v>0</v>
      </c>
      <c r="FJ40" s="177" t="str">
        <f>Schedule!FP42</f>
        <v>0</v>
      </c>
      <c r="FK40" s="177" t="str">
        <f>Schedule!FQ42</f>
        <v>0</v>
      </c>
      <c r="FL40" s="177" t="str">
        <f>Schedule!FR42</f>
        <v>0</v>
      </c>
      <c r="FM40" s="177" t="str">
        <f>Schedule!FS42</f>
        <v>0</v>
      </c>
      <c r="FN40" s="177" t="str">
        <f>Schedule!FT42</f>
        <v>0</v>
      </c>
      <c r="FO40" s="177" t="str">
        <f>Schedule!FU42</f>
        <v>0</v>
      </c>
      <c r="FP40" s="177" t="str">
        <f>Schedule!FV42</f>
        <v>0</v>
      </c>
      <c r="FQ40" s="178"/>
      <c r="FR40" s="177" t="str">
        <f>Schedule!FW42</f>
        <v>0</v>
      </c>
      <c r="FS40" s="177" t="str">
        <f>Schedule!FX42</f>
        <v>0</v>
      </c>
      <c r="FT40" s="177" t="str">
        <f>Schedule!FY42</f>
        <v>0</v>
      </c>
      <c r="FU40" s="177" t="str">
        <f>Schedule!FZ42</f>
        <v>0</v>
      </c>
      <c r="FV40" s="177" t="str">
        <f>Schedule!GA42</f>
        <v>0</v>
      </c>
      <c r="FW40" s="177" t="str">
        <f>Schedule!GB42</f>
        <v>0</v>
      </c>
      <c r="FX40" s="177" t="str">
        <f>Schedule!GC42</f>
        <v>0</v>
      </c>
      <c r="FY40" s="177" t="str">
        <f>Schedule!GD42</f>
        <v>0</v>
      </c>
      <c r="FZ40" s="177" t="str">
        <f>Schedule!GE42</f>
        <v>0</v>
      </c>
      <c r="GA40" s="178"/>
      <c r="GB40" s="177" t="str">
        <f>Schedule!GF42</f>
        <v>0</v>
      </c>
      <c r="GC40" s="177" t="str">
        <f>Schedule!GG42</f>
        <v>0</v>
      </c>
      <c r="GD40" s="177" t="str">
        <f>Schedule!GH42</f>
        <v>0</v>
      </c>
      <c r="GE40" s="177" t="str">
        <f>Schedule!GI42</f>
        <v>0</v>
      </c>
      <c r="GF40" s="177" t="str">
        <f>Schedule!GJ42</f>
        <v>0</v>
      </c>
      <c r="GG40" s="177" t="str">
        <f>Schedule!GK42</f>
        <v>0</v>
      </c>
      <c r="GH40" s="177" t="str">
        <f>Schedule!GL42</f>
        <v>0</v>
      </c>
      <c r="GI40" s="177" t="str">
        <f>Schedule!GM42</f>
        <v>0</v>
      </c>
      <c r="GJ40" s="177" t="str">
        <f>Schedule!GN42</f>
        <v>0</v>
      </c>
      <c r="GK40" s="178"/>
      <c r="GL40" s="177" t="str">
        <f>Schedule!GO42</f>
        <v>0</v>
      </c>
      <c r="GM40" s="177" t="str">
        <f>Schedule!GP42</f>
        <v>0</v>
      </c>
      <c r="GN40" s="177" t="str">
        <f>Schedule!GQ42</f>
        <v>0</v>
      </c>
      <c r="GO40" s="177" t="str">
        <f>Schedule!GR42</f>
        <v>0</v>
      </c>
      <c r="GP40" s="177" t="str">
        <f>Schedule!GS42</f>
        <v>0</v>
      </c>
      <c r="GQ40" s="177" t="str">
        <f>Schedule!GT42</f>
        <v>0</v>
      </c>
      <c r="GR40" s="177" t="str">
        <f>Schedule!GU42</f>
        <v>0</v>
      </c>
      <c r="GS40" s="177" t="str">
        <f>Schedule!GV42</f>
        <v>0</v>
      </c>
      <c r="GT40" s="177" t="str">
        <f>Schedule!GW42</f>
        <v>0</v>
      </c>
    </row>
    <row r="41" spans="1:205" ht="18" customHeight="1">
      <c r="B41" s="269"/>
      <c r="C41" s="169">
        <f>Schedule!C43</f>
        <v>0</v>
      </c>
      <c r="D41" s="177" t="str">
        <f>Schedule!Z43</f>
        <v>0</v>
      </c>
      <c r="E41" s="177" t="str">
        <f>Schedule!AA43</f>
        <v>0</v>
      </c>
      <c r="F41" s="177" t="str">
        <f>Schedule!AB43</f>
        <v>0</v>
      </c>
      <c r="G41" s="177" t="str">
        <f>Schedule!AC43</f>
        <v>0</v>
      </c>
      <c r="H41" s="177" t="str">
        <f>Schedule!AD43</f>
        <v>0</v>
      </c>
      <c r="I41" s="177" t="str">
        <f>Schedule!AE43</f>
        <v>0</v>
      </c>
      <c r="J41" s="177" t="str">
        <f>Schedule!AF43</f>
        <v>0</v>
      </c>
      <c r="K41" s="182" t="str">
        <f>Schedule!AG43</f>
        <v>0</v>
      </c>
      <c r="L41" s="182" t="str">
        <f>Schedule!AH43</f>
        <v>0</v>
      </c>
      <c r="M41" s="178"/>
      <c r="N41" s="184" t="str">
        <f>Schedule!AI43</f>
        <v>0</v>
      </c>
      <c r="O41" s="177" t="str">
        <f>Schedule!AJ43</f>
        <v>0</v>
      </c>
      <c r="P41" s="177" t="str">
        <f>Schedule!AK43</f>
        <v>0</v>
      </c>
      <c r="Q41" s="177" t="str">
        <f>Schedule!AL43</f>
        <v>0</v>
      </c>
      <c r="R41" s="177" t="str">
        <f>Schedule!AM43</f>
        <v>0</v>
      </c>
      <c r="S41" s="177" t="str">
        <f>Schedule!AN43</f>
        <v>0</v>
      </c>
      <c r="T41" s="177" t="str">
        <f>Schedule!AO43</f>
        <v>0</v>
      </c>
      <c r="U41" s="177" t="str">
        <f>Schedule!AP43</f>
        <v>0</v>
      </c>
      <c r="V41" s="177" t="str">
        <f>Schedule!AQ43</f>
        <v>0</v>
      </c>
      <c r="W41" s="178"/>
      <c r="X41" s="177" t="str">
        <f>Schedule!AR43</f>
        <v>0</v>
      </c>
      <c r="Y41" s="177" t="str">
        <f>Schedule!AS43</f>
        <v>0</v>
      </c>
      <c r="Z41" s="177" t="str">
        <f>Schedule!AT43</f>
        <v>0</v>
      </c>
      <c r="AA41" s="177" t="str">
        <f>Schedule!AU43</f>
        <v>0</v>
      </c>
      <c r="AB41" s="177" t="str">
        <f>Schedule!AV43</f>
        <v>0</v>
      </c>
      <c r="AC41" s="177" t="str">
        <f>Schedule!AW43</f>
        <v>0</v>
      </c>
      <c r="AD41" s="177" t="str">
        <f>Schedule!AX43</f>
        <v>0</v>
      </c>
      <c r="AE41" s="177" t="str">
        <f>Schedule!AY43</f>
        <v>0</v>
      </c>
      <c r="AF41" s="177" t="str">
        <f>Schedule!AZ43</f>
        <v>0</v>
      </c>
      <c r="AG41" s="178"/>
      <c r="AH41" s="177" t="str">
        <f>Schedule!BA43</f>
        <v>0</v>
      </c>
      <c r="AI41" s="177" t="str">
        <f>Schedule!BB43</f>
        <v>0</v>
      </c>
      <c r="AJ41" s="177" t="str">
        <f>Schedule!BC43</f>
        <v>0</v>
      </c>
      <c r="AK41" s="177" t="str">
        <f>Schedule!BD43</f>
        <v>0</v>
      </c>
      <c r="AL41" s="177" t="str">
        <f>Schedule!BE43</f>
        <v>0</v>
      </c>
      <c r="AM41" s="177" t="str">
        <f>Schedule!BF43</f>
        <v>0</v>
      </c>
      <c r="AN41" s="177" t="str">
        <f>Schedule!BG43</f>
        <v>0</v>
      </c>
      <c r="AO41" s="177" t="str">
        <f>Schedule!BH43</f>
        <v>0</v>
      </c>
      <c r="AP41" s="177" t="str">
        <f>Schedule!BI43</f>
        <v>0</v>
      </c>
      <c r="AQ41" s="178"/>
      <c r="AR41" s="177" t="str">
        <f>Schedule!BJ43</f>
        <v>0</v>
      </c>
      <c r="AS41" s="177" t="str">
        <f>Schedule!BK43</f>
        <v>0</v>
      </c>
      <c r="AT41" s="177" t="str">
        <f>Schedule!BL43</f>
        <v>0</v>
      </c>
      <c r="AU41" s="177" t="str">
        <f>Schedule!BM43</f>
        <v>0</v>
      </c>
      <c r="AV41" s="177" t="str">
        <f>Schedule!BN43</f>
        <v>0</v>
      </c>
      <c r="AW41" s="177" t="str">
        <f>Schedule!BO43</f>
        <v>0</v>
      </c>
      <c r="AX41" s="177" t="str">
        <f>Schedule!BP43</f>
        <v>0</v>
      </c>
      <c r="AY41" s="177" t="str">
        <f>Schedule!BQ43</f>
        <v>0</v>
      </c>
      <c r="AZ41" s="177" t="str">
        <f>Schedule!BR43</f>
        <v>0</v>
      </c>
      <c r="BA41" s="178"/>
      <c r="BB41" s="177" t="str">
        <f>Schedule!BS43</f>
        <v>0</v>
      </c>
      <c r="BC41" s="177" t="str">
        <f>Schedule!BT43</f>
        <v>0</v>
      </c>
      <c r="BD41" s="177" t="str">
        <f>Schedule!BU43</f>
        <v>0</v>
      </c>
      <c r="BE41" s="177" t="str">
        <f>Schedule!BV43</f>
        <v>0</v>
      </c>
      <c r="BF41" s="177" t="str">
        <f>Schedule!BW43</f>
        <v>0</v>
      </c>
      <c r="BG41" s="177" t="str">
        <f>Schedule!BX43</f>
        <v>0</v>
      </c>
      <c r="BH41" s="177" t="str">
        <f>Schedule!BY43</f>
        <v>0</v>
      </c>
      <c r="BI41" s="177" t="str">
        <f>Schedule!BZ43</f>
        <v>0</v>
      </c>
      <c r="BJ41" s="177" t="str">
        <f>Schedule!CA43</f>
        <v>0</v>
      </c>
      <c r="BK41" s="178"/>
      <c r="BL41" s="177" t="str">
        <f>Schedule!CB43</f>
        <v>0</v>
      </c>
      <c r="BM41" s="177" t="str">
        <f>Schedule!CC43</f>
        <v>0</v>
      </c>
      <c r="BN41" s="177" t="str">
        <f>Schedule!CD43</f>
        <v>0</v>
      </c>
      <c r="BO41" s="177" t="str">
        <f>Schedule!CE43</f>
        <v>0</v>
      </c>
      <c r="BP41" s="177" t="str">
        <f>Schedule!CF43</f>
        <v>0</v>
      </c>
      <c r="BQ41" s="177" t="str">
        <f>Schedule!CG43</f>
        <v>0</v>
      </c>
      <c r="BR41" s="177" t="str">
        <f>Schedule!CH43</f>
        <v>0</v>
      </c>
      <c r="BS41" s="177" t="str">
        <f>Schedule!CI43</f>
        <v>0</v>
      </c>
      <c r="BT41" s="177" t="str">
        <f>Schedule!CJ43</f>
        <v>0</v>
      </c>
      <c r="BU41" s="178"/>
      <c r="BV41" s="177" t="str">
        <f>Schedule!CK43</f>
        <v>0</v>
      </c>
      <c r="BW41" s="177" t="str">
        <f>Schedule!CL43</f>
        <v>0</v>
      </c>
      <c r="BX41" s="177" t="str">
        <f>Schedule!CM43</f>
        <v>0</v>
      </c>
      <c r="BY41" s="177" t="str">
        <f>Schedule!CN43</f>
        <v>0</v>
      </c>
      <c r="BZ41" s="177" t="str">
        <f>Schedule!CO43</f>
        <v>0</v>
      </c>
      <c r="CA41" s="177" t="str">
        <f>Schedule!CP43</f>
        <v>0</v>
      </c>
      <c r="CB41" s="177" t="str">
        <f>Schedule!CQ43</f>
        <v>0</v>
      </c>
      <c r="CC41" s="177" t="str">
        <f>Schedule!CR43</f>
        <v>0</v>
      </c>
      <c r="CD41" s="177" t="str">
        <f>Schedule!CS43</f>
        <v>0</v>
      </c>
      <c r="CE41" s="178"/>
      <c r="CF41" s="177" t="str">
        <f>Schedule!CT43</f>
        <v>0</v>
      </c>
      <c r="CG41" s="177" t="str">
        <f>Schedule!CU43</f>
        <v>0</v>
      </c>
      <c r="CH41" s="177" t="str">
        <f>Schedule!CV43</f>
        <v>0</v>
      </c>
      <c r="CI41" s="177" t="str">
        <f>Schedule!CW43</f>
        <v>0</v>
      </c>
      <c r="CJ41" s="177" t="str">
        <f>Schedule!CX43</f>
        <v>0</v>
      </c>
      <c r="CK41" s="177" t="str">
        <f>Schedule!CY43</f>
        <v>0</v>
      </c>
      <c r="CL41" s="177" t="str">
        <f>Schedule!CZ43</f>
        <v>0</v>
      </c>
      <c r="CM41" s="177" t="str">
        <f>Schedule!DA43</f>
        <v>0</v>
      </c>
      <c r="CN41" s="177" t="str">
        <f>Schedule!DB43</f>
        <v>0</v>
      </c>
      <c r="CO41" s="178"/>
      <c r="CP41" s="177" t="str">
        <f>Schedule!DC43</f>
        <v>0</v>
      </c>
      <c r="CQ41" s="177" t="str">
        <f>Schedule!DD43</f>
        <v>0</v>
      </c>
      <c r="CR41" s="177" t="str">
        <f>Schedule!DE43</f>
        <v>0</v>
      </c>
      <c r="CS41" s="177" t="str">
        <f>Schedule!DF43</f>
        <v>0</v>
      </c>
      <c r="CT41" s="177" t="str">
        <f>Schedule!DG43</f>
        <v>0</v>
      </c>
      <c r="CU41" s="177" t="str">
        <f>Schedule!DH43</f>
        <v>0</v>
      </c>
      <c r="CV41" s="177" t="str">
        <f>Schedule!DI43</f>
        <v>0</v>
      </c>
      <c r="CW41" s="177" t="str">
        <f>Schedule!DJ43</f>
        <v>0</v>
      </c>
      <c r="CX41" s="177" t="str">
        <f>Schedule!DK43</f>
        <v>0</v>
      </c>
      <c r="CY41" s="178"/>
      <c r="CZ41" s="177" t="str">
        <f>Schedule!DL43</f>
        <v>0</v>
      </c>
      <c r="DA41" s="177" t="str">
        <f>Schedule!DM43</f>
        <v>0</v>
      </c>
      <c r="DB41" s="177" t="str">
        <f>Schedule!DN43</f>
        <v>0</v>
      </c>
      <c r="DC41" s="177" t="str">
        <f>Schedule!DO43</f>
        <v>0</v>
      </c>
      <c r="DD41" s="177" t="str">
        <f>Schedule!DP43</f>
        <v>0</v>
      </c>
      <c r="DE41" s="177" t="str">
        <f>Schedule!DQ43</f>
        <v>0</v>
      </c>
      <c r="DF41" s="177" t="str">
        <f>Schedule!DR43</f>
        <v>0</v>
      </c>
      <c r="DG41" s="177" t="str">
        <f>Schedule!DS43</f>
        <v>0</v>
      </c>
      <c r="DH41" s="177" t="str">
        <f>Schedule!DT43</f>
        <v>0</v>
      </c>
      <c r="DI41" s="178"/>
      <c r="DJ41" s="177" t="str">
        <f>Schedule!DU43</f>
        <v>0</v>
      </c>
      <c r="DK41" s="177" t="str">
        <f>Schedule!DV43</f>
        <v>0</v>
      </c>
      <c r="DL41" s="177" t="str">
        <f>Schedule!DW43</f>
        <v>0</v>
      </c>
      <c r="DM41" s="177" t="str">
        <f>Schedule!DX43</f>
        <v>0</v>
      </c>
      <c r="DN41" s="177" t="str">
        <f>Schedule!DY43</f>
        <v>0</v>
      </c>
      <c r="DO41" s="177" t="str">
        <f>Schedule!DZ43</f>
        <v>0</v>
      </c>
      <c r="DP41" s="177" t="str">
        <f>Schedule!EA43</f>
        <v>0</v>
      </c>
      <c r="DQ41" s="177" t="str">
        <f>Schedule!EB43</f>
        <v>0</v>
      </c>
      <c r="DR41" s="177" t="str">
        <f>Schedule!EC43</f>
        <v>0</v>
      </c>
      <c r="DS41" s="178"/>
      <c r="DT41" s="177" t="str">
        <f>Schedule!ED43</f>
        <v>0</v>
      </c>
      <c r="DU41" s="177" t="str">
        <f>Schedule!EE43</f>
        <v>0</v>
      </c>
      <c r="DV41" s="177" t="str">
        <f>Schedule!EF43</f>
        <v>0</v>
      </c>
      <c r="DW41" s="177" t="str">
        <f>Schedule!EG43</f>
        <v>0</v>
      </c>
      <c r="DX41" s="177" t="str">
        <f>Schedule!EH43</f>
        <v>0</v>
      </c>
      <c r="DY41" s="177" t="str">
        <f>Schedule!EI43</f>
        <v>0</v>
      </c>
      <c r="DZ41" s="177" t="str">
        <f>Schedule!EJ43</f>
        <v>0</v>
      </c>
      <c r="EA41" s="177" t="str">
        <f>Schedule!EK43</f>
        <v>0</v>
      </c>
      <c r="EB41" s="177" t="str">
        <f>Schedule!EL43</f>
        <v>0</v>
      </c>
      <c r="EC41" s="178"/>
      <c r="ED41" s="177" t="str">
        <f>Schedule!EM43</f>
        <v>0</v>
      </c>
      <c r="EE41" s="177" t="str">
        <f>Schedule!EN43</f>
        <v>0</v>
      </c>
      <c r="EF41" s="177" t="str">
        <f>Schedule!EO43</f>
        <v>0</v>
      </c>
      <c r="EG41" s="177" t="str">
        <f>Schedule!EP43</f>
        <v>0</v>
      </c>
      <c r="EH41" s="177" t="str">
        <f>Schedule!EQ43</f>
        <v>0</v>
      </c>
      <c r="EI41" s="177" t="str">
        <f>Schedule!ER43</f>
        <v>0</v>
      </c>
      <c r="EJ41" s="177" t="str">
        <f>Schedule!ES43</f>
        <v>0</v>
      </c>
      <c r="EK41" s="177" t="str">
        <f>Schedule!ET43</f>
        <v>0</v>
      </c>
      <c r="EL41" s="177" t="str">
        <f>Schedule!EU43</f>
        <v>0</v>
      </c>
      <c r="EM41" s="178"/>
      <c r="EN41" s="177" t="str">
        <f>Schedule!EV43</f>
        <v>0</v>
      </c>
      <c r="EO41" s="177" t="str">
        <f>Schedule!EW43</f>
        <v>0</v>
      </c>
      <c r="EP41" s="177" t="str">
        <f>Schedule!EX43</f>
        <v>0</v>
      </c>
      <c r="EQ41" s="177" t="str">
        <f>Schedule!EY43</f>
        <v>0</v>
      </c>
      <c r="ER41" s="177" t="str">
        <f>Schedule!EZ43</f>
        <v>0</v>
      </c>
      <c r="ES41" s="177" t="str">
        <f>Schedule!FA43</f>
        <v>0</v>
      </c>
      <c r="ET41" s="177" t="str">
        <f>Schedule!FB43</f>
        <v>0</v>
      </c>
      <c r="EU41" s="177" t="str">
        <f>Schedule!FC43</f>
        <v>0</v>
      </c>
      <c r="EV41" s="177" t="str">
        <f>Schedule!FD43</f>
        <v>0</v>
      </c>
      <c r="EW41" s="178"/>
      <c r="EX41" s="177" t="str">
        <f>Schedule!FE43</f>
        <v>0</v>
      </c>
      <c r="EY41" s="177" t="str">
        <f>Schedule!FF43</f>
        <v>0</v>
      </c>
      <c r="EZ41" s="177" t="str">
        <f>Schedule!FG43</f>
        <v>0</v>
      </c>
      <c r="FA41" s="177" t="str">
        <f>Schedule!FH43</f>
        <v>0</v>
      </c>
      <c r="FB41" s="177" t="str">
        <f>Schedule!FI43</f>
        <v>0</v>
      </c>
      <c r="FC41" s="177" t="str">
        <f>Schedule!FJ43</f>
        <v>0</v>
      </c>
      <c r="FD41" s="177" t="str">
        <f>Schedule!FK43</f>
        <v>0</v>
      </c>
      <c r="FE41" s="177" t="str">
        <f>Schedule!FL43</f>
        <v>0</v>
      </c>
      <c r="FF41" s="177" t="str">
        <f>Schedule!FM43</f>
        <v>0</v>
      </c>
      <c r="FG41" s="178"/>
      <c r="FH41" s="177" t="str">
        <f>Schedule!FN43</f>
        <v>0</v>
      </c>
      <c r="FI41" s="177" t="str">
        <f>Schedule!FO43</f>
        <v>0</v>
      </c>
      <c r="FJ41" s="177" t="str">
        <f>Schedule!FP43</f>
        <v>0</v>
      </c>
      <c r="FK41" s="177" t="str">
        <f>Schedule!FQ43</f>
        <v>0</v>
      </c>
      <c r="FL41" s="177" t="str">
        <f>Schedule!FR43</f>
        <v>0</v>
      </c>
      <c r="FM41" s="177" t="str">
        <f>Schedule!FS43</f>
        <v>0</v>
      </c>
      <c r="FN41" s="177" t="str">
        <f>Schedule!FT43</f>
        <v>0</v>
      </c>
      <c r="FO41" s="177" t="str">
        <f>Schedule!FU43</f>
        <v>0</v>
      </c>
      <c r="FP41" s="177" t="str">
        <f>Schedule!FV43</f>
        <v>0</v>
      </c>
      <c r="FQ41" s="178"/>
      <c r="FR41" s="177" t="str">
        <f>Schedule!FW43</f>
        <v>0</v>
      </c>
      <c r="FS41" s="177" t="str">
        <f>Schedule!FX43</f>
        <v>0</v>
      </c>
      <c r="FT41" s="177" t="str">
        <f>Schedule!FY43</f>
        <v>0</v>
      </c>
      <c r="FU41" s="177" t="str">
        <f>Schedule!FZ43</f>
        <v>0</v>
      </c>
      <c r="FV41" s="177" t="str">
        <f>Schedule!GA43</f>
        <v>0</v>
      </c>
      <c r="FW41" s="177" t="str">
        <f>Schedule!GB43</f>
        <v>0</v>
      </c>
      <c r="FX41" s="177" t="str">
        <f>Schedule!GC43</f>
        <v>0</v>
      </c>
      <c r="FY41" s="177" t="str">
        <f>Schedule!GD43</f>
        <v>0</v>
      </c>
      <c r="FZ41" s="177" t="str">
        <f>Schedule!GE43</f>
        <v>0</v>
      </c>
      <c r="GA41" s="178"/>
      <c r="GB41" s="177" t="str">
        <f>Schedule!GF43</f>
        <v>0</v>
      </c>
      <c r="GC41" s="177" t="str">
        <f>Schedule!GG43</f>
        <v>0</v>
      </c>
      <c r="GD41" s="177" t="str">
        <f>Schedule!GH43</f>
        <v>0</v>
      </c>
      <c r="GE41" s="177" t="str">
        <f>Schedule!GI43</f>
        <v>0</v>
      </c>
      <c r="GF41" s="177" t="str">
        <f>Schedule!GJ43</f>
        <v>0</v>
      </c>
      <c r="GG41" s="177" t="str">
        <f>Schedule!GK43</f>
        <v>0</v>
      </c>
      <c r="GH41" s="177" t="str">
        <f>Schedule!GL43</f>
        <v>0</v>
      </c>
      <c r="GI41" s="177" t="str">
        <f>Schedule!GM43</f>
        <v>0</v>
      </c>
      <c r="GJ41" s="177" t="str">
        <f>Schedule!GN43</f>
        <v>0</v>
      </c>
      <c r="GK41" s="178"/>
      <c r="GL41" s="177" t="str">
        <f>Schedule!GO43</f>
        <v>0</v>
      </c>
      <c r="GM41" s="177" t="str">
        <f>Schedule!GP43</f>
        <v>0</v>
      </c>
      <c r="GN41" s="177" t="str">
        <f>Schedule!GQ43</f>
        <v>0</v>
      </c>
      <c r="GO41" s="177" t="str">
        <f>Schedule!GR43</f>
        <v>0</v>
      </c>
      <c r="GP41" s="177" t="str">
        <f>Schedule!GS43</f>
        <v>0</v>
      </c>
      <c r="GQ41" s="177" t="str">
        <f>Schedule!GT43</f>
        <v>0</v>
      </c>
      <c r="GR41" s="177" t="str">
        <f>Schedule!GU43</f>
        <v>0</v>
      </c>
      <c r="GS41" s="177" t="str">
        <f>Schedule!GV43</f>
        <v>0</v>
      </c>
      <c r="GT41" s="177" t="str">
        <f>Schedule!GW43</f>
        <v>0</v>
      </c>
    </row>
    <row r="42" spans="1:205" ht="18" customHeight="1">
      <c r="B42" s="269"/>
      <c r="C42" s="169">
        <f>Schedule!C44</f>
        <v>0</v>
      </c>
      <c r="D42" s="177" t="str">
        <f>Schedule!Z44</f>
        <v>0</v>
      </c>
      <c r="E42" s="177" t="str">
        <f>Schedule!AA44</f>
        <v>0</v>
      </c>
      <c r="F42" s="177" t="str">
        <f>Schedule!AB44</f>
        <v>0</v>
      </c>
      <c r="G42" s="177" t="str">
        <f>Schedule!AC44</f>
        <v>0</v>
      </c>
      <c r="H42" s="177" t="str">
        <f>Schedule!AD44</f>
        <v>0</v>
      </c>
      <c r="I42" s="177" t="str">
        <f>Schedule!AE44</f>
        <v>0</v>
      </c>
      <c r="J42" s="177" t="str">
        <f>Schedule!AF44</f>
        <v>0</v>
      </c>
      <c r="K42" s="182" t="str">
        <f>Schedule!AG44</f>
        <v>0</v>
      </c>
      <c r="L42" s="182" t="str">
        <f>Schedule!AH44</f>
        <v>0</v>
      </c>
      <c r="M42" s="178"/>
      <c r="N42" s="184" t="str">
        <f>Schedule!AI44</f>
        <v>0</v>
      </c>
      <c r="O42" s="177" t="str">
        <f>Schedule!AJ44</f>
        <v>0</v>
      </c>
      <c r="P42" s="177" t="str">
        <f>Schedule!AK44</f>
        <v>0</v>
      </c>
      <c r="Q42" s="177" t="str">
        <f>Schedule!AL44</f>
        <v>0</v>
      </c>
      <c r="R42" s="177" t="str">
        <f>Schedule!AM44</f>
        <v>0</v>
      </c>
      <c r="S42" s="177" t="str">
        <f>Schedule!AN44</f>
        <v>0</v>
      </c>
      <c r="T42" s="177" t="str">
        <f>Schedule!AO44</f>
        <v>0</v>
      </c>
      <c r="U42" s="177" t="str">
        <f>Schedule!AP44</f>
        <v>0</v>
      </c>
      <c r="V42" s="177" t="str">
        <f>Schedule!AQ44</f>
        <v>0</v>
      </c>
      <c r="W42" s="178"/>
      <c r="X42" s="177" t="str">
        <f>Schedule!AR44</f>
        <v>0</v>
      </c>
      <c r="Y42" s="177" t="str">
        <f>Schedule!AS44</f>
        <v>0</v>
      </c>
      <c r="Z42" s="177" t="str">
        <f>Schedule!AT44</f>
        <v>0</v>
      </c>
      <c r="AA42" s="177" t="str">
        <f>Schedule!AU44</f>
        <v>0</v>
      </c>
      <c r="AB42" s="177" t="str">
        <f>Schedule!AV44</f>
        <v>0</v>
      </c>
      <c r="AC42" s="177" t="str">
        <f>Schedule!AW44</f>
        <v>0</v>
      </c>
      <c r="AD42" s="177" t="str">
        <f>Schedule!AX44</f>
        <v>0</v>
      </c>
      <c r="AE42" s="177" t="str">
        <f>Schedule!AY44</f>
        <v>0</v>
      </c>
      <c r="AF42" s="177" t="str">
        <f>Schedule!AZ44</f>
        <v>0</v>
      </c>
      <c r="AG42" s="178"/>
      <c r="AH42" s="177" t="str">
        <f>Schedule!BA44</f>
        <v>0</v>
      </c>
      <c r="AI42" s="177" t="str">
        <f>Schedule!BB44</f>
        <v>0</v>
      </c>
      <c r="AJ42" s="177" t="str">
        <f>Schedule!BC44</f>
        <v>0</v>
      </c>
      <c r="AK42" s="177" t="str">
        <f>Schedule!BD44</f>
        <v>0</v>
      </c>
      <c r="AL42" s="177" t="str">
        <f>Schedule!BE44</f>
        <v>0</v>
      </c>
      <c r="AM42" s="177" t="str">
        <f>Schedule!BF44</f>
        <v>0</v>
      </c>
      <c r="AN42" s="177" t="str">
        <f>Schedule!BG44</f>
        <v>0</v>
      </c>
      <c r="AO42" s="177" t="str">
        <f>Schedule!BH44</f>
        <v>0</v>
      </c>
      <c r="AP42" s="177" t="str">
        <f>Schedule!BI44</f>
        <v>0</v>
      </c>
      <c r="AQ42" s="178"/>
      <c r="AR42" s="177" t="str">
        <f>Schedule!BJ44</f>
        <v>0</v>
      </c>
      <c r="AS42" s="177" t="str">
        <f>Schedule!BK44</f>
        <v>0</v>
      </c>
      <c r="AT42" s="177" t="str">
        <f>Schedule!BL44</f>
        <v>0</v>
      </c>
      <c r="AU42" s="177" t="str">
        <f>Schedule!BM44</f>
        <v>0</v>
      </c>
      <c r="AV42" s="177" t="str">
        <f>Schedule!BN44</f>
        <v>0</v>
      </c>
      <c r="AW42" s="177" t="str">
        <f>Schedule!BO44</f>
        <v>0</v>
      </c>
      <c r="AX42" s="177" t="str">
        <f>Schedule!BP44</f>
        <v>0</v>
      </c>
      <c r="AY42" s="177" t="str">
        <f>Schedule!BQ44</f>
        <v>0</v>
      </c>
      <c r="AZ42" s="177" t="str">
        <f>Schedule!BR44</f>
        <v>0</v>
      </c>
      <c r="BA42" s="178"/>
      <c r="BB42" s="177" t="str">
        <f>Schedule!BS44</f>
        <v>0</v>
      </c>
      <c r="BC42" s="177" t="str">
        <f>Schedule!BT44</f>
        <v>0</v>
      </c>
      <c r="BD42" s="177" t="str">
        <f>Schedule!BU44</f>
        <v>0</v>
      </c>
      <c r="BE42" s="177" t="str">
        <f>Schedule!BV44</f>
        <v>0</v>
      </c>
      <c r="BF42" s="177" t="str">
        <f>Schedule!BW44</f>
        <v>0</v>
      </c>
      <c r="BG42" s="177" t="str">
        <f>Schedule!BX44</f>
        <v>0</v>
      </c>
      <c r="BH42" s="177" t="str">
        <f>Schedule!BY44</f>
        <v>0</v>
      </c>
      <c r="BI42" s="177" t="str">
        <f>Schedule!BZ44</f>
        <v>0</v>
      </c>
      <c r="BJ42" s="177" t="str">
        <f>Schedule!CA44</f>
        <v>0</v>
      </c>
      <c r="BK42" s="178"/>
      <c r="BL42" s="177" t="str">
        <f>Schedule!CB44</f>
        <v>0</v>
      </c>
      <c r="BM42" s="177" t="str">
        <f>Schedule!CC44</f>
        <v>0</v>
      </c>
      <c r="BN42" s="177" t="str">
        <f>Schedule!CD44</f>
        <v>0</v>
      </c>
      <c r="BO42" s="177" t="str">
        <f>Schedule!CE44</f>
        <v>0</v>
      </c>
      <c r="BP42" s="177" t="str">
        <f>Schedule!CF44</f>
        <v>0</v>
      </c>
      <c r="BQ42" s="177" t="str">
        <f>Schedule!CG44</f>
        <v>0</v>
      </c>
      <c r="BR42" s="177" t="str">
        <f>Schedule!CH44</f>
        <v>0</v>
      </c>
      <c r="BS42" s="177" t="str">
        <f>Schedule!CI44</f>
        <v>0</v>
      </c>
      <c r="BT42" s="177" t="str">
        <f>Schedule!CJ44</f>
        <v>0</v>
      </c>
      <c r="BU42" s="178"/>
      <c r="BV42" s="177" t="str">
        <f>Schedule!CK44</f>
        <v>0</v>
      </c>
      <c r="BW42" s="177" t="str">
        <f>Schedule!CL44</f>
        <v>0</v>
      </c>
      <c r="BX42" s="177" t="str">
        <f>Schedule!CM44</f>
        <v>0</v>
      </c>
      <c r="BY42" s="177" t="str">
        <f>Schedule!CN44</f>
        <v>0</v>
      </c>
      <c r="BZ42" s="177" t="str">
        <f>Schedule!CO44</f>
        <v>0</v>
      </c>
      <c r="CA42" s="177" t="str">
        <f>Schedule!CP44</f>
        <v>0</v>
      </c>
      <c r="CB42" s="177" t="str">
        <f>Schedule!CQ44</f>
        <v>0</v>
      </c>
      <c r="CC42" s="177" t="str">
        <f>Schedule!CR44</f>
        <v>0</v>
      </c>
      <c r="CD42" s="177" t="str">
        <f>Schedule!CS44</f>
        <v>0</v>
      </c>
      <c r="CE42" s="178"/>
      <c r="CF42" s="177" t="str">
        <f>Schedule!CT44</f>
        <v>0</v>
      </c>
      <c r="CG42" s="177" t="str">
        <f>Schedule!CU44</f>
        <v>0</v>
      </c>
      <c r="CH42" s="177" t="str">
        <f>Schedule!CV44</f>
        <v>0</v>
      </c>
      <c r="CI42" s="177" t="str">
        <f>Schedule!CW44</f>
        <v>0</v>
      </c>
      <c r="CJ42" s="177" t="str">
        <f>Schedule!CX44</f>
        <v>0</v>
      </c>
      <c r="CK42" s="177" t="str">
        <f>Schedule!CY44</f>
        <v>0</v>
      </c>
      <c r="CL42" s="177" t="str">
        <f>Schedule!CZ44</f>
        <v>0</v>
      </c>
      <c r="CM42" s="177" t="str">
        <f>Schedule!DA44</f>
        <v>0</v>
      </c>
      <c r="CN42" s="177" t="str">
        <f>Schedule!DB44</f>
        <v>0</v>
      </c>
      <c r="CO42" s="178"/>
      <c r="CP42" s="177" t="str">
        <f>Schedule!DC44</f>
        <v>0</v>
      </c>
      <c r="CQ42" s="177" t="str">
        <f>Schedule!DD44</f>
        <v>0</v>
      </c>
      <c r="CR42" s="177" t="str">
        <f>Schedule!DE44</f>
        <v>0</v>
      </c>
      <c r="CS42" s="177" t="str">
        <f>Schedule!DF44</f>
        <v>0</v>
      </c>
      <c r="CT42" s="177" t="str">
        <f>Schedule!DG44</f>
        <v>0</v>
      </c>
      <c r="CU42" s="177" t="str">
        <f>Schedule!DH44</f>
        <v>0</v>
      </c>
      <c r="CV42" s="177" t="str">
        <f>Schedule!DI44</f>
        <v>0</v>
      </c>
      <c r="CW42" s="177" t="str">
        <f>Schedule!DJ44</f>
        <v>0</v>
      </c>
      <c r="CX42" s="177" t="str">
        <f>Schedule!DK44</f>
        <v>0</v>
      </c>
      <c r="CY42" s="178"/>
      <c r="CZ42" s="177" t="str">
        <f>Schedule!DL44</f>
        <v>0</v>
      </c>
      <c r="DA42" s="177" t="str">
        <f>Schedule!DM44</f>
        <v>0</v>
      </c>
      <c r="DB42" s="177" t="str">
        <f>Schedule!DN44</f>
        <v>0</v>
      </c>
      <c r="DC42" s="177" t="str">
        <f>Schedule!DO44</f>
        <v>0</v>
      </c>
      <c r="DD42" s="177" t="str">
        <f>Schedule!DP44</f>
        <v>0</v>
      </c>
      <c r="DE42" s="177" t="str">
        <f>Schedule!DQ44</f>
        <v>0</v>
      </c>
      <c r="DF42" s="177" t="str">
        <f>Schedule!DR44</f>
        <v>0</v>
      </c>
      <c r="DG42" s="177" t="str">
        <f>Schedule!DS44</f>
        <v>0</v>
      </c>
      <c r="DH42" s="177" t="str">
        <f>Schedule!DT44</f>
        <v>0</v>
      </c>
      <c r="DI42" s="178"/>
      <c r="DJ42" s="177" t="str">
        <f>Schedule!DU44</f>
        <v>0</v>
      </c>
      <c r="DK42" s="177" t="str">
        <f>Schedule!DV44</f>
        <v>0</v>
      </c>
      <c r="DL42" s="177" t="str">
        <f>Schedule!DW44</f>
        <v>0</v>
      </c>
      <c r="DM42" s="177" t="str">
        <f>Schedule!DX44</f>
        <v>0</v>
      </c>
      <c r="DN42" s="177" t="str">
        <f>Schedule!DY44</f>
        <v>0</v>
      </c>
      <c r="DO42" s="177" t="str">
        <f>Schedule!DZ44</f>
        <v>0</v>
      </c>
      <c r="DP42" s="177" t="str">
        <f>Schedule!EA44</f>
        <v>0</v>
      </c>
      <c r="DQ42" s="177" t="str">
        <f>Schedule!EB44</f>
        <v>0</v>
      </c>
      <c r="DR42" s="177" t="str">
        <f>Schedule!EC44</f>
        <v>0</v>
      </c>
      <c r="DS42" s="178"/>
      <c r="DT42" s="177" t="str">
        <f>Schedule!ED44</f>
        <v>0</v>
      </c>
      <c r="DU42" s="177" t="str">
        <f>Schedule!EE44</f>
        <v>0</v>
      </c>
      <c r="DV42" s="177" t="str">
        <f>Schedule!EF44</f>
        <v>0</v>
      </c>
      <c r="DW42" s="177" t="str">
        <f>Schedule!EG44</f>
        <v>0</v>
      </c>
      <c r="DX42" s="177" t="str">
        <f>Schedule!EH44</f>
        <v>0</v>
      </c>
      <c r="DY42" s="177" t="str">
        <f>Schedule!EI44</f>
        <v>0</v>
      </c>
      <c r="DZ42" s="177" t="str">
        <f>Schedule!EJ44</f>
        <v>0</v>
      </c>
      <c r="EA42" s="177" t="str">
        <f>Schedule!EK44</f>
        <v>0</v>
      </c>
      <c r="EB42" s="177" t="str">
        <f>Schedule!EL44</f>
        <v>0</v>
      </c>
      <c r="EC42" s="178"/>
      <c r="ED42" s="177" t="str">
        <f>Schedule!EM44</f>
        <v>0</v>
      </c>
      <c r="EE42" s="177" t="str">
        <f>Schedule!EN44</f>
        <v>0</v>
      </c>
      <c r="EF42" s="177" t="str">
        <f>Schedule!EO44</f>
        <v>0</v>
      </c>
      <c r="EG42" s="177" t="str">
        <f>Schedule!EP44</f>
        <v>0</v>
      </c>
      <c r="EH42" s="177" t="str">
        <f>Schedule!EQ44</f>
        <v>0</v>
      </c>
      <c r="EI42" s="177" t="str">
        <f>Schedule!ER44</f>
        <v>0</v>
      </c>
      <c r="EJ42" s="177" t="str">
        <f>Schedule!ES44</f>
        <v>0</v>
      </c>
      <c r="EK42" s="177" t="str">
        <f>Schedule!ET44</f>
        <v>0</v>
      </c>
      <c r="EL42" s="177" t="str">
        <f>Schedule!EU44</f>
        <v>0</v>
      </c>
      <c r="EM42" s="178"/>
      <c r="EN42" s="177" t="str">
        <f>Schedule!EV44</f>
        <v>0</v>
      </c>
      <c r="EO42" s="177" t="str">
        <f>Schedule!EW44</f>
        <v>0</v>
      </c>
      <c r="EP42" s="177" t="str">
        <f>Schedule!EX44</f>
        <v>0</v>
      </c>
      <c r="EQ42" s="177" t="str">
        <f>Schedule!EY44</f>
        <v>0</v>
      </c>
      <c r="ER42" s="177" t="str">
        <f>Schedule!EZ44</f>
        <v>0</v>
      </c>
      <c r="ES42" s="177" t="str">
        <f>Schedule!FA44</f>
        <v>0</v>
      </c>
      <c r="ET42" s="177" t="str">
        <f>Schedule!FB44</f>
        <v>0</v>
      </c>
      <c r="EU42" s="177" t="str">
        <f>Schedule!FC44</f>
        <v>0</v>
      </c>
      <c r="EV42" s="177" t="str">
        <f>Schedule!FD44</f>
        <v>0</v>
      </c>
      <c r="EW42" s="178"/>
      <c r="EX42" s="177" t="str">
        <f>Schedule!FE44</f>
        <v>0</v>
      </c>
      <c r="EY42" s="177" t="str">
        <f>Schedule!FF44</f>
        <v>0</v>
      </c>
      <c r="EZ42" s="177" t="str">
        <f>Schedule!FG44</f>
        <v>0</v>
      </c>
      <c r="FA42" s="177" t="str">
        <f>Schedule!FH44</f>
        <v>0</v>
      </c>
      <c r="FB42" s="177" t="str">
        <f>Schedule!FI44</f>
        <v>0</v>
      </c>
      <c r="FC42" s="177" t="str">
        <f>Schedule!FJ44</f>
        <v>0</v>
      </c>
      <c r="FD42" s="177" t="str">
        <f>Schedule!FK44</f>
        <v>0</v>
      </c>
      <c r="FE42" s="177" t="str">
        <f>Schedule!FL44</f>
        <v>0</v>
      </c>
      <c r="FF42" s="177" t="str">
        <f>Schedule!FM44</f>
        <v>0</v>
      </c>
      <c r="FG42" s="178"/>
      <c r="FH42" s="177" t="str">
        <f>Schedule!FN44</f>
        <v>0</v>
      </c>
      <c r="FI42" s="177" t="str">
        <f>Schedule!FO44</f>
        <v>0</v>
      </c>
      <c r="FJ42" s="177" t="str">
        <f>Schedule!FP44</f>
        <v>0</v>
      </c>
      <c r="FK42" s="177" t="str">
        <f>Schedule!FQ44</f>
        <v>0</v>
      </c>
      <c r="FL42" s="177" t="str">
        <f>Schedule!FR44</f>
        <v>0</v>
      </c>
      <c r="FM42" s="177" t="str">
        <f>Schedule!FS44</f>
        <v>0</v>
      </c>
      <c r="FN42" s="177" t="str">
        <f>Schedule!FT44</f>
        <v>0</v>
      </c>
      <c r="FO42" s="177" t="str">
        <f>Schedule!FU44</f>
        <v>0</v>
      </c>
      <c r="FP42" s="177" t="str">
        <f>Schedule!FV44</f>
        <v>0</v>
      </c>
      <c r="FQ42" s="178"/>
      <c r="FR42" s="177" t="str">
        <f>Schedule!FW44</f>
        <v>0</v>
      </c>
      <c r="FS42" s="177" t="str">
        <f>Schedule!FX44</f>
        <v>0</v>
      </c>
      <c r="FT42" s="177" t="str">
        <f>Schedule!FY44</f>
        <v>0</v>
      </c>
      <c r="FU42" s="177" t="str">
        <f>Schedule!FZ44</f>
        <v>0</v>
      </c>
      <c r="FV42" s="177" t="str">
        <f>Schedule!GA44</f>
        <v>0</v>
      </c>
      <c r="FW42" s="177" t="str">
        <f>Schedule!GB44</f>
        <v>0</v>
      </c>
      <c r="FX42" s="177" t="str">
        <f>Schedule!GC44</f>
        <v>0</v>
      </c>
      <c r="FY42" s="177" t="str">
        <f>Schedule!GD44</f>
        <v>0</v>
      </c>
      <c r="FZ42" s="177" t="str">
        <f>Schedule!GE44</f>
        <v>0</v>
      </c>
      <c r="GA42" s="178"/>
      <c r="GB42" s="177" t="str">
        <f>Schedule!GF44</f>
        <v>0</v>
      </c>
      <c r="GC42" s="177" t="str">
        <f>Schedule!GG44</f>
        <v>0</v>
      </c>
      <c r="GD42" s="177" t="str">
        <f>Schedule!GH44</f>
        <v>0</v>
      </c>
      <c r="GE42" s="177" t="str">
        <f>Schedule!GI44</f>
        <v>0</v>
      </c>
      <c r="GF42" s="177" t="str">
        <f>Schedule!GJ44</f>
        <v>0</v>
      </c>
      <c r="GG42" s="177" t="str">
        <f>Schedule!GK44</f>
        <v>0</v>
      </c>
      <c r="GH42" s="177" t="str">
        <f>Schedule!GL44</f>
        <v>0</v>
      </c>
      <c r="GI42" s="177" t="str">
        <f>Schedule!GM44</f>
        <v>0</v>
      </c>
      <c r="GJ42" s="177" t="str">
        <f>Schedule!GN44</f>
        <v>0</v>
      </c>
      <c r="GK42" s="178"/>
      <c r="GL42" s="177" t="str">
        <f>Schedule!GO44</f>
        <v>0</v>
      </c>
      <c r="GM42" s="177" t="str">
        <f>Schedule!GP44</f>
        <v>0</v>
      </c>
      <c r="GN42" s="177" t="str">
        <f>Schedule!GQ44</f>
        <v>0</v>
      </c>
      <c r="GO42" s="177" t="str">
        <f>Schedule!GR44</f>
        <v>0</v>
      </c>
      <c r="GP42" s="177" t="str">
        <f>Schedule!GS44</f>
        <v>0</v>
      </c>
      <c r="GQ42" s="177" t="str">
        <f>Schedule!GT44</f>
        <v>0</v>
      </c>
      <c r="GR42" s="177" t="str">
        <f>Schedule!GU44</f>
        <v>0</v>
      </c>
      <c r="GS42" s="177" t="str">
        <f>Schedule!GV44</f>
        <v>0</v>
      </c>
      <c r="GT42" s="177" t="str">
        <f>Schedule!GW44</f>
        <v>0</v>
      </c>
    </row>
    <row r="43" spans="1:205" ht="18" customHeight="1">
      <c r="B43" s="269"/>
      <c r="C43" s="169">
        <f>Schedule!C45</f>
        <v>0</v>
      </c>
      <c r="D43" s="177" t="str">
        <f>Schedule!Z45</f>
        <v>0</v>
      </c>
      <c r="E43" s="177" t="str">
        <f>Schedule!AA45</f>
        <v>0</v>
      </c>
      <c r="F43" s="177" t="str">
        <f>Schedule!AB45</f>
        <v>0</v>
      </c>
      <c r="G43" s="177" t="str">
        <f>Schedule!AC45</f>
        <v>0</v>
      </c>
      <c r="H43" s="177" t="str">
        <f>Schedule!AD45</f>
        <v>0</v>
      </c>
      <c r="I43" s="177" t="str">
        <f>Schedule!AE45</f>
        <v>0</v>
      </c>
      <c r="J43" s="177" t="str">
        <f>Schedule!AF45</f>
        <v>0</v>
      </c>
      <c r="K43" s="182" t="str">
        <f>Schedule!AG45</f>
        <v>0</v>
      </c>
      <c r="L43" s="182" t="str">
        <f>Schedule!AH45</f>
        <v>0</v>
      </c>
      <c r="M43" s="178"/>
      <c r="N43" s="184" t="str">
        <f>Schedule!AI45</f>
        <v>0</v>
      </c>
      <c r="O43" s="177" t="str">
        <f>Schedule!AJ45</f>
        <v>0</v>
      </c>
      <c r="P43" s="177" t="str">
        <f>Schedule!AK45</f>
        <v>0</v>
      </c>
      <c r="Q43" s="177" t="str">
        <f>Schedule!AL45</f>
        <v>0</v>
      </c>
      <c r="R43" s="177" t="str">
        <f>Schedule!AM45</f>
        <v>0</v>
      </c>
      <c r="S43" s="177" t="str">
        <f>Schedule!AN45</f>
        <v>0</v>
      </c>
      <c r="T43" s="177" t="str">
        <f>Schedule!AO45</f>
        <v>0</v>
      </c>
      <c r="U43" s="177" t="str">
        <f>Schedule!AP45</f>
        <v>0</v>
      </c>
      <c r="V43" s="177" t="str">
        <f>Schedule!AQ45</f>
        <v>0</v>
      </c>
      <c r="W43" s="178"/>
      <c r="X43" s="177" t="str">
        <f>Schedule!AR45</f>
        <v>0</v>
      </c>
      <c r="Y43" s="177" t="str">
        <f>Schedule!AS45</f>
        <v>0</v>
      </c>
      <c r="Z43" s="177" t="str">
        <f>Schedule!AT45</f>
        <v>0</v>
      </c>
      <c r="AA43" s="177" t="str">
        <f>Schedule!AU45</f>
        <v>0</v>
      </c>
      <c r="AB43" s="177" t="str">
        <f>Schedule!AV45</f>
        <v>0</v>
      </c>
      <c r="AC43" s="177" t="str">
        <f>Schedule!AW45</f>
        <v>0</v>
      </c>
      <c r="AD43" s="177" t="str">
        <f>Schedule!AX45</f>
        <v>0</v>
      </c>
      <c r="AE43" s="177" t="str">
        <f>Schedule!AY45</f>
        <v>0</v>
      </c>
      <c r="AF43" s="177" t="str">
        <f>Schedule!AZ45</f>
        <v>0</v>
      </c>
      <c r="AG43" s="178"/>
      <c r="AH43" s="177" t="str">
        <f>Schedule!BA45</f>
        <v>0</v>
      </c>
      <c r="AI43" s="177" t="str">
        <f>Schedule!BB45</f>
        <v>0</v>
      </c>
      <c r="AJ43" s="177" t="str">
        <f>Schedule!BC45</f>
        <v>0</v>
      </c>
      <c r="AK43" s="177" t="str">
        <f>Schedule!BD45</f>
        <v>0</v>
      </c>
      <c r="AL43" s="177" t="str">
        <f>Schedule!BE45</f>
        <v>0</v>
      </c>
      <c r="AM43" s="177" t="str">
        <f>Schedule!BF45</f>
        <v>0</v>
      </c>
      <c r="AN43" s="177" t="str">
        <f>Schedule!BG45</f>
        <v>0</v>
      </c>
      <c r="AO43" s="177" t="str">
        <f>Schedule!BH45</f>
        <v>0</v>
      </c>
      <c r="AP43" s="177" t="str">
        <f>Schedule!BI45</f>
        <v>0</v>
      </c>
      <c r="AQ43" s="178"/>
      <c r="AR43" s="177" t="str">
        <f>Schedule!BJ45</f>
        <v>0</v>
      </c>
      <c r="AS43" s="177" t="str">
        <f>Schedule!BK45</f>
        <v>0</v>
      </c>
      <c r="AT43" s="177" t="str">
        <f>Schedule!BL45</f>
        <v>0</v>
      </c>
      <c r="AU43" s="177" t="str">
        <f>Schedule!BM45</f>
        <v>0</v>
      </c>
      <c r="AV43" s="177" t="str">
        <f>Schedule!BN45</f>
        <v>0</v>
      </c>
      <c r="AW43" s="177" t="str">
        <f>Schedule!BO45</f>
        <v>0</v>
      </c>
      <c r="AX43" s="177" t="str">
        <f>Schedule!BP45</f>
        <v>0</v>
      </c>
      <c r="AY43" s="177" t="str">
        <f>Schedule!BQ45</f>
        <v>0</v>
      </c>
      <c r="AZ43" s="177" t="str">
        <f>Schedule!BR45</f>
        <v>0</v>
      </c>
      <c r="BA43" s="178"/>
      <c r="BB43" s="177" t="str">
        <f>Schedule!BS45</f>
        <v>0</v>
      </c>
      <c r="BC43" s="177" t="str">
        <f>Schedule!BT45</f>
        <v>0</v>
      </c>
      <c r="BD43" s="177" t="str">
        <f>Schedule!BU45</f>
        <v>0</v>
      </c>
      <c r="BE43" s="177" t="str">
        <f>Schedule!BV45</f>
        <v>0</v>
      </c>
      <c r="BF43" s="177" t="str">
        <f>Schedule!BW45</f>
        <v>0</v>
      </c>
      <c r="BG43" s="177" t="str">
        <f>Schedule!BX45</f>
        <v>0</v>
      </c>
      <c r="BH43" s="177" t="str">
        <f>Schedule!BY45</f>
        <v>0</v>
      </c>
      <c r="BI43" s="177" t="str">
        <f>Schedule!BZ45</f>
        <v>0</v>
      </c>
      <c r="BJ43" s="177" t="str">
        <f>Schedule!CA45</f>
        <v>0</v>
      </c>
      <c r="BK43" s="178"/>
      <c r="BL43" s="177" t="str">
        <f>Schedule!CB45</f>
        <v>0</v>
      </c>
      <c r="BM43" s="177" t="str">
        <f>Schedule!CC45</f>
        <v>0</v>
      </c>
      <c r="BN43" s="177" t="str">
        <f>Schedule!CD45</f>
        <v>0</v>
      </c>
      <c r="BO43" s="177" t="str">
        <f>Schedule!CE45</f>
        <v>0</v>
      </c>
      <c r="BP43" s="177" t="str">
        <f>Schedule!CF45</f>
        <v>0</v>
      </c>
      <c r="BQ43" s="177" t="str">
        <f>Schedule!CG45</f>
        <v>0</v>
      </c>
      <c r="BR43" s="177" t="str">
        <f>Schedule!CH45</f>
        <v>0</v>
      </c>
      <c r="BS43" s="177" t="str">
        <f>Schedule!CI45</f>
        <v>0</v>
      </c>
      <c r="BT43" s="177" t="str">
        <f>Schedule!CJ45</f>
        <v>0</v>
      </c>
      <c r="BU43" s="178"/>
      <c r="BV43" s="177" t="str">
        <f>Schedule!CK45</f>
        <v>0</v>
      </c>
      <c r="BW43" s="177" t="str">
        <f>Schedule!CL45</f>
        <v>0</v>
      </c>
      <c r="BX43" s="177" t="str">
        <f>Schedule!CM45</f>
        <v>0</v>
      </c>
      <c r="BY43" s="177" t="str">
        <f>Schedule!CN45</f>
        <v>0</v>
      </c>
      <c r="BZ43" s="177" t="str">
        <f>Schedule!CO45</f>
        <v>0</v>
      </c>
      <c r="CA43" s="177" t="str">
        <f>Schedule!CP45</f>
        <v>0</v>
      </c>
      <c r="CB43" s="177" t="str">
        <f>Schedule!CQ45</f>
        <v>0</v>
      </c>
      <c r="CC43" s="177" t="str">
        <f>Schedule!CR45</f>
        <v>0</v>
      </c>
      <c r="CD43" s="177" t="str">
        <f>Schedule!CS45</f>
        <v>0</v>
      </c>
      <c r="CE43" s="178"/>
      <c r="CF43" s="177" t="str">
        <f>Schedule!CT45</f>
        <v>0</v>
      </c>
      <c r="CG43" s="177" t="str">
        <f>Schedule!CU45</f>
        <v>0</v>
      </c>
      <c r="CH43" s="177" t="str">
        <f>Schedule!CV45</f>
        <v>0</v>
      </c>
      <c r="CI43" s="177" t="str">
        <f>Schedule!CW45</f>
        <v>0</v>
      </c>
      <c r="CJ43" s="177" t="str">
        <f>Schedule!CX45</f>
        <v>0</v>
      </c>
      <c r="CK43" s="177" t="str">
        <f>Schedule!CY45</f>
        <v>0</v>
      </c>
      <c r="CL43" s="177" t="str">
        <f>Schedule!CZ45</f>
        <v>0</v>
      </c>
      <c r="CM43" s="177" t="str">
        <f>Schedule!DA45</f>
        <v>0</v>
      </c>
      <c r="CN43" s="177" t="str">
        <f>Schedule!DB45</f>
        <v>0</v>
      </c>
      <c r="CO43" s="178"/>
      <c r="CP43" s="177" t="str">
        <f>Schedule!DC45</f>
        <v>0</v>
      </c>
      <c r="CQ43" s="177" t="str">
        <f>Schedule!DD45</f>
        <v>0</v>
      </c>
      <c r="CR43" s="177" t="str">
        <f>Schedule!DE45</f>
        <v>0</v>
      </c>
      <c r="CS43" s="177" t="str">
        <f>Schedule!DF45</f>
        <v>0</v>
      </c>
      <c r="CT43" s="177" t="str">
        <f>Schedule!DG45</f>
        <v>0</v>
      </c>
      <c r="CU43" s="177" t="str">
        <f>Schedule!DH45</f>
        <v>0</v>
      </c>
      <c r="CV43" s="177" t="str">
        <f>Schedule!DI45</f>
        <v>0</v>
      </c>
      <c r="CW43" s="177" t="str">
        <f>Schedule!DJ45</f>
        <v>0</v>
      </c>
      <c r="CX43" s="177" t="str">
        <f>Schedule!DK45</f>
        <v>0</v>
      </c>
      <c r="CY43" s="178"/>
      <c r="CZ43" s="177" t="str">
        <f>Schedule!DL45</f>
        <v>0</v>
      </c>
      <c r="DA43" s="177" t="str">
        <f>Schedule!DM45</f>
        <v>0</v>
      </c>
      <c r="DB43" s="177" t="str">
        <f>Schedule!DN45</f>
        <v>0</v>
      </c>
      <c r="DC43" s="177" t="str">
        <f>Schedule!DO45</f>
        <v>0</v>
      </c>
      <c r="DD43" s="177" t="str">
        <f>Schedule!DP45</f>
        <v>0</v>
      </c>
      <c r="DE43" s="177" t="str">
        <f>Schedule!DQ45</f>
        <v>0</v>
      </c>
      <c r="DF43" s="177" t="str">
        <f>Schedule!DR45</f>
        <v>0</v>
      </c>
      <c r="DG43" s="177" t="str">
        <f>Schedule!DS45</f>
        <v>0</v>
      </c>
      <c r="DH43" s="177" t="str">
        <f>Schedule!DT45</f>
        <v>0</v>
      </c>
      <c r="DI43" s="178"/>
      <c r="DJ43" s="177" t="str">
        <f>Schedule!DU45</f>
        <v>0</v>
      </c>
      <c r="DK43" s="177" t="str">
        <f>Schedule!DV45</f>
        <v>0</v>
      </c>
      <c r="DL43" s="177" t="str">
        <f>Schedule!DW45</f>
        <v>0</v>
      </c>
      <c r="DM43" s="177" t="str">
        <f>Schedule!DX45</f>
        <v>0</v>
      </c>
      <c r="DN43" s="177" t="str">
        <f>Schedule!DY45</f>
        <v>0</v>
      </c>
      <c r="DO43" s="177" t="str">
        <f>Schedule!DZ45</f>
        <v>0</v>
      </c>
      <c r="DP43" s="177" t="str">
        <f>Schedule!EA45</f>
        <v>0</v>
      </c>
      <c r="DQ43" s="177" t="str">
        <f>Schedule!EB45</f>
        <v>0</v>
      </c>
      <c r="DR43" s="177" t="str">
        <f>Schedule!EC45</f>
        <v>0</v>
      </c>
      <c r="DS43" s="178"/>
      <c r="DT43" s="177" t="str">
        <f>Schedule!ED45</f>
        <v>0</v>
      </c>
      <c r="DU43" s="177" t="str">
        <f>Schedule!EE45</f>
        <v>0</v>
      </c>
      <c r="DV43" s="177" t="str">
        <f>Schedule!EF45</f>
        <v>0</v>
      </c>
      <c r="DW43" s="177" t="str">
        <f>Schedule!EG45</f>
        <v>0</v>
      </c>
      <c r="DX43" s="177" t="str">
        <f>Schedule!EH45</f>
        <v>0</v>
      </c>
      <c r="DY43" s="177" t="str">
        <f>Schedule!EI45</f>
        <v>0</v>
      </c>
      <c r="DZ43" s="177" t="str">
        <f>Schedule!EJ45</f>
        <v>0</v>
      </c>
      <c r="EA43" s="177" t="str">
        <f>Schedule!EK45</f>
        <v>0</v>
      </c>
      <c r="EB43" s="177" t="str">
        <f>Schedule!EL45</f>
        <v>0</v>
      </c>
      <c r="EC43" s="178"/>
      <c r="ED43" s="177" t="str">
        <f>Schedule!EM45</f>
        <v>0</v>
      </c>
      <c r="EE43" s="177" t="str">
        <f>Schedule!EN45</f>
        <v>0</v>
      </c>
      <c r="EF43" s="177" t="str">
        <f>Schedule!EO45</f>
        <v>0</v>
      </c>
      <c r="EG43" s="177" t="str">
        <f>Schedule!EP45</f>
        <v>0</v>
      </c>
      <c r="EH43" s="177" t="str">
        <f>Schedule!EQ45</f>
        <v>0</v>
      </c>
      <c r="EI43" s="177" t="str">
        <f>Schedule!ER45</f>
        <v>0</v>
      </c>
      <c r="EJ43" s="177" t="str">
        <f>Schedule!ES45</f>
        <v>0</v>
      </c>
      <c r="EK43" s="177" t="str">
        <f>Schedule!ET45</f>
        <v>0</v>
      </c>
      <c r="EL43" s="177" t="str">
        <f>Schedule!EU45</f>
        <v>0</v>
      </c>
      <c r="EM43" s="178"/>
      <c r="EN43" s="177" t="str">
        <f>Schedule!EV45</f>
        <v>0</v>
      </c>
      <c r="EO43" s="177" t="str">
        <f>Schedule!EW45</f>
        <v>0</v>
      </c>
      <c r="EP43" s="177" t="str">
        <f>Schedule!EX45</f>
        <v>0</v>
      </c>
      <c r="EQ43" s="177" t="str">
        <f>Schedule!EY45</f>
        <v>0</v>
      </c>
      <c r="ER43" s="177" t="str">
        <f>Schedule!EZ45</f>
        <v>0</v>
      </c>
      <c r="ES43" s="177" t="str">
        <f>Schedule!FA45</f>
        <v>0</v>
      </c>
      <c r="ET43" s="177" t="str">
        <f>Schedule!FB45</f>
        <v>0</v>
      </c>
      <c r="EU43" s="177" t="str">
        <f>Schedule!FC45</f>
        <v>0</v>
      </c>
      <c r="EV43" s="177" t="str">
        <f>Schedule!FD45</f>
        <v>0</v>
      </c>
      <c r="EW43" s="178"/>
      <c r="EX43" s="177" t="str">
        <f>Schedule!FE45</f>
        <v>0</v>
      </c>
      <c r="EY43" s="177" t="str">
        <f>Schedule!FF45</f>
        <v>0</v>
      </c>
      <c r="EZ43" s="177" t="str">
        <f>Schedule!FG45</f>
        <v>0</v>
      </c>
      <c r="FA43" s="177" t="str">
        <f>Schedule!FH45</f>
        <v>0</v>
      </c>
      <c r="FB43" s="177" t="str">
        <f>Schedule!FI45</f>
        <v>0</v>
      </c>
      <c r="FC43" s="177" t="str">
        <f>Schedule!FJ45</f>
        <v>0</v>
      </c>
      <c r="FD43" s="177" t="str">
        <f>Schedule!FK45</f>
        <v>0</v>
      </c>
      <c r="FE43" s="177" t="str">
        <f>Schedule!FL45</f>
        <v>0</v>
      </c>
      <c r="FF43" s="177" t="str">
        <f>Schedule!FM45</f>
        <v>0</v>
      </c>
      <c r="FG43" s="178"/>
      <c r="FH43" s="177" t="str">
        <f>Schedule!FN45</f>
        <v>0</v>
      </c>
      <c r="FI43" s="177" t="str">
        <f>Schedule!FO45</f>
        <v>0</v>
      </c>
      <c r="FJ43" s="177" t="str">
        <f>Schedule!FP45</f>
        <v>0</v>
      </c>
      <c r="FK43" s="177" t="str">
        <f>Schedule!FQ45</f>
        <v>0</v>
      </c>
      <c r="FL43" s="177" t="str">
        <f>Schedule!FR45</f>
        <v>0</v>
      </c>
      <c r="FM43" s="177" t="str">
        <f>Schedule!FS45</f>
        <v>0</v>
      </c>
      <c r="FN43" s="177" t="str">
        <f>Schedule!FT45</f>
        <v>0</v>
      </c>
      <c r="FO43" s="177" t="str">
        <f>Schedule!FU45</f>
        <v>0</v>
      </c>
      <c r="FP43" s="177" t="str">
        <f>Schedule!FV45</f>
        <v>0</v>
      </c>
      <c r="FQ43" s="178"/>
      <c r="FR43" s="177" t="str">
        <f>Schedule!FW45</f>
        <v>0</v>
      </c>
      <c r="FS43" s="177" t="str">
        <f>Schedule!FX45</f>
        <v>0</v>
      </c>
      <c r="FT43" s="177" t="str">
        <f>Schedule!FY45</f>
        <v>0</v>
      </c>
      <c r="FU43" s="177" t="str">
        <f>Schedule!FZ45</f>
        <v>0</v>
      </c>
      <c r="FV43" s="177" t="str">
        <f>Schedule!GA45</f>
        <v>0</v>
      </c>
      <c r="FW43" s="177" t="str">
        <f>Schedule!GB45</f>
        <v>0</v>
      </c>
      <c r="FX43" s="177" t="str">
        <f>Schedule!GC45</f>
        <v>0</v>
      </c>
      <c r="FY43" s="177" t="str">
        <f>Schedule!GD45</f>
        <v>0</v>
      </c>
      <c r="FZ43" s="177" t="str">
        <f>Schedule!GE45</f>
        <v>0</v>
      </c>
      <c r="GA43" s="178"/>
      <c r="GB43" s="177" t="str">
        <f>Schedule!GF45</f>
        <v>0</v>
      </c>
      <c r="GC43" s="177" t="str">
        <f>Schedule!GG45</f>
        <v>0</v>
      </c>
      <c r="GD43" s="177" t="str">
        <f>Schedule!GH45</f>
        <v>0</v>
      </c>
      <c r="GE43" s="177" t="str">
        <f>Schedule!GI45</f>
        <v>0</v>
      </c>
      <c r="GF43" s="177" t="str">
        <f>Schedule!GJ45</f>
        <v>0</v>
      </c>
      <c r="GG43" s="177" t="str">
        <f>Schedule!GK45</f>
        <v>0</v>
      </c>
      <c r="GH43" s="177" t="str">
        <f>Schedule!GL45</f>
        <v>0</v>
      </c>
      <c r="GI43" s="177" t="str">
        <f>Schedule!GM45</f>
        <v>0</v>
      </c>
      <c r="GJ43" s="177" t="str">
        <f>Schedule!GN45</f>
        <v>0</v>
      </c>
      <c r="GK43" s="178"/>
      <c r="GL43" s="177" t="str">
        <f>Schedule!GO45</f>
        <v>0</v>
      </c>
      <c r="GM43" s="177" t="str">
        <f>Schedule!GP45</f>
        <v>0</v>
      </c>
      <c r="GN43" s="177" t="str">
        <f>Schedule!GQ45</f>
        <v>0</v>
      </c>
      <c r="GO43" s="177" t="str">
        <f>Schedule!GR45</f>
        <v>0</v>
      </c>
      <c r="GP43" s="177" t="str">
        <f>Schedule!GS45</f>
        <v>0</v>
      </c>
      <c r="GQ43" s="177" t="str">
        <f>Schedule!GT45</f>
        <v>0</v>
      </c>
      <c r="GR43" s="177" t="str">
        <f>Schedule!GU45</f>
        <v>0</v>
      </c>
      <c r="GS43" s="177" t="str">
        <f>Schedule!GV45</f>
        <v>0</v>
      </c>
      <c r="GT43" s="177" t="str">
        <f>Schedule!GW45</f>
        <v>0</v>
      </c>
    </row>
    <row r="44" spans="1:205" ht="18" customHeight="1">
      <c r="B44" s="269"/>
      <c r="C44" s="169">
        <f>Schedule!C46</f>
        <v>0</v>
      </c>
      <c r="D44" s="177" t="str">
        <f>Schedule!Z46</f>
        <v>0</v>
      </c>
      <c r="E44" s="177" t="str">
        <f>Schedule!AA46</f>
        <v>0</v>
      </c>
      <c r="F44" s="177" t="str">
        <f>Schedule!AB46</f>
        <v>0</v>
      </c>
      <c r="G44" s="177" t="str">
        <f>Schedule!AC46</f>
        <v>0</v>
      </c>
      <c r="H44" s="177" t="str">
        <f>Schedule!AD46</f>
        <v>0</v>
      </c>
      <c r="I44" s="177" t="str">
        <f>Schedule!AE46</f>
        <v>0</v>
      </c>
      <c r="J44" s="177" t="str">
        <f>Schedule!AF46</f>
        <v>0</v>
      </c>
      <c r="K44" s="182" t="str">
        <f>Schedule!AG46</f>
        <v>0</v>
      </c>
      <c r="L44" s="182" t="str">
        <f>Schedule!AH46</f>
        <v>0</v>
      </c>
      <c r="M44" s="178"/>
      <c r="N44" s="184" t="str">
        <f>Schedule!AI46</f>
        <v>0</v>
      </c>
      <c r="O44" s="177" t="str">
        <f>Schedule!AJ46</f>
        <v>0</v>
      </c>
      <c r="P44" s="177" t="str">
        <f>Schedule!AK46</f>
        <v>0</v>
      </c>
      <c r="Q44" s="177" t="str">
        <f>Schedule!AL46</f>
        <v>0</v>
      </c>
      <c r="R44" s="177" t="str">
        <f>Schedule!AM46</f>
        <v>0</v>
      </c>
      <c r="S44" s="177" t="str">
        <f>Schedule!AN46</f>
        <v>0</v>
      </c>
      <c r="T44" s="177" t="str">
        <f>Schedule!AO46</f>
        <v>0</v>
      </c>
      <c r="U44" s="177" t="str">
        <f>Schedule!AP46</f>
        <v>0</v>
      </c>
      <c r="V44" s="177" t="str">
        <f>Schedule!AQ46</f>
        <v>0</v>
      </c>
      <c r="W44" s="178"/>
      <c r="X44" s="177" t="str">
        <f>Schedule!AR46</f>
        <v>0</v>
      </c>
      <c r="Y44" s="177" t="str">
        <f>Schedule!AS46</f>
        <v>0</v>
      </c>
      <c r="Z44" s="177" t="str">
        <f>Schedule!AT46</f>
        <v>0</v>
      </c>
      <c r="AA44" s="177" t="str">
        <f>Schedule!AU46</f>
        <v>0</v>
      </c>
      <c r="AB44" s="177" t="str">
        <f>Schedule!AV46</f>
        <v>0</v>
      </c>
      <c r="AC44" s="177" t="str">
        <f>Schedule!AW46</f>
        <v>0</v>
      </c>
      <c r="AD44" s="177" t="str">
        <f>Schedule!AX46</f>
        <v>0</v>
      </c>
      <c r="AE44" s="177" t="str">
        <f>Schedule!AY46</f>
        <v>0</v>
      </c>
      <c r="AF44" s="177" t="str">
        <f>Schedule!AZ46</f>
        <v>0</v>
      </c>
      <c r="AG44" s="178"/>
      <c r="AH44" s="177" t="str">
        <f>Schedule!BA46</f>
        <v>0</v>
      </c>
      <c r="AI44" s="177" t="str">
        <f>Schedule!BB46</f>
        <v>0</v>
      </c>
      <c r="AJ44" s="177" t="str">
        <f>Schedule!BC46</f>
        <v>0</v>
      </c>
      <c r="AK44" s="177" t="str">
        <f>Schedule!BD46</f>
        <v>0</v>
      </c>
      <c r="AL44" s="177" t="str">
        <f>Schedule!BE46</f>
        <v>0</v>
      </c>
      <c r="AM44" s="177" t="str">
        <f>Schedule!BF46</f>
        <v>0</v>
      </c>
      <c r="AN44" s="177" t="str">
        <f>Schedule!BG46</f>
        <v>0</v>
      </c>
      <c r="AO44" s="177" t="str">
        <f>Schedule!BH46</f>
        <v>0</v>
      </c>
      <c r="AP44" s="177" t="str">
        <f>Schedule!BI46</f>
        <v>0</v>
      </c>
      <c r="AQ44" s="178"/>
      <c r="AR44" s="177" t="str">
        <f>Schedule!BJ46</f>
        <v>0</v>
      </c>
      <c r="AS44" s="177" t="str">
        <f>Schedule!BK46</f>
        <v>0</v>
      </c>
      <c r="AT44" s="177" t="str">
        <f>Schedule!BL46</f>
        <v>0</v>
      </c>
      <c r="AU44" s="177" t="str">
        <f>Schedule!BM46</f>
        <v>0</v>
      </c>
      <c r="AV44" s="177" t="str">
        <f>Schedule!BN46</f>
        <v>0</v>
      </c>
      <c r="AW44" s="177" t="str">
        <f>Schedule!BO46</f>
        <v>0</v>
      </c>
      <c r="AX44" s="177" t="str">
        <f>Schedule!BP46</f>
        <v>0</v>
      </c>
      <c r="AY44" s="177" t="str">
        <f>Schedule!BQ46</f>
        <v>0</v>
      </c>
      <c r="AZ44" s="177" t="str">
        <f>Schedule!BR46</f>
        <v>0</v>
      </c>
      <c r="BA44" s="178"/>
      <c r="BB44" s="177" t="str">
        <f>Schedule!BS46</f>
        <v>0</v>
      </c>
      <c r="BC44" s="177" t="str">
        <f>Schedule!BT46</f>
        <v>0</v>
      </c>
      <c r="BD44" s="177" t="str">
        <f>Schedule!BU46</f>
        <v>0</v>
      </c>
      <c r="BE44" s="177" t="str">
        <f>Schedule!BV46</f>
        <v>0</v>
      </c>
      <c r="BF44" s="177" t="str">
        <f>Schedule!BW46</f>
        <v>0</v>
      </c>
      <c r="BG44" s="177" t="str">
        <f>Schedule!BX46</f>
        <v>0</v>
      </c>
      <c r="BH44" s="177" t="str">
        <f>Schedule!BY46</f>
        <v>0</v>
      </c>
      <c r="BI44" s="177" t="str">
        <f>Schedule!BZ46</f>
        <v>0</v>
      </c>
      <c r="BJ44" s="177" t="str">
        <f>Schedule!CA46</f>
        <v>0</v>
      </c>
      <c r="BK44" s="178"/>
      <c r="BL44" s="177" t="str">
        <f>Schedule!CB46</f>
        <v>0</v>
      </c>
      <c r="BM44" s="177" t="str">
        <f>Schedule!CC46</f>
        <v>0</v>
      </c>
      <c r="BN44" s="177" t="str">
        <f>Schedule!CD46</f>
        <v>0</v>
      </c>
      <c r="BO44" s="177" t="str">
        <f>Schedule!CE46</f>
        <v>0</v>
      </c>
      <c r="BP44" s="177" t="str">
        <f>Schedule!CF46</f>
        <v>0</v>
      </c>
      <c r="BQ44" s="177" t="str">
        <f>Schedule!CG46</f>
        <v>0</v>
      </c>
      <c r="BR44" s="177" t="str">
        <f>Schedule!CH46</f>
        <v>0</v>
      </c>
      <c r="BS44" s="177" t="str">
        <f>Schedule!CI46</f>
        <v>0</v>
      </c>
      <c r="BT44" s="177" t="str">
        <f>Schedule!CJ46</f>
        <v>0</v>
      </c>
      <c r="BU44" s="178"/>
      <c r="BV44" s="177" t="str">
        <f>Schedule!CK46</f>
        <v>0</v>
      </c>
      <c r="BW44" s="177" t="str">
        <f>Schedule!CL46</f>
        <v>0</v>
      </c>
      <c r="BX44" s="177" t="str">
        <f>Schedule!CM46</f>
        <v>0</v>
      </c>
      <c r="BY44" s="177" t="str">
        <f>Schedule!CN46</f>
        <v>0</v>
      </c>
      <c r="BZ44" s="177" t="str">
        <f>Schedule!CO46</f>
        <v>0</v>
      </c>
      <c r="CA44" s="177" t="str">
        <f>Schedule!CP46</f>
        <v>0</v>
      </c>
      <c r="CB44" s="177" t="str">
        <f>Schedule!CQ46</f>
        <v>0</v>
      </c>
      <c r="CC44" s="177" t="str">
        <f>Schedule!CR46</f>
        <v>0</v>
      </c>
      <c r="CD44" s="177" t="str">
        <f>Schedule!CS46</f>
        <v>0</v>
      </c>
      <c r="CE44" s="178"/>
      <c r="CF44" s="177" t="str">
        <f>Schedule!CT46</f>
        <v>0</v>
      </c>
      <c r="CG44" s="177" t="str">
        <f>Schedule!CU46</f>
        <v>0</v>
      </c>
      <c r="CH44" s="177" t="str">
        <f>Schedule!CV46</f>
        <v>0</v>
      </c>
      <c r="CI44" s="177" t="str">
        <f>Schedule!CW46</f>
        <v>0</v>
      </c>
      <c r="CJ44" s="177" t="str">
        <f>Schedule!CX46</f>
        <v>0</v>
      </c>
      <c r="CK44" s="177" t="str">
        <f>Schedule!CY46</f>
        <v>0</v>
      </c>
      <c r="CL44" s="177" t="str">
        <f>Schedule!CZ46</f>
        <v>0</v>
      </c>
      <c r="CM44" s="177" t="str">
        <f>Schedule!DA46</f>
        <v>0</v>
      </c>
      <c r="CN44" s="177" t="str">
        <f>Schedule!DB46</f>
        <v>0</v>
      </c>
      <c r="CO44" s="178"/>
      <c r="CP44" s="177" t="str">
        <f>Schedule!DC46</f>
        <v>0</v>
      </c>
      <c r="CQ44" s="177" t="str">
        <f>Schedule!DD46</f>
        <v>0</v>
      </c>
      <c r="CR44" s="177" t="str">
        <f>Schedule!DE46</f>
        <v>0</v>
      </c>
      <c r="CS44" s="177" t="str">
        <f>Schedule!DF46</f>
        <v>0</v>
      </c>
      <c r="CT44" s="177" t="str">
        <f>Schedule!DG46</f>
        <v>0</v>
      </c>
      <c r="CU44" s="177" t="str">
        <f>Schedule!DH46</f>
        <v>0</v>
      </c>
      <c r="CV44" s="177" t="str">
        <f>Schedule!DI46</f>
        <v>0</v>
      </c>
      <c r="CW44" s="177" t="str">
        <f>Schedule!DJ46</f>
        <v>0</v>
      </c>
      <c r="CX44" s="177" t="str">
        <f>Schedule!DK46</f>
        <v>0</v>
      </c>
      <c r="CY44" s="178"/>
      <c r="CZ44" s="177" t="str">
        <f>Schedule!DL46</f>
        <v>0</v>
      </c>
      <c r="DA44" s="177" t="str">
        <f>Schedule!DM46</f>
        <v>0</v>
      </c>
      <c r="DB44" s="177" t="str">
        <f>Schedule!DN46</f>
        <v>0</v>
      </c>
      <c r="DC44" s="177" t="str">
        <f>Schedule!DO46</f>
        <v>0</v>
      </c>
      <c r="DD44" s="177" t="str">
        <f>Schedule!DP46</f>
        <v>0</v>
      </c>
      <c r="DE44" s="177" t="str">
        <f>Schedule!DQ46</f>
        <v>0</v>
      </c>
      <c r="DF44" s="177" t="str">
        <f>Schedule!DR46</f>
        <v>0</v>
      </c>
      <c r="DG44" s="177" t="str">
        <f>Schedule!DS46</f>
        <v>0</v>
      </c>
      <c r="DH44" s="177" t="str">
        <f>Schedule!DT46</f>
        <v>0</v>
      </c>
      <c r="DI44" s="178"/>
      <c r="DJ44" s="177" t="str">
        <f>Schedule!DU46</f>
        <v>0</v>
      </c>
      <c r="DK44" s="177" t="str">
        <f>Schedule!DV46</f>
        <v>0</v>
      </c>
      <c r="DL44" s="177" t="str">
        <f>Schedule!DW46</f>
        <v>0</v>
      </c>
      <c r="DM44" s="177" t="str">
        <f>Schedule!DX46</f>
        <v>0</v>
      </c>
      <c r="DN44" s="177" t="str">
        <f>Schedule!DY46</f>
        <v>0</v>
      </c>
      <c r="DO44" s="177" t="str">
        <f>Schedule!DZ46</f>
        <v>0</v>
      </c>
      <c r="DP44" s="177" t="str">
        <f>Schedule!EA46</f>
        <v>0</v>
      </c>
      <c r="DQ44" s="177" t="str">
        <f>Schedule!EB46</f>
        <v>0</v>
      </c>
      <c r="DR44" s="177" t="str">
        <f>Schedule!EC46</f>
        <v>0</v>
      </c>
      <c r="DS44" s="178"/>
      <c r="DT44" s="177" t="str">
        <f>Schedule!ED46</f>
        <v>0</v>
      </c>
      <c r="DU44" s="177" t="str">
        <f>Schedule!EE46</f>
        <v>0</v>
      </c>
      <c r="DV44" s="177" t="str">
        <f>Schedule!EF46</f>
        <v>0</v>
      </c>
      <c r="DW44" s="177" t="str">
        <f>Schedule!EG46</f>
        <v>0</v>
      </c>
      <c r="DX44" s="177" t="str">
        <f>Schedule!EH46</f>
        <v>0</v>
      </c>
      <c r="DY44" s="177" t="str">
        <f>Schedule!EI46</f>
        <v>0</v>
      </c>
      <c r="DZ44" s="177" t="str">
        <f>Schedule!EJ46</f>
        <v>0</v>
      </c>
      <c r="EA44" s="177" t="str">
        <f>Schedule!EK46</f>
        <v>0</v>
      </c>
      <c r="EB44" s="177" t="str">
        <f>Schedule!EL46</f>
        <v>0</v>
      </c>
      <c r="EC44" s="178"/>
      <c r="ED44" s="177" t="str">
        <f>Schedule!EM46</f>
        <v>0</v>
      </c>
      <c r="EE44" s="177" t="str">
        <f>Schedule!EN46</f>
        <v>0</v>
      </c>
      <c r="EF44" s="177" t="str">
        <f>Schedule!EO46</f>
        <v>0</v>
      </c>
      <c r="EG44" s="177" t="str">
        <f>Schedule!EP46</f>
        <v>0</v>
      </c>
      <c r="EH44" s="177" t="str">
        <f>Schedule!EQ46</f>
        <v>0</v>
      </c>
      <c r="EI44" s="177" t="str">
        <f>Schedule!ER46</f>
        <v>0</v>
      </c>
      <c r="EJ44" s="177" t="str">
        <f>Schedule!ES46</f>
        <v>0</v>
      </c>
      <c r="EK44" s="177" t="str">
        <f>Schedule!ET46</f>
        <v>0</v>
      </c>
      <c r="EL44" s="177" t="str">
        <f>Schedule!EU46</f>
        <v>0</v>
      </c>
      <c r="EM44" s="178"/>
      <c r="EN44" s="177" t="str">
        <f>Schedule!EV46</f>
        <v>0</v>
      </c>
      <c r="EO44" s="177" t="str">
        <f>Schedule!EW46</f>
        <v>0</v>
      </c>
      <c r="EP44" s="177" t="str">
        <f>Schedule!EX46</f>
        <v>0</v>
      </c>
      <c r="EQ44" s="177" t="str">
        <f>Schedule!EY46</f>
        <v>0</v>
      </c>
      <c r="ER44" s="177" t="str">
        <f>Schedule!EZ46</f>
        <v>0</v>
      </c>
      <c r="ES44" s="177" t="str">
        <f>Schedule!FA46</f>
        <v>0</v>
      </c>
      <c r="ET44" s="177" t="str">
        <f>Schedule!FB46</f>
        <v>0</v>
      </c>
      <c r="EU44" s="177" t="str">
        <f>Schedule!FC46</f>
        <v>0</v>
      </c>
      <c r="EV44" s="177" t="str">
        <f>Schedule!FD46</f>
        <v>0</v>
      </c>
      <c r="EW44" s="178"/>
      <c r="EX44" s="177" t="str">
        <f>Schedule!FE46</f>
        <v>0</v>
      </c>
      <c r="EY44" s="177" t="str">
        <f>Schedule!FF46</f>
        <v>0</v>
      </c>
      <c r="EZ44" s="177" t="str">
        <f>Schedule!FG46</f>
        <v>0</v>
      </c>
      <c r="FA44" s="177" t="str">
        <f>Schedule!FH46</f>
        <v>0</v>
      </c>
      <c r="FB44" s="177" t="str">
        <f>Schedule!FI46</f>
        <v>0</v>
      </c>
      <c r="FC44" s="177" t="str">
        <f>Schedule!FJ46</f>
        <v>0</v>
      </c>
      <c r="FD44" s="177" t="str">
        <f>Schedule!FK46</f>
        <v>0</v>
      </c>
      <c r="FE44" s="177" t="str">
        <f>Schedule!FL46</f>
        <v>0</v>
      </c>
      <c r="FF44" s="177" t="str">
        <f>Schedule!FM46</f>
        <v>0</v>
      </c>
      <c r="FG44" s="178"/>
      <c r="FH44" s="177" t="str">
        <f>Schedule!FN46</f>
        <v>0</v>
      </c>
      <c r="FI44" s="177" t="str">
        <f>Schedule!FO46</f>
        <v>0</v>
      </c>
      <c r="FJ44" s="177" t="str">
        <f>Schedule!FP46</f>
        <v>0</v>
      </c>
      <c r="FK44" s="177" t="str">
        <f>Schedule!FQ46</f>
        <v>0</v>
      </c>
      <c r="FL44" s="177" t="str">
        <f>Schedule!FR46</f>
        <v>0</v>
      </c>
      <c r="FM44" s="177" t="str">
        <f>Schedule!FS46</f>
        <v>0</v>
      </c>
      <c r="FN44" s="177" t="str">
        <f>Schedule!FT46</f>
        <v>0</v>
      </c>
      <c r="FO44" s="177" t="str">
        <f>Schedule!FU46</f>
        <v>0</v>
      </c>
      <c r="FP44" s="177" t="str">
        <f>Schedule!FV46</f>
        <v>0</v>
      </c>
      <c r="FQ44" s="178"/>
      <c r="FR44" s="177" t="str">
        <f>Schedule!FW46</f>
        <v>0</v>
      </c>
      <c r="FS44" s="177" t="str">
        <f>Schedule!FX46</f>
        <v>0</v>
      </c>
      <c r="FT44" s="177" t="str">
        <f>Schedule!FY46</f>
        <v>0</v>
      </c>
      <c r="FU44" s="177" t="str">
        <f>Schedule!FZ46</f>
        <v>0</v>
      </c>
      <c r="FV44" s="177" t="str">
        <f>Schedule!GA46</f>
        <v>0</v>
      </c>
      <c r="FW44" s="177" t="str">
        <f>Schedule!GB46</f>
        <v>0</v>
      </c>
      <c r="FX44" s="177" t="str">
        <f>Schedule!GC46</f>
        <v>0</v>
      </c>
      <c r="FY44" s="177" t="str">
        <f>Schedule!GD46</f>
        <v>0</v>
      </c>
      <c r="FZ44" s="177" t="str">
        <f>Schedule!GE46</f>
        <v>0</v>
      </c>
      <c r="GA44" s="178"/>
      <c r="GB44" s="177" t="str">
        <f>Schedule!GF46</f>
        <v>0</v>
      </c>
      <c r="GC44" s="177" t="str">
        <f>Schedule!GG46</f>
        <v>0</v>
      </c>
      <c r="GD44" s="177" t="str">
        <f>Schedule!GH46</f>
        <v>0</v>
      </c>
      <c r="GE44" s="177" t="str">
        <f>Schedule!GI46</f>
        <v>0</v>
      </c>
      <c r="GF44" s="177" t="str">
        <f>Schedule!GJ46</f>
        <v>0</v>
      </c>
      <c r="GG44" s="177" t="str">
        <f>Schedule!GK46</f>
        <v>0</v>
      </c>
      <c r="GH44" s="177" t="str">
        <f>Schedule!GL46</f>
        <v>0</v>
      </c>
      <c r="GI44" s="177" t="str">
        <f>Schedule!GM46</f>
        <v>0</v>
      </c>
      <c r="GJ44" s="177" t="str">
        <f>Schedule!GN46</f>
        <v>0</v>
      </c>
      <c r="GK44" s="178"/>
      <c r="GL44" s="177" t="str">
        <f>Schedule!GO46</f>
        <v>0</v>
      </c>
      <c r="GM44" s="177" t="str">
        <f>Schedule!GP46</f>
        <v>0</v>
      </c>
      <c r="GN44" s="177" t="str">
        <f>Schedule!GQ46</f>
        <v>0</v>
      </c>
      <c r="GO44" s="177" t="str">
        <f>Schedule!GR46</f>
        <v>0</v>
      </c>
      <c r="GP44" s="177" t="str">
        <f>Schedule!GS46</f>
        <v>0</v>
      </c>
      <c r="GQ44" s="177" t="str">
        <f>Schedule!GT46</f>
        <v>0</v>
      </c>
      <c r="GR44" s="177" t="str">
        <f>Schedule!GU46</f>
        <v>0</v>
      </c>
      <c r="GS44" s="177" t="str">
        <f>Schedule!GV46</f>
        <v>0</v>
      </c>
      <c r="GT44" s="177" t="str">
        <f>Schedule!GW46</f>
        <v>0</v>
      </c>
    </row>
    <row r="45" spans="1:205" ht="18" customHeight="1">
      <c r="B45" s="269"/>
      <c r="C45" s="169">
        <f>Schedule!C47</f>
        <v>0</v>
      </c>
      <c r="D45" s="177" t="str">
        <f>Schedule!Z47</f>
        <v>0</v>
      </c>
      <c r="E45" s="177" t="str">
        <f>Schedule!AA47</f>
        <v>0</v>
      </c>
      <c r="F45" s="177" t="str">
        <f>Schedule!AB47</f>
        <v>0</v>
      </c>
      <c r="G45" s="177" t="str">
        <f>Schedule!AC47</f>
        <v>0</v>
      </c>
      <c r="H45" s="177" t="str">
        <f>Schedule!AD47</f>
        <v>0</v>
      </c>
      <c r="I45" s="177" t="str">
        <f>Schedule!AE47</f>
        <v>0</v>
      </c>
      <c r="J45" s="177" t="str">
        <f>Schedule!AF47</f>
        <v>0</v>
      </c>
      <c r="K45" s="182" t="str">
        <f>Schedule!AG47</f>
        <v>0</v>
      </c>
      <c r="L45" s="182" t="str">
        <f>Schedule!AH47</f>
        <v>0</v>
      </c>
      <c r="M45" s="178"/>
      <c r="N45" s="184" t="str">
        <f>Schedule!AI47</f>
        <v>0</v>
      </c>
      <c r="O45" s="177" t="str">
        <f>Schedule!AJ47</f>
        <v>0</v>
      </c>
      <c r="P45" s="177" t="str">
        <f>Schedule!AK47</f>
        <v>0</v>
      </c>
      <c r="Q45" s="177" t="str">
        <f>Schedule!AL47</f>
        <v>0</v>
      </c>
      <c r="R45" s="177" t="str">
        <f>Schedule!AM47</f>
        <v>0</v>
      </c>
      <c r="S45" s="177" t="str">
        <f>Schedule!AN47</f>
        <v>0</v>
      </c>
      <c r="T45" s="177" t="str">
        <f>Schedule!AO47</f>
        <v>0</v>
      </c>
      <c r="U45" s="177" t="str">
        <f>Schedule!AP47</f>
        <v>0</v>
      </c>
      <c r="V45" s="177" t="str">
        <f>Schedule!AQ47</f>
        <v>0</v>
      </c>
      <c r="W45" s="178"/>
      <c r="X45" s="177" t="str">
        <f>Schedule!AR47</f>
        <v>0</v>
      </c>
      <c r="Y45" s="177" t="str">
        <f>Schedule!AS47</f>
        <v>0</v>
      </c>
      <c r="Z45" s="177" t="str">
        <f>Schedule!AT47</f>
        <v>0</v>
      </c>
      <c r="AA45" s="177" t="str">
        <f>Schedule!AU47</f>
        <v>0</v>
      </c>
      <c r="AB45" s="177" t="str">
        <f>Schedule!AV47</f>
        <v>0</v>
      </c>
      <c r="AC45" s="177" t="str">
        <f>Schedule!AW47</f>
        <v>0</v>
      </c>
      <c r="AD45" s="177" t="str">
        <f>Schedule!AX47</f>
        <v>0</v>
      </c>
      <c r="AE45" s="177" t="str">
        <f>Schedule!AY47</f>
        <v>0</v>
      </c>
      <c r="AF45" s="177" t="str">
        <f>Schedule!AZ47</f>
        <v>0</v>
      </c>
      <c r="AG45" s="178"/>
      <c r="AH45" s="177" t="str">
        <f>Schedule!BA47</f>
        <v>0</v>
      </c>
      <c r="AI45" s="177" t="str">
        <f>Schedule!BB47</f>
        <v>0</v>
      </c>
      <c r="AJ45" s="177" t="str">
        <f>Schedule!BC47</f>
        <v>0</v>
      </c>
      <c r="AK45" s="177" t="str">
        <f>Schedule!BD47</f>
        <v>0</v>
      </c>
      <c r="AL45" s="177" t="str">
        <f>Schedule!BE47</f>
        <v>0</v>
      </c>
      <c r="AM45" s="177" t="str">
        <f>Schedule!BF47</f>
        <v>0</v>
      </c>
      <c r="AN45" s="177" t="str">
        <f>Schedule!BG47</f>
        <v>0</v>
      </c>
      <c r="AO45" s="177" t="str">
        <f>Schedule!BH47</f>
        <v>0</v>
      </c>
      <c r="AP45" s="177" t="str">
        <f>Schedule!BI47</f>
        <v>0</v>
      </c>
      <c r="AQ45" s="178"/>
      <c r="AR45" s="177" t="str">
        <f>Schedule!BJ47</f>
        <v>0</v>
      </c>
      <c r="AS45" s="177" t="str">
        <f>Schedule!BK47</f>
        <v>0</v>
      </c>
      <c r="AT45" s="177" t="str">
        <f>Schedule!BL47</f>
        <v>0</v>
      </c>
      <c r="AU45" s="177" t="str">
        <f>Schedule!BM47</f>
        <v>0</v>
      </c>
      <c r="AV45" s="177" t="str">
        <f>Schedule!BN47</f>
        <v>0</v>
      </c>
      <c r="AW45" s="177" t="str">
        <f>Schedule!BO47</f>
        <v>0</v>
      </c>
      <c r="AX45" s="177" t="str">
        <f>Schedule!BP47</f>
        <v>0</v>
      </c>
      <c r="AY45" s="177" t="str">
        <f>Schedule!BQ47</f>
        <v>0</v>
      </c>
      <c r="AZ45" s="177" t="str">
        <f>Schedule!BR47</f>
        <v>0</v>
      </c>
      <c r="BA45" s="178"/>
      <c r="BB45" s="177" t="str">
        <f>Schedule!BS47</f>
        <v>0</v>
      </c>
      <c r="BC45" s="177" t="str">
        <f>Schedule!BT47</f>
        <v>0</v>
      </c>
      <c r="BD45" s="177" t="str">
        <f>Schedule!BU47</f>
        <v>0</v>
      </c>
      <c r="BE45" s="177" t="str">
        <f>Schedule!BV47</f>
        <v>0</v>
      </c>
      <c r="BF45" s="177" t="str">
        <f>Schedule!BW47</f>
        <v>0</v>
      </c>
      <c r="BG45" s="177" t="str">
        <f>Schedule!BX47</f>
        <v>0</v>
      </c>
      <c r="BH45" s="177" t="str">
        <f>Schedule!BY47</f>
        <v>0</v>
      </c>
      <c r="BI45" s="177" t="str">
        <f>Schedule!BZ47</f>
        <v>0</v>
      </c>
      <c r="BJ45" s="177" t="str">
        <f>Schedule!CA47</f>
        <v>0</v>
      </c>
      <c r="BK45" s="178"/>
      <c r="BL45" s="177" t="str">
        <f>Schedule!CB47</f>
        <v>0</v>
      </c>
      <c r="BM45" s="177" t="str">
        <f>Schedule!CC47</f>
        <v>0</v>
      </c>
      <c r="BN45" s="177" t="str">
        <f>Schedule!CD47</f>
        <v>0</v>
      </c>
      <c r="BO45" s="177" t="str">
        <f>Schedule!CE47</f>
        <v>0</v>
      </c>
      <c r="BP45" s="177" t="str">
        <f>Schedule!CF47</f>
        <v>0</v>
      </c>
      <c r="BQ45" s="177" t="str">
        <f>Schedule!CG47</f>
        <v>0</v>
      </c>
      <c r="BR45" s="177" t="str">
        <f>Schedule!CH47</f>
        <v>0</v>
      </c>
      <c r="BS45" s="177" t="str">
        <f>Schedule!CI47</f>
        <v>0</v>
      </c>
      <c r="BT45" s="177" t="str">
        <f>Schedule!CJ47</f>
        <v>0</v>
      </c>
      <c r="BU45" s="178"/>
      <c r="BV45" s="177" t="str">
        <f>Schedule!CK47</f>
        <v>0</v>
      </c>
      <c r="BW45" s="177" t="str">
        <f>Schedule!CL47</f>
        <v>0</v>
      </c>
      <c r="BX45" s="177" t="str">
        <f>Schedule!CM47</f>
        <v>0</v>
      </c>
      <c r="BY45" s="177" t="str">
        <f>Schedule!CN47</f>
        <v>0</v>
      </c>
      <c r="BZ45" s="177" t="str">
        <f>Schedule!CO47</f>
        <v>0</v>
      </c>
      <c r="CA45" s="177" t="str">
        <f>Schedule!CP47</f>
        <v>0</v>
      </c>
      <c r="CB45" s="177" t="str">
        <f>Schedule!CQ47</f>
        <v>0</v>
      </c>
      <c r="CC45" s="177" t="str">
        <f>Schedule!CR47</f>
        <v>0</v>
      </c>
      <c r="CD45" s="177" t="str">
        <f>Schedule!CS47</f>
        <v>0</v>
      </c>
      <c r="CE45" s="178"/>
      <c r="CF45" s="177" t="str">
        <f>Schedule!CT47</f>
        <v>0</v>
      </c>
      <c r="CG45" s="177" t="str">
        <f>Schedule!CU47</f>
        <v>0</v>
      </c>
      <c r="CH45" s="177" t="str">
        <f>Schedule!CV47</f>
        <v>0</v>
      </c>
      <c r="CI45" s="177" t="str">
        <f>Schedule!CW47</f>
        <v>0</v>
      </c>
      <c r="CJ45" s="177" t="str">
        <f>Schedule!CX47</f>
        <v>0</v>
      </c>
      <c r="CK45" s="177" t="str">
        <f>Schedule!CY47</f>
        <v>0</v>
      </c>
      <c r="CL45" s="177" t="str">
        <f>Schedule!CZ47</f>
        <v>0</v>
      </c>
      <c r="CM45" s="177" t="str">
        <f>Schedule!DA47</f>
        <v>0</v>
      </c>
      <c r="CN45" s="177" t="str">
        <f>Schedule!DB47</f>
        <v>0</v>
      </c>
      <c r="CO45" s="178"/>
      <c r="CP45" s="177" t="str">
        <f>Schedule!DC47</f>
        <v>0</v>
      </c>
      <c r="CQ45" s="177" t="str">
        <f>Schedule!DD47</f>
        <v>0</v>
      </c>
      <c r="CR45" s="177" t="str">
        <f>Schedule!DE47</f>
        <v>0</v>
      </c>
      <c r="CS45" s="177" t="str">
        <f>Schedule!DF47</f>
        <v>0</v>
      </c>
      <c r="CT45" s="177" t="str">
        <f>Schedule!DG47</f>
        <v>0</v>
      </c>
      <c r="CU45" s="177" t="str">
        <f>Schedule!DH47</f>
        <v>0</v>
      </c>
      <c r="CV45" s="177" t="str">
        <f>Schedule!DI47</f>
        <v>0</v>
      </c>
      <c r="CW45" s="177" t="str">
        <f>Schedule!DJ47</f>
        <v>0</v>
      </c>
      <c r="CX45" s="177" t="str">
        <f>Schedule!DK47</f>
        <v>0</v>
      </c>
      <c r="CY45" s="178"/>
      <c r="CZ45" s="177" t="str">
        <f>Schedule!DL47</f>
        <v>0</v>
      </c>
      <c r="DA45" s="177" t="str">
        <f>Schedule!DM47</f>
        <v>0</v>
      </c>
      <c r="DB45" s="177" t="str">
        <f>Schedule!DN47</f>
        <v>0</v>
      </c>
      <c r="DC45" s="177" t="str">
        <f>Schedule!DO47</f>
        <v>0</v>
      </c>
      <c r="DD45" s="177" t="str">
        <f>Schedule!DP47</f>
        <v>0</v>
      </c>
      <c r="DE45" s="177" t="str">
        <f>Schedule!DQ47</f>
        <v>0</v>
      </c>
      <c r="DF45" s="177" t="str">
        <f>Schedule!DR47</f>
        <v>0</v>
      </c>
      <c r="DG45" s="177" t="str">
        <f>Schedule!DS47</f>
        <v>0</v>
      </c>
      <c r="DH45" s="177" t="str">
        <f>Schedule!DT47</f>
        <v>0</v>
      </c>
      <c r="DI45" s="178"/>
      <c r="DJ45" s="177" t="str">
        <f>Schedule!DU47</f>
        <v>0</v>
      </c>
      <c r="DK45" s="177" t="str">
        <f>Schedule!DV47</f>
        <v>0</v>
      </c>
      <c r="DL45" s="177" t="str">
        <f>Schedule!DW47</f>
        <v>0</v>
      </c>
      <c r="DM45" s="177" t="str">
        <f>Schedule!DX47</f>
        <v>0</v>
      </c>
      <c r="DN45" s="177" t="str">
        <f>Schedule!DY47</f>
        <v>0</v>
      </c>
      <c r="DO45" s="177" t="str">
        <f>Schedule!DZ47</f>
        <v>0</v>
      </c>
      <c r="DP45" s="177" t="str">
        <f>Schedule!EA47</f>
        <v>0</v>
      </c>
      <c r="DQ45" s="177" t="str">
        <f>Schedule!EB47</f>
        <v>0</v>
      </c>
      <c r="DR45" s="177" t="str">
        <f>Schedule!EC47</f>
        <v>0</v>
      </c>
      <c r="DS45" s="178"/>
      <c r="DT45" s="177" t="str">
        <f>Schedule!ED47</f>
        <v>0</v>
      </c>
      <c r="DU45" s="177" t="str">
        <f>Schedule!EE47</f>
        <v>0</v>
      </c>
      <c r="DV45" s="177" t="str">
        <f>Schedule!EF47</f>
        <v>0</v>
      </c>
      <c r="DW45" s="177" t="str">
        <f>Schedule!EG47</f>
        <v>0</v>
      </c>
      <c r="DX45" s="177" t="str">
        <f>Schedule!EH47</f>
        <v>0</v>
      </c>
      <c r="DY45" s="177" t="str">
        <f>Schedule!EI47</f>
        <v>0</v>
      </c>
      <c r="DZ45" s="177" t="str">
        <f>Schedule!EJ47</f>
        <v>0</v>
      </c>
      <c r="EA45" s="177" t="str">
        <f>Schedule!EK47</f>
        <v>0</v>
      </c>
      <c r="EB45" s="177" t="str">
        <f>Schedule!EL47</f>
        <v>0</v>
      </c>
      <c r="EC45" s="178"/>
      <c r="ED45" s="177" t="str">
        <f>Schedule!EM47</f>
        <v>0</v>
      </c>
      <c r="EE45" s="177" t="str">
        <f>Schedule!EN47</f>
        <v>0</v>
      </c>
      <c r="EF45" s="177" t="str">
        <f>Schedule!EO47</f>
        <v>0</v>
      </c>
      <c r="EG45" s="177" t="str">
        <f>Schedule!EP47</f>
        <v>0</v>
      </c>
      <c r="EH45" s="177" t="str">
        <f>Schedule!EQ47</f>
        <v>0</v>
      </c>
      <c r="EI45" s="177" t="str">
        <f>Schedule!ER47</f>
        <v>0</v>
      </c>
      <c r="EJ45" s="177" t="str">
        <f>Schedule!ES47</f>
        <v>0</v>
      </c>
      <c r="EK45" s="177" t="str">
        <f>Schedule!ET47</f>
        <v>0</v>
      </c>
      <c r="EL45" s="177" t="str">
        <f>Schedule!EU47</f>
        <v>0</v>
      </c>
      <c r="EM45" s="178"/>
      <c r="EN45" s="177" t="str">
        <f>Schedule!EV47</f>
        <v>0</v>
      </c>
      <c r="EO45" s="177" t="str">
        <f>Schedule!EW47</f>
        <v>0</v>
      </c>
      <c r="EP45" s="177" t="str">
        <f>Schedule!EX47</f>
        <v>0</v>
      </c>
      <c r="EQ45" s="177" t="str">
        <f>Schedule!EY47</f>
        <v>0</v>
      </c>
      <c r="ER45" s="177" t="str">
        <f>Schedule!EZ47</f>
        <v>0</v>
      </c>
      <c r="ES45" s="177" t="str">
        <f>Schedule!FA47</f>
        <v>0</v>
      </c>
      <c r="ET45" s="177" t="str">
        <f>Schedule!FB47</f>
        <v>0</v>
      </c>
      <c r="EU45" s="177" t="str">
        <f>Schedule!FC47</f>
        <v>0</v>
      </c>
      <c r="EV45" s="177" t="str">
        <f>Schedule!FD47</f>
        <v>0</v>
      </c>
      <c r="EW45" s="178"/>
      <c r="EX45" s="177" t="str">
        <f>Schedule!FE47</f>
        <v>0</v>
      </c>
      <c r="EY45" s="177" t="str">
        <f>Schedule!FF47</f>
        <v>0</v>
      </c>
      <c r="EZ45" s="177" t="str">
        <f>Schedule!FG47</f>
        <v>0</v>
      </c>
      <c r="FA45" s="177" t="str">
        <f>Schedule!FH47</f>
        <v>0</v>
      </c>
      <c r="FB45" s="177" t="str">
        <f>Schedule!FI47</f>
        <v>0</v>
      </c>
      <c r="FC45" s="177" t="str">
        <f>Schedule!FJ47</f>
        <v>0</v>
      </c>
      <c r="FD45" s="177" t="str">
        <f>Schedule!FK47</f>
        <v>0</v>
      </c>
      <c r="FE45" s="177" t="str">
        <f>Schedule!FL47</f>
        <v>0</v>
      </c>
      <c r="FF45" s="177" t="str">
        <f>Schedule!FM47</f>
        <v>0</v>
      </c>
      <c r="FG45" s="178"/>
      <c r="FH45" s="177" t="str">
        <f>Schedule!FN47</f>
        <v>0</v>
      </c>
      <c r="FI45" s="177" t="str">
        <f>Schedule!FO47</f>
        <v>0</v>
      </c>
      <c r="FJ45" s="177" t="str">
        <f>Schedule!FP47</f>
        <v>0</v>
      </c>
      <c r="FK45" s="177" t="str">
        <f>Schedule!FQ47</f>
        <v>0</v>
      </c>
      <c r="FL45" s="177" t="str">
        <f>Schedule!FR47</f>
        <v>0</v>
      </c>
      <c r="FM45" s="177" t="str">
        <f>Schedule!FS47</f>
        <v>0</v>
      </c>
      <c r="FN45" s="177" t="str">
        <f>Schedule!FT47</f>
        <v>0</v>
      </c>
      <c r="FO45" s="177" t="str">
        <f>Schedule!FU47</f>
        <v>0</v>
      </c>
      <c r="FP45" s="177" t="str">
        <f>Schedule!FV47</f>
        <v>0</v>
      </c>
      <c r="FQ45" s="178"/>
      <c r="FR45" s="177" t="str">
        <f>Schedule!FW47</f>
        <v>0</v>
      </c>
      <c r="FS45" s="177" t="str">
        <f>Schedule!FX47</f>
        <v>0</v>
      </c>
      <c r="FT45" s="177" t="str">
        <f>Schedule!FY47</f>
        <v>0</v>
      </c>
      <c r="FU45" s="177" t="str">
        <f>Schedule!FZ47</f>
        <v>0</v>
      </c>
      <c r="FV45" s="177" t="str">
        <f>Schedule!GA47</f>
        <v>0</v>
      </c>
      <c r="FW45" s="177" t="str">
        <f>Schedule!GB47</f>
        <v>0</v>
      </c>
      <c r="FX45" s="177" t="str">
        <f>Schedule!GC47</f>
        <v>0</v>
      </c>
      <c r="FY45" s="177" t="str">
        <f>Schedule!GD47</f>
        <v>0</v>
      </c>
      <c r="FZ45" s="177" t="str">
        <f>Schedule!GE47</f>
        <v>0</v>
      </c>
      <c r="GA45" s="178"/>
      <c r="GB45" s="177" t="str">
        <f>Schedule!GF47</f>
        <v>0</v>
      </c>
      <c r="GC45" s="177" t="str">
        <f>Schedule!GG47</f>
        <v>0</v>
      </c>
      <c r="GD45" s="177" t="str">
        <f>Schedule!GH47</f>
        <v>0</v>
      </c>
      <c r="GE45" s="177" t="str">
        <f>Schedule!GI47</f>
        <v>0</v>
      </c>
      <c r="GF45" s="177" t="str">
        <f>Schedule!GJ47</f>
        <v>0</v>
      </c>
      <c r="GG45" s="177" t="str">
        <f>Schedule!GK47</f>
        <v>0</v>
      </c>
      <c r="GH45" s="177" t="str">
        <f>Schedule!GL47</f>
        <v>0</v>
      </c>
      <c r="GI45" s="177" t="str">
        <f>Schedule!GM47</f>
        <v>0</v>
      </c>
      <c r="GJ45" s="177" t="str">
        <f>Schedule!GN47</f>
        <v>0</v>
      </c>
      <c r="GK45" s="178"/>
      <c r="GL45" s="177" t="str">
        <f>Schedule!GO47</f>
        <v>0</v>
      </c>
      <c r="GM45" s="177" t="str">
        <f>Schedule!GP47</f>
        <v>0</v>
      </c>
      <c r="GN45" s="177" t="str">
        <f>Schedule!GQ47</f>
        <v>0</v>
      </c>
      <c r="GO45" s="177" t="str">
        <f>Schedule!GR47</f>
        <v>0</v>
      </c>
      <c r="GP45" s="177" t="str">
        <f>Schedule!GS47</f>
        <v>0</v>
      </c>
      <c r="GQ45" s="177" t="str">
        <f>Schedule!GT47</f>
        <v>0</v>
      </c>
      <c r="GR45" s="177" t="str">
        <f>Schedule!GU47</f>
        <v>0</v>
      </c>
      <c r="GS45" s="177" t="str">
        <f>Schedule!GV47</f>
        <v>0</v>
      </c>
      <c r="GT45" s="177" t="str">
        <f>Schedule!GW47</f>
        <v>0</v>
      </c>
    </row>
    <row r="46" spans="1:205" ht="18" hidden="1" customHeight="1">
      <c r="B46" s="269"/>
      <c r="C46" s="169">
        <f>Schedule!C48</f>
        <v>0</v>
      </c>
      <c r="D46" s="177" t="str">
        <f>Schedule!Z48</f>
        <v>0</v>
      </c>
      <c r="E46" s="177" t="str">
        <f>Schedule!AA48</f>
        <v>0</v>
      </c>
      <c r="F46" s="177" t="str">
        <f>Schedule!AB48</f>
        <v>0</v>
      </c>
      <c r="G46" s="177" t="str">
        <f>Schedule!AC48</f>
        <v>0</v>
      </c>
      <c r="H46" s="177" t="str">
        <f>Schedule!AD48</f>
        <v>0</v>
      </c>
      <c r="I46" s="177" t="str">
        <f>Schedule!AE48</f>
        <v>0</v>
      </c>
      <c r="J46" s="177" t="str">
        <f>Schedule!AF48</f>
        <v>0</v>
      </c>
      <c r="K46" s="182" t="str">
        <f>Schedule!AG48</f>
        <v>0</v>
      </c>
      <c r="L46" s="182" t="str">
        <f>Schedule!AH48</f>
        <v>0</v>
      </c>
      <c r="M46" s="178"/>
      <c r="N46" s="184" t="str">
        <f>Schedule!AI48</f>
        <v>0</v>
      </c>
      <c r="O46" s="177" t="str">
        <f>Schedule!AJ48</f>
        <v>0</v>
      </c>
      <c r="P46" s="177" t="str">
        <f>Schedule!AK48</f>
        <v>0</v>
      </c>
      <c r="Q46" s="177" t="str">
        <f>Schedule!AL48</f>
        <v>0</v>
      </c>
      <c r="R46" s="177" t="str">
        <f>Schedule!AM48</f>
        <v>0</v>
      </c>
      <c r="S46" s="177" t="str">
        <f>Schedule!AN48</f>
        <v>0</v>
      </c>
      <c r="T46" s="177" t="str">
        <f>Schedule!AO48</f>
        <v>0</v>
      </c>
      <c r="U46" s="177" t="str">
        <f>Schedule!AP48</f>
        <v>0</v>
      </c>
      <c r="V46" s="177" t="str">
        <f>Schedule!AQ48</f>
        <v>0</v>
      </c>
      <c r="W46" s="178"/>
      <c r="X46" s="177" t="str">
        <f>Schedule!AR48</f>
        <v>0</v>
      </c>
      <c r="Y46" s="177" t="str">
        <f>Schedule!AS48</f>
        <v>0</v>
      </c>
      <c r="Z46" s="177" t="str">
        <f>Schedule!AT48</f>
        <v>0</v>
      </c>
      <c r="AA46" s="177" t="str">
        <f>Schedule!AU48</f>
        <v>0</v>
      </c>
      <c r="AB46" s="177" t="str">
        <f>Schedule!AV48</f>
        <v>0</v>
      </c>
      <c r="AC46" s="177" t="str">
        <f>Schedule!AW48</f>
        <v>0</v>
      </c>
      <c r="AD46" s="177" t="str">
        <f>Schedule!AX48</f>
        <v>0</v>
      </c>
      <c r="AE46" s="177" t="str">
        <f>Schedule!AY48</f>
        <v>0</v>
      </c>
      <c r="AF46" s="177" t="str">
        <f>Schedule!AZ48</f>
        <v>0</v>
      </c>
      <c r="AG46" s="178"/>
      <c r="AH46" s="177" t="str">
        <f>Schedule!BA48</f>
        <v>0</v>
      </c>
      <c r="AI46" s="177" t="str">
        <f>Schedule!BB48</f>
        <v>0</v>
      </c>
      <c r="AJ46" s="177" t="str">
        <f>Schedule!BC48</f>
        <v>0</v>
      </c>
      <c r="AK46" s="177" t="str">
        <f>Schedule!BD48</f>
        <v>0</v>
      </c>
      <c r="AL46" s="177" t="str">
        <f>Schedule!BE48</f>
        <v>0</v>
      </c>
      <c r="AM46" s="177" t="str">
        <f>Schedule!BF48</f>
        <v>0</v>
      </c>
      <c r="AN46" s="177" t="str">
        <f>Schedule!BG48</f>
        <v>0</v>
      </c>
      <c r="AO46" s="177" t="str">
        <f>Schedule!BH48</f>
        <v>0</v>
      </c>
      <c r="AP46" s="177" t="str">
        <f>Schedule!BI48</f>
        <v>0</v>
      </c>
      <c r="AQ46" s="178"/>
      <c r="AR46" s="177" t="str">
        <f>Schedule!BJ48</f>
        <v>0</v>
      </c>
      <c r="AS46" s="177" t="str">
        <f>Schedule!BK48</f>
        <v>0</v>
      </c>
      <c r="AT46" s="177" t="str">
        <f>Schedule!BL48</f>
        <v>0</v>
      </c>
      <c r="AU46" s="177" t="str">
        <f>Schedule!BM48</f>
        <v>0</v>
      </c>
      <c r="AV46" s="177" t="str">
        <f>Schedule!BN48</f>
        <v>0</v>
      </c>
      <c r="AW46" s="177" t="str">
        <f>Schedule!BO48</f>
        <v>0</v>
      </c>
      <c r="AX46" s="177" t="str">
        <f>Schedule!BP48</f>
        <v>0</v>
      </c>
      <c r="AY46" s="177" t="str">
        <f>Schedule!BQ48</f>
        <v>0</v>
      </c>
      <c r="AZ46" s="177" t="str">
        <f>Schedule!BR48</f>
        <v>0</v>
      </c>
      <c r="BA46" s="178"/>
      <c r="BB46" s="177" t="str">
        <f>Schedule!BS48</f>
        <v>0</v>
      </c>
      <c r="BC46" s="177" t="str">
        <f>Schedule!BT48</f>
        <v>0</v>
      </c>
      <c r="BD46" s="177" t="str">
        <f>Schedule!BU48</f>
        <v>0</v>
      </c>
      <c r="BE46" s="177" t="str">
        <f>Schedule!BV48</f>
        <v>0</v>
      </c>
      <c r="BF46" s="177" t="str">
        <f>Schedule!BW48</f>
        <v>0</v>
      </c>
      <c r="BG46" s="177" t="str">
        <f>Schedule!BX48</f>
        <v>0</v>
      </c>
      <c r="BH46" s="177" t="str">
        <f>Schedule!BY48</f>
        <v>0</v>
      </c>
      <c r="BI46" s="177" t="str">
        <f>Schedule!BZ48</f>
        <v>0</v>
      </c>
      <c r="BJ46" s="177" t="str">
        <f>Schedule!CA48</f>
        <v>0</v>
      </c>
      <c r="BK46" s="178"/>
      <c r="BL46" s="177" t="str">
        <f>Schedule!CB48</f>
        <v>0</v>
      </c>
      <c r="BM46" s="177" t="str">
        <f>Schedule!CC48</f>
        <v>0</v>
      </c>
      <c r="BN46" s="177" t="str">
        <f>Schedule!CD48</f>
        <v>0</v>
      </c>
      <c r="BO46" s="177" t="str">
        <f>Schedule!CE48</f>
        <v>0</v>
      </c>
      <c r="BP46" s="177" t="str">
        <f>Schedule!CF48</f>
        <v>0</v>
      </c>
      <c r="BQ46" s="177" t="str">
        <f>Schedule!CG48</f>
        <v>0</v>
      </c>
      <c r="BR46" s="177" t="str">
        <f>Schedule!CH48</f>
        <v>0</v>
      </c>
      <c r="BS46" s="177" t="str">
        <f>Schedule!CI48</f>
        <v>0</v>
      </c>
      <c r="BT46" s="177" t="str">
        <f>Schedule!CJ48</f>
        <v>0</v>
      </c>
      <c r="BU46" s="178"/>
      <c r="BV46" s="177" t="str">
        <f>Schedule!CK48</f>
        <v>0</v>
      </c>
      <c r="BW46" s="177" t="str">
        <f>Schedule!CL48</f>
        <v>0</v>
      </c>
      <c r="BX46" s="177" t="str">
        <f>Schedule!CM48</f>
        <v>0</v>
      </c>
      <c r="BY46" s="177" t="str">
        <f>Schedule!CN48</f>
        <v>0</v>
      </c>
      <c r="BZ46" s="177" t="str">
        <f>Schedule!CO48</f>
        <v>0</v>
      </c>
      <c r="CA46" s="177" t="str">
        <f>Schedule!CP48</f>
        <v>0</v>
      </c>
      <c r="CB46" s="177" t="str">
        <f>Schedule!CQ48</f>
        <v>0</v>
      </c>
      <c r="CC46" s="177" t="str">
        <f>Schedule!CR48</f>
        <v>0</v>
      </c>
      <c r="CD46" s="177" t="str">
        <f>Schedule!CS48</f>
        <v>0</v>
      </c>
      <c r="CE46" s="178"/>
      <c r="CF46" s="177" t="str">
        <f>Schedule!CT48</f>
        <v>0</v>
      </c>
      <c r="CG46" s="177" t="str">
        <f>Schedule!CU48</f>
        <v>0</v>
      </c>
      <c r="CH46" s="177" t="str">
        <f>Schedule!CV48</f>
        <v>0</v>
      </c>
      <c r="CI46" s="177" t="str">
        <f>Schedule!CW48</f>
        <v>0</v>
      </c>
      <c r="CJ46" s="177" t="str">
        <f>Schedule!CX48</f>
        <v>0</v>
      </c>
      <c r="CK46" s="177" t="str">
        <f>Schedule!CY48</f>
        <v>0</v>
      </c>
      <c r="CL46" s="177" t="str">
        <f>Schedule!CZ48</f>
        <v>0</v>
      </c>
      <c r="CM46" s="177" t="str">
        <f>Schedule!DA48</f>
        <v>0</v>
      </c>
      <c r="CN46" s="177" t="str">
        <f>Schedule!DB48</f>
        <v>0</v>
      </c>
      <c r="CO46" s="178"/>
      <c r="CP46" s="177" t="str">
        <f>Schedule!DC48</f>
        <v>0</v>
      </c>
      <c r="CQ46" s="177" t="str">
        <f>Schedule!DD48</f>
        <v>0</v>
      </c>
      <c r="CR46" s="177" t="str">
        <f>Schedule!DE48</f>
        <v>0</v>
      </c>
      <c r="CS46" s="177" t="str">
        <f>Schedule!DF48</f>
        <v>0</v>
      </c>
      <c r="CT46" s="177" t="str">
        <f>Schedule!DG48</f>
        <v>0</v>
      </c>
      <c r="CU46" s="177" t="str">
        <f>Schedule!DH48</f>
        <v>0</v>
      </c>
      <c r="CV46" s="177" t="str">
        <f>Schedule!DI48</f>
        <v>0</v>
      </c>
      <c r="CW46" s="177" t="str">
        <f>Schedule!DJ48</f>
        <v>0</v>
      </c>
      <c r="CX46" s="177" t="str">
        <f>Schedule!DK48</f>
        <v>0</v>
      </c>
      <c r="CY46" s="178"/>
      <c r="CZ46" s="177" t="str">
        <f>Schedule!DL48</f>
        <v>0</v>
      </c>
      <c r="DA46" s="177" t="str">
        <f>Schedule!DM48</f>
        <v>0</v>
      </c>
      <c r="DB46" s="177" t="str">
        <f>Schedule!DN48</f>
        <v>0</v>
      </c>
      <c r="DC46" s="177" t="str">
        <f>Schedule!DO48</f>
        <v>0</v>
      </c>
      <c r="DD46" s="177" t="str">
        <f>Schedule!DP48</f>
        <v>0</v>
      </c>
      <c r="DE46" s="177" t="str">
        <f>Schedule!DQ48</f>
        <v>0</v>
      </c>
      <c r="DF46" s="177" t="str">
        <f>Schedule!DR48</f>
        <v>0</v>
      </c>
      <c r="DG46" s="177" t="str">
        <f>Schedule!DS48</f>
        <v>0</v>
      </c>
      <c r="DH46" s="177" t="str">
        <f>Schedule!DT48</f>
        <v>0</v>
      </c>
      <c r="DI46" s="178"/>
      <c r="DJ46" s="177" t="str">
        <f>Schedule!DU48</f>
        <v>0</v>
      </c>
      <c r="DK46" s="177" t="str">
        <f>Schedule!DV48</f>
        <v>0</v>
      </c>
      <c r="DL46" s="177" t="str">
        <f>Schedule!DW48</f>
        <v>0</v>
      </c>
      <c r="DM46" s="177" t="str">
        <f>Schedule!DX48</f>
        <v>0</v>
      </c>
      <c r="DN46" s="177" t="str">
        <f>Schedule!DY48</f>
        <v>0</v>
      </c>
      <c r="DO46" s="177" t="str">
        <f>Schedule!DZ48</f>
        <v>0</v>
      </c>
      <c r="DP46" s="177" t="str">
        <f>Schedule!EA48</f>
        <v>0</v>
      </c>
      <c r="DQ46" s="177" t="str">
        <f>Schedule!EB48</f>
        <v>0</v>
      </c>
      <c r="DR46" s="177" t="str">
        <f>Schedule!EC48</f>
        <v>0</v>
      </c>
      <c r="DS46" s="178"/>
      <c r="DT46" s="177" t="str">
        <f>Schedule!ED48</f>
        <v>0</v>
      </c>
      <c r="DU46" s="177" t="str">
        <f>Schedule!EE48</f>
        <v>0</v>
      </c>
      <c r="DV46" s="177" t="str">
        <f>Schedule!EF48</f>
        <v>0</v>
      </c>
      <c r="DW46" s="177" t="str">
        <f>Schedule!EG48</f>
        <v>0</v>
      </c>
      <c r="DX46" s="177" t="str">
        <f>Schedule!EH48</f>
        <v>0</v>
      </c>
      <c r="DY46" s="177" t="str">
        <f>Schedule!EI48</f>
        <v>0</v>
      </c>
      <c r="DZ46" s="177" t="str">
        <f>Schedule!EJ48</f>
        <v>0</v>
      </c>
      <c r="EA46" s="177" t="str">
        <f>Schedule!EK48</f>
        <v>0</v>
      </c>
      <c r="EB46" s="177" t="str">
        <f>Schedule!EL48</f>
        <v>0</v>
      </c>
      <c r="EC46" s="178"/>
      <c r="ED46" s="177" t="str">
        <f>Schedule!EM48</f>
        <v>0</v>
      </c>
      <c r="EE46" s="177" t="str">
        <f>Schedule!EN48</f>
        <v>0</v>
      </c>
      <c r="EF46" s="177" t="str">
        <f>Schedule!EO48</f>
        <v>0</v>
      </c>
      <c r="EG46" s="177" t="str">
        <f>Schedule!EP48</f>
        <v>0</v>
      </c>
      <c r="EH46" s="177" t="str">
        <f>Schedule!EQ48</f>
        <v>0</v>
      </c>
      <c r="EI46" s="177" t="str">
        <f>Schedule!ER48</f>
        <v>0</v>
      </c>
      <c r="EJ46" s="177" t="str">
        <f>Schedule!ES48</f>
        <v>0</v>
      </c>
      <c r="EK46" s="177" t="str">
        <f>Schedule!ET48</f>
        <v>0</v>
      </c>
      <c r="EL46" s="177" t="str">
        <f>Schedule!EU48</f>
        <v>0</v>
      </c>
      <c r="EM46" s="178"/>
      <c r="EN46" s="177" t="str">
        <f>Schedule!EV48</f>
        <v>0</v>
      </c>
      <c r="EO46" s="177" t="str">
        <f>Schedule!EW48</f>
        <v>0</v>
      </c>
      <c r="EP46" s="177" t="str">
        <f>Schedule!EX48</f>
        <v>0</v>
      </c>
      <c r="EQ46" s="177" t="str">
        <f>Schedule!EY48</f>
        <v>0</v>
      </c>
      <c r="ER46" s="177" t="str">
        <f>Schedule!EZ48</f>
        <v>0</v>
      </c>
      <c r="ES46" s="177" t="str">
        <f>Schedule!FA48</f>
        <v>0</v>
      </c>
      <c r="ET46" s="177" t="str">
        <f>Schedule!FB48</f>
        <v>0</v>
      </c>
      <c r="EU46" s="177" t="str">
        <f>Schedule!FC48</f>
        <v>0</v>
      </c>
      <c r="EV46" s="177" t="str">
        <f>Schedule!FD48</f>
        <v>0</v>
      </c>
      <c r="EW46" s="178"/>
      <c r="EX46" s="177" t="str">
        <f>Schedule!FE48</f>
        <v>0</v>
      </c>
      <c r="EY46" s="177" t="str">
        <f>Schedule!FF48</f>
        <v>0</v>
      </c>
      <c r="EZ46" s="177" t="str">
        <f>Schedule!FG48</f>
        <v>0</v>
      </c>
      <c r="FA46" s="177" t="str">
        <f>Schedule!FH48</f>
        <v>0</v>
      </c>
      <c r="FB46" s="177" t="str">
        <f>Schedule!FI48</f>
        <v>0</v>
      </c>
      <c r="FC46" s="177" t="str">
        <f>Schedule!FJ48</f>
        <v>0</v>
      </c>
      <c r="FD46" s="177" t="str">
        <f>Schedule!FK48</f>
        <v>0</v>
      </c>
      <c r="FE46" s="177" t="str">
        <f>Schedule!FL48</f>
        <v>0</v>
      </c>
      <c r="FF46" s="177" t="str">
        <f>Schedule!FM48</f>
        <v>0</v>
      </c>
      <c r="FG46" s="178"/>
      <c r="FH46" s="177" t="str">
        <f>Schedule!FN48</f>
        <v>0</v>
      </c>
      <c r="FI46" s="177" t="str">
        <f>Schedule!FO48</f>
        <v>0</v>
      </c>
      <c r="FJ46" s="177" t="str">
        <f>Schedule!FP48</f>
        <v>0</v>
      </c>
      <c r="FK46" s="177" t="str">
        <f>Schedule!FQ48</f>
        <v>0</v>
      </c>
      <c r="FL46" s="177" t="str">
        <f>Schedule!FR48</f>
        <v>0</v>
      </c>
      <c r="FM46" s="177" t="str">
        <f>Schedule!FS48</f>
        <v>0</v>
      </c>
      <c r="FN46" s="177" t="str">
        <f>Schedule!FT48</f>
        <v>0</v>
      </c>
      <c r="FO46" s="177" t="str">
        <f>Schedule!FU48</f>
        <v>0</v>
      </c>
      <c r="FP46" s="177" t="str">
        <f>Schedule!FV48</f>
        <v>0</v>
      </c>
      <c r="FQ46" s="178"/>
      <c r="FR46" s="177" t="str">
        <f>Schedule!FW48</f>
        <v>0</v>
      </c>
      <c r="FS46" s="177" t="str">
        <f>Schedule!FX48</f>
        <v>0</v>
      </c>
      <c r="FT46" s="177" t="str">
        <f>Schedule!FY48</f>
        <v>0</v>
      </c>
      <c r="FU46" s="177" t="str">
        <f>Schedule!FZ48</f>
        <v>0</v>
      </c>
      <c r="FV46" s="177" t="str">
        <f>Schedule!GA48</f>
        <v>0</v>
      </c>
      <c r="FW46" s="177" t="str">
        <f>Schedule!GB48</f>
        <v>0</v>
      </c>
      <c r="FX46" s="177" t="str">
        <f>Schedule!GC48</f>
        <v>0</v>
      </c>
      <c r="FY46" s="177" t="str">
        <f>Schedule!GD48</f>
        <v>0</v>
      </c>
      <c r="FZ46" s="177" t="str">
        <f>Schedule!GE48</f>
        <v>0</v>
      </c>
      <c r="GA46" s="178"/>
      <c r="GB46" s="177" t="str">
        <f>Schedule!GF48</f>
        <v>0</v>
      </c>
      <c r="GC46" s="177" t="str">
        <f>Schedule!GG48</f>
        <v>0</v>
      </c>
      <c r="GD46" s="177" t="str">
        <f>Schedule!GH48</f>
        <v>0</v>
      </c>
      <c r="GE46" s="177" t="str">
        <f>Schedule!GI48</f>
        <v>0</v>
      </c>
      <c r="GF46" s="177" t="str">
        <f>Schedule!GJ48</f>
        <v>0</v>
      </c>
      <c r="GG46" s="177" t="str">
        <f>Schedule!GK48</f>
        <v>0</v>
      </c>
      <c r="GH46" s="177" t="str">
        <f>Schedule!GL48</f>
        <v>0</v>
      </c>
      <c r="GI46" s="177" t="str">
        <f>Schedule!GM48</f>
        <v>0</v>
      </c>
      <c r="GJ46" s="177" t="str">
        <f>Schedule!GN48</f>
        <v>0</v>
      </c>
      <c r="GK46" s="178"/>
      <c r="GL46" s="177" t="str">
        <f>Schedule!GO48</f>
        <v>0</v>
      </c>
      <c r="GM46" s="177" t="str">
        <f>Schedule!GP48</f>
        <v>0</v>
      </c>
      <c r="GN46" s="177" t="str">
        <f>Schedule!GQ48</f>
        <v>0</v>
      </c>
      <c r="GO46" s="177" t="str">
        <f>Schedule!GR48</f>
        <v>0</v>
      </c>
      <c r="GP46" s="177" t="str">
        <f>Schedule!GS48</f>
        <v>0</v>
      </c>
      <c r="GQ46" s="177" t="str">
        <f>Schedule!GT48</f>
        <v>0</v>
      </c>
      <c r="GR46" s="177" t="str">
        <f>Schedule!GU48</f>
        <v>0</v>
      </c>
      <c r="GS46" s="177" t="str">
        <f>Schedule!GV48</f>
        <v>0</v>
      </c>
      <c r="GT46" s="177" t="str">
        <f>Schedule!GW48</f>
        <v>0</v>
      </c>
    </row>
    <row r="47" spans="1:205" ht="18" hidden="1" customHeight="1">
      <c r="B47" s="269"/>
      <c r="C47" s="169">
        <f>Schedule!C49</f>
        <v>0</v>
      </c>
      <c r="D47" s="177" t="str">
        <f>Schedule!Z49</f>
        <v>0</v>
      </c>
      <c r="E47" s="177" t="str">
        <f>Schedule!AA49</f>
        <v>0</v>
      </c>
      <c r="F47" s="177" t="str">
        <f>Schedule!AB49</f>
        <v>0</v>
      </c>
      <c r="G47" s="177" t="str">
        <f>Schedule!AC49</f>
        <v>0</v>
      </c>
      <c r="H47" s="177" t="str">
        <f>Schedule!AD49</f>
        <v>0</v>
      </c>
      <c r="I47" s="177" t="str">
        <f>Schedule!AE49</f>
        <v>0</v>
      </c>
      <c r="J47" s="177" t="str">
        <f>Schedule!AF49</f>
        <v>0</v>
      </c>
      <c r="K47" s="182" t="str">
        <f>Schedule!AG49</f>
        <v>0</v>
      </c>
      <c r="L47" s="182" t="str">
        <f>Schedule!AH49</f>
        <v>0</v>
      </c>
      <c r="M47" s="178"/>
      <c r="N47" s="184" t="str">
        <f>Schedule!AI49</f>
        <v>0</v>
      </c>
      <c r="O47" s="177" t="str">
        <f>Schedule!AJ49</f>
        <v>0</v>
      </c>
      <c r="P47" s="177" t="str">
        <f>Schedule!AK49</f>
        <v>0</v>
      </c>
      <c r="Q47" s="177" t="str">
        <f>Schedule!AL49</f>
        <v>0</v>
      </c>
      <c r="R47" s="177" t="str">
        <f>Schedule!AM49</f>
        <v>0</v>
      </c>
      <c r="S47" s="177" t="str">
        <f>Schedule!AN49</f>
        <v>0</v>
      </c>
      <c r="T47" s="177" t="str">
        <f>Schedule!AO49</f>
        <v>0</v>
      </c>
      <c r="U47" s="177" t="str">
        <f>Schedule!AP49</f>
        <v>0</v>
      </c>
      <c r="V47" s="177" t="str">
        <f>Schedule!AQ49</f>
        <v>0</v>
      </c>
      <c r="W47" s="178"/>
      <c r="X47" s="177" t="str">
        <f>Schedule!AR49</f>
        <v>0</v>
      </c>
      <c r="Y47" s="177" t="str">
        <f>Schedule!AS49</f>
        <v>0</v>
      </c>
      <c r="Z47" s="177" t="str">
        <f>Schedule!AT49</f>
        <v>0</v>
      </c>
      <c r="AA47" s="177" t="str">
        <f>Schedule!AU49</f>
        <v>0</v>
      </c>
      <c r="AB47" s="177" t="str">
        <f>Schedule!AV49</f>
        <v>0</v>
      </c>
      <c r="AC47" s="177" t="str">
        <f>Schedule!AW49</f>
        <v>0</v>
      </c>
      <c r="AD47" s="177" t="str">
        <f>Schedule!AX49</f>
        <v>0</v>
      </c>
      <c r="AE47" s="177" t="str">
        <f>Schedule!AY49</f>
        <v>0</v>
      </c>
      <c r="AF47" s="177" t="str">
        <f>Schedule!AZ49</f>
        <v>0</v>
      </c>
      <c r="AG47" s="178"/>
      <c r="AH47" s="177" t="str">
        <f>Schedule!BA49</f>
        <v>0</v>
      </c>
      <c r="AI47" s="177" t="str">
        <f>Schedule!BB49</f>
        <v>0</v>
      </c>
      <c r="AJ47" s="177" t="str">
        <f>Schedule!BC49</f>
        <v>0</v>
      </c>
      <c r="AK47" s="177" t="str">
        <f>Schedule!BD49</f>
        <v>0</v>
      </c>
      <c r="AL47" s="177" t="str">
        <f>Schedule!BE49</f>
        <v>0</v>
      </c>
      <c r="AM47" s="177" t="str">
        <f>Schedule!BF49</f>
        <v>0</v>
      </c>
      <c r="AN47" s="177" t="str">
        <f>Schedule!BG49</f>
        <v>0</v>
      </c>
      <c r="AO47" s="177" t="str">
        <f>Schedule!BH49</f>
        <v>0</v>
      </c>
      <c r="AP47" s="177" t="str">
        <f>Schedule!BI49</f>
        <v>0</v>
      </c>
      <c r="AQ47" s="178"/>
      <c r="AR47" s="177" t="str">
        <f>Schedule!BJ49</f>
        <v>0</v>
      </c>
      <c r="AS47" s="177" t="str">
        <f>Schedule!BK49</f>
        <v>0</v>
      </c>
      <c r="AT47" s="177" t="str">
        <f>Schedule!BL49</f>
        <v>0</v>
      </c>
      <c r="AU47" s="177" t="str">
        <f>Schedule!BM49</f>
        <v>0</v>
      </c>
      <c r="AV47" s="177" t="str">
        <f>Schedule!BN49</f>
        <v>0</v>
      </c>
      <c r="AW47" s="177" t="str">
        <f>Schedule!BO49</f>
        <v>0</v>
      </c>
      <c r="AX47" s="177" t="str">
        <f>Schedule!BP49</f>
        <v>0</v>
      </c>
      <c r="AY47" s="177" t="str">
        <f>Schedule!BQ49</f>
        <v>0</v>
      </c>
      <c r="AZ47" s="177" t="str">
        <f>Schedule!BR49</f>
        <v>0</v>
      </c>
      <c r="BA47" s="178"/>
      <c r="BB47" s="177" t="str">
        <f>Schedule!BS49</f>
        <v>0</v>
      </c>
      <c r="BC47" s="177" t="str">
        <f>Schedule!BT49</f>
        <v>0</v>
      </c>
      <c r="BD47" s="177" t="str">
        <f>Schedule!BU49</f>
        <v>0</v>
      </c>
      <c r="BE47" s="177" t="str">
        <f>Schedule!BV49</f>
        <v>0</v>
      </c>
      <c r="BF47" s="177" t="str">
        <f>Schedule!BW49</f>
        <v>0</v>
      </c>
      <c r="BG47" s="177" t="str">
        <f>Schedule!BX49</f>
        <v>0</v>
      </c>
      <c r="BH47" s="177" t="str">
        <f>Schedule!BY49</f>
        <v>0</v>
      </c>
      <c r="BI47" s="177" t="str">
        <f>Schedule!BZ49</f>
        <v>0</v>
      </c>
      <c r="BJ47" s="177" t="str">
        <f>Schedule!CA49</f>
        <v>0</v>
      </c>
      <c r="BK47" s="178"/>
      <c r="BL47" s="177" t="str">
        <f>Schedule!CB49</f>
        <v>0</v>
      </c>
      <c r="BM47" s="177" t="str">
        <f>Schedule!CC49</f>
        <v>0</v>
      </c>
      <c r="BN47" s="177" t="str">
        <f>Schedule!CD49</f>
        <v>0</v>
      </c>
      <c r="BO47" s="177" t="str">
        <f>Schedule!CE49</f>
        <v>0</v>
      </c>
      <c r="BP47" s="177" t="str">
        <f>Schedule!CF49</f>
        <v>0</v>
      </c>
      <c r="BQ47" s="177" t="str">
        <f>Schedule!CG49</f>
        <v>0</v>
      </c>
      <c r="BR47" s="177" t="str">
        <f>Schedule!CH49</f>
        <v>0</v>
      </c>
      <c r="BS47" s="177" t="str">
        <f>Schedule!CI49</f>
        <v>0</v>
      </c>
      <c r="BT47" s="177" t="str">
        <f>Schedule!CJ49</f>
        <v>0</v>
      </c>
      <c r="BU47" s="178"/>
      <c r="BV47" s="177" t="str">
        <f>Schedule!CK49</f>
        <v>0</v>
      </c>
      <c r="BW47" s="177" t="str">
        <f>Schedule!CL49</f>
        <v>0</v>
      </c>
      <c r="BX47" s="177" t="str">
        <f>Schedule!CM49</f>
        <v>0</v>
      </c>
      <c r="BY47" s="177" t="str">
        <f>Schedule!CN49</f>
        <v>0</v>
      </c>
      <c r="BZ47" s="177" t="str">
        <f>Schedule!CO49</f>
        <v>0</v>
      </c>
      <c r="CA47" s="177" t="str">
        <f>Schedule!CP49</f>
        <v>0</v>
      </c>
      <c r="CB47" s="177" t="str">
        <f>Schedule!CQ49</f>
        <v>0</v>
      </c>
      <c r="CC47" s="177" t="str">
        <f>Schedule!CR49</f>
        <v>0</v>
      </c>
      <c r="CD47" s="177" t="str">
        <f>Schedule!CS49</f>
        <v>0</v>
      </c>
      <c r="CE47" s="178"/>
      <c r="CF47" s="177" t="str">
        <f>Schedule!CT49</f>
        <v>0</v>
      </c>
      <c r="CG47" s="177" t="str">
        <f>Schedule!CU49</f>
        <v>0</v>
      </c>
      <c r="CH47" s="177" t="str">
        <f>Schedule!CV49</f>
        <v>0</v>
      </c>
      <c r="CI47" s="177" t="str">
        <f>Schedule!CW49</f>
        <v>0</v>
      </c>
      <c r="CJ47" s="177" t="str">
        <f>Schedule!CX49</f>
        <v>0</v>
      </c>
      <c r="CK47" s="177" t="str">
        <f>Schedule!CY49</f>
        <v>0</v>
      </c>
      <c r="CL47" s="177" t="str">
        <f>Schedule!CZ49</f>
        <v>0</v>
      </c>
      <c r="CM47" s="177" t="str">
        <f>Schedule!DA49</f>
        <v>0</v>
      </c>
      <c r="CN47" s="177" t="str">
        <f>Schedule!DB49</f>
        <v>0</v>
      </c>
      <c r="CO47" s="178"/>
      <c r="CP47" s="177" t="str">
        <f>Schedule!DC49</f>
        <v>0</v>
      </c>
      <c r="CQ47" s="177" t="str">
        <f>Schedule!DD49</f>
        <v>0</v>
      </c>
      <c r="CR47" s="177" t="str">
        <f>Schedule!DE49</f>
        <v>0</v>
      </c>
      <c r="CS47" s="177" t="str">
        <f>Schedule!DF49</f>
        <v>0</v>
      </c>
      <c r="CT47" s="177" t="str">
        <f>Schedule!DG49</f>
        <v>0</v>
      </c>
      <c r="CU47" s="177" t="str">
        <f>Schedule!DH49</f>
        <v>0</v>
      </c>
      <c r="CV47" s="177" t="str">
        <f>Schedule!DI49</f>
        <v>0</v>
      </c>
      <c r="CW47" s="177" t="str">
        <f>Schedule!DJ49</f>
        <v>0</v>
      </c>
      <c r="CX47" s="177" t="str">
        <f>Schedule!DK49</f>
        <v>0</v>
      </c>
      <c r="CY47" s="178"/>
      <c r="CZ47" s="177" t="str">
        <f>Schedule!DL49</f>
        <v>0</v>
      </c>
      <c r="DA47" s="177" t="str">
        <f>Schedule!DM49</f>
        <v>0</v>
      </c>
      <c r="DB47" s="177" t="str">
        <f>Schedule!DN49</f>
        <v>0</v>
      </c>
      <c r="DC47" s="177" t="str">
        <f>Schedule!DO49</f>
        <v>0</v>
      </c>
      <c r="DD47" s="177" t="str">
        <f>Schedule!DP49</f>
        <v>0</v>
      </c>
      <c r="DE47" s="177" t="str">
        <f>Schedule!DQ49</f>
        <v>0</v>
      </c>
      <c r="DF47" s="177" t="str">
        <f>Schedule!DR49</f>
        <v>0</v>
      </c>
      <c r="DG47" s="177" t="str">
        <f>Schedule!DS49</f>
        <v>0</v>
      </c>
      <c r="DH47" s="177" t="str">
        <f>Schedule!DT49</f>
        <v>0</v>
      </c>
      <c r="DI47" s="178"/>
      <c r="DJ47" s="177" t="str">
        <f>Schedule!DU49</f>
        <v>0</v>
      </c>
      <c r="DK47" s="177" t="str">
        <f>Schedule!DV49</f>
        <v>0</v>
      </c>
      <c r="DL47" s="177" t="str">
        <f>Schedule!DW49</f>
        <v>0</v>
      </c>
      <c r="DM47" s="177" t="str">
        <f>Schedule!DX49</f>
        <v>0</v>
      </c>
      <c r="DN47" s="177" t="str">
        <f>Schedule!DY49</f>
        <v>0</v>
      </c>
      <c r="DO47" s="177" t="str">
        <f>Schedule!DZ49</f>
        <v>0</v>
      </c>
      <c r="DP47" s="177" t="str">
        <f>Schedule!EA49</f>
        <v>0</v>
      </c>
      <c r="DQ47" s="177" t="str">
        <f>Schedule!EB49</f>
        <v>0</v>
      </c>
      <c r="DR47" s="177" t="str">
        <f>Schedule!EC49</f>
        <v>0</v>
      </c>
      <c r="DS47" s="178"/>
      <c r="DT47" s="177" t="str">
        <f>Schedule!ED49</f>
        <v>0</v>
      </c>
      <c r="DU47" s="177" t="str">
        <f>Schedule!EE49</f>
        <v>0</v>
      </c>
      <c r="DV47" s="177" t="str">
        <f>Schedule!EF49</f>
        <v>0</v>
      </c>
      <c r="DW47" s="177" t="str">
        <f>Schedule!EG49</f>
        <v>0</v>
      </c>
      <c r="DX47" s="177" t="str">
        <f>Schedule!EH49</f>
        <v>0</v>
      </c>
      <c r="DY47" s="177" t="str">
        <f>Schedule!EI49</f>
        <v>0</v>
      </c>
      <c r="DZ47" s="177" t="str">
        <f>Schedule!EJ49</f>
        <v>0</v>
      </c>
      <c r="EA47" s="177" t="str">
        <f>Schedule!EK49</f>
        <v>0</v>
      </c>
      <c r="EB47" s="177" t="str">
        <f>Schedule!EL49</f>
        <v>0</v>
      </c>
      <c r="EC47" s="178"/>
      <c r="ED47" s="177" t="str">
        <f>Schedule!EM49</f>
        <v>0</v>
      </c>
      <c r="EE47" s="177" t="str">
        <f>Schedule!EN49</f>
        <v>0</v>
      </c>
      <c r="EF47" s="177" t="str">
        <f>Schedule!EO49</f>
        <v>0</v>
      </c>
      <c r="EG47" s="177" t="str">
        <f>Schedule!EP49</f>
        <v>0</v>
      </c>
      <c r="EH47" s="177" t="str">
        <f>Schedule!EQ49</f>
        <v>0</v>
      </c>
      <c r="EI47" s="177" t="str">
        <f>Schedule!ER49</f>
        <v>0</v>
      </c>
      <c r="EJ47" s="177" t="str">
        <f>Schedule!ES49</f>
        <v>0</v>
      </c>
      <c r="EK47" s="177" t="str">
        <f>Schedule!ET49</f>
        <v>0</v>
      </c>
      <c r="EL47" s="177" t="str">
        <f>Schedule!EU49</f>
        <v>0</v>
      </c>
      <c r="EM47" s="178"/>
      <c r="EN47" s="177" t="str">
        <f>Schedule!EV49</f>
        <v>0</v>
      </c>
      <c r="EO47" s="177" t="str">
        <f>Schedule!EW49</f>
        <v>0</v>
      </c>
      <c r="EP47" s="177" t="str">
        <f>Schedule!EX49</f>
        <v>0</v>
      </c>
      <c r="EQ47" s="177" t="str">
        <f>Schedule!EY49</f>
        <v>0</v>
      </c>
      <c r="ER47" s="177" t="str">
        <f>Schedule!EZ49</f>
        <v>0</v>
      </c>
      <c r="ES47" s="177" t="str">
        <f>Schedule!FA49</f>
        <v>0</v>
      </c>
      <c r="ET47" s="177" t="str">
        <f>Schedule!FB49</f>
        <v>0</v>
      </c>
      <c r="EU47" s="177" t="str">
        <f>Schedule!FC49</f>
        <v>0</v>
      </c>
      <c r="EV47" s="177" t="str">
        <f>Schedule!FD49</f>
        <v>0</v>
      </c>
      <c r="EW47" s="178"/>
      <c r="EX47" s="177" t="str">
        <f>Schedule!FE49</f>
        <v>0</v>
      </c>
      <c r="EY47" s="177" t="str">
        <f>Schedule!FF49</f>
        <v>0</v>
      </c>
      <c r="EZ47" s="177" t="str">
        <f>Schedule!FG49</f>
        <v>0</v>
      </c>
      <c r="FA47" s="177" t="str">
        <f>Schedule!FH49</f>
        <v>0</v>
      </c>
      <c r="FB47" s="177" t="str">
        <f>Schedule!FI49</f>
        <v>0</v>
      </c>
      <c r="FC47" s="177" t="str">
        <f>Schedule!FJ49</f>
        <v>0</v>
      </c>
      <c r="FD47" s="177" t="str">
        <f>Schedule!FK49</f>
        <v>0</v>
      </c>
      <c r="FE47" s="177" t="str">
        <f>Schedule!FL49</f>
        <v>0</v>
      </c>
      <c r="FF47" s="177" t="str">
        <f>Schedule!FM49</f>
        <v>0</v>
      </c>
      <c r="FG47" s="178"/>
      <c r="FH47" s="177" t="str">
        <f>Schedule!FN49</f>
        <v>0</v>
      </c>
      <c r="FI47" s="177" t="str">
        <f>Schedule!FO49</f>
        <v>0</v>
      </c>
      <c r="FJ47" s="177" t="str">
        <f>Schedule!FP49</f>
        <v>0</v>
      </c>
      <c r="FK47" s="177" t="str">
        <f>Schedule!FQ49</f>
        <v>0</v>
      </c>
      <c r="FL47" s="177" t="str">
        <f>Schedule!FR49</f>
        <v>0</v>
      </c>
      <c r="FM47" s="177" t="str">
        <f>Schedule!FS49</f>
        <v>0</v>
      </c>
      <c r="FN47" s="177" t="str">
        <f>Schedule!FT49</f>
        <v>0</v>
      </c>
      <c r="FO47" s="177" t="str">
        <f>Schedule!FU49</f>
        <v>0</v>
      </c>
      <c r="FP47" s="177" t="str">
        <f>Schedule!FV49</f>
        <v>0</v>
      </c>
      <c r="FQ47" s="178"/>
      <c r="FR47" s="177" t="str">
        <f>Schedule!FW49</f>
        <v>0</v>
      </c>
      <c r="FS47" s="177" t="str">
        <f>Schedule!FX49</f>
        <v>0</v>
      </c>
      <c r="FT47" s="177" t="str">
        <f>Schedule!FY49</f>
        <v>0</v>
      </c>
      <c r="FU47" s="177" t="str">
        <f>Schedule!FZ49</f>
        <v>0</v>
      </c>
      <c r="FV47" s="177" t="str">
        <f>Schedule!GA49</f>
        <v>0</v>
      </c>
      <c r="FW47" s="177" t="str">
        <f>Schedule!GB49</f>
        <v>0</v>
      </c>
      <c r="FX47" s="177" t="str">
        <f>Schedule!GC49</f>
        <v>0</v>
      </c>
      <c r="FY47" s="177" t="str">
        <f>Schedule!GD49</f>
        <v>0</v>
      </c>
      <c r="FZ47" s="177" t="str">
        <f>Schedule!GE49</f>
        <v>0</v>
      </c>
      <c r="GA47" s="178"/>
      <c r="GB47" s="177" t="str">
        <f>Schedule!GF49</f>
        <v>0</v>
      </c>
      <c r="GC47" s="177" t="str">
        <f>Schedule!GG49</f>
        <v>0</v>
      </c>
      <c r="GD47" s="177" t="str">
        <f>Schedule!GH49</f>
        <v>0</v>
      </c>
      <c r="GE47" s="177" t="str">
        <f>Schedule!GI49</f>
        <v>0</v>
      </c>
      <c r="GF47" s="177" t="str">
        <f>Schedule!GJ49</f>
        <v>0</v>
      </c>
      <c r="GG47" s="177" t="str">
        <f>Schedule!GK49</f>
        <v>0</v>
      </c>
      <c r="GH47" s="177" t="str">
        <f>Schedule!GL49</f>
        <v>0</v>
      </c>
      <c r="GI47" s="177" t="str">
        <f>Schedule!GM49</f>
        <v>0</v>
      </c>
      <c r="GJ47" s="177" t="str">
        <f>Schedule!GN49</f>
        <v>0</v>
      </c>
      <c r="GK47" s="178"/>
      <c r="GL47" s="177" t="str">
        <f>Schedule!GO49</f>
        <v>0</v>
      </c>
      <c r="GM47" s="177" t="str">
        <f>Schedule!GP49</f>
        <v>0</v>
      </c>
      <c r="GN47" s="177" t="str">
        <f>Schedule!GQ49</f>
        <v>0</v>
      </c>
      <c r="GO47" s="177" t="str">
        <f>Schedule!GR49</f>
        <v>0</v>
      </c>
      <c r="GP47" s="177" t="str">
        <f>Schedule!GS49</f>
        <v>0</v>
      </c>
      <c r="GQ47" s="177" t="str">
        <f>Schedule!GT49</f>
        <v>0</v>
      </c>
      <c r="GR47" s="177" t="str">
        <f>Schedule!GU49</f>
        <v>0</v>
      </c>
      <c r="GS47" s="177" t="str">
        <f>Schedule!GV49</f>
        <v>0</v>
      </c>
      <c r="GT47" s="177" t="str">
        <f>Schedule!GW49</f>
        <v>0</v>
      </c>
    </row>
    <row r="48" spans="1:205" ht="18" hidden="1" customHeight="1">
      <c r="B48" s="269"/>
      <c r="C48" s="169">
        <f>Schedule!C50</f>
        <v>0</v>
      </c>
      <c r="D48" s="177" t="str">
        <f>Schedule!Z50</f>
        <v>0</v>
      </c>
      <c r="E48" s="177" t="str">
        <f>Schedule!AA50</f>
        <v>0</v>
      </c>
      <c r="F48" s="177" t="str">
        <f>Schedule!AB50</f>
        <v>0</v>
      </c>
      <c r="G48" s="177" t="str">
        <f>Schedule!AC50</f>
        <v>0</v>
      </c>
      <c r="H48" s="177" t="str">
        <f>Schedule!AD50</f>
        <v>0</v>
      </c>
      <c r="I48" s="177" t="str">
        <f>Schedule!AE50</f>
        <v>0</v>
      </c>
      <c r="J48" s="177" t="str">
        <f>Schedule!AF50</f>
        <v>0</v>
      </c>
      <c r="K48" s="182" t="str">
        <f>Schedule!AG50</f>
        <v>0</v>
      </c>
      <c r="L48" s="182" t="str">
        <f>Schedule!AH50</f>
        <v>0</v>
      </c>
      <c r="M48" s="178"/>
      <c r="N48" s="184" t="str">
        <f>Schedule!AI50</f>
        <v>0</v>
      </c>
      <c r="O48" s="177" t="str">
        <f>Schedule!AJ50</f>
        <v>0</v>
      </c>
      <c r="P48" s="177" t="str">
        <f>Schedule!AK50</f>
        <v>0</v>
      </c>
      <c r="Q48" s="177" t="str">
        <f>Schedule!AL50</f>
        <v>0</v>
      </c>
      <c r="R48" s="177" t="str">
        <f>Schedule!AM50</f>
        <v>0</v>
      </c>
      <c r="S48" s="177" t="str">
        <f>Schedule!AN50</f>
        <v>0</v>
      </c>
      <c r="T48" s="177" t="str">
        <f>Schedule!AO50</f>
        <v>0</v>
      </c>
      <c r="U48" s="177" t="str">
        <f>Schedule!AP50</f>
        <v>0</v>
      </c>
      <c r="V48" s="177" t="str">
        <f>Schedule!AQ50</f>
        <v>0</v>
      </c>
      <c r="W48" s="178"/>
      <c r="X48" s="177" t="str">
        <f>Schedule!AR50</f>
        <v>0</v>
      </c>
      <c r="Y48" s="177" t="str">
        <f>Schedule!AS50</f>
        <v>0</v>
      </c>
      <c r="Z48" s="177" t="str">
        <f>Schedule!AT50</f>
        <v>0</v>
      </c>
      <c r="AA48" s="177" t="str">
        <f>Schedule!AU50</f>
        <v>0</v>
      </c>
      <c r="AB48" s="177" t="str">
        <f>Schedule!AV50</f>
        <v>0</v>
      </c>
      <c r="AC48" s="177" t="str">
        <f>Schedule!AW50</f>
        <v>0</v>
      </c>
      <c r="AD48" s="177" t="str">
        <f>Schedule!AX50</f>
        <v>0</v>
      </c>
      <c r="AE48" s="177" t="str">
        <f>Schedule!AY50</f>
        <v>0</v>
      </c>
      <c r="AF48" s="177" t="str">
        <f>Schedule!AZ50</f>
        <v>0</v>
      </c>
      <c r="AG48" s="178"/>
      <c r="AH48" s="177" t="str">
        <f>Schedule!BA50</f>
        <v>0</v>
      </c>
      <c r="AI48" s="177" t="str">
        <f>Schedule!BB50</f>
        <v>0</v>
      </c>
      <c r="AJ48" s="177" t="str">
        <f>Schedule!BC50</f>
        <v>0</v>
      </c>
      <c r="AK48" s="177" t="str">
        <f>Schedule!BD50</f>
        <v>0</v>
      </c>
      <c r="AL48" s="177" t="str">
        <f>Schedule!BE50</f>
        <v>0</v>
      </c>
      <c r="AM48" s="177" t="str">
        <f>Schedule!BF50</f>
        <v>0</v>
      </c>
      <c r="AN48" s="177" t="str">
        <f>Schedule!BG50</f>
        <v>0</v>
      </c>
      <c r="AO48" s="177" t="str">
        <f>Schedule!BH50</f>
        <v>0</v>
      </c>
      <c r="AP48" s="177" t="str">
        <f>Schedule!BI50</f>
        <v>0</v>
      </c>
      <c r="AQ48" s="178"/>
      <c r="AR48" s="177" t="str">
        <f>Schedule!BJ50</f>
        <v>0</v>
      </c>
      <c r="AS48" s="177" t="str">
        <f>Schedule!BK50</f>
        <v>0</v>
      </c>
      <c r="AT48" s="177" t="str">
        <f>Schedule!BL50</f>
        <v>0</v>
      </c>
      <c r="AU48" s="177" t="str">
        <f>Schedule!BM50</f>
        <v>0</v>
      </c>
      <c r="AV48" s="177" t="str">
        <f>Schedule!BN50</f>
        <v>0</v>
      </c>
      <c r="AW48" s="177" t="str">
        <f>Schedule!BO50</f>
        <v>0</v>
      </c>
      <c r="AX48" s="177" t="str">
        <f>Schedule!BP50</f>
        <v>0</v>
      </c>
      <c r="AY48" s="177" t="str">
        <f>Schedule!BQ50</f>
        <v>0</v>
      </c>
      <c r="AZ48" s="177" t="str">
        <f>Schedule!BR50</f>
        <v>0</v>
      </c>
      <c r="BA48" s="178"/>
      <c r="BB48" s="177" t="str">
        <f>Schedule!BS50</f>
        <v>0</v>
      </c>
      <c r="BC48" s="177" t="str">
        <f>Schedule!BT50</f>
        <v>0</v>
      </c>
      <c r="BD48" s="177" t="str">
        <f>Schedule!BU50</f>
        <v>0</v>
      </c>
      <c r="BE48" s="177" t="str">
        <f>Schedule!BV50</f>
        <v>0</v>
      </c>
      <c r="BF48" s="177" t="str">
        <f>Schedule!BW50</f>
        <v>0</v>
      </c>
      <c r="BG48" s="177" t="str">
        <f>Schedule!BX50</f>
        <v>0</v>
      </c>
      <c r="BH48" s="177" t="str">
        <f>Schedule!BY50</f>
        <v>0</v>
      </c>
      <c r="BI48" s="177" t="str">
        <f>Schedule!BZ50</f>
        <v>0</v>
      </c>
      <c r="BJ48" s="177" t="str">
        <f>Schedule!CA50</f>
        <v>0</v>
      </c>
      <c r="BK48" s="178"/>
      <c r="BL48" s="177" t="str">
        <f>Schedule!CB50</f>
        <v>0</v>
      </c>
      <c r="BM48" s="177" t="str">
        <f>Schedule!CC50</f>
        <v>0</v>
      </c>
      <c r="BN48" s="177" t="str">
        <f>Schedule!CD50</f>
        <v>0</v>
      </c>
      <c r="BO48" s="177" t="str">
        <f>Schedule!CE50</f>
        <v>0</v>
      </c>
      <c r="BP48" s="177" t="str">
        <f>Schedule!CF50</f>
        <v>0</v>
      </c>
      <c r="BQ48" s="177" t="str">
        <f>Schedule!CG50</f>
        <v>0</v>
      </c>
      <c r="BR48" s="177" t="str">
        <f>Schedule!CH50</f>
        <v>0</v>
      </c>
      <c r="BS48" s="177" t="str">
        <f>Schedule!CI50</f>
        <v>0</v>
      </c>
      <c r="BT48" s="177" t="str">
        <f>Schedule!CJ50</f>
        <v>0</v>
      </c>
      <c r="BU48" s="178"/>
      <c r="BV48" s="177" t="str">
        <f>Schedule!CK50</f>
        <v>0</v>
      </c>
      <c r="BW48" s="177" t="str">
        <f>Schedule!CL50</f>
        <v>0</v>
      </c>
      <c r="BX48" s="177" t="str">
        <f>Schedule!CM50</f>
        <v>0</v>
      </c>
      <c r="BY48" s="177" t="str">
        <f>Schedule!CN50</f>
        <v>0</v>
      </c>
      <c r="BZ48" s="177" t="str">
        <f>Schedule!CO50</f>
        <v>0</v>
      </c>
      <c r="CA48" s="177" t="str">
        <f>Schedule!CP50</f>
        <v>0</v>
      </c>
      <c r="CB48" s="177" t="str">
        <f>Schedule!CQ50</f>
        <v>0</v>
      </c>
      <c r="CC48" s="177" t="str">
        <f>Schedule!CR50</f>
        <v>0</v>
      </c>
      <c r="CD48" s="177" t="str">
        <f>Schedule!CS50</f>
        <v>0</v>
      </c>
      <c r="CE48" s="178"/>
      <c r="CF48" s="177" t="str">
        <f>Schedule!CT50</f>
        <v>0</v>
      </c>
      <c r="CG48" s="177" t="str">
        <f>Schedule!CU50</f>
        <v>0</v>
      </c>
      <c r="CH48" s="177" t="str">
        <f>Schedule!CV50</f>
        <v>0</v>
      </c>
      <c r="CI48" s="177" t="str">
        <f>Schedule!CW50</f>
        <v>0</v>
      </c>
      <c r="CJ48" s="177" t="str">
        <f>Schedule!CX50</f>
        <v>0</v>
      </c>
      <c r="CK48" s="177" t="str">
        <f>Schedule!CY50</f>
        <v>0</v>
      </c>
      <c r="CL48" s="177" t="str">
        <f>Schedule!CZ50</f>
        <v>0</v>
      </c>
      <c r="CM48" s="177" t="str">
        <f>Schedule!DA50</f>
        <v>0</v>
      </c>
      <c r="CN48" s="177" t="str">
        <f>Schedule!DB50</f>
        <v>0</v>
      </c>
      <c r="CO48" s="178"/>
      <c r="CP48" s="177" t="str">
        <f>Schedule!DC50</f>
        <v>0</v>
      </c>
      <c r="CQ48" s="177" t="str">
        <f>Schedule!DD50</f>
        <v>0</v>
      </c>
      <c r="CR48" s="177" t="str">
        <f>Schedule!DE50</f>
        <v>0</v>
      </c>
      <c r="CS48" s="177" t="str">
        <f>Schedule!DF50</f>
        <v>0</v>
      </c>
      <c r="CT48" s="177" t="str">
        <f>Schedule!DG50</f>
        <v>0</v>
      </c>
      <c r="CU48" s="177" t="str">
        <f>Schedule!DH50</f>
        <v>0</v>
      </c>
      <c r="CV48" s="177" t="str">
        <f>Schedule!DI50</f>
        <v>0</v>
      </c>
      <c r="CW48" s="177" t="str">
        <f>Schedule!DJ50</f>
        <v>0</v>
      </c>
      <c r="CX48" s="177" t="str">
        <f>Schedule!DK50</f>
        <v>0</v>
      </c>
      <c r="CY48" s="178"/>
      <c r="CZ48" s="177" t="str">
        <f>Schedule!DL50</f>
        <v>0</v>
      </c>
      <c r="DA48" s="177" t="str">
        <f>Schedule!DM50</f>
        <v>0</v>
      </c>
      <c r="DB48" s="177" t="str">
        <f>Schedule!DN50</f>
        <v>0</v>
      </c>
      <c r="DC48" s="177" t="str">
        <f>Schedule!DO50</f>
        <v>0</v>
      </c>
      <c r="DD48" s="177" t="str">
        <f>Schedule!DP50</f>
        <v>0</v>
      </c>
      <c r="DE48" s="177" t="str">
        <f>Schedule!DQ50</f>
        <v>0</v>
      </c>
      <c r="DF48" s="177" t="str">
        <f>Schedule!DR50</f>
        <v>0</v>
      </c>
      <c r="DG48" s="177" t="str">
        <f>Schedule!DS50</f>
        <v>0</v>
      </c>
      <c r="DH48" s="177" t="str">
        <f>Schedule!DT50</f>
        <v>0</v>
      </c>
      <c r="DI48" s="178"/>
      <c r="DJ48" s="177" t="str">
        <f>Schedule!DU50</f>
        <v>0</v>
      </c>
      <c r="DK48" s="177" t="str">
        <f>Schedule!DV50</f>
        <v>0</v>
      </c>
      <c r="DL48" s="177" t="str">
        <f>Schedule!DW50</f>
        <v>0</v>
      </c>
      <c r="DM48" s="177" t="str">
        <f>Schedule!DX50</f>
        <v>0</v>
      </c>
      <c r="DN48" s="177" t="str">
        <f>Schedule!DY50</f>
        <v>0</v>
      </c>
      <c r="DO48" s="177" t="str">
        <f>Schedule!DZ50</f>
        <v>0</v>
      </c>
      <c r="DP48" s="177" t="str">
        <f>Schedule!EA50</f>
        <v>0</v>
      </c>
      <c r="DQ48" s="177" t="str">
        <f>Schedule!EB50</f>
        <v>0</v>
      </c>
      <c r="DR48" s="177" t="str">
        <f>Schedule!EC50</f>
        <v>0</v>
      </c>
      <c r="DS48" s="178"/>
      <c r="DT48" s="177" t="str">
        <f>Schedule!ED50</f>
        <v>0</v>
      </c>
      <c r="DU48" s="177" t="str">
        <f>Schedule!EE50</f>
        <v>0</v>
      </c>
      <c r="DV48" s="177" t="str">
        <f>Schedule!EF50</f>
        <v>0</v>
      </c>
      <c r="DW48" s="177" t="str">
        <f>Schedule!EG50</f>
        <v>0</v>
      </c>
      <c r="DX48" s="177" t="str">
        <f>Schedule!EH50</f>
        <v>0</v>
      </c>
      <c r="DY48" s="177" t="str">
        <f>Schedule!EI50</f>
        <v>0</v>
      </c>
      <c r="DZ48" s="177" t="str">
        <f>Schedule!EJ50</f>
        <v>0</v>
      </c>
      <c r="EA48" s="177" t="str">
        <f>Schedule!EK50</f>
        <v>0</v>
      </c>
      <c r="EB48" s="177" t="str">
        <f>Schedule!EL50</f>
        <v>0</v>
      </c>
      <c r="EC48" s="178"/>
      <c r="ED48" s="177" t="str">
        <f>Schedule!EM50</f>
        <v>0</v>
      </c>
      <c r="EE48" s="177" t="str">
        <f>Schedule!EN50</f>
        <v>0</v>
      </c>
      <c r="EF48" s="177" t="str">
        <f>Schedule!EO50</f>
        <v>0</v>
      </c>
      <c r="EG48" s="177" t="str">
        <f>Schedule!EP50</f>
        <v>0</v>
      </c>
      <c r="EH48" s="177" t="str">
        <f>Schedule!EQ50</f>
        <v>0</v>
      </c>
      <c r="EI48" s="177" t="str">
        <f>Schedule!ER50</f>
        <v>0</v>
      </c>
      <c r="EJ48" s="177" t="str">
        <f>Schedule!ES50</f>
        <v>0</v>
      </c>
      <c r="EK48" s="177" t="str">
        <f>Schedule!ET50</f>
        <v>0</v>
      </c>
      <c r="EL48" s="177" t="str">
        <f>Schedule!EU50</f>
        <v>0</v>
      </c>
      <c r="EM48" s="178"/>
      <c r="EN48" s="177" t="str">
        <f>Schedule!EV50</f>
        <v>0</v>
      </c>
      <c r="EO48" s="177" t="str">
        <f>Schedule!EW50</f>
        <v>0</v>
      </c>
      <c r="EP48" s="177" t="str">
        <f>Schedule!EX50</f>
        <v>0</v>
      </c>
      <c r="EQ48" s="177" t="str">
        <f>Schedule!EY50</f>
        <v>0</v>
      </c>
      <c r="ER48" s="177" t="str">
        <f>Schedule!EZ50</f>
        <v>0</v>
      </c>
      <c r="ES48" s="177" t="str">
        <f>Schedule!FA50</f>
        <v>0</v>
      </c>
      <c r="ET48" s="177" t="str">
        <f>Schedule!FB50</f>
        <v>0</v>
      </c>
      <c r="EU48" s="177" t="str">
        <f>Schedule!FC50</f>
        <v>0</v>
      </c>
      <c r="EV48" s="177" t="str">
        <f>Schedule!FD50</f>
        <v>0</v>
      </c>
      <c r="EW48" s="178"/>
      <c r="EX48" s="177" t="str">
        <f>Schedule!FE50</f>
        <v>0</v>
      </c>
      <c r="EY48" s="177" t="str">
        <f>Schedule!FF50</f>
        <v>0</v>
      </c>
      <c r="EZ48" s="177" t="str">
        <f>Schedule!FG50</f>
        <v>0</v>
      </c>
      <c r="FA48" s="177" t="str">
        <f>Schedule!FH50</f>
        <v>0</v>
      </c>
      <c r="FB48" s="177" t="str">
        <f>Schedule!FI50</f>
        <v>0</v>
      </c>
      <c r="FC48" s="177" t="str">
        <f>Schedule!FJ50</f>
        <v>0</v>
      </c>
      <c r="FD48" s="177" t="str">
        <f>Schedule!FK50</f>
        <v>0</v>
      </c>
      <c r="FE48" s="177" t="str">
        <f>Schedule!FL50</f>
        <v>0</v>
      </c>
      <c r="FF48" s="177" t="str">
        <f>Schedule!FM50</f>
        <v>0</v>
      </c>
      <c r="FG48" s="178"/>
      <c r="FH48" s="177" t="str">
        <f>Schedule!FN50</f>
        <v>0</v>
      </c>
      <c r="FI48" s="177" t="str">
        <f>Schedule!FO50</f>
        <v>0</v>
      </c>
      <c r="FJ48" s="177" t="str">
        <f>Schedule!FP50</f>
        <v>0</v>
      </c>
      <c r="FK48" s="177" t="str">
        <f>Schedule!FQ50</f>
        <v>0</v>
      </c>
      <c r="FL48" s="177" t="str">
        <f>Schedule!FR50</f>
        <v>0</v>
      </c>
      <c r="FM48" s="177" t="str">
        <f>Schedule!FS50</f>
        <v>0</v>
      </c>
      <c r="FN48" s="177" t="str">
        <f>Schedule!FT50</f>
        <v>0</v>
      </c>
      <c r="FO48" s="177" t="str">
        <f>Schedule!FU50</f>
        <v>0</v>
      </c>
      <c r="FP48" s="177" t="str">
        <f>Schedule!FV50</f>
        <v>0</v>
      </c>
      <c r="FQ48" s="178"/>
      <c r="FR48" s="177" t="str">
        <f>Schedule!FW50</f>
        <v>0</v>
      </c>
      <c r="FS48" s="177" t="str">
        <f>Schedule!FX50</f>
        <v>0</v>
      </c>
      <c r="FT48" s="177" t="str">
        <f>Schedule!FY50</f>
        <v>0</v>
      </c>
      <c r="FU48" s="177" t="str">
        <f>Schedule!FZ50</f>
        <v>0</v>
      </c>
      <c r="FV48" s="177" t="str">
        <f>Schedule!GA50</f>
        <v>0</v>
      </c>
      <c r="FW48" s="177" t="str">
        <f>Schedule!GB50</f>
        <v>0</v>
      </c>
      <c r="FX48" s="177" t="str">
        <f>Schedule!GC50</f>
        <v>0</v>
      </c>
      <c r="FY48" s="177" t="str">
        <f>Schedule!GD50</f>
        <v>0</v>
      </c>
      <c r="FZ48" s="177" t="str">
        <f>Schedule!GE50</f>
        <v>0</v>
      </c>
      <c r="GA48" s="178"/>
      <c r="GB48" s="177" t="str">
        <f>Schedule!GF50</f>
        <v>0</v>
      </c>
      <c r="GC48" s="177" t="str">
        <f>Schedule!GG50</f>
        <v>0</v>
      </c>
      <c r="GD48" s="177" t="str">
        <f>Schedule!GH50</f>
        <v>0</v>
      </c>
      <c r="GE48" s="177" t="str">
        <f>Schedule!GI50</f>
        <v>0</v>
      </c>
      <c r="GF48" s="177" t="str">
        <f>Schedule!GJ50</f>
        <v>0</v>
      </c>
      <c r="GG48" s="177" t="str">
        <f>Schedule!GK50</f>
        <v>0</v>
      </c>
      <c r="GH48" s="177" t="str">
        <f>Schedule!GL50</f>
        <v>0</v>
      </c>
      <c r="GI48" s="177" t="str">
        <f>Schedule!GM50</f>
        <v>0</v>
      </c>
      <c r="GJ48" s="177" t="str">
        <f>Schedule!GN50</f>
        <v>0</v>
      </c>
      <c r="GK48" s="178"/>
      <c r="GL48" s="177" t="str">
        <f>Schedule!GO50</f>
        <v>0</v>
      </c>
      <c r="GM48" s="177" t="str">
        <f>Schedule!GP50</f>
        <v>0</v>
      </c>
      <c r="GN48" s="177" t="str">
        <f>Schedule!GQ50</f>
        <v>0</v>
      </c>
      <c r="GO48" s="177" t="str">
        <f>Schedule!GR50</f>
        <v>0</v>
      </c>
      <c r="GP48" s="177" t="str">
        <f>Schedule!GS50</f>
        <v>0</v>
      </c>
      <c r="GQ48" s="177" t="str">
        <f>Schedule!GT50</f>
        <v>0</v>
      </c>
      <c r="GR48" s="177" t="str">
        <f>Schedule!GU50</f>
        <v>0</v>
      </c>
      <c r="GS48" s="177" t="str">
        <f>Schedule!GV50</f>
        <v>0</v>
      </c>
      <c r="GT48" s="177" t="str">
        <f>Schedule!GW50</f>
        <v>0</v>
      </c>
    </row>
    <row r="49" spans="2:202" ht="18" hidden="1" customHeight="1">
      <c r="B49" s="269"/>
      <c r="C49" s="169">
        <f>Schedule!C51</f>
        <v>0</v>
      </c>
      <c r="D49" s="177" t="str">
        <f>Schedule!Z51</f>
        <v>0</v>
      </c>
      <c r="E49" s="177" t="str">
        <f>Schedule!AA51</f>
        <v>0</v>
      </c>
      <c r="F49" s="177" t="str">
        <f>Schedule!AB51</f>
        <v>0</v>
      </c>
      <c r="G49" s="177" t="str">
        <f>Schedule!AC51</f>
        <v>0</v>
      </c>
      <c r="H49" s="177" t="str">
        <f>Schedule!AD51</f>
        <v>0</v>
      </c>
      <c r="I49" s="177" t="str">
        <f>Schedule!AE51</f>
        <v>0</v>
      </c>
      <c r="J49" s="177" t="str">
        <f>Schedule!AF51</f>
        <v>0</v>
      </c>
      <c r="K49" s="182" t="str">
        <f>Schedule!AG51</f>
        <v>0</v>
      </c>
      <c r="L49" s="182" t="str">
        <f>Schedule!AH51</f>
        <v>0</v>
      </c>
      <c r="M49" s="178"/>
      <c r="N49" s="184" t="str">
        <f>Schedule!AI51</f>
        <v>0</v>
      </c>
      <c r="O49" s="177" t="str">
        <f>Schedule!AJ51</f>
        <v>0</v>
      </c>
      <c r="P49" s="177" t="str">
        <f>Schedule!AK51</f>
        <v>0</v>
      </c>
      <c r="Q49" s="177" t="str">
        <f>Schedule!AL51</f>
        <v>0</v>
      </c>
      <c r="R49" s="177" t="str">
        <f>Schedule!AM51</f>
        <v>0</v>
      </c>
      <c r="S49" s="177" t="str">
        <f>Schedule!AN51</f>
        <v>0</v>
      </c>
      <c r="T49" s="177" t="str">
        <f>Schedule!AO51</f>
        <v>0</v>
      </c>
      <c r="U49" s="177" t="str">
        <f>Schedule!AP51</f>
        <v>0</v>
      </c>
      <c r="V49" s="177" t="str">
        <f>Schedule!AQ51</f>
        <v>0</v>
      </c>
      <c r="W49" s="178"/>
      <c r="X49" s="177" t="str">
        <f>Schedule!AR51</f>
        <v>0</v>
      </c>
      <c r="Y49" s="177" t="str">
        <f>Schedule!AS51</f>
        <v>0</v>
      </c>
      <c r="Z49" s="177" t="str">
        <f>Schedule!AT51</f>
        <v>0</v>
      </c>
      <c r="AA49" s="177" t="str">
        <f>Schedule!AU51</f>
        <v>0</v>
      </c>
      <c r="AB49" s="177" t="str">
        <f>Schedule!AV51</f>
        <v>0</v>
      </c>
      <c r="AC49" s="177" t="str">
        <f>Schedule!AW51</f>
        <v>0</v>
      </c>
      <c r="AD49" s="177" t="str">
        <f>Schedule!AX51</f>
        <v>0</v>
      </c>
      <c r="AE49" s="177" t="str">
        <f>Schedule!AY51</f>
        <v>0</v>
      </c>
      <c r="AF49" s="177" t="str">
        <f>Schedule!AZ51</f>
        <v>0</v>
      </c>
      <c r="AG49" s="178"/>
      <c r="AH49" s="177" t="str">
        <f>Schedule!BA51</f>
        <v>0</v>
      </c>
      <c r="AI49" s="177" t="str">
        <f>Schedule!BB51</f>
        <v>0</v>
      </c>
      <c r="AJ49" s="177" t="str">
        <f>Schedule!BC51</f>
        <v>0</v>
      </c>
      <c r="AK49" s="177" t="str">
        <f>Schedule!BD51</f>
        <v>0</v>
      </c>
      <c r="AL49" s="177" t="str">
        <f>Schedule!BE51</f>
        <v>0</v>
      </c>
      <c r="AM49" s="177" t="str">
        <f>Schedule!BF51</f>
        <v>0</v>
      </c>
      <c r="AN49" s="177" t="str">
        <f>Schedule!BG51</f>
        <v>0</v>
      </c>
      <c r="AO49" s="177" t="str">
        <f>Schedule!BH51</f>
        <v>0</v>
      </c>
      <c r="AP49" s="177" t="str">
        <f>Schedule!BI51</f>
        <v>0</v>
      </c>
      <c r="AQ49" s="178"/>
      <c r="AR49" s="177" t="str">
        <f>Schedule!BJ51</f>
        <v>0</v>
      </c>
      <c r="AS49" s="177" t="str">
        <f>Schedule!BK51</f>
        <v>0</v>
      </c>
      <c r="AT49" s="177" t="str">
        <f>Schedule!BL51</f>
        <v>0</v>
      </c>
      <c r="AU49" s="177" t="str">
        <f>Schedule!BM51</f>
        <v>0</v>
      </c>
      <c r="AV49" s="177" t="str">
        <f>Schedule!BN51</f>
        <v>0</v>
      </c>
      <c r="AW49" s="177" t="str">
        <f>Schedule!BO51</f>
        <v>0</v>
      </c>
      <c r="AX49" s="177" t="str">
        <f>Schedule!BP51</f>
        <v>0</v>
      </c>
      <c r="AY49" s="177" t="str">
        <f>Schedule!BQ51</f>
        <v>0</v>
      </c>
      <c r="AZ49" s="177" t="str">
        <f>Schedule!BR51</f>
        <v>0</v>
      </c>
      <c r="BA49" s="178"/>
      <c r="BB49" s="177" t="str">
        <f>Schedule!BS51</f>
        <v>0</v>
      </c>
      <c r="BC49" s="177" t="str">
        <f>Schedule!BT51</f>
        <v>0</v>
      </c>
      <c r="BD49" s="177" t="str">
        <f>Schedule!BU51</f>
        <v>0</v>
      </c>
      <c r="BE49" s="177" t="str">
        <f>Schedule!BV51</f>
        <v>0</v>
      </c>
      <c r="BF49" s="177" t="str">
        <f>Schedule!BW51</f>
        <v>0</v>
      </c>
      <c r="BG49" s="177" t="str">
        <f>Schedule!BX51</f>
        <v>0</v>
      </c>
      <c r="BH49" s="177" t="str">
        <f>Schedule!BY51</f>
        <v>0</v>
      </c>
      <c r="BI49" s="177" t="str">
        <f>Schedule!BZ51</f>
        <v>0</v>
      </c>
      <c r="BJ49" s="177" t="str">
        <f>Schedule!CA51</f>
        <v>0</v>
      </c>
      <c r="BK49" s="178"/>
      <c r="BL49" s="177" t="str">
        <f>Schedule!CB51</f>
        <v>0</v>
      </c>
      <c r="BM49" s="177" t="str">
        <f>Schedule!CC51</f>
        <v>0</v>
      </c>
      <c r="BN49" s="177" t="str">
        <f>Schedule!CD51</f>
        <v>0</v>
      </c>
      <c r="BO49" s="177" t="str">
        <f>Schedule!CE51</f>
        <v>0</v>
      </c>
      <c r="BP49" s="177" t="str">
        <f>Schedule!CF51</f>
        <v>0</v>
      </c>
      <c r="BQ49" s="177" t="str">
        <f>Schedule!CG51</f>
        <v>0</v>
      </c>
      <c r="BR49" s="177" t="str">
        <f>Schedule!CH51</f>
        <v>0</v>
      </c>
      <c r="BS49" s="177" t="str">
        <f>Schedule!CI51</f>
        <v>0</v>
      </c>
      <c r="BT49" s="177" t="str">
        <f>Schedule!CJ51</f>
        <v>0</v>
      </c>
      <c r="BU49" s="178"/>
      <c r="BV49" s="177" t="str">
        <f>Schedule!CK51</f>
        <v>0</v>
      </c>
      <c r="BW49" s="177" t="str">
        <f>Schedule!CL51</f>
        <v>0</v>
      </c>
      <c r="BX49" s="177" t="str">
        <f>Schedule!CM51</f>
        <v>0</v>
      </c>
      <c r="BY49" s="177" t="str">
        <f>Schedule!CN51</f>
        <v>0</v>
      </c>
      <c r="BZ49" s="177" t="str">
        <f>Schedule!CO51</f>
        <v>0</v>
      </c>
      <c r="CA49" s="177" t="str">
        <f>Schedule!CP51</f>
        <v>0</v>
      </c>
      <c r="CB49" s="177" t="str">
        <f>Schedule!CQ51</f>
        <v>0</v>
      </c>
      <c r="CC49" s="177" t="str">
        <f>Schedule!CR51</f>
        <v>0</v>
      </c>
      <c r="CD49" s="177" t="str">
        <f>Schedule!CS51</f>
        <v>0</v>
      </c>
      <c r="CE49" s="178"/>
      <c r="CF49" s="177" t="str">
        <f>Schedule!CT51</f>
        <v>0</v>
      </c>
      <c r="CG49" s="177" t="str">
        <f>Schedule!CU51</f>
        <v>0</v>
      </c>
      <c r="CH49" s="177" t="str">
        <f>Schedule!CV51</f>
        <v>0</v>
      </c>
      <c r="CI49" s="177" t="str">
        <f>Schedule!CW51</f>
        <v>0</v>
      </c>
      <c r="CJ49" s="177" t="str">
        <f>Schedule!CX51</f>
        <v>0</v>
      </c>
      <c r="CK49" s="177" t="str">
        <f>Schedule!CY51</f>
        <v>0</v>
      </c>
      <c r="CL49" s="177" t="str">
        <f>Schedule!CZ51</f>
        <v>0</v>
      </c>
      <c r="CM49" s="177" t="str">
        <f>Schedule!DA51</f>
        <v>0</v>
      </c>
      <c r="CN49" s="177" t="str">
        <f>Schedule!DB51</f>
        <v>0</v>
      </c>
      <c r="CO49" s="178"/>
      <c r="CP49" s="177" t="str">
        <f>Schedule!DC51</f>
        <v>0</v>
      </c>
      <c r="CQ49" s="177" t="str">
        <f>Schedule!DD51</f>
        <v>0</v>
      </c>
      <c r="CR49" s="177" t="str">
        <f>Schedule!DE51</f>
        <v>0</v>
      </c>
      <c r="CS49" s="177" t="str">
        <f>Schedule!DF51</f>
        <v>0</v>
      </c>
      <c r="CT49" s="177" t="str">
        <f>Schedule!DG51</f>
        <v>0</v>
      </c>
      <c r="CU49" s="177" t="str">
        <f>Schedule!DH51</f>
        <v>0</v>
      </c>
      <c r="CV49" s="177" t="str">
        <f>Schedule!DI51</f>
        <v>0</v>
      </c>
      <c r="CW49" s="177" t="str">
        <f>Schedule!DJ51</f>
        <v>0</v>
      </c>
      <c r="CX49" s="177" t="str">
        <f>Schedule!DK51</f>
        <v>0</v>
      </c>
      <c r="CY49" s="178"/>
      <c r="CZ49" s="177" t="str">
        <f>Schedule!DL51</f>
        <v>0</v>
      </c>
      <c r="DA49" s="177" t="str">
        <f>Schedule!DM51</f>
        <v>0</v>
      </c>
      <c r="DB49" s="177" t="str">
        <f>Schedule!DN51</f>
        <v>0</v>
      </c>
      <c r="DC49" s="177" t="str">
        <f>Schedule!DO51</f>
        <v>0</v>
      </c>
      <c r="DD49" s="177" t="str">
        <f>Schedule!DP51</f>
        <v>0</v>
      </c>
      <c r="DE49" s="177" t="str">
        <f>Schedule!DQ51</f>
        <v>0</v>
      </c>
      <c r="DF49" s="177" t="str">
        <f>Schedule!DR51</f>
        <v>0</v>
      </c>
      <c r="DG49" s="177" t="str">
        <f>Schedule!DS51</f>
        <v>0</v>
      </c>
      <c r="DH49" s="177" t="str">
        <f>Schedule!DT51</f>
        <v>0</v>
      </c>
      <c r="DI49" s="178"/>
      <c r="DJ49" s="177" t="str">
        <f>Schedule!DU51</f>
        <v>0</v>
      </c>
      <c r="DK49" s="177" t="str">
        <f>Schedule!DV51</f>
        <v>0</v>
      </c>
      <c r="DL49" s="177" t="str">
        <f>Schedule!DW51</f>
        <v>0</v>
      </c>
      <c r="DM49" s="177" t="str">
        <f>Schedule!DX51</f>
        <v>0</v>
      </c>
      <c r="DN49" s="177" t="str">
        <f>Schedule!DY51</f>
        <v>0</v>
      </c>
      <c r="DO49" s="177" t="str">
        <f>Schedule!DZ51</f>
        <v>0</v>
      </c>
      <c r="DP49" s="177" t="str">
        <f>Schedule!EA51</f>
        <v>0</v>
      </c>
      <c r="DQ49" s="177" t="str">
        <f>Schedule!EB51</f>
        <v>0</v>
      </c>
      <c r="DR49" s="177" t="str">
        <f>Schedule!EC51</f>
        <v>0</v>
      </c>
      <c r="DS49" s="178"/>
      <c r="DT49" s="177" t="str">
        <f>Schedule!ED51</f>
        <v>0</v>
      </c>
      <c r="DU49" s="177" t="str">
        <f>Schedule!EE51</f>
        <v>0</v>
      </c>
      <c r="DV49" s="177" t="str">
        <f>Schedule!EF51</f>
        <v>0</v>
      </c>
      <c r="DW49" s="177" t="str">
        <f>Schedule!EG51</f>
        <v>0</v>
      </c>
      <c r="DX49" s="177" t="str">
        <f>Schedule!EH51</f>
        <v>0</v>
      </c>
      <c r="DY49" s="177" t="str">
        <f>Schedule!EI51</f>
        <v>0</v>
      </c>
      <c r="DZ49" s="177" t="str">
        <f>Schedule!EJ51</f>
        <v>0</v>
      </c>
      <c r="EA49" s="177" t="str">
        <f>Schedule!EK51</f>
        <v>0</v>
      </c>
      <c r="EB49" s="177" t="str">
        <f>Schedule!EL51</f>
        <v>0</v>
      </c>
      <c r="EC49" s="178"/>
      <c r="ED49" s="177" t="str">
        <f>Schedule!EM51</f>
        <v>0</v>
      </c>
      <c r="EE49" s="177" t="str">
        <f>Schedule!EN51</f>
        <v>0</v>
      </c>
      <c r="EF49" s="177" t="str">
        <f>Schedule!EO51</f>
        <v>0</v>
      </c>
      <c r="EG49" s="177" t="str">
        <f>Schedule!EP51</f>
        <v>0</v>
      </c>
      <c r="EH49" s="177" t="str">
        <f>Schedule!EQ51</f>
        <v>0</v>
      </c>
      <c r="EI49" s="177" t="str">
        <f>Schedule!ER51</f>
        <v>0</v>
      </c>
      <c r="EJ49" s="177" t="str">
        <f>Schedule!ES51</f>
        <v>0</v>
      </c>
      <c r="EK49" s="177" t="str">
        <f>Schedule!ET51</f>
        <v>0</v>
      </c>
      <c r="EL49" s="177" t="str">
        <f>Schedule!EU51</f>
        <v>0</v>
      </c>
      <c r="EM49" s="178"/>
      <c r="EN49" s="177" t="str">
        <f>Schedule!EV51</f>
        <v>0</v>
      </c>
      <c r="EO49" s="177" t="str">
        <f>Schedule!EW51</f>
        <v>0</v>
      </c>
      <c r="EP49" s="177" t="str">
        <f>Schedule!EX51</f>
        <v>0</v>
      </c>
      <c r="EQ49" s="177" t="str">
        <f>Schedule!EY51</f>
        <v>0</v>
      </c>
      <c r="ER49" s="177" t="str">
        <f>Schedule!EZ51</f>
        <v>0</v>
      </c>
      <c r="ES49" s="177" t="str">
        <f>Schedule!FA51</f>
        <v>0</v>
      </c>
      <c r="ET49" s="177" t="str">
        <f>Schedule!FB51</f>
        <v>0</v>
      </c>
      <c r="EU49" s="177" t="str">
        <f>Schedule!FC51</f>
        <v>0</v>
      </c>
      <c r="EV49" s="177" t="str">
        <f>Schedule!FD51</f>
        <v>0</v>
      </c>
      <c r="EW49" s="178"/>
      <c r="EX49" s="177" t="str">
        <f>Schedule!FE51</f>
        <v>0</v>
      </c>
      <c r="EY49" s="177" t="str">
        <f>Schedule!FF51</f>
        <v>0</v>
      </c>
      <c r="EZ49" s="177" t="str">
        <f>Schedule!FG51</f>
        <v>0</v>
      </c>
      <c r="FA49" s="177" t="str">
        <f>Schedule!FH51</f>
        <v>0</v>
      </c>
      <c r="FB49" s="177" t="str">
        <f>Schedule!FI51</f>
        <v>0</v>
      </c>
      <c r="FC49" s="177" t="str">
        <f>Schedule!FJ51</f>
        <v>0</v>
      </c>
      <c r="FD49" s="177" t="str">
        <f>Schedule!FK51</f>
        <v>0</v>
      </c>
      <c r="FE49" s="177" t="str">
        <f>Schedule!FL51</f>
        <v>0</v>
      </c>
      <c r="FF49" s="177" t="str">
        <f>Schedule!FM51</f>
        <v>0</v>
      </c>
      <c r="FG49" s="178"/>
      <c r="FH49" s="177" t="str">
        <f>Schedule!FN51</f>
        <v>0</v>
      </c>
      <c r="FI49" s="177" t="str">
        <f>Schedule!FO51</f>
        <v>0</v>
      </c>
      <c r="FJ49" s="177" t="str">
        <f>Schedule!FP51</f>
        <v>0</v>
      </c>
      <c r="FK49" s="177" t="str">
        <f>Schedule!FQ51</f>
        <v>0</v>
      </c>
      <c r="FL49" s="177" t="str">
        <f>Schedule!FR51</f>
        <v>0</v>
      </c>
      <c r="FM49" s="177" t="str">
        <f>Schedule!FS51</f>
        <v>0</v>
      </c>
      <c r="FN49" s="177" t="str">
        <f>Schedule!FT51</f>
        <v>0</v>
      </c>
      <c r="FO49" s="177" t="str">
        <f>Schedule!FU51</f>
        <v>0</v>
      </c>
      <c r="FP49" s="177" t="str">
        <f>Schedule!FV51</f>
        <v>0</v>
      </c>
      <c r="FQ49" s="178"/>
      <c r="FR49" s="177" t="str">
        <f>Schedule!FW51</f>
        <v>0</v>
      </c>
      <c r="FS49" s="177" t="str">
        <f>Schedule!FX51</f>
        <v>0</v>
      </c>
      <c r="FT49" s="177" t="str">
        <f>Schedule!FY51</f>
        <v>0</v>
      </c>
      <c r="FU49" s="177" t="str">
        <f>Schedule!FZ51</f>
        <v>0</v>
      </c>
      <c r="FV49" s="177" t="str">
        <f>Schedule!GA51</f>
        <v>0</v>
      </c>
      <c r="FW49" s="177" t="str">
        <f>Schedule!GB51</f>
        <v>0</v>
      </c>
      <c r="FX49" s="177" t="str">
        <f>Schedule!GC51</f>
        <v>0</v>
      </c>
      <c r="FY49" s="177" t="str">
        <f>Schedule!GD51</f>
        <v>0</v>
      </c>
      <c r="FZ49" s="177" t="str">
        <f>Schedule!GE51</f>
        <v>0</v>
      </c>
      <c r="GA49" s="178"/>
      <c r="GB49" s="177" t="str">
        <f>Schedule!GF51</f>
        <v>0</v>
      </c>
      <c r="GC49" s="177" t="str">
        <f>Schedule!GG51</f>
        <v>0</v>
      </c>
      <c r="GD49" s="177" t="str">
        <f>Schedule!GH51</f>
        <v>0</v>
      </c>
      <c r="GE49" s="177" t="str">
        <f>Schedule!GI51</f>
        <v>0</v>
      </c>
      <c r="GF49" s="177" t="str">
        <f>Schedule!GJ51</f>
        <v>0</v>
      </c>
      <c r="GG49" s="177" t="str">
        <f>Schedule!GK51</f>
        <v>0</v>
      </c>
      <c r="GH49" s="177" t="str">
        <f>Schedule!GL51</f>
        <v>0</v>
      </c>
      <c r="GI49" s="177" t="str">
        <f>Schedule!GM51</f>
        <v>0</v>
      </c>
      <c r="GJ49" s="177" t="str">
        <f>Schedule!GN51</f>
        <v>0</v>
      </c>
      <c r="GK49" s="178"/>
      <c r="GL49" s="177" t="str">
        <f>Schedule!GO51</f>
        <v>0</v>
      </c>
      <c r="GM49" s="177" t="str">
        <f>Schedule!GP51</f>
        <v>0</v>
      </c>
      <c r="GN49" s="177" t="str">
        <f>Schedule!GQ51</f>
        <v>0</v>
      </c>
      <c r="GO49" s="177" t="str">
        <f>Schedule!GR51</f>
        <v>0</v>
      </c>
      <c r="GP49" s="177" t="str">
        <f>Schedule!GS51</f>
        <v>0</v>
      </c>
      <c r="GQ49" s="177" t="str">
        <f>Schedule!GT51</f>
        <v>0</v>
      </c>
      <c r="GR49" s="177" t="str">
        <f>Schedule!GU51</f>
        <v>0</v>
      </c>
      <c r="GS49" s="177" t="str">
        <f>Schedule!GV51</f>
        <v>0</v>
      </c>
      <c r="GT49" s="177" t="str">
        <f>Schedule!GW51</f>
        <v>0</v>
      </c>
    </row>
    <row r="50" spans="2:202" ht="18" hidden="1" customHeight="1">
      <c r="B50" s="269"/>
      <c r="C50" s="169">
        <f>Schedule!C52</f>
        <v>0</v>
      </c>
      <c r="D50" s="177" t="str">
        <f>Schedule!Z52</f>
        <v>0</v>
      </c>
      <c r="E50" s="177" t="str">
        <f>Schedule!AA52</f>
        <v>0</v>
      </c>
      <c r="F50" s="177" t="str">
        <f>Schedule!AB52</f>
        <v>0</v>
      </c>
      <c r="G50" s="177" t="str">
        <f>Schedule!AC52</f>
        <v>0</v>
      </c>
      <c r="H50" s="177" t="str">
        <f>Schedule!AD52</f>
        <v>0</v>
      </c>
      <c r="I50" s="177" t="str">
        <f>Schedule!AE52</f>
        <v>0</v>
      </c>
      <c r="J50" s="177" t="str">
        <f>Schedule!AF52</f>
        <v>0</v>
      </c>
      <c r="K50" s="182" t="str">
        <f>Schedule!AG52</f>
        <v>0</v>
      </c>
      <c r="L50" s="182" t="str">
        <f>Schedule!AH52</f>
        <v>0</v>
      </c>
      <c r="M50" s="178"/>
      <c r="N50" s="184" t="str">
        <f>Schedule!AI52</f>
        <v>0</v>
      </c>
      <c r="O50" s="177" t="str">
        <f>Schedule!AJ52</f>
        <v>0</v>
      </c>
      <c r="P50" s="177" t="str">
        <f>Schedule!AK52</f>
        <v>0</v>
      </c>
      <c r="Q50" s="177" t="str">
        <f>Schedule!AL52</f>
        <v>0</v>
      </c>
      <c r="R50" s="177" t="str">
        <f>Schedule!AM52</f>
        <v>0</v>
      </c>
      <c r="S50" s="177" t="str">
        <f>Schedule!AN52</f>
        <v>0</v>
      </c>
      <c r="T50" s="177" t="str">
        <f>Schedule!AO52</f>
        <v>0</v>
      </c>
      <c r="U50" s="177" t="str">
        <f>Schedule!AP52</f>
        <v>0</v>
      </c>
      <c r="V50" s="177" t="str">
        <f>Schedule!AQ52</f>
        <v>0</v>
      </c>
      <c r="W50" s="178"/>
      <c r="X50" s="177" t="str">
        <f>Schedule!AR52</f>
        <v>0</v>
      </c>
      <c r="Y50" s="177" t="str">
        <f>Schedule!AS52</f>
        <v>0</v>
      </c>
      <c r="Z50" s="177" t="str">
        <f>Schedule!AT52</f>
        <v>0</v>
      </c>
      <c r="AA50" s="177" t="str">
        <f>Schedule!AU52</f>
        <v>0</v>
      </c>
      <c r="AB50" s="177" t="str">
        <f>Schedule!AV52</f>
        <v>0</v>
      </c>
      <c r="AC50" s="177" t="str">
        <f>Schedule!AW52</f>
        <v>0</v>
      </c>
      <c r="AD50" s="177" t="str">
        <f>Schedule!AX52</f>
        <v>0</v>
      </c>
      <c r="AE50" s="177" t="str">
        <f>Schedule!AY52</f>
        <v>0</v>
      </c>
      <c r="AF50" s="177" t="str">
        <f>Schedule!AZ52</f>
        <v>0</v>
      </c>
      <c r="AG50" s="178"/>
      <c r="AH50" s="177" t="str">
        <f>Schedule!BA52</f>
        <v>0</v>
      </c>
      <c r="AI50" s="177" t="str">
        <f>Schedule!BB52</f>
        <v>0</v>
      </c>
      <c r="AJ50" s="177" t="str">
        <f>Schedule!BC52</f>
        <v>0</v>
      </c>
      <c r="AK50" s="177" t="str">
        <f>Schedule!BD52</f>
        <v>0</v>
      </c>
      <c r="AL50" s="177" t="str">
        <f>Schedule!BE52</f>
        <v>0</v>
      </c>
      <c r="AM50" s="177" t="str">
        <f>Schedule!BF52</f>
        <v>0</v>
      </c>
      <c r="AN50" s="177" t="str">
        <f>Schedule!BG52</f>
        <v>0</v>
      </c>
      <c r="AO50" s="177" t="str">
        <f>Schedule!BH52</f>
        <v>0</v>
      </c>
      <c r="AP50" s="177" t="str">
        <f>Schedule!BI52</f>
        <v>0</v>
      </c>
      <c r="AQ50" s="178"/>
      <c r="AR50" s="177" t="str">
        <f>Schedule!BJ52</f>
        <v>0</v>
      </c>
      <c r="AS50" s="177" t="str">
        <f>Schedule!BK52</f>
        <v>0</v>
      </c>
      <c r="AT50" s="177" t="str">
        <f>Schedule!BL52</f>
        <v>0</v>
      </c>
      <c r="AU50" s="177" t="str">
        <f>Schedule!BM52</f>
        <v>0</v>
      </c>
      <c r="AV50" s="177" t="str">
        <f>Schedule!BN52</f>
        <v>0</v>
      </c>
      <c r="AW50" s="177" t="str">
        <f>Schedule!BO52</f>
        <v>0</v>
      </c>
      <c r="AX50" s="177" t="str">
        <f>Schedule!BP52</f>
        <v>0</v>
      </c>
      <c r="AY50" s="177" t="str">
        <f>Schedule!BQ52</f>
        <v>0</v>
      </c>
      <c r="AZ50" s="177" t="str">
        <f>Schedule!BR52</f>
        <v>0</v>
      </c>
      <c r="BA50" s="178"/>
      <c r="BB50" s="177" t="str">
        <f>Schedule!BS52</f>
        <v>0</v>
      </c>
      <c r="BC50" s="177" t="str">
        <f>Schedule!BT52</f>
        <v>0</v>
      </c>
      <c r="BD50" s="177" t="str">
        <f>Schedule!BU52</f>
        <v>0</v>
      </c>
      <c r="BE50" s="177" t="str">
        <f>Schedule!BV52</f>
        <v>0</v>
      </c>
      <c r="BF50" s="177" t="str">
        <f>Schedule!BW52</f>
        <v>0</v>
      </c>
      <c r="BG50" s="177" t="str">
        <f>Schedule!BX52</f>
        <v>0</v>
      </c>
      <c r="BH50" s="177" t="str">
        <f>Schedule!BY52</f>
        <v>0</v>
      </c>
      <c r="BI50" s="177" t="str">
        <f>Schedule!BZ52</f>
        <v>0</v>
      </c>
      <c r="BJ50" s="177" t="str">
        <f>Schedule!CA52</f>
        <v>0</v>
      </c>
      <c r="BK50" s="178"/>
      <c r="BL50" s="177" t="str">
        <f>Schedule!CB52</f>
        <v>0</v>
      </c>
      <c r="BM50" s="177" t="str">
        <f>Schedule!CC52</f>
        <v>0</v>
      </c>
      <c r="BN50" s="177" t="str">
        <f>Schedule!CD52</f>
        <v>0</v>
      </c>
      <c r="BO50" s="177" t="str">
        <f>Schedule!CE52</f>
        <v>0</v>
      </c>
      <c r="BP50" s="177" t="str">
        <f>Schedule!CF52</f>
        <v>0</v>
      </c>
      <c r="BQ50" s="177" t="str">
        <f>Schedule!CG52</f>
        <v>0</v>
      </c>
      <c r="BR50" s="177" t="str">
        <f>Schedule!CH52</f>
        <v>0</v>
      </c>
      <c r="BS50" s="177" t="str">
        <f>Schedule!CI52</f>
        <v>0</v>
      </c>
      <c r="BT50" s="177" t="str">
        <f>Schedule!CJ52</f>
        <v>0</v>
      </c>
      <c r="BU50" s="178"/>
      <c r="BV50" s="177" t="str">
        <f>Schedule!CK52</f>
        <v>0</v>
      </c>
      <c r="BW50" s="177" t="str">
        <f>Schedule!CL52</f>
        <v>0</v>
      </c>
      <c r="BX50" s="177" t="str">
        <f>Schedule!CM52</f>
        <v>0</v>
      </c>
      <c r="BY50" s="177" t="str">
        <f>Schedule!CN52</f>
        <v>0</v>
      </c>
      <c r="BZ50" s="177" t="str">
        <f>Schedule!CO52</f>
        <v>0</v>
      </c>
      <c r="CA50" s="177" t="str">
        <f>Schedule!CP52</f>
        <v>0</v>
      </c>
      <c r="CB50" s="177" t="str">
        <f>Schedule!CQ52</f>
        <v>0</v>
      </c>
      <c r="CC50" s="177" t="str">
        <f>Schedule!CR52</f>
        <v>0</v>
      </c>
      <c r="CD50" s="177" t="str">
        <f>Schedule!CS52</f>
        <v>0</v>
      </c>
      <c r="CE50" s="178"/>
      <c r="CF50" s="177" t="str">
        <f>Schedule!CT52</f>
        <v>0</v>
      </c>
      <c r="CG50" s="177" t="str">
        <f>Schedule!CU52</f>
        <v>0</v>
      </c>
      <c r="CH50" s="177" t="str">
        <f>Schedule!CV52</f>
        <v>0</v>
      </c>
      <c r="CI50" s="177" t="str">
        <f>Schedule!CW52</f>
        <v>0</v>
      </c>
      <c r="CJ50" s="177" t="str">
        <f>Schedule!CX52</f>
        <v>0</v>
      </c>
      <c r="CK50" s="177" t="str">
        <f>Schedule!CY52</f>
        <v>0</v>
      </c>
      <c r="CL50" s="177" t="str">
        <f>Schedule!CZ52</f>
        <v>0</v>
      </c>
      <c r="CM50" s="177" t="str">
        <f>Schedule!DA52</f>
        <v>0</v>
      </c>
      <c r="CN50" s="177" t="str">
        <f>Schedule!DB52</f>
        <v>0</v>
      </c>
      <c r="CO50" s="178"/>
      <c r="CP50" s="177" t="str">
        <f>Schedule!DC52</f>
        <v>0</v>
      </c>
      <c r="CQ50" s="177" t="str">
        <f>Schedule!DD52</f>
        <v>0</v>
      </c>
      <c r="CR50" s="177" t="str">
        <f>Schedule!DE52</f>
        <v>0</v>
      </c>
      <c r="CS50" s="177" t="str">
        <f>Schedule!DF52</f>
        <v>0</v>
      </c>
      <c r="CT50" s="177" t="str">
        <f>Schedule!DG52</f>
        <v>0</v>
      </c>
      <c r="CU50" s="177" t="str">
        <f>Schedule!DH52</f>
        <v>0</v>
      </c>
      <c r="CV50" s="177" t="str">
        <f>Schedule!DI52</f>
        <v>0</v>
      </c>
      <c r="CW50" s="177" t="str">
        <f>Schedule!DJ52</f>
        <v>0</v>
      </c>
      <c r="CX50" s="177" t="str">
        <f>Schedule!DK52</f>
        <v>0</v>
      </c>
      <c r="CY50" s="178"/>
      <c r="CZ50" s="177" t="str">
        <f>Schedule!DL52</f>
        <v>0</v>
      </c>
      <c r="DA50" s="177" t="str">
        <f>Schedule!DM52</f>
        <v>0</v>
      </c>
      <c r="DB50" s="177" t="str">
        <f>Schedule!DN52</f>
        <v>0</v>
      </c>
      <c r="DC50" s="177" t="str">
        <f>Schedule!DO52</f>
        <v>0</v>
      </c>
      <c r="DD50" s="177" t="str">
        <f>Schedule!DP52</f>
        <v>0</v>
      </c>
      <c r="DE50" s="177" t="str">
        <f>Schedule!DQ52</f>
        <v>0</v>
      </c>
      <c r="DF50" s="177" t="str">
        <f>Schedule!DR52</f>
        <v>0</v>
      </c>
      <c r="DG50" s="177" t="str">
        <f>Schedule!DS52</f>
        <v>0</v>
      </c>
      <c r="DH50" s="177" t="str">
        <f>Schedule!DT52</f>
        <v>0</v>
      </c>
      <c r="DI50" s="178"/>
      <c r="DJ50" s="177" t="str">
        <f>Schedule!DU52</f>
        <v>0</v>
      </c>
      <c r="DK50" s="177" t="str">
        <f>Schedule!DV52</f>
        <v>0</v>
      </c>
      <c r="DL50" s="177" t="str">
        <f>Schedule!DW52</f>
        <v>0</v>
      </c>
      <c r="DM50" s="177" t="str">
        <f>Schedule!DX52</f>
        <v>0</v>
      </c>
      <c r="DN50" s="177" t="str">
        <f>Schedule!DY52</f>
        <v>0</v>
      </c>
      <c r="DO50" s="177" t="str">
        <f>Schedule!DZ52</f>
        <v>0</v>
      </c>
      <c r="DP50" s="177" t="str">
        <f>Schedule!EA52</f>
        <v>0</v>
      </c>
      <c r="DQ50" s="177" t="str">
        <f>Schedule!EB52</f>
        <v>0</v>
      </c>
      <c r="DR50" s="177" t="str">
        <f>Schedule!EC52</f>
        <v>0</v>
      </c>
      <c r="DS50" s="178"/>
      <c r="DT50" s="177" t="str">
        <f>Schedule!ED52</f>
        <v>0</v>
      </c>
      <c r="DU50" s="177" t="str">
        <f>Schedule!EE52</f>
        <v>0</v>
      </c>
      <c r="DV50" s="177" t="str">
        <f>Schedule!EF52</f>
        <v>0</v>
      </c>
      <c r="DW50" s="177" t="str">
        <f>Schedule!EG52</f>
        <v>0</v>
      </c>
      <c r="DX50" s="177" t="str">
        <f>Schedule!EH52</f>
        <v>0</v>
      </c>
      <c r="DY50" s="177" t="str">
        <f>Schedule!EI52</f>
        <v>0</v>
      </c>
      <c r="DZ50" s="177" t="str">
        <f>Schedule!EJ52</f>
        <v>0</v>
      </c>
      <c r="EA50" s="177" t="str">
        <f>Schedule!EK52</f>
        <v>0</v>
      </c>
      <c r="EB50" s="177" t="str">
        <f>Schedule!EL52</f>
        <v>0</v>
      </c>
      <c r="EC50" s="178"/>
      <c r="ED50" s="177" t="str">
        <f>Schedule!EM52</f>
        <v>0</v>
      </c>
      <c r="EE50" s="177" t="str">
        <f>Schedule!EN52</f>
        <v>0</v>
      </c>
      <c r="EF50" s="177" t="str">
        <f>Schedule!EO52</f>
        <v>0</v>
      </c>
      <c r="EG50" s="177" t="str">
        <f>Schedule!EP52</f>
        <v>0</v>
      </c>
      <c r="EH50" s="177" t="str">
        <f>Schedule!EQ52</f>
        <v>0</v>
      </c>
      <c r="EI50" s="177" t="str">
        <f>Schedule!ER52</f>
        <v>0</v>
      </c>
      <c r="EJ50" s="177" t="str">
        <f>Schedule!ES52</f>
        <v>0</v>
      </c>
      <c r="EK50" s="177" t="str">
        <f>Schedule!ET52</f>
        <v>0</v>
      </c>
      <c r="EL50" s="177" t="str">
        <f>Schedule!EU52</f>
        <v>0</v>
      </c>
      <c r="EM50" s="178"/>
      <c r="EN50" s="177" t="str">
        <f>Schedule!EV52</f>
        <v>0</v>
      </c>
      <c r="EO50" s="177" t="str">
        <f>Schedule!EW52</f>
        <v>0</v>
      </c>
      <c r="EP50" s="177" t="str">
        <f>Schedule!EX52</f>
        <v>0</v>
      </c>
      <c r="EQ50" s="177" t="str">
        <f>Schedule!EY52</f>
        <v>0</v>
      </c>
      <c r="ER50" s="177" t="str">
        <f>Schedule!EZ52</f>
        <v>0</v>
      </c>
      <c r="ES50" s="177" t="str">
        <f>Schedule!FA52</f>
        <v>0</v>
      </c>
      <c r="ET50" s="177" t="str">
        <f>Schedule!FB52</f>
        <v>0</v>
      </c>
      <c r="EU50" s="177" t="str">
        <f>Schedule!FC52</f>
        <v>0</v>
      </c>
      <c r="EV50" s="177" t="str">
        <f>Schedule!FD52</f>
        <v>0</v>
      </c>
      <c r="EW50" s="178"/>
      <c r="EX50" s="177" t="str">
        <f>Schedule!FE52</f>
        <v>0</v>
      </c>
      <c r="EY50" s="177" t="str">
        <f>Schedule!FF52</f>
        <v>0</v>
      </c>
      <c r="EZ50" s="177" t="str">
        <f>Schedule!FG52</f>
        <v>0</v>
      </c>
      <c r="FA50" s="177" t="str">
        <f>Schedule!FH52</f>
        <v>0</v>
      </c>
      <c r="FB50" s="177" t="str">
        <f>Schedule!FI52</f>
        <v>0</v>
      </c>
      <c r="FC50" s="177" t="str">
        <f>Schedule!FJ52</f>
        <v>0</v>
      </c>
      <c r="FD50" s="177" t="str">
        <f>Schedule!FK52</f>
        <v>0</v>
      </c>
      <c r="FE50" s="177" t="str">
        <f>Schedule!FL52</f>
        <v>0</v>
      </c>
      <c r="FF50" s="177" t="str">
        <f>Schedule!FM52</f>
        <v>0</v>
      </c>
      <c r="FG50" s="178"/>
      <c r="FH50" s="177" t="str">
        <f>Schedule!FN52</f>
        <v>0</v>
      </c>
      <c r="FI50" s="177" t="str">
        <f>Schedule!FO52</f>
        <v>0</v>
      </c>
      <c r="FJ50" s="177" t="str">
        <f>Schedule!FP52</f>
        <v>0</v>
      </c>
      <c r="FK50" s="177" t="str">
        <f>Schedule!FQ52</f>
        <v>0</v>
      </c>
      <c r="FL50" s="177" t="str">
        <f>Schedule!FR52</f>
        <v>0</v>
      </c>
      <c r="FM50" s="177" t="str">
        <f>Schedule!FS52</f>
        <v>0</v>
      </c>
      <c r="FN50" s="177" t="str">
        <f>Schedule!FT52</f>
        <v>0</v>
      </c>
      <c r="FO50" s="177" t="str">
        <f>Schedule!FU52</f>
        <v>0</v>
      </c>
      <c r="FP50" s="177" t="str">
        <f>Schedule!FV52</f>
        <v>0</v>
      </c>
      <c r="FQ50" s="178"/>
      <c r="FR50" s="177" t="str">
        <f>Schedule!FW52</f>
        <v>0</v>
      </c>
      <c r="FS50" s="177" t="str">
        <f>Schedule!FX52</f>
        <v>0</v>
      </c>
      <c r="FT50" s="177" t="str">
        <f>Schedule!FY52</f>
        <v>0</v>
      </c>
      <c r="FU50" s="177" t="str">
        <f>Schedule!FZ52</f>
        <v>0</v>
      </c>
      <c r="FV50" s="177" t="str">
        <f>Schedule!GA52</f>
        <v>0</v>
      </c>
      <c r="FW50" s="177" t="str">
        <f>Schedule!GB52</f>
        <v>0</v>
      </c>
      <c r="FX50" s="177" t="str">
        <f>Schedule!GC52</f>
        <v>0</v>
      </c>
      <c r="FY50" s="177" t="str">
        <f>Schedule!GD52</f>
        <v>0</v>
      </c>
      <c r="FZ50" s="177" t="str">
        <f>Schedule!GE52</f>
        <v>0</v>
      </c>
      <c r="GA50" s="178"/>
      <c r="GB50" s="177" t="str">
        <f>Schedule!GF52</f>
        <v>0</v>
      </c>
      <c r="GC50" s="177" t="str">
        <f>Schedule!GG52</f>
        <v>0</v>
      </c>
      <c r="GD50" s="177" t="str">
        <f>Schedule!GH52</f>
        <v>0</v>
      </c>
      <c r="GE50" s="177" t="str">
        <f>Schedule!GI52</f>
        <v>0</v>
      </c>
      <c r="GF50" s="177" t="str">
        <f>Schedule!GJ52</f>
        <v>0</v>
      </c>
      <c r="GG50" s="177" t="str">
        <f>Schedule!GK52</f>
        <v>0</v>
      </c>
      <c r="GH50" s="177" t="str">
        <f>Schedule!GL52</f>
        <v>0</v>
      </c>
      <c r="GI50" s="177" t="str">
        <f>Schedule!GM52</f>
        <v>0</v>
      </c>
      <c r="GJ50" s="177" t="str">
        <f>Schedule!GN52</f>
        <v>0</v>
      </c>
      <c r="GK50" s="178"/>
      <c r="GL50" s="177" t="str">
        <f>Schedule!GO52</f>
        <v>0</v>
      </c>
      <c r="GM50" s="177" t="str">
        <f>Schedule!GP52</f>
        <v>0</v>
      </c>
      <c r="GN50" s="177" t="str">
        <f>Schedule!GQ52</f>
        <v>0</v>
      </c>
      <c r="GO50" s="177" t="str">
        <f>Schedule!GR52</f>
        <v>0</v>
      </c>
      <c r="GP50" s="177" t="str">
        <f>Schedule!GS52</f>
        <v>0</v>
      </c>
      <c r="GQ50" s="177" t="str">
        <f>Schedule!GT52</f>
        <v>0</v>
      </c>
      <c r="GR50" s="177" t="str">
        <f>Schedule!GU52</f>
        <v>0</v>
      </c>
      <c r="GS50" s="177" t="str">
        <f>Schedule!GV52</f>
        <v>0</v>
      </c>
      <c r="GT50" s="177" t="str">
        <f>Schedule!GW52</f>
        <v>0</v>
      </c>
    </row>
    <row r="51" spans="2:202" ht="18" hidden="1" customHeight="1">
      <c r="B51" s="269"/>
      <c r="C51" s="169">
        <f>Schedule!C53</f>
        <v>0</v>
      </c>
      <c r="D51" s="177" t="str">
        <f>Schedule!Z53</f>
        <v>0</v>
      </c>
      <c r="E51" s="177" t="str">
        <f>Schedule!AA53</f>
        <v>0</v>
      </c>
      <c r="F51" s="177" t="str">
        <f>Schedule!AB53</f>
        <v>0</v>
      </c>
      <c r="G51" s="177" t="str">
        <f>Schedule!AC53</f>
        <v>0</v>
      </c>
      <c r="H51" s="177" t="str">
        <f>Schedule!AD53</f>
        <v>0</v>
      </c>
      <c r="I51" s="177" t="str">
        <f>Schedule!AE53</f>
        <v>0</v>
      </c>
      <c r="J51" s="177" t="str">
        <f>Schedule!AF53</f>
        <v>0</v>
      </c>
      <c r="K51" s="182" t="str">
        <f>Schedule!AG53</f>
        <v>0</v>
      </c>
      <c r="L51" s="182" t="str">
        <f>Schedule!AH53</f>
        <v>0</v>
      </c>
      <c r="M51" s="178"/>
      <c r="N51" s="184" t="str">
        <f>Schedule!AI53</f>
        <v>0</v>
      </c>
      <c r="O51" s="177" t="str">
        <f>Schedule!AJ53</f>
        <v>0</v>
      </c>
      <c r="P51" s="177" t="str">
        <f>Schedule!AK53</f>
        <v>0</v>
      </c>
      <c r="Q51" s="177" t="str">
        <f>Schedule!AL53</f>
        <v>0</v>
      </c>
      <c r="R51" s="177" t="str">
        <f>Schedule!AM53</f>
        <v>0</v>
      </c>
      <c r="S51" s="177" t="str">
        <f>Schedule!AN53</f>
        <v>0</v>
      </c>
      <c r="T51" s="177" t="str">
        <f>Schedule!AO53</f>
        <v>0</v>
      </c>
      <c r="U51" s="177" t="str">
        <f>Schedule!AP53</f>
        <v>0</v>
      </c>
      <c r="V51" s="177" t="str">
        <f>Schedule!AQ53</f>
        <v>0</v>
      </c>
      <c r="W51" s="178"/>
      <c r="X51" s="177" t="str">
        <f>Schedule!AR53</f>
        <v>0</v>
      </c>
      <c r="Y51" s="177" t="str">
        <f>Schedule!AS53</f>
        <v>0</v>
      </c>
      <c r="Z51" s="177" t="str">
        <f>Schedule!AT53</f>
        <v>0</v>
      </c>
      <c r="AA51" s="177" t="str">
        <f>Schedule!AU53</f>
        <v>0</v>
      </c>
      <c r="AB51" s="177" t="str">
        <f>Schedule!AV53</f>
        <v>0</v>
      </c>
      <c r="AC51" s="177" t="str">
        <f>Schedule!AW53</f>
        <v>0</v>
      </c>
      <c r="AD51" s="177" t="str">
        <f>Schedule!AX53</f>
        <v>0</v>
      </c>
      <c r="AE51" s="177" t="str">
        <f>Schedule!AY53</f>
        <v>0</v>
      </c>
      <c r="AF51" s="177" t="str">
        <f>Schedule!AZ53</f>
        <v>0</v>
      </c>
      <c r="AG51" s="178"/>
      <c r="AH51" s="177" t="str">
        <f>Schedule!BA53</f>
        <v>0</v>
      </c>
      <c r="AI51" s="177" t="str">
        <f>Schedule!BB53</f>
        <v>0</v>
      </c>
      <c r="AJ51" s="177" t="str">
        <f>Schedule!BC53</f>
        <v>0</v>
      </c>
      <c r="AK51" s="177" t="str">
        <f>Schedule!BD53</f>
        <v>0</v>
      </c>
      <c r="AL51" s="177" t="str">
        <f>Schedule!BE53</f>
        <v>0</v>
      </c>
      <c r="AM51" s="177" t="str">
        <f>Schedule!BF53</f>
        <v>0</v>
      </c>
      <c r="AN51" s="177" t="str">
        <f>Schedule!BG53</f>
        <v>0</v>
      </c>
      <c r="AO51" s="177" t="str">
        <f>Schedule!BH53</f>
        <v>0</v>
      </c>
      <c r="AP51" s="177" t="str">
        <f>Schedule!BI53</f>
        <v>0</v>
      </c>
      <c r="AQ51" s="178"/>
      <c r="AR51" s="177" t="str">
        <f>Schedule!BJ53</f>
        <v>0</v>
      </c>
      <c r="AS51" s="177" t="str">
        <f>Schedule!BK53</f>
        <v>0</v>
      </c>
      <c r="AT51" s="177" t="str">
        <f>Schedule!BL53</f>
        <v>0</v>
      </c>
      <c r="AU51" s="177" t="str">
        <f>Schedule!BM53</f>
        <v>0</v>
      </c>
      <c r="AV51" s="177" t="str">
        <f>Schedule!BN53</f>
        <v>0</v>
      </c>
      <c r="AW51" s="177" t="str">
        <f>Schedule!BO53</f>
        <v>0</v>
      </c>
      <c r="AX51" s="177" t="str">
        <f>Schedule!BP53</f>
        <v>0</v>
      </c>
      <c r="AY51" s="177" t="str">
        <f>Schedule!BQ53</f>
        <v>0</v>
      </c>
      <c r="AZ51" s="177" t="str">
        <f>Schedule!BR53</f>
        <v>0</v>
      </c>
      <c r="BA51" s="178"/>
      <c r="BB51" s="177" t="str">
        <f>Schedule!BS53</f>
        <v>0</v>
      </c>
      <c r="BC51" s="177" t="str">
        <f>Schedule!BT53</f>
        <v>0</v>
      </c>
      <c r="BD51" s="177" t="str">
        <f>Schedule!BU53</f>
        <v>0</v>
      </c>
      <c r="BE51" s="177" t="str">
        <f>Schedule!BV53</f>
        <v>0</v>
      </c>
      <c r="BF51" s="177" t="str">
        <f>Schedule!BW53</f>
        <v>0</v>
      </c>
      <c r="BG51" s="177" t="str">
        <f>Schedule!BX53</f>
        <v>0</v>
      </c>
      <c r="BH51" s="177" t="str">
        <f>Schedule!BY53</f>
        <v>0</v>
      </c>
      <c r="BI51" s="177" t="str">
        <f>Schedule!BZ53</f>
        <v>0</v>
      </c>
      <c r="BJ51" s="177" t="str">
        <f>Schedule!CA53</f>
        <v>0</v>
      </c>
      <c r="BK51" s="178"/>
      <c r="BL51" s="177" t="str">
        <f>Schedule!CB53</f>
        <v>0</v>
      </c>
      <c r="BM51" s="177" t="str">
        <f>Schedule!CC53</f>
        <v>0</v>
      </c>
      <c r="BN51" s="177" t="str">
        <f>Schedule!CD53</f>
        <v>0</v>
      </c>
      <c r="BO51" s="177" t="str">
        <f>Schedule!CE53</f>
        <v>0</v>
      </c>
      <c r="BP51" s="177" t="str">
        <f>Schedule!CF53</f>
        <v>0</v>
      </c>
      <c r="BQ51" s="177" t="str">
        <f>Schedule!CG53</f>
        <v>0</v>
      </c>
      <c r="BR51" s="177" t="str">
        <f>Schedule!CH53</f>
        <v>0</v>
      </c>
      <c r="BS51" s="177" t="str">
        <f>Schedule!CI53</f>
        <v>0</v>
      </c>
      <c r="BT51" s="177" t="str">
        <f>Schedule!CJ53</f>
        <v>0</v>
      </c>
      <c r="BU51" s="178"/>
      <c r="BV51" s="177" t="str">
        <f>Schedule!CK53</f>
        <v>0</v>
      </c>
      <c r="BW51" s="177" t="str">
        <f>Schedule!CL53</f>
        <v>0</v>
      </c>
      <c r="BX51" s="177" t="str">
        <f>Schedule!CM53</f>
        <v>0</v>
      </c>
      <c r="BY51" s="177" t="str">
        <f>Schedule!CN53</f>
        <v>0</v>
      </c>
      <c r="BZ51" s="177" t="str">
        <f>Schedule!CO53</f>
        <v>0</v>
      </c>
      <c r="CA51" s="177" t="str">
        <f>Schedule!CP53</f>
        <v>0</v>
      </c>
      <c r="CB51" s="177" t="str">
        <f>Schedule!CQ53</f>
        <v>0</v>
      </c>
      <c r="CC51" s="177" t="str">
        <f>Schedule!CR53</f>
        <v>0</v>
      </c>
      <c r="CD51" s="177" t="str">
        <f>Schedule!CS53</f>
        <v>0</v>
      </c>
      <c r="CE51" s="178"/>
      <c r="CF51" s="177" t="str">
        <f>Schedule!CT53</f>
        <v>0</v>
      </c>
      <c r="CG51" s="177" t="str">
        <f>Schedule!CU53</f>
        <v>0</v>
      </c>
      <c r="CH51" s="177" t="str">
        <f>Schedule!CV53</f>
        <v>0</v>
      </c>
      <c r="CI51" s="177" t="str">
        <f>Schedule!CW53</f>
        <v>0</v>
      </c>
      <c r="CJ51" s="177" t="str">
        <f>Schedule!CX53</f>
        <v>0</v>
      </c>
      <c r="CK51" s="177" t="str">
        <f>Schedule!CY53</f>
        <v>0</v>
      </c>
      <c r="CL51" s="177" t="str">
        <f>Schedule!CZ53</f>
        <v>0</v>
      </c>
      <c r="CM51" s="177" t="str">
        <f>Schedule!DA53</f>
        <v>0</v>
      </c>
      <c r="CN51" s="177" t="str">
        <f>Schedule!DB53</f>
        <v>0</v>
      </c>
      <c r="CO51" s="178"/>
      <c r="CP51" s="177" t="str">
        <f>Schedule!DC53</f>
        <v>0</v>
      </c>
      <c r="CQ51" s="177" t="str">
        <f>Schedule!DD53</f>
        <v>0</v>
      </c>
      <c r="CR51" s="177" t="str">
        <f>Schedule!DE53</f>
        <v>0</v>
      </c>
      <c r="CS51" s="177" t="str">
        <f>Schedule!DF53</f>
        <v>0</v>
      </c>
      <c r="CT51" s="177" t="str">
        <f>Schedule!DG53</f>
        <v>0</v>
      </c>
      <c r="CU51" s="177" t="str">
        <f>Schedule!DH53</f>
        <v>0</v>
      </c>
      <c r="CV51" s="177" t="str">
        <f>Schedule!DI53</f>
        <v>0</v>
      </c>
      <c r="CW51" s="177" t="str">
        <f>Schedule!DJ53</f>
        <v>0</v>
      </c>
      <c r="CX51" s="177" t="str">
        <f>Schedule!DK53</f>
        <v>0</v>
      </c>
      <c r="CY51" s="178"/>
      <c r="CZ51" s="177" t="str">
        <f>Schedule!DL53</f>
        <v>0</v>
      </c>
      <c r="DA51" s="177" t="str">
        <f>Schedule!DM53</f>
        <v>0</v>
      </c>
      <c r="DB51" s="177" t="str">
        <f>Schedule!DN53</f>
        <v>0</v>
      </c>
      <c r="DC51" s="177" t="str">
        <f>Schedule!DO53</f>
        <v>0</v>
      </c>
      <c r="DD51" s="177" t="str">
        <f>Schedule!DP53</f>
        <v>0</v>
      </c>
      <c r="DE51" s="177" t="str">
        <f>Schedule!DQ53</f>
        <v>0</v>
      </c>
      <c r="DF51" s="177" t="str">
        <f>Schedule!DR53</f>
        <v>0</v>
      </c>
      <c r="DG51" s="177" t="str">
        <f>Schedule!DS53</f>
        <v>0</v>
      </c>
      <c r="DH51" s="177" t="str">
        <f>Schedule!DT53</f>
        <v>0</v>
      </c>
      <c r="DI51" s="178"/>
      <c r="DJ51" s="177" t="str">
        <f>Schedule!DU53</f>
        <v>0</v>
      </c>
      <c r="DK51" s="177" t="str">
        <f>Schedule!DV53</f>
        <v>0</v>
      </c>
      <c r="DL51" s="177" t="str">
        <f>Schedule!DW53</f>
        <v>0</v>
      </c>
      <c r="DM51" s="177" t="str">
        <f>Schedule!DX53</f>
        <v>0</v>
      </c>
      <c r="DN51" s="177" t="str">
        <f>Schedule!DY53</f>
        <v>0</v>
      </c>
      <c r="DO51" s="177" t="str">
        <f>Schedule!DZ53</f>
        <v>0</v>
      </c>
      <c r="DP51" s="177" t="str">
        <f>Schedule!EA53</f>
        <v>0</v>
      </c>
      <c r="DQ51" s="177" t="str">
        <f>Schedule!EB53</f>
        <v>0</v>
      </c>
      <c r="DR51" s="177" t="str">
        <f>Schedule!EC53</f>
        <v>0</v>
      </c>
      <c r="DS51" s="178"/>
      <c r="DT51" s="177" t="str">
        <f>Schedule!ED53</f>
        <v>0</v>
      </c>
      <c r="DU51" s="177" t="str">
        <f>Schedule!EE53</f>
        <v>0</v>
      </c>
      <c r="DV51" s="177" t="str">
        <f>Schedule!EF53</f>
        <v>0</v>
      </c>
      <c r="DW51" s="177" t="str">
        <f>Schedule!EG53</f>
        <v>0</v>
      </c>
      <c r="DX51" s="177" t="str">
        <f>Schedule!EH53</f>
        <v>0</v>
      </c>
      <c r="DY51" s="177" t="str">
        <f>Schedule!EI53</f>
        <v>0</v>
      </c>
      <c r="DZ51" s="177" t="str">
        <f>Schedule!EJ53</f>
        <v>0</v>
      </c>
      <c r="EA51" s="177" t="str">
        <f>Schedule!EK53</f>
        <v>0</v>
      </c>
      <c r="EB51" s="177" t="str">
        <f>Schedule!EL53</f>
        <v>0</v>
      </c>
      <c r="EC51" s="178"/>
      <c r="ED51" s="177" t="str">
        <f>Schedule!EM53</f>
        <v>0</v>
      </c>
      <c r="EE51" s="177" t="str">
        <f>Schedule!EN53</f>
        <v>0</v>
      </c>
      <c r="EF51" s="177" t="str">
        <f>Schedule!EO53</f>
        <v>0</v>
      </c>
      <c r="EG51" s="177" t="str">
        <f>Schedule!EP53</f>
        <v>0</v>
      </c>
      <c r="EH51" s="177" t="str">
        <f>Schedule!EQ53</f>
        <v>0</v>
      </c>
      <c r="EI51" s="177" t="str">
        <f>Schedule!ER53</f>
        <v>0</v>
      </c>
      <c r="EJ51" s="177" t="str">
        <f>Schedule!ES53</f>
        <v>0</v>
      </c>
      <c r="EK51" s="177" t="str">
        <f>Schedule!ET53</f>
        <v>0</v>
      </c>
      <c r="EL51" s="177" t="str">
        <f>Schedule!EU53</f>
        <v>0</v>
      </c>
      <c r="EM51" s="178"/>
      <c r="EN51" s="177" t="str">
        <f>Schedule!EV53</f>
        <v>0</v>
      </c>
      <c r="EO51" s="177" t="str">
        <f>Schedule!EW53</f>
        <v>0</v>
      </c>
      <c r="EP51" s="177" t="str">
        <f>Schedule!EX53</f>
        <v>0</v>
      </c>
      <c r="EQ51" s="177" t="str">
        <f>Schedule!EY53</f>
        <v>0</v>
      </c>
      <c r="ER51" s="177" t="str">
        <f>Schedule!EZ53</f>
        <v>0</v>
      </c>
      <c r="ES51" s="177" t="str">
        <f>Schedule!FA53</f>
        <v>0</v>
      </c>
      <c r="ET51" s="177" t="str">
        <f>Schedule!FB53</f>
        <v>0</v>
      </c>
      <c r="EU51" s="177" t="str">
        <f>Schedule!FC53</f>
        <v>0</v>
      </c>
      <c r="EV51" s="177" t="str">
        <f>Schedule!FD53</f>
        <v>0</v>
      </c>
      <c r="EW51" s="178"/>
      <c r="EX51" s="177" t="str">
        <f>Schedule!FE53</f>
        <v>0</v>
      </c>
      <c r="EY51" s="177" t="str">
        <f>Schedule!FF53</f>
        <v>0</v>
      </c>
      <c r="EZ51" s="177" t="str">
        <f>Schedule!FG53</f>
        <v>0</v>
      </c>
      <c r="FA51" s="177" t="str">
        <f>Schedule!FH53</f>
        <v>0</v>
      </c>
      <c r="FB51" s="177" t="str">
        <f>Schedule!FI53</f>
        <v>0</v>
      </c>
      <c r="FC51" s="177" t="str">
        <f>Schedule!FJ53</f>
        <v>0</v>
      </c>
      <c r="FD51" s="177" t="str">
        <f>Schedule!FK53</f>
        <v>0</v>
      </c>
      <c r="FE51" s="177" t="str">
        <f>Schedule!FL53</f>
        <v>0</v>
      </c>
      <c r="FF51" s="177" t="str">
        <f>Schedule!FM53</f>
        <v>0</v>
      </c>
      <c r="FG51" s="178"/>
      <c r="FH51" s="177" t="str">
        <f>Schedule!FN53</f>
        <v>0</v>
      </c>
      <c r="FI51" s="177" t="str">
        <f>Schedule!FO53</f>
        <v>0</v>
      </c>
      <c r="FJ51" s="177" t="str">
        <f>Schedule!FP53</f>
        <v>0</v>
      </c>
      <c r="FK51" s="177" t="str">
        <f>Schedule!FQ53</f>
        <v>0</v>
      </c>
      <c r="FL51" s="177" t="str">
        <f>Schedule!FR53</f>
        <v>0</v>
      </c>
      <c r="FM51" s="177" t="str">
        <f>Schedule!FS53</f>
        <v>0</v>
      </c>
      <c r="FN51" s="177" t="str">
        <f>Schedule!FT53</f>
        <v>0</v>
      </c>
      <c r="FO51" s="177" t="str">
        <f>Schedule!FU53</f>
        <v>0</v>
      </c>
      <c r="FP51" s="177" t="str">
        <f>Schedule!FV53</f>
        <v>0</v>
      </c>
      <c r="FQ51" s="178"/>
      <c r="FR51" s="177" t="str">
        <f>Schedule!FW53</f>
        <v>0</v>
      </c>
      <c r="FS51" s="177" t="str">
        <f>Schedule!FX53</f>
        <v>0</v>
      </c>
      <c r="FT51" s="177" t="str">
        <f>Schedule!FY53</f>
        <v>0</v>
      </c>
      <c r="FU51" s="177" t="str">
        <f>Schedule!FZ53</f>
        <v>0</v>
      </c>
      <c r="FV51" s="177" t="str">
        <f>Schedule!GA53</f>
        <v>0</v>
      </c>
      <c r="FW51" s="177" t="str">
        <f>Schedule!GB53</f>
        <v>0</v>
      </c>
      <c r="FX51" s="177" t="str">
        <f>Schedule!GC53</f>
        <v>0</v>
      </c>
      <c r="FY51" s="177" t="str">
        <f>Schedule!GD53</f>
        <v>0</v>
      </c>
      <c r="FZ51" s="177" t="str">
        <f>Schedule!GE53</f>
        <v>0</v>
      </c>
      <c r="GA51" s="178"/>
      <c r="GB51" s="177" t="str">
        <f>Schedule!GF53</f>
        <v>0</v>
      </c>
      <c r="GC51" s="177" t="str">
        <f>Schedule!GG53</f>
        <v>0</v>
      </c>
      <c r="GD51" s="177" t="str">
        <f>Schedule!GH53</f>
        <v>0</v>
      </c>
      <c r="GE51" s="177" t="str">
        <f>Schedule!GI53</f>
        <v>0</v>
      </c>
      <c r="GF51" s="177" t="str">
        <f>Schedule!GJ53</f>
        <v>0</v>
      </c>
      <c r="GG51" s="177" t="str">
        <f>Schedule!GK53</f>
        <v>0</v>
      </c>
      <c r="GH51" s="177" t="str">
        <f>Schedule!GL53</f>
        <v>0</v>
      </c>
      <c r="GI51" s="177" t="str">
        <f>Schedule!GM53</f>
        <v>0</v>
      </c>
      <c r="GJ51" s="177" t="str">
        <f>Schedule!GN53</f>
        <v>0</v>
      </c>
      <c r="GK51" s="178"/>
      <c r="GL51" s="177" t="str">
        <f>Schedule!GO53</f>
        <v>0</v>
      </c>
      <c r="GM51" s="177" t="str">
        <f>Schedule!GP53</f>
        <v>0</v>
      </c>
      <c r="GN51" s="177" t="str">
        <f>Schedule!GQ53</f>
        <v>0</v>
      </c>
      <c r="GO51" s="177" t="str">
        <f>Schedule!GR53</f>
        <v>0</v>
      </c>
      <c r="GP51" s="177" t="str">
        <f>Schedule!GS53</f>
        <v>0</v>
      </c>
      <c r="GQ51" s="177" t="str">
        <f>Schedule!GT53</f>
        <v>0</v>
      </c>
      <c r="GR51" s="177" t="str">
        <f>Schedule!GU53</f>
        <v>0</v>
      </c>
      <c r="GS51" s="177" t="str">
        <f>Schedule!GV53</f>
        <v>0</v>
      </c>
      <c r="GT51" s="177" t="str">
        <f>Schedule!GW53</f>
        <v>0</v>
      </c>
    </row>
    <row r="52" spans="2:202" ht="18" hidden="1" customHeight="1">
      <c r="B52" s="269"/>
      <c r="C52" s="169">
        <f>Schedule!C54</f>
        <v>0</v>
      </c>
      <c r="D52" s="177" t="str">
        <f>Schedule!Z54</f>
        <v>0</v>
      </c>
      <c r="E52" s="177" t="str">
        <f>Schedule!AA54</f>
        <v>0</v>
      </c>
      <c r="F52" s="177" t="str">
        <f>Schedule!AB54</f>
        <v>0</v>
      </c>
      <c r="G52" s="177" t="str">
        <f>Schedule!AC54</f>
        <v>0</v>
      </c>
      <c r="H52" s="177" t="str">
        <f>Schedule!AD54</f>
        <v>0</v>
      </c>
      <c r="I52" s="177" t="str">
        <f>Schedule!AE54</f>
        <v>0</v>
      </c>
      <c r="J52" s="177" t="str">
        <f>Schedule!AF54</f>
        <v>0</v>
      </c>
      <c r="K52" s="182" t="str">
        <f>Schedule!AG54</f>
        <v>0</v>
      </c>
      <c r="L52" s="182" t="str">
        <f>Schedule!AH54</f>
        <v>0</v>
      </c>
      <c r="M52" s="178"/>
      <c r="N52" s="184" t="str">
        <f>Schedule!AI54</f>
        <v>0</v>
      </c>
      <c r="O52" s="177" t="str">
        <f>Schedule!AJ54</f>
        <v>0</v>
      </c>
      <c r="P52" s="177" t="str">
        <f>Schedule!AK54</f>
        <v>0</v>
      </c>
      <c r="Q52" s="177" t="str">
        <f>Schedule!AL54</f>
        <v>0</v>
      </c>
      <c r="R52" s="177" t="str">
        <f>Schedule!AM54</f>
        <v>0</v>
      </c>
      <c r="S52" s="177" t="str">
        <f>Schedule!AN54</f>
        <v>0</v>
      </c>
      <c r="T52" s="177" t="str">
        <f>Schedule!AO54</f>
        <v>0</v>
      </c>
      <c r="U52" s="177" t="str">
        <f>Schedule!AP54</f>
        <v>0</v>
      </c>
      <c r="V52" s="177" t="str">
        <f>Schedule!AQ54</f>
        <v>0</v>
      </c>
      <c r="W52" s="178"/>
      <c r="X52" s="177" t="str">
        <f>Schedule!AR54</f>
        <v>0</v>
      </c>
      <c r="Y52" s="177" t="str">
        <f>Schedule!AS54</f>
        <v>0</v>
      </c>
      <c r="Z52" s="177" t="str">
        <f>Schedule!AT54</f>
        <v>0</v>
      </c>
      <c r="AA52" s="177" t="str">
        <f>Schedule!AU54</f>
        <v>0</v>
      </c>
      <c r="AB52" s="177" t="str">
        <f>Schedule!AV54</f>
        <v>0</v>
      </c>
      <c r="AC52" s="177" t="str">
        <f>Schedule!AW54</f>
        <v>0</v>
      </c>
      <c r="AD52" s="177" t="str">
        <f>Schedule!AX54</f>
        <v>0</v>
      </c>
      <c r="AE52" s="177" t="str">
        <f>Schedule!AY54</f>
        <v>0</v>
      </c>
      <c r="AF52" s="177" t="str">
        <f>Schedule!AZ54</f>
        <v>0</v>
      </c>
      <c r="AG52" s="178"/>
      <c r="AH52" s="177" t="str">
        <f>Schedule!BA54</f>
        <v>0</v>
      </c>
      <c r="AI52" s="177" t="str">
        <f>Schedule!BB54</f>
        <v>0</v>
      </c>
      <c r="AJ52" s="177" t="str">
        <f>Schedule!BC54</f>
        <v>0</v>
      </c>
      <c r="AK52" s="177" t="str">
        <f>Schedule!BD54</f>
        <v>0</v>
      </c>
      <c r="AL52" s="177" t="str">
        <f>Schedule!BE54</f>
        <v>0</v>
      </c>
      <c r="AM52" s="177" t="str">
        <f>Schedule!BF54</f>
        <v>0</v>
      </c>
      <c r="AN52" s="177" t="str">
        <f>Schedule!BG54</f>
        <v>0</v>
      </c>
      <c r="AO52" s="177" t="str">
        <f>Schedule!BH54</f>
        <v>0</v>
      </c>
      <c r="AP52" s="177" t="str">
        <f>Schedule!BI54</f>
        <v>0</v>
      </c>
      <c r="AQ52" s="178"/>
      <c r="AR52" s="177" t="str">
        <f>Schedule!BJ54</f>
        <v>0</v>
      </c>
      <c r="AS52" s="177" t="str">
        <f>Schedule!BK54</f>
        <v>0</v>
      </c>
      <c r="AT52" s="177" t="str">
        <f>Schedule!BL54</f>
        <v>0</v>
      </c>
      <c r="AU52" s="177" t="str">
        <f>Schedule!BM54</f>
        <v>0</v>
      </c>
      <c r="AV52" s="177" t="str">
        <f>Schedule!BN54</f>
        <v>0</v>
      </c>
      <c r="AW52" s="177" t="str">
        <f>Schedule!BO54</f>
        <v>0</v>
      </c>
      <c r="AX52" s="177" t="str">
        <f>Schedule!BP54</f>
        <v>0</v>
      </c>
      <c r="AY52" s="177" t="str">
        <f>Schedule!BQ54</f>
        <v>0</v>
      </c>
      <c r="AZ52" s="177" t="str">
        <f>Schedule!BR54</f>
        <v>0</v>
      </c>
      <c r="BA52" s="178"/>
      <c r="BB52" s="177" t="str">
        <f>Schedule!BS54</f>
        <v>0</v>
      </c>
      <c r="BC52" s="177" t="str">
        <f>Schedule!BT54</f>
        <v>0</v>
      </c>
      <c r="BD52" s="177" t="str">
        <f>Schedule!BU54</f>
        <v>0</v>
      </c>
      <c r="BE52" s="177" t="str">
        <f>Schedule!BV54</f>
        <v>0</v>
      </c>
      <c r="BF52" s="177" t="str">
        <f>Schedule!BW54</f>
        <v>0</v>
      </c>
      <c r="BG52" s="177" t="str">
        <f>Schedule!BX54</f>
        <v>0</v>
      </c>
      <c r="BH52" s="177" t="str">
        <f>Schedule!BY54</f>
        <v>0</v>
      </c>
      <c r="BI52" s="177" t="str">
        <f>Schedule!BZ54</f>
        <v>0</v>
      </c>
      <c r="BJ52" s="177" t="str">
        <f>Schedule!CA54</f>
        <v>0</v>
      </c>
      <c r="BK52" s="178"/>
      <c r="BL52" s="177" t="str">
        <f>Schedule!CB54</f>
        <v>0</v>
      </c>
      <c r="BM52" s="177" t="str">
        <f>Schedule!CC54</f>
        <v>0</v>
      </c>
      <c r="BN52" s="177" t="str">
        <f>Schedule!CD54</f>
        <v>0</v>
      </c>
      <c r="BO52" s="177" t="str">
        <f>Schedule!CE54</f>
        <v>0</v>
      </c>
      <c r="BP52" s="177" t="str">
        <f>Schedule!CF54</f>
        <v>0</v>
      </c>
      <c r="BQ52" s="177" t="str">
        <f>Schedule!CG54</f>
        <v>0</v>
      </c>
      <c r="BR52" s="177" t="str">
        <f>Schedule!CH54</f>
        <v>0</v>
      </c>
      <c r="BS52" s="177" t="str">
        <f>Schedule!CI54</f>
        <v>0</v>
      </c>
      <c r="BT52" s="177" t="str">
        <f>Schedule!CJ54</f>
        <v>0</v>
      </c>
      <c r="BU52" s="178"/>
      <c r="BV52" s="177" t="str">
        <f>Schedule!CK54</f>
        <v>0</v>
      </c>
      <c r="BW52" s="177" t="str">
        <f>Schedule!CL54</f>
        <v>0</v>
      </c>
      <c r="BX52" s="177" t="str">
        <f>Schedule!CM54</f>
        <v>0</v>
      </c>
      <c r="BY52" s="177" t="str">
        <f>Schedule!CN54</f>
        <v>0</v>
      </c>
      <c r="BZ52" s="177" t="str">
        <f>Schedule!CO54</f>
        <v>0</v>
      </c>
      <c r="CA52" s="177" t="str">
        <f>Schedule!CP54</f>
        <v>0</v>
      </c>
      <c r="CB52" s="177" t="str">
        <f>Schedule!CQ54</f>
        <v>0</v>
      </c>
      <c r="CC52" s="177" t="str">
        <f>Schedule!CR54</f>
        <v>0</v>
      </c>
      <c r="CD52" s="177" t="str">
        <f>Schedule!CS54</f>
        <v>0</v>
      </c>
      <c r="CE52" s="178"/>
      <c r="CF52" s="177" t="str">
        <f>Schedule!CT54</f>
        <v>0</v>
      </c>
      <c r="CG52" s="177" t="str">
        <f>Schedule!CU54</f>
        <v>0</v>
      </c>
      <c r="CH52" s="177" t="str">
        <f>Schedule!CV54</f>
        <v>0</v>
      </c>
      <c r="CI52" s="177" t="str">
        <f>Schedule!CW54</f>
        <v>0</v>
      </c>
      <c r="CJ52" s="177" t="str">
        <f>Schedule!CX54</f>
        <v>0</v>
      </c>
      <c r="CK52" s="177" t="str">
        <f>Schedule!CY54</f>
        <v>0</v>
      </c>
      <c r="CL52" s="177" t="str">
        <f>Schedule!CZ54</f>
        <v>0</v>
      </c>
      <c r="CM52" s="177" t="str">
        <f>Schedule!DA54</f>
        <v>0</v>
      </c>
      <c r="CN52" s="177" t="str">
        <f>Schedule!DB54</f>
        <v>0</v>
      </c>
      <c r="CO52" s="178"/>
      <c r="CP52" s="177" t="str">
        <f>Schedule!DC54</f>
        <v>0</v>
      </c>
      <c r="CQ52" s="177" t="str">
        <f>Schedule!DD54</f>
        <v>0</v>
      </c>
      <c r="CR52" s="177" t="str">
        <f>Schedule!DE54</f>
        <v>0</v>
      </c>
      <c r="CS52" s="177" t="str">
        <f>Schedule!DF54</f>
        <v>0</v>
      </c>
      <c r="CT52" s="177" t="str">
        <f>Schedule!DG54</f>
        <v>0</v>
      </c>
      <c r="CU52" s="177" t="str">
        <f>Schedule!DH54</f>
        <v>0</v>
      </c>
      <c r="CV52" s="177" t="str">
        <f>Schedule!DI54</f>
        <v>0</v>
      </c>
      <c r="CW52" s="177" t="str">
        <f>Schedule!DJ54</f>
        <v>0</v>
      </c>
      <c r="CX52" s="177" t="str">
        <f>Schedule!DK54</f>
        <v>0</v>
      </c>
      <c r="CY52" s="178"/>
      <c r="CZ52" s="177" t="str">
        <f>Schedule!DL54</f>
        <v>0</v>
      </c>
      <c r="DA52" s="177" t="str">
        <f>Schedule!DM54</f>
        <v>0</v>
      </c>
      <c r="DB52" s="177" t="str">
        <f>Schedule!DN54</f>
        <v>0</v>
      </c>
      <c r="DC52" s="177" t="str">
        <f>Schedule!DO54</f>
        <v>0</v>
      </c>
      <c r="DD52" s="177" t="str">
        <f>Schedule!DP54</f>
        <v>0</v>
      </c>
      <c r="DE52" s="177" t="str">
        <f>Schedule!DQ54</f>
        <v>0</v>
      </c>
      <c r="DF52" s="177" t="str">
        <f>Schedule!DR54</f>
        <v>0</v>
      </c>
      <c r="DG52" s="177" t="str">
        <f>Schedule!DS54</f>
        <v>0</v>
      </c>
      <c r="DH52" s="177" t="str">
        <f>Schedule!DT54</f>
        <v>0</v>
      </c>
      <c r="DI52" s="178"/>
      <c r="DJ52" s="177" t="str">
        <f>Schedule!DU54</f>
        <v>0</v>
      </c>
      <c r="DK52" s="177" t="str">
        <f>Schedule!DV54</f>
        <v>0</v>
      </c>
      <c r="DL52" s="177" t="str">
        <f>Schedule!DW54</f>
        <v>0</v>
      </c>
      <c r="DM52" s="177" t="str">
        <f>Schedule!DX54</f>
        <v>0</v>
      </c>
      <c r="DN52" s="177" t="str">
        <f>Schedule!DY54</f>
        <v>0</v>
      </c>
      <c r="DO52" s="177" t="str">
        <f>Schedule!DZ54</f>
        <v>0</v>
      </c>
      <c r="DP52" s="177" t="str">
        <f>Schedule!EA54</f>
        <v>0</v>
      </c>
      <c r="DQ52" s="177" t="str">
        <f>Schedule!EB54</f>
        <v>0</v>
      </c>
      <c r="DR52" s="177" t="str">
        <f>Schedule!EC54</f>
        <v>0</v>
      </c>
      <c r="DS52" s="178"/>
      <c r="DT52" s="177" t="str">
        <f>Schedule!ED54</f>
        <v>0</v>
      </c>
      <c r="DU52" s="177" t="str">
        <f>Schedule!EE54</f>
        <v>0</v>
      </c>
      <c r="DV52" s="177" t="str">
        <f>Schedule!EF54</f>
        <v>0</v>
      </c>
      <c r="DW52" s="177" t="str">
        <f>Schedule!EG54</f>
        <v>0</v>
      </c>
      <c r="DX52" s="177" t="str">
        <f>Schedule!EH54</f>
        <v>0</v>
      </c>
      <c r="DY52" s="177" t="str">
        <f>Schedule!EI54</f>
        <v>0</v>
      </c>
      <c r="DZ52" s="177" t="str">
        <f>Schedule!EJ54</f>
        <v>0</v>
      </c>
      <c r="EA52" s="177" t="str">
        <f>Schedule!EK54</f>
        <v>0</v>
      </c>
      <c r="EB52" s="177" t="str">
        <f>Schedule!EL54</f>
        <v>0</v>
      </c>
      <c r="EC52" s="178"/>
      <c r="ED52" s="177" t="str">
        <f>Schedule!EM54</f>
        <v>0</v>
      </c>
      <c r="EE52" s="177" t="str">
        <f>Schedule!EN54</f>
        <v>0</v>
      </c>
      <c r="EF52" s="177" t="str">
        <f>Schedule!EO54</f>
        <v>0</v>
      </c>
      <c r="EG52" s="177" t="str">
        <f>Schedule!EP54</f>
        <v>0</v>
      </c>
      <c r="EH52" s="177" t="str">
        <f>Schedule!EQ54</f>
        <v>0</v>
      </c>
      <c r="EI52" s="177" t="str">
        <f>Schedule!ER54</f>
        <v>0</v>
      </c>
      <c r="EJ52" s="177" t="str">
        <f>Schedule!ES54</f>
        <v>0</v>
      </c>
      <c r="EK52" s="177" t="str">
        <f>Schedule!ET54</f>
        <v>0</v>
      </c>
      <c r="EL52" s="177" t="str">
        <f>Schedule!EU54</f>
        <v>0</v>
      </c>
      <c r="EM52" s="178"/>
      <c r="EN52" s="177" t="str">
        <f>Schedule!EV54</f>
        <v>0</v>
      </c>
      <c r="EO52" s="177" t="str">
        <f>Schedule!EW54</f>
        <v>0</v>
      </c>
      <c r="EP52" s="177" t="str">
        <f>Schedule!EX54</f>
        <v>0</v>
      </c>
      <c r="EQ52" s="177" t="str">
        <f>Schedule!EY54</f>
        <v>0</v>
      </c>
      <c r="ER52" s="177" t="str">
        <f>Schedule!EZ54</f>
        <v>0</v>
      </c>
      <c r="ES52" s="177" t="str">
        <f>Schedule!FA54</f>
        <v>0</v>
      </c>
      <c r="ET52" s="177" t="str">
        <f>Schedule!FB54</f>
        <v>0</v>
      </c>
      <c r="EU52" s="177" t="str">
        <f>Schedule!FC54</f>
        <v>0</v>
      </c>
      <c r="EV52" s="177" t="str">
        <f>Schedule!FD54</f>
        <v>0</v>
      </c>
      <c r="EW52" s="178"/>
      <c r="EX52" s="177" t="str">
        <f>Schedule!FE54</f>
        <v>0</v>
      </c>
      <c r="EY52" s="177" t="str">
        <f>Schedule!FF54</f>
        <v>0</v>
      </c>
      <c r="EZ52" s="177" t="str">
        <f>Schedule!FG54</f>
        <v>0</v>
      </c>
      <c r="FA52" s="177" t="str">
        <f>Schedule!FH54</f>
        <v>0</v>
      </c>
      <c r="FB52" s="177" t="str">
        <f>Schedule!FI54</f>
        <v>0</v>
      </c>
      <c r="FC52" s="177" t="str">
        <f>Schedule!FJ54</f>
        <v>0</v>
      </c>
      <c r="FD52" s="177" t="str">
        <f>Schedule!FK54</f>
        <v>0</v>
      </c>
      <c r="FE52" s="177" t="str">
        <f>Schedule!FL54</f>
        <v>0</v>
      </c>
      <c r="FF52" s="177" t="str">
        <f>Schedule!FM54</f>
        <v>0</v>
      </c>
      <c r="FG52" s="178"/>
      <c r="FH52" s="177" t="str">
        <f>Schedule!FN54</f>
        <v>0</v>
      </c>
      <c r="FI52" s="177" t="str">
        <f>Schedule!FO54</f>
        <v>0</v>
      </c>
      <c r="FJ52" s="177" t="str">
        <f>Schedule!FP54</f>
        <v>0</v>
      </c>
      <c r="FK52" s="177" t="str">
        <f>Schedule!FQ54</f>
        <v>0</v>
      </c>
      <c r="FL52" s="177" t="str">
        <f>Schedule!FR54</f>
        <v>0</v>
      </c>
      <c r="FM52" s="177" t="str">
        <f>Schedule!FS54</f>
        <v>0</v>
      </c>
      <c r="FN52" s="177" t="str">
        <f>Schedule!FT54</f>
        <v>0</v>
      </c>
      <c r="FO52" s="177" t="str">
        <f>Schedule!FU54</f>
        <v>0</v>
      </c>
      <c r="FP52" s="177" t="str">
        <f>Schedule!FV54</f>
        <v>0</v>
      </c>
      <c r="FQ52" s="178"/>
      <c r="FR52" s="177" t="str">
        <f>Schedule!FW54</f>
        <v>0</v>
      </c>
      <c r="FS52" s="177" t="str">
        <f>Schedule!FX54</f>
        <v>0</v>
      </c>
      <c r="FT52" s="177" t="str">
        <f>Schedule!FY54</f>
        <v>0</v>
      </c>
      <c r="FU52" s="177" t="str">
        <f>Schedule!FZ54</f>
        <v>0</v>
      </c>
      <c r="FV52" s="177" t="str">
        <f>Schedule!GA54</f>
        <v>0</v>
      </c>
      <c r="FW52" s="177" t="str">
        <f>Schedule!GB54</f>
        <v>0</v>
      </c>
      <c r="FX52" s="177" t="str">
        <f>Schedule!GC54</f>
        <v>0</v>
      </c>
      <c r="FY52" s="177" t="str">
        <f>Schedule!GD54</f>
        <v>0</v>
      </c>
      <c r="FZ52" s="177" t="str">
        <f>Schedule!GE54</f>
        <v>0</v>
      </c>
      <c r="GA52" s="178"/>
      <c r="GB52" s="177" t="str">
        <f>Schedule!GF54</f>
        <v>0</v>
      </c>
      <c r="GC52" s="177" t="str">
        <f>Schedule!GG54</f>
        <v>0</v>
      </c>
      <c r="GD52" s="177" t="str">
        <f>Schedule!GH54</f>
        <v>0</v>
      </c>
      <c r="GE52" s="177" t="str">
        <f>Schedule!GI54</f>
        <v>0</v>
      </c>
      <c r="GF52" s="177" t="str">
        <f>Schedule!GJ54</f>
        <v>0</v>
      </c>
      <c r="GG52" s="177" t="str">
        <f>Schedule!GK54</f>
        <v>0</v>
      </c>
      <c r="GH52" s="177" t="str">
        <f>Schedule!GL54</f>
        <v>0</v>
      </c>
      <c r="GI52" s="177" t="str">
        <f>Schedule!GM54</f>
        <v>0</v>
      </c>
      <c r="GJ52" s="177" t="str">
        <f>Schedule!GN54</f>
        <v>0</v>
      </c>
      <c r="GK52" s="178"/>
      <c r="GL52" s="177" t="str">
        <f>Schedule!GO54</f>
        <v>0</v>
      </c>
      <c r="GM52" s="177" t="str">
        <f>Schedule!GP54</f>
        <v>0</v>
      </c>
      <c r="GN52" s="177" t="str">
        <f>Schedule!GQ54</f>
        <v>0</v>
      </c>
      <c r="GO52" s="177" t="str">
        <f>Schedule!GR54</f>
        <v>0</v>
      </c>
      <c r="GP52" s="177" t="str">
        <f>Schedule!GS54</f>
        <v>0</v>
      </c>
      <c r="GQ52" s="177" t="str">
        <f>Schedule!GT54</f>
        <v>0</v>
      </c>
      <c r="GR52" s="177" t="str">
        <f>Schedule!GU54</f>
        <v>0</v>
      </c>
      <c r="GS52" s="177" t="str">
        <f>Schedule!GV54</f>
        <v>0</v>
      </c>
      <c r="GT52" s="177" t="str">
        <f>Schedule!GW54</f>
        <v>0</v>
      </c>
    </row>
    <row r="53" spans="2:202" ht="18" hidden="1" customHeight="1">
      <c r="B53" s="269"/>
      <c r="C53" s="169">
        <f>Schedule!C55</f>
        <v>0</v>
      </c>
      <c r="D53" s="177" t="str">
        <f>Schedule!Z55</f>
        <v>0</v>
      </c>
      <c r="E53" s="177" t="str">
        <f>Schedule!AA55</f>
        <v>0</v>
      </c>
      <c r="F53" s="177" t="str">
        <f>Schedule!AB55</f>
        <v>0</v>
      </c>
      <c r="G53" s="177" t="str">
        <f>Schedule!AC55</f>
        <v>0</v>
      </c>
      <c r="H53" s="177" t="str">
        <f>Schedule!AD55</f>
        <v>0</v>
      </c>
      <c r="I53" s="177" t="str">
        <f>Schedule!AE55</f>
        <v>0</v>
      </c>
      <c r="J53" s="177" t="str">
        <f>Schedule!AF55</f>
        <v>0</v>
      </c>
      <c r="K53" s="182" t="str">
        <f>Schedule!AG55</f>
        <v>0</v>
      </c>
      <c r="L53" s="182" t="str">
        <f>Schedule!AH55</f>
        <v>0</v>
      </c>
      <c r="M53" s="178"/>
      <c r="N53" s="184" t="str">
        <f>Schedule!AI55</f>
        <v>0</v>
      </c>
      <c r="O53" s="177" t="str">
        <f>Schedule!AJ55</f>
        <v>0</v>
      </c>
      <c r="P53" s="177" t="str">
        <f>Schedule!AK55</f>
        <v>0</v>
      </c>
      <c r="Q53" s="177" t="str">
        <f>Schedule!AL55</f>
        <v>0</v>
      </c>
      <c r="R53" s="177" t="str">
        <f>Schedule!AM55</f>
        <v>0</v>
      </c>
      <c r="S53" s="177" t="str">
        <f>Schedule!AN55</f>
        <v>0</v>
      </c>
      <c r="T53" s="177" t="str">
        <f>Schedule!AO55</f>
        <v>0</v>
      </c>
      <c r="U53" s="177" t="str">
        <f>Schedule!AP55</f>
        <v>0</v>
      </c>
      <c r="V53" s="177" t="str">
        <f>Schedule!AQ55</f>
        <v>0</v>
      </c>
      <c r="W53" s="178"/>
      <c r="X53" s="177" t="str">
        <f>Schedule!AR55</f>
        <v>0</v>
      </c>
      <c r="Y53" s="177" t="str">
        <f>Schedule!AS55</f>
        <v>0</v>
      </c>
      <c r="Z53" s="177" t="str">
        <f>Schedule!AT55</f>
        <v>0</v>
      </c>
      <c r="AA53" s="177" t="str">
        <f>Schedule!AU55</f>
        <v>0</v>
      </c>
      <c r="AB53" s="177" t="str">
        <f>Schedule!AV55</f>
        <v>0</v>
      </c>
      <c r="AC53" s="177" t="str">
        <f>Schedule!AW55</f>
        <v>0</v>
      </c>
      <c r="AD53" s="177" t="str">
        <f>Schedule!AX55</f>
        <v>0</v>
      </c>
      <c r="AE53" s="177" t="str">
        <f>Schedule!AY55</f>
        <v>0</v>
      </c>
      <c r="AF53" s="177" t="str">
        <f>Schedule!AZ55</f>
        <v>0</v>
      </c>
      <c r="AG53" s="178"/>
      <c r="AH53" s="177" t="str">
        <f>Schedule!BA55</f>
        <v>0</v>
      </c>
      <c r="AI53" s="177" t="str">
        <f>Schedule!BB55</f>
        <v>0</v>
      </c>
      <c r="AJ53" s="177" t="str">
        <f>Schedule!BC55</f>
        <v>0</v>
      </c>
      <c r="AK53" s="177" t="str">
        <f>Schedule!BD55</f>
        <v>0</v>
      </c>
      <c r="AL53" s="177" t="str">
        <f>Schedule!BE55</f>
        <v>0</v>
      </c>
      <c r="AM53" s="177" t="str">
        <f>Schedule!BF55</f>
        <v>0</v>
      </c>
      <c r="AN53" s="177" t="str">
        <f>Schedule!BG55</f>
        <v>0</v>
      </c>
      <c r="AO53" s="177" t="str">
        <f>Schedule!BH55</f>
        <v>0</v>
      </c>
      <c r="AP53" s="177" t="str">
        <f>Schedule!BI55</f>
        <v>0</v>
      </c>
      <c r="AQ53" s="178"/>
      <c r="AR53" s="177" t="str">
        <f>Schedule!BJ55</f>
        <v>0</v>
      </c>
      <c r="AS53" s="177" t="str">
        <f>Schedule!BK55</f>
        <v>0</v>
      </c>
      <c r="AT53" s="177" t="str">
        <f>Schedule!BL55</f>
        <v>0</v>
      </c>
      <c r="AU53" s="177" t="str">
        <f>Schedule!BM55</f>
        <v>0</v>
      </c>
      <c r="AV53" s="177" t="str">
        <f>Schedule!BN55</f>
        <v>0</v>
      </c>
      <c r="AW53" s="177" t="str">
        <f>Schedule!BO55</f>
        <v>0</v>
      </c>
      <c r="AX53" s="177" t="str">
        <f>Schedule!BP55</f>
        <v>0</v>
      </c>
      <c r="AY53" s="177" t="str">
        <f>Schedule!BQ55</f>
        <v>0</v>
      </c>
      <c r="AZ53" s="177" t="str">
        <f>Schedule!BR55</f>
        <v>0</v>
      </c>
      <c r="BA53" s="178"/>
      <c r="BB53" s="177" t="str">
        <f>Schedule!BS55</f>
        <v>0</v>
      </c>
      <c r="BC53" s="177" t="str">
        <f>Schedule!BT55</f>
        <v>0</v>
      </c>
      <c r="BD53" s="177" t="str">
        <f>Schedule!BU55</f>
        <v>0</v>
      </c>
      <c r="BE53" s="177" t="str">
        <f>Schedule!BV55</f>
        <v>0</v>
      </c>
      <c r="BF53" s="177" t="str">
        <f>Schedule!BW55</f>
        <v>0</v>
      </c>
      <c r="BG53" s="177" t="str">
        <f>Schedule!BX55</f>
        <v>0</v>
      </c>
      <c r="BH53" s="177" t="str">
        <f>Schedule!BY55</f>
        <v>0</v>
      </c>
      <c r="BI53" s="177" t="str">
        <f>Schedule!BZ55</f>
        <v>0</v>
      </c>
      <c r="BJ53" s="177" t="str">
        <f>Schedule!CA55</f>
        <v>0</v>
      </c>
      <c r="BK53" s="178"/>
      <c r="BL53" s="177" t="str">
        <f>Schedule!CB55</f>
        <v>0</v>
      </c>
      <c r="BM53" s="177" t="str">
        <f>Schedule!CC55</f>
        <v>0</v>
      </c>
      <c r="BN53" s="177" t="str">
        <f>Schedule!CD55</f>
        <v>0</v>
      </c>
      <c r="BO53" s="177" t="str">
        <f>Schedule!CE55</f>
        <v>0</v>
      </c>
      <c r="BP53" s="177" t="str">
        <f>Schedule!CF55</f>
        <v>0</v>
      </c>
      <c r="BQ53" s="177" t="str">
        <f>Schedule!CG55</f>
        <v>0</v>
      </c>
      <c r="BR53" s="177" t="str">
        <f>Schedule!CH55</f>
        <v>0</v>
      </c>
      <c r="BS53" s="177" t="str">
        <f>Schedule!CI55</f>
        <v>0</v>
      </c>
      <c r="BT53" s="177" t="str">
        <f>Schedule!CJ55</f>
        <v>0</v>
      </c>
      <c r="BU53" s="178"/>
      <c r="BV53" s="177" t="str">
        <f>Schedule!CK55</f>
        <v>0</v>
      </c>
      <c r="BW53" s="177" t="str">
        <f>Schedule!CL55</f>
        <v>0</v>
      </c>
      <c r="BX53" s="177" t="str">
        <f>Schedule!CM55</f>
        <v>0</v>
      </c>
      <c r="BY53" s="177" t="str">
        <f>Schedule!CN55</f>
        <v>0</v>
      </c>
      <c r="BZ53" s="177" t="str">
        <f>Schedule!CO55</f>
        <v>0</v>
      </c>
      <c r="CA53" s="177" t="str">
        <f>Schedule!CP55</f>
        <v>0</v>
      </c>
      <c r="CB53" s="177" t="str">
        <f>Schedule!CQ55</f>
        <v>0</v>
      </c>
      <c r="CC53" s="177" t="str">
        <f>Schedule!CR55</f>
        <v>0</v>
      </c>
      <c r="CD53" s="177" t="str">
        <f>Schedule!CS55</f>
        <v>0</v>
      </c>
      <c r="CE53" s="178"/>
      <c r="CF53" s="177" t="str">
        <f>Schedule!CT55</f>
        <v>0</v>
      </c>
      <c r="CG53" s="177" t="str">
        <f>Schedule!CU55</f>
        <v>0</v>
      </c>
      <c r="CH53" s="177" t="str">
        <f>Schedule!CV55</f>
        <v>0</v>
      </c>
      <c r="CI53" s="177" t="str">
        <f>Schedule!CW55</f>
        <v>0</v>
      </c>
      <c r="CJ53" s="177" t="str">
        <f>Schedule!CX55</f>
        <v>0</v>
      </c>
      <c r="CK53" s="177" t="str">
        <f>Schedule!CY55</f>
        <v>0</v>
      </c>
      <c r="CL53" s="177" t="str">
        <f>Schedule!CZ55</f>
        <v>0</v>
      </c>
      <c r="CM53" s="177" t="str">
        <f>Schedule!DA55</f>
        <v>0</v>
      </c>
      <c r="CN53" s="177" t="str">
        <f>Schedule!DB55</f>
        <v>0</v>
      </c>
      <c r="CO53" s="178"/>
      <c r="CP53" s="177" t="str">
        <f>Schedule!DC55</f>
        <v>0</v>
      </c>
      <c r="CQ53" s="177" t="str">
        <f>Schedule!DD55</f>
        <v>0</v>
      </c>
      <c r="CR53" s="177" t="str">
        <f>Schedule!DE55</f>
        <v>0</v>
      </c>
      <c r="CS53" s="177" t="str">
        <f>Schedule!DF55</f>
        <v>0</v>
      </c>
      <c r="CT53" s="177" t="str">
        <f>Schedule!DG55</f>
        <v>0</v>
      </c>
      <c r="CU53" s="177" t="str">
        <f>Schedule!DH55</f>
        <v>0</v>
      </c>
      <c r="CV53" s="177" t="str">
        <f>Schedule!DI55</f>
        <v>0</v>
      </c>
      <c r="CW53" s="177" t="str">
        <f>Schedule!DJ55</f>
        <v>0</v>
      </c>
      <c r="CX53" s="177" t="str">
        <f>Schedule!DK55</f>
        <v>0</v>
      </c>
      <c r="CY53" s="178"/>
      <c r="CZ53" s="177" t="str">
        <f>Schedule!DL55</f>
        <v>0</v>
      </c>
      <c r="DA53" s="177" t="str">
        <f>Schedule!DM55</f>
        <v>0</v>
      </c>
      <c r="DB53" s="177" t="str">
        <f>Schedule!DN55</f>
        <v>0</v>
      </c>
      <c r="DC53" s="177" t="str">
        <f>Schedule!DO55</f>
        <v>0</v>
      </c>
      <c r="DD53" s="177" t="str">
        <f>Schedule!DP55</f>
        <v>0</v>
      </c>
      <c r="DE53" s="177" t="str">
        <f>Schedule!DQ55</f>
        <v>0</v>
      </c>
      <c r="DF53" s="177" t="str">
        <f>Schedule!DR55</f>
        <v>0</v>
      </c>
      <c r="DG53" s="177" t="str">
        <f>Schedule!DS55</f>
        <v>0</v>
      </c>
      <c r="DH53" s="177" t="str">
        <f>Schedule!DT55</f>
        <v>0</v>
      </c>
      <c r="DI53" s="178"/>
      <c r="DJ53" s="177" t="str">
        <f>Schedule!DU55</f>
        <v>0</v>
      </c>
      <c r="DK53" s="177" t="str">
        <f>Schedule!DV55</f>
        <v>0</v>
      </c>
      <c r="DL53" s="177" t="str">
        <f>Schedule!DW55</f>
        <v>0</v>
      </c>
      <c r="DM53" s="177" t="str">
        <f>Schedule!DX55</f>
        <v>0</v>
      </c>
      <c r="DN53" s="177" t="str">
        <f>Schedule!DY55</f>
        <v>0</v>
      </c>
      <c r="DO53" s="177" t="str">
        <f>Schedule!DZ55</f>
        <v>0</v>
      </c>
      <c r="DP53" s="177" t="str">
        <f>Schedule!EA55</f>
        <v>0</v>
      </c>
      <c r="DQ53" s="177" t="str">
        <f>Schedule!EB55</f>
        <v>0</v>
      </c>
      <c r="DR53" s="177" t="str">
        <f>Schedule!EC55</f>
        <v>0</v>
      </c>
      <c r="DS53" s="178"/>
      <c r="DT53" s="177" t="str">
        <f>Schedule!ED55</f>
        <v>0</v>
      </c>
      <c r="DU53" s="177" t="str">
        <f>Schedule!EE55</f>
        <v>0</v>
      </c>
      <c r="DV53" s="177" t="str">
        <f>Schedule!EF55</f>
        <v>0</v>
      </c>
      <c r="DW53" s="177" t="str">
        <f>Schedule!EG55</f>
        <v>0</v>
      </c>
      <c r="DX53" s="177" t="str">
        <f>Schedule!EH55</f>
        <v>0</v>
      </c>
      <c r="DY53" s="177" t="str">
        <f>Schedule!EI55</f>
        <v>0</v>
      </c>
      <c r="DZ53" s="177" t="str">
        <f>Schedule!EJ55</f>
        <v>0</v>
      </c>
      <c r="EA53" s="177" t="str">
        <f>Schedule!EK55</f>
        <v>0</v>
      </c>
      <c r="EB53" s="177" t="str">
        <f>Schedule!EL55</f>
        <v>0</v>
      </c>
      <c r="EC53" s="178"/>
      <c r="ED53" s="177" t="str">
        <f>Schedule!EM55</f>
        <v>0</v>
      </c>
      <c r="EE53" s="177" t="str">
        <f>Schedule!EN55</f>
        <v>0</v>
      </c>
      <c r="EF53" s="177" t="str">
        <f>Schedule!EO55</f>
        <v>0</v>
      </c>
      <c r="EG53" s="177" t="str">
        <f>Schedule!EP55</f>
        <v>0</v>
      </c>
      <c r="EH53" s="177" t="str">
        <f>Schedule!EQ55</f>
        <v>0</v>
      </c>
      <c r="EI53" s="177" t="str">
        <f>Schedule!ER55</f>
        <v>0</v>
      </c>
      <c r="EJ53" s="177" t="str">
        <f>Schedule!ES55</f>
        <v>0</v>
      </c>
      <c r="EK53" s="177" t="str">
        <f>Schedule!ET55</f>
        <v>0</v>
      </c>
      <c r="EL53" s="177" t="str">
        <f>Schedule!EU55</f>
        <v>0</v>
      </c>
      <c r="EM53" s="178"/>
      <c r="EN53" s="177" t="str">
        <f>Schedule!EV55</f>
        <v>0</v>
      </c>
      <c r="EO53" s="177" t="str">
        <f>Schedule!EW55</f>
        <v>0</v>
      </c>
      <c r="EP53" s="177" t="str">
        <f>Schedule!EX55</f>
        <v>0</v>
      </c>
      <c r="EQ53" s="177" t="str">
        <f>Schedule!EY55</f>
        <v>0</v>
      </c>
      <c r="ER53" s="177" t="str">
        <f>Schedule!EZ55</f>
        <v>0</v>
      </c>
      <c r="ES53" s="177" t="str">
        <f>Schedule!FA55</f>
        <v>0</v>
      </c>
      <c r="ET53" s="177" t="str">
        <f>Schedule!FB55</f>
        <v>0</v>
      </c>
      <c r="EU53" s="177" t="str">
        <f>Schedule!FC55</f>
        <v>0</v>
      </c>
      <c r="EV53" s="177" t="str">
        <f>Schedule!FD55</f>
        <v>0</v>
      </c>
      <c r="EW53" s="178"/>
      <c r="EX53" s="177" t="str">
        <f>Schedule!FE55</f>
        <v>0</v>
      </c>
      <c r="EY53" s="177" t="str">
        <f>Schedule!FF55</f>
        <v>0</v>
      </c>
      <c r="EZ53" s="177" t="str">
        <f>Schedule!FG55</f>
        <v>0</v>
      </c>
      <c r="FA53" s="177" t="str">
        <f>Schedule!FH55</f>
        <v>0</v>
      </c>
      <c r="FB53" s="177" t="str">
        <f>Schedule!FI55</f>
        <v>0</v>
      </c>
      <c r="FC53" s="177" t="str">
        <f>Schedule!FJ55</f>
        <v>0</v>
      </c>
      <c r="FD53" s="177" t="str">
        <f>Schedule!FK55</f>
        <v>0</v>
      </c>
      <c r="FE53" s="177" t="str">
        <f>Schedule!FL55</f>
        <v>0</v>
      </c>
      <c r="FF53" s="177" t="str">
        <f>Schedule!FM55</f>
        <v>0</v>
      </c>
      <c r="FG53" s="178"/>
      <c r="FH53" s="177" t="str">
        <f>Schedule!FN55</f>
        <v>0</v>
      </c>
      <c r="FI53" s="177" t="str">
        <f>Schedule!FO55</f>
        <v>0</v>
      </c>
      <c r="FJ53" s="177" t="str">
        <f>Schedule!FP55</f>
        <v>0</v>
      </c>
      <c r="FK53" s="177" t="str">
        <f>Schedule!FQ55</f>
        <v>0</v>
      </c>
      <c r="FL53" s="177" t="str">
        <f>Schedule!FR55</f>
        <v>0</v>
      </c>
      <c r="FM53" s="177" t="str">
        <f>Schedule!FS55</f>
        <v>0</v>
      </c>
      <c r="FN53" s="177" t="str">
        <f>Schedule!FT55</f>
        <v>0</v>
      </c>
      <c r="FO53" s="177" t="str">
        <f>Schedule!FU55</f>
        <v>0</v>
      </c>
      <c r="FP53" s="177" t="str">
        <f>Schedule!FV55</f>
        <v>0</v>
      </c>
      <c r="FQ53" s="178"/>
      <c r="FR53" s="177" t="str">
        <f>Schedule!FW55</f>
        <v>0</v>
      </c>
      <c r="FS53" s="177" t="str">
        <f>Schedule!FX55</f>
        <v>0</v>
      </c>
      <c r="FT53" s="177" t="str">
        <f>Schedule!FY55</f>
        <v>0</v>
      </c>
      <c r="FU53" s="177" t="str">
        <f>Schedule!FZ55</f>
        <v>0</v>
      </c>
      <c r="FV53" s="177" t="str">
        <f>Schedule!GA55</f>
        <v>0</v>
      </c>
      <c r="FW53" s="177" t="str">
        <f>Schedule!GB55</f>
        <v>0</v>
      </c>
      <c r="FX53" s="177" t="str">
        <f>Schedule!GC55</f>
        <v>0</v>
      </c>
      <c r="FY53" s="177" t="str">
        <f>Schedule!GD55</f>
        <v>0</v>
      </c>
      <c r="FZ53" s="177" t="str">
        <f>Schedule!GE55</f>
        <v>0</v>
      </c>
      <c r="GA53" s="178"/>
      <c r="GB53" s="177" t="str">
        <f>Schedule!GF55</f>
        <v>0</v>
      </c>
      <c r="GC53" s="177" t="str">
        <f>Schedule!GG55</f>
        <v>0</v>
      </c>
      <c r="GD53" s="177" t="str">
        <f>Schedule!GH55</f>
        <v>0</v>
      </c>
      <c r="GE53" s="177" t="str">
        <f>Schedule!GI55</f>
        <v>0</v>
      </c>
      <c r="GF53" s="177" t="str">
        <f>Schedule!GJ55</f>
        <v>0</v>
      </c>
      <c r="GG53" s="177" t="str">
        <f>Schedule!GK55</f>
        <v>0</v>
      </c>
      <c r="GH53" s="177" t="str">
        <f>Schedule!GL55</f>
        <v>0</v>
      </c>
      <c r="GI53" s="177" t="str">
        <f>Schedule!GM55</f>
        <v>0</v>
      </c>
      <c r="GJ53" s="177" t="str">
        <f>Schedule!GN55</f>
        <v>0</v>
      </c>
      <c r="GK53" s="178"/>
      <c r="GL53" s="177" t="str">
        <f>Schedule!GO55</f>
        <v>0</v>
      </c>
      <c r="GM53" s="177" t="str">
        <f>Schedule!GP55</f>
        <v>0</v>
      </c>
      <c r="GN53" s="177" t="str">
        <f>Schedule!GQ55</f>
        <v>0</v>
      </c>
      <c r="GO53" s="177" t="str">
        <f>Schedule!GR55</f>
        <v>0</v>
      </c>
      <c r="GP53" s="177" t="str">
        <f>Schedule!GS55</f>
        <v>0</v>
      </c>
      <c r="GQ53" s="177" t="str">
        <f>Schedule!GT55</f>
        <v>0</v>
      </c>
      <c r="GR53" s="177" t="str">
        <f>Schedule!GU55</f>
        <v>0</v>
      </c>
      <c r="GS53" s="177" t="str">
        <f>Schedule!GV55</f>
        <v>0</v>
      </c>
      <c r="GT53" s="177" t="str">
        <f>Schedule!GW55</f>
        <v>0</v>
      </c>
    </row>
    <row r="54" spans="2:202" ht="18" hidden="1" customHeight="1">
      <c r="B54" s="269"/>
      <c r="C54" s="169">
        <f>Schedule!C56</f>
        <v>0</v>
      </c>
      <c r="D54" s="177" t="str">
        <f>Schedule!Z56</f>
        <v>0</v>
      </c>
      <c r="E54" s="177" t="str">
        <f>Schedule!AA56</f>
        <v>0</v>
      </c>
      <c r="F54" s="177" t="str">
        <f>Schedule!AB56</f>
        <v>0</v>
      </c>
      <c r="G54" s="177" t="str">
        <f>Schedule!AC56</f>
        <v>0</v>
      </c>
      <c r="H54" s="177" t="str">
        <f>Schedule!AD56</f>
        <v>0</v>
      </c>
      <c r="I54" s="177" t="str">
        <f>Schedule!AE56</f>
        <v>0</v>
      </c>
      <c r="J54" s="177" t="str">
        <f>Schedule!AF56</f>
        <v>0</v>
      </c>
      <c r="K54" s="182" t="str">
        <f>Schedule!AG56</f>
        <v>0</v>
      </c>
      <c r="L54" s="182" t="str">
        <f>Schedule!AH56</f>
        <v>0</v>
      </c>
      <c r="M54" s="178"/>
      <c r="N54" s="184" t="str">
        <f>Schedule!AI56</f>
        <v>0</v>
      </c>
      <c r="O54" s="177" t="str">
        <f>Schedule!AJ56</f>
        <v>0</v>
      </c>
      <c r="P54" s="177" t="str">
        <f>Schedule!AK56</f>
        <v>0</v>
      </c>
      <c r="Q54" s="177" t="str">
        <f>Schedule!AL56</f>
        <v>0</v>
      </c>
      <c r="R54" s="177" t="str">
        <f>Schedule!AM56</f>
        <v>0</v>
      </c>
      <c r="S54" s="177" t="str">
        <f>Schedule!AN56</f>
        <v>0</v>
      </c>
      <c r="T54" s="177" t="str">
        <f>Schedule!AO56</f>
        <v>0</v>
      </c>
      <c r="U54" s="177" t="str">
        <f>Schedule!AP56</f>
        <v>0</v>
      </c>
      <c r="V54" s="177" t="str">
        <f>Schedule!AQ56</f>
        <v>0</v>
      </c>
      <c r="W54" s="178"/>
      <c r="X54" s="177" t="str">
        <f>Schedule!AR56</f>
        <v>0</v>
      </c>
      <c r="Y54" s="177" t="str">
        <f>Schedule!AS56</f>
        <v>0</v>
      </c>
      <c r="Z54" s="177" t="str">
        <f>Schedule!AT56</f>
        <v>0</v>
      </c>
      <c r="AA54" s="177" t="str">
        <f>Schedule!AU56</f>
        <v>0</v>
      </c>
      <c r="AB54" s="177" t="str">
        <f>Schedule!AV56</f>
        <v>0</v>
      </c>
      <c r="AC54" s="177" t="str">
        <f>Schedule!AW56</f>
        <v>0</v>
      </c>
      <c r="AD54" s="177" t="str">
        <f>Schedule!AX56</f>
        <v>0</v>
      </c>
      <c r="AE54" s="177" t="str">
        <f>Schedule!AY56</f>
        <v>0</v>
      </c>
      <c r="AF54" s="177" t="str">
        <f>Schedule!AZ56</f>
        <v>0</v>
      </c>
      <c r="AG54" s="178"/>
      <c r="AH54" s="177" t="str">
        <f>Schedule!BA56</f>
        <v>0</v>
      </c>
      <c r="AI54" s="177" t="str">
        <f>Schedule!BB56</f>
        <v>0</v>
      </c>
      <c r="AJ54" s="177" t="str">
        <f>Schedule!BC56</f>
        <v>0</v>
      </c>
      <c r="AK54" s="177" t="str">
        <f>Schedule!BD56</f>
        <v>0</v>
      </c>
      <c r="AL54" s="177" t="str">
        <f>Schedule!BE56</f>
        <v>0</v>
      </c>
      <c r="AM54" s="177" t="str">
        <f>Schedule!BF56</f>
        <v>0</v>
      </c>
      <c r="AN54" s="177" t="str">
        <f>Schedule!BG56</f>
        <v>0</v>
      </c>
      <c r="AO54" s="177" t="str">
        <f>Schedule!BH56</f>
        <v>0</v>
      </c>
      <c r="AP54" s="177" t="str">
        <f>Schedule!BI56</f>
        <v>0</v>
      </c>
      <c r="AQ54" s="178"/>
      <c r="AR54" s="177" t="str">
        <f>Schedule!BJ56</f>
        <v>0</v>
      </c>
      <c r="AS54" s="177" t="str">
        <f>Schedule!BK56</f>
        <v>0</v>
      </c>
      <c r="AT54" s="177" t="str">
        <f>Schedule!BL56</f>
        <v>0</v>
      </c>
      <c r="AU54" s="177" t="str">
        <f>Schedule!BM56</f>
        <v>0</v>
      </c>
      <c r="AV54" s="177" t="str">
        <f>Schedule!BN56</f>
        <v>0</v>
      </c>
      <c r="AW54" s="177" t="str">
        <f>Schedule!BO56</f>
        <v>0</v>
      </c>
      <c r="AX54" s="177" t="str">
        <f>Schedule!BP56</f>
        <v>0</v>
      </c>
      <c r="AY54" s="177" t="str">
        <f>Schedule!BQ56</f>
        <v>0</v>
      </c>
      <c r="AZ54" s="177" t="str">
        <f>Schedule!BR56</f>
        <v>0</v>
      </c>
      <c r="BA54" s="178"/>
      <c r="BB54" s="177" t="str">
        <f>Schedule!BS56</f>
        <v>0</v>
      </c>
      <c r="BC54" s="177" t="str">
        <f>Schedule!BT56</f>
        <v>0</v>
      </c>
      <c r="BD54" s="177" t="str">
        <f>Schedule!BU56</f>
        <v>0</v>
      </c>
      <c r="BE54" s="177" t="str">
        <f>Schedule!BV56</f>
        <v>0</v>
      </c>
      <c r="BF54" s="177" t="str">
        <f>Schedule!BW56</f>
        <v>0</v>
      </c>
      <c r="BG54" s="177" t="str">
        <f>Schedule!BX56</f>
        <v>0</v>
      </c>
      <c r="BH54" s="177" t="str">
        <f>Schedule!BY56</f>
        <v>0</v>
      </c>
      <c r="BI54" s="177" t="str">
        <f>Schedule!BZ56</f>
        <v>0</v>
      </c>
      <c r="BJ54" s="177" t="str">
        <f>Schedule!CA56</f>
        <v>0</v>
      </c>
      <c r="BK54" s="178"/>
      <c r="BL54" s="177" t="str">
        <f>Schedule!CB56</f>
        <v>0</v>
      </c>
      <c r="BM54" s="177" t="str">
        <f>Schedule!CC56</f>
        <v>0</v>
      </c>
      <c r="BN54" s="177" t="str">
        <f>Schedule!CD56</f>
        <v>0</v>
      </c>
      <c r="BO54" s="177" t="str">
        <f>Schedule!CE56</f>
        <v>0</v>
      </c>
      <c r="BP54" s="177" t="str">
        <f>Schedule!CF56</f>
        <v>0</v>
      </c>
      <c r="BQ54" s="177" t="str">
        <f>Schedule!CG56</f>
        <v>0</v>
      </c>
      <c r="BR54" s="177" t="str">
        <f>Schedule!CH56</f>
        <v>0</v>
      </c>
      <c r="BS54" s="177" t="str">
        <f>Schedule!CI56</f>
        <v>0</v>
      </c>
      <c r="BT54" s="177" t="str">
        <f>Schedule!CJ56</f>
        <v>0</v>
      </c>
      <c r="BU54" s="178"/>
      <c r="BV54" s="177" t="str">
        <f>Schedule!CK56</f>
        <v>0</v>
      </c>
      <c r="BW54" s="177" t="str">
        <f>Schedule!CL56</f>
        <v>0</v>
      </c>
      <c r="BX54" s="177" t="str">
        <f>Schedule!CM56</f>
        <v>0</v>
      </c>
      <c r="BY54" s="177" t="str">
        <f>Schedule!CN56</f>
        <v>0</v>
      </c>
      <c r="BZ54" s="177" t="str">
        <f>Schedule!CO56</f>
        <v>0</v>
      </c>
      <c r="CA54" s="177" t="str">
        <f>Schedule!CP56</f>
        <v>0</v>
      </c>
      <c r="CB54" s="177" t="str">
        <f>Schedule!CQ56</f>
        <v>0</v>
      </c>
      <c r="CC54" s="177" t="str">
        <f>Schedule!CR56</f>
        <v>0</v>
      </c>
      <c r="CD54" s="177" t="str">
        <f>Schedule!CS56</f>
        <v>0</v>
      </c>
      <c r="CE54" s="178"/>
      <c r="CF54" s="177" t="str">
        <f>Schedule!CT56</f>
        <v>0</v>
      </c>
      <c r="CG54" s="177" t="str">
        <f>Schedule!CU56</f>
        <v>0</v>
      </c>
      <c r="CH54" s="177" t="str">
        <f>Schedule!CV56</f>
        <v>0</v>
      </c>
      <c r="CI54" s="177" t="str">
        <f>Schedule!CW56</f>
        <v>0</v>
      </c>
      <c r="CJ54" s="177" t="str">
        <f>Schedule!CX56</f>
        <v>0</v>
      </c>
      <c r="CK54" s="177" t="str">
        <f>Schedule!CY56</f>
        <v>0</v>
      </c>
      <c r="CL54" s="177" t="str">
        <f>Schedule!CZ56</f>
        <v>0</v>
      </c>
      <c r="CM54" s="177" t="str">
        <f>Schedule!DA56</f>
        <v>0</v>
      </c>
      <c r="CN54" s="177" t="str">
        <f>Schedule!DB56</f>
        <v>0</v>
      </c>
      <c r="CO54" s="178"/>
      <c r="CP54" s="177" t="str">
        <f>Schedule!DC56</f>
        <v>0</v>
      </c>
      <c r="CQ54" s="177" t="str">
        <f>Schedule!DD56</f>
        <v>0</v>
      </c>
      <c r="CR54" s="177" t="str">
        <f>Schedule!DE56</f>
        <v>0</v>
      </c>
      <c r="CS54" s="177" t="str">
        <f>Schedule!DF56</f>
        <v>0</v>
      </c>
      <c r="CT54" s="177" t="str">
        <f>Schedule!DG56</f>
        <v>0</v>
      </c>
      <c r="CU54" s="177" t="str">
        <f>Schedule!DH56</f>
        <v>0</v>
      </c>
      <c r="CV54" s="177" t="str">
        <f>Schedule!DI56</f>
        <v>0</v>
      </c>
      <c r="CW54" s="177" t="str">
        <f>Schedule!DJ56</f>
        <v>0</v>
      </c>
      <c r="CX54" s="177" t="str">
        <f>Schedule!DK56</f>
        <v>0</v>
      </c>
      <c r="CY54" s="178"/>
      <c r="CZ54" s="177" t="str">
        <f>Schedule!DL56</f>
        <v>0</v>
      </c>
      <c r="DA54" s="177" t="str">
        <f>Schedule!DM56</f>
        <v>0</v>
      </c>
      <c r="DB54" s="177" t="str">
        <f>Schedule!DN56</f>
        <v>0</v>
      </c>
      <c r="DC54" s="177" t="str">
        <f>Schedule!DO56</f>
        <v>0</v>
      </c>
      <c r="DD54" s="177" t="str">
        <f>Schedule!DP56</f>
        <v>0</v>
      </c>
      <c r="DE54" s="177" t="str">
        <f>Schedule!DQ56</f>
        <v>0</v>
      </c>
      <c r="DF54" s="177" t="str">
        <f>Schedule!DR56</f>
        <v>0</v>
      </c>
      <c r="DG54" s="177" t="str">
        <f>Schedule!DS56</f>
        <v>0</v>
      </c>
      <c r="DH54" s="177" t="str">
        <f>Schedule!DT56</f>
        <v>0</v>
      </c>
      <c r="DI54" s="178"/>
      <c r="DJ54" s="177" t="str">
        <f>Schedule!DU56</f>
        <v>0</v>
      </c>
      <c r="DK54" s="177" t="str">
        <f>Schedule!DV56</f>
        <v>0</v>
      </c>
      <c r="DL54" s="177" t="str">
        <f>Schedule!DW56</f>
        <v>0</v>
      </c>
      <c r="DM54" s="177" t="str">
        <f>Schedule!DX56</f>
        <v>0</v>
      </c>
      <c r="DN54" s="177" t="str">
        <f>Schedule!DY56</f>
        <v>0</v>
      </c>
      <c r="DO54" s="177" t="str">
        <f>Schedule!DZ56</f>
        <v>0</v>
      </c>
      <c r="DP54" s="177" t="str">
        <f>Schedule!EA56</f>
        <v>0</v>
      </c>
      <c r="DQ54" s="177" t="str">
        <f>Schedule!EB56</f>
        <v>0</v>
      </c>
      <c r="DR54" s="177" t="str">
        <f>Schedule!EC56</f>
        <v>0</v>
      </c>
      <c r="DS54" s="178"/>
      <c r="DT54" s="177" t="str">
        <f>Schedule!ED56</f>
        <v>0</v>
      </c>
      <c r="DU54" s="177" t="str">
        <f>Schedule!EE56</f>
        <v>0</v>
      </c>
      <c r="DV54" s="177" t="str">
        <f>Schedule!EF56</f>
        <v>0</v>
      </c>
      <c r="DW54" s="177" t="str">
        <f>Schedule!EG56</f>
        <v>0</v>
      </c>
      <c r="DX54" s="177" t="str">
        <f>Schedule!EH56</f>
        <v>0</v>
      </c>
      <c r="DY54" s="177" t="str">
        <f>Schedule!EI56</f>
        <v>0</v>
      </c>
      <c r="DZ54" s="177" t="str">
        <f>Schedule!EJ56</f>
        <v>0</v>
      </c>
      <c r="EA54" s="177" t="str">
        <f>Schedule!EK56</f>
        <v>0</v>
      </c>
      <c r="EB54" s="177" t="str">
        <f>Schedule!EL56</f>
        <v>0</v>
      </c>
      <c r="EC54" s="178"/>
      <c r="ED54" s="177" t="str">
        <f>Schedule!EM56</f>
        <v>0</v>
      </c>
      <c r="EE54" s="177" t="str">
        <f>Schedule!EN56</f>
        <v>0</v>
      </c>
      <c r="EF54" s="177" t="str">
        <f>Schedule!EO56</f>
        <v>0</v>
      </c>
      <c r="EG54" s="177" t="str">
        <f>Schedule!EP56</f>
        <v>0</v>
      </c>
      <c r="EH54" s="177" t="str">
        <f>Schedule!EQ56</f>
        <v>0</v>
      </c>
      <c r="EI54" s="177" t="str">
        <f>Schedule!ER56</f>
        <v>0</v>
      </c>
      <c r="EJ54" s="177" t="str">
        <f>Schedule!ES56</f>
        <v>0</v>
      </c>
      <c r="EK54" s="177" t="str">
        <f>Schedule!ET56</f>
        <v>0</v>
      </c>
      <c r="EL54" s="177" t="str">
        <f>Schedule!EU56</f>
        <v>0</v>
      </c>
      <c r="EM54" s="178"/>
      <c r="EN54" s="177" t="str">
        <f>Schedule!EV56</f>
        <v>0</v>
      </c>
      <c r="EO54" s="177" t="str">
        <f>Schedule!EW56</f>
        <v>0</v>
      </c>
      <c r="EP54" s="177" t="str">
        <f>Schedule!EX56</f>
        <v>0</v>
      </c>
      <c r="EQ54" s="177" t="str">
        <f>Schedule!EY56</f>
        <v>0</v>
      </c>
      <c r="ER54" s="177" t="str">
        <f>Schedule!EZ56</f>
        <v>0</v>
      </c>
      <c r="ES54" s="177" t="str">
        <f>Schedule!FA56</f>
        <v>0</v>
      </c>
      <c r="ET54" s="177" t="str">
        <f>Schedule!FB56</f>
        <v>0</v>
      </c>
      <c r="EU54" s="177" t="str">
        <f>Schedule!FC56</f>
        <v>0</v>
      </c>
      <c r="EV54" s="177" t="str">
        <f>Schedule!FD56</f>
        <v>0</v>
      </c>
      <c r="EW54" s="178"/>
      <c r="EX54" s="177" t="str">
        <f>Schedule!FE56</f>
        <v>0</v>
      </c>
      <c r="EY54" s="177" t="str">
        <f>Schedule!FF56</f>
        <v>0</v>
      </c>
      <c r="EZ54" s="177" t="str">
        <f>Schedule!FG56</f>
        <v>0</v>
      </c>
      <c r="FA54" s="177" t="str">
        <f>Schedule!FH56</f>
        <v>0</v>
      </c>
      <c r="FB54" s="177" t="str">
        <f>Schedule!FI56</f>
        <v>0</v>
      </c>
      <c r="FC54" s="177" t="str">
        <f>Schedule!FJ56</f>
        <v>0</v>
      </c>
      <c r="FD54" s="177" t="str">
        <f>Schedule!FK56</f>
        <v>0</v>
      </c>
      <c r="FE54" s="177" t="str">
        <f>Schedule!FL56</f>
        <v>0</v>
      </c>
      <c r="FF54" s="177" t="str">
        <f>Schedule!FM56</f>
        <v>0</v>
      </c>
      <c r="FG54" s="178"/>
      <c r="FH54" s="177" t="str">
        <f>Schedule!FN56</f>
        <v>0</v>
      </c>
      <c r="FI54" s="177" t="str">
        <f>Schedule!FO56</f>
        <v>0</v>
      </c>
      <c r="FJ54" s="177" t="str">
        <f>Schedule!FP56</f>
        <v>0</v>
      </c>
      <c r="FK54" s="177" t="str">
        <f>Schedule!FQ56</f>
        <v>0</v>
      </c>
      <c r="FL54" s="177" t="str">
        <f>Schedule!FR56</f>
        <v>0</v>
      </c>
      <c r="FM54" s="177" t="str">
        <f>Schedule!FS56</f>
        <v>0</v>
      </c>
      <c r="FN54" s="177" t="str">
        <f>Schedule!FT56</f>
        <v>0</v>
      </c>
      <c r="FO54" s="177" t="str">
        <f>Schedule!FU56</f>
        <v>0</v>
      </c>
      <c r="FP54" s="177" t="str">
        <f>Schedule!FV56</f>
        <v>0</v>
      </c>
      <c r="FQ54" s="178"/>
      <c r="FR54" s="177" t="str">
        <f>Schedule!FW56</f>
        <v>0</v>
      </c>
      <c r="FS54" s="177" t="str">
        <f>Schedule!FX56</f>
        <v>0</v>
      </c>
      <c r="FT54" s="177" t="str">
        <f>Schedule!FY56</f>
        <v>0</v>
      </c>
      <c r="FU54" s="177" t="str">
        <f>Schedule!FZ56</f>
        <v>0</v>
      </c>
      <c r="FV54" s="177" t="str">
        <f>Schedule!GA56</f>
        <v>0</v>
      </c>
      <c r="FW54" s="177" t="str">
        <f>Schedule!GB56</f>
        <v>0</v>
      </c>
      <c r="FX54" s="177" t="str">
        <f>Schedule!GC56</f>
        <v>0</v>
      </c>
      <c r="FY54" s="177" t="str">
        <f>Schedule!GD56</f>
        <v>0</v>
      </c>
      <c r="FZ54" s="177" t="str">
        <f>Schedule!GE56</f>
        <v>0</v>
      </c>
      <c r="GA54" s="178"/>
      <c r="GB54" s="177" t="str">
        <f>Schedule!GF56</f>
        <v>0</v>
      </c>
      <c r="GC54" s="177" t="str">
        <f>Schedule!GG56</f>
        <v>0</v>
      </c>
      <c r="GD54" s="177" t="str">
        <f>Schedule!GH56</f>
        <v>0</v>
      </c>
      <c r="GE54" s="177" t="str">
        <f>Schedule!GI56</f>
        <v>0</v>
      </c>
      <c r="GF54" s="177" t="str">
        <f>Schedule!GJ56</f>
        <v>0</v>
      </c>
      <c r="GG54" s="177" t="str">
        <f>Schedule!GK56</f>
        <v>0</v>
      </c>
      <c r="GH54" s="177" t="str">
        <f>Schedule!GL56</f>
        <v>0</v>
      </c>
      <c r="GI54" s="177" t="str">
        <f>Schedule!GM56</f>
        <v>0</v>
      </c>
      <c r="GJ54" s="177" t="str">
        <f>Schedule!GN56</f>
        <v>0</v>
      </c>
      <c r="GK54" s="178"/>
      <c r="GL54" s="177" t="str">
        <f>Schedule!GO56</f>
        <v>0</v>
      </c>
      <c r="GM54" s="177" t="str">
        <f>Schedule!GP56</f>
        <v>0</v>
      </c>
      <c r="GN54" s="177" t="str">
        <f>Schedule!GQ56</f>
        <v>0</v>
      </c>
      <c r="GO54" s="177" t="str">
        <f>Schedule!GR56</f>
        <v>0</v>
      </c>
      <c r="GP54" s="177" t="str">
        <f>Schedule!GS56</f>
        <v>0</v>
      </c>
      <c r="GQ54" s="177" t="str">
        <f>Schedule!GT56</f>
        <v>0</v>
      </c>
      <c r="GR54" s="177" t="str">
        <f>Schedule!GU56</f>
        <v>0</v>
      </c>
      <c r="GS54" s="177" t="str">
        <f>Schedule!GV56</f>
        <v>0</v>
      </c>
      <c r="GT54" s="177" t="str">
        <f>Schedule!GW56</f>
        <v>0</v>
      </c>
    </row>
    <row r="55" spans="2:202" ht="18" hidden="1" customHeight="1">
      <c r="B55" s="269"/>
      <c r="C55" s="169">
        <f>Schedule!C57</f>
        <v>0</v>
      </c>
      <c r="D55" s="177" t="str">
        <f>Schedule!Z57</f>
        <v>0</v>
      </c>
      <c r="E55" s="177" t="str">
        <f>Schedule!AA57</f>
        <v>0</v>
      </c>
      <c r="F55" s="177" t="str">
        <f>Schedule!AB57</f>
        <v>0</v>
      </c>
      <c r="G55" s="177" t="str">
        <f>Schedule!AC57</f>
        <v>0</v>
      </c>
      <c r="H55" s="177" t="str">
        <f>Schedule!AD57</f>
        <v>0</v>
      </c>
      <c r="I55" s="177" t="str">
        <f>Schedule!AE57</f>
        <v>0</v>
      </c>
      <c r="J55" s="177" t="str">
        <f>Schedule!AF57</f>
        <v>0</v>
      </c>
      <c r="K55" s="182" t="str">
        <f>Schedule!AG57</f>
        <v>0</v>
      </c>
      <c r="L55" s="182" t="str">
        <f>Schedule!AH57</f>
        <v>0</v>
      </c>
      <c r="M55" s="178"/>
      <c r="N55" s="184" t="str">
        <f>Schedule!AI57</f>
        <v>0</v>
      </c>
      <c r="O55" s="177" t="str">
        <f>Schedule!AJ57</f>
        <v>0</v>
      </c>
      <c r="P55" s="177" t="str">
        <f>Schedule!AK57</f>
        <v>0</v>
      </c>
      <c r="Q55" s="177" t="str">
        <f>Schedule!AL57</f>
        <v>0</v>
      </c>
      <c r="R55" s="177" t="str">
        <f>Schedule!AM57</f>
        <v>0</v>
      </c>
      <c r="S55" s="177" t="str">
        <f>Schedule!AN57</f>
        <v>0</v>
      </c>
      <c r="T55" s="177" t="str">
        <f>Schedule!AO57</f>
        <v>0</v>
      </c>
      <c r="U55" s="177" t="str">
        <f>Schedule!AP57</f>
        <v>0</v>
      </c>
      <c r="V55" s="177" t="str">
        <f>Schedule!AQ57</f>
        <v>0</v>
      </c>
      <c r="W55" s="178"/>
      <c r="X55" s="177" t="str">
        <f>Schedule!AR57</f>
        <v>0</v>
      </c>
      <c r="Y55" s="177" t="str">
        <f>Schedule!AS57</f>
        <v>0</v>
      </c>
      <c r="Z55" s="177" t="str">
        <f>Schedule!AT57</f>
        <v>0</v>
      </c>
      <c r="AA55" s="177" t="str">
        <f>Schedule!AU57</f>
        <v>0</v>
      </c>
      <c r="AB55" s="177" t="str">
        <f>Schedule!AV57</f>
        <v>0</v>
      </c>
      <c r="AC55" s="177" t="str">
        <f>Schedule!AW57</f>
        <v>0</v>
      </c>
      <c r="AD55" s="177" t="str">
        <f>Schedule!AX57</f>
        <v>0</v>
      </c>
      <c r="AE55" s="177" t="str">
        <f>Schedule!AY57</f>
        <v>0</v>
      </c>
      <c r="AF55" s="177" t="str">
        <f>Schedule!AZ57</f>
        <v>0</v>
      </c>
      <c r="AG55" s="178"/>
      <c r="AH55" s="177" t="str">
        <f>Schedule!BA57</f>
        <v>0</v>
      </c>
      <c r="AI55" s="177" t="str">
        <f>Schedule!BB57</f>
        <v>0</v>
      </c>
      <c r="AJ55" s="177" t="str">
        <f>Schedule!BC57</f>
        <v>0</v>
      </c>
      <c r="AK55" s="177" t="str">
        <f>Schedule!BD57</f>
        <v>0</v>
      </c>
      <c r="AL55" s="177" t="str">
        <f>Schedule!BE57</f>
        <v>0</v>
      </c>
      <c r="AM55" s="177" t="str">
        <f>Schedule!BF57</f>
        <v>0</v>
      </c>
      <c r="AN55" s="177" t="str">
        <f>Schedule!BG57</f>
        <v>0</v>
      </c>
      <c r="AO55" s="177" t="str">
        <f>Schedule!BH57</f>
        <v>0</v>
      </c>
      <c r="AP55" s="177" t="str">
        <f>Schedule!BI57</f>
        <v>0</v>
      </c>
      <c r="AQ55" s="178"/>
      <c r="AR55" s="177" t="str">
        <f>Schedule!BJ57</f>
        <v>0</v>
      </c>
      <c r="AS55" s="177" t="str">
        <f>Schedule!BK57</f>
        <v>0</v>
      </c>
      <c r="AT55" s="177" t="str">
        <f>Schedule!BL57</f>
        <v>0</v>
      </c>
      <c r="AU55" s="177" t="str">
        <f>Schedule!BM57</f>
        <v>0</v>
      </c>
      <c r="AV55" s="177" t="str">
        <f>Schedule!BN57</f>
        <v>0</v>
      </c>
      <c r="AW55" s="177" t="str">
        <f>Schedule!BO57</f>
        <v>0</v>
      </c>
      <c r="AX55" s="177" t="str">
        <f>Schedule!BP57</f>
        <v>0</v>
      </c>
      <c r="AY55" s="177" t="str">
        <f>Schedule!BQ57</f>
        <v>0</v>
      </c>
      <c r="AZ55" s="177" t="str">
        <f>Schedule!BR57</f>
        <v>0</v>
      </c>
      <c r="BA55" s="178"/>
      <c r="BB55" s="177" t="str">
        <f>Schedule!BS57</f>
        <v>0</v>
      </c>
      <c r="BC55" s="177" t="str">
        <f>Schedule!BT57</f>
        <v>0</v>
      </c>
      <c r="BD55" s="177" t="str">
        <f>Schedule!BU57</f>
        <v>0</v>
      </c>
      <c r="BE55" s="177" t="str">
        <f>Schedule!BV57</f>
        <v>0</v>
      </c>
      <c r="BF55" s="177" t="str">
        <f>Schedule!BW57</f>
        <v>0</v>
      </c>
      <c r="BG55" s="177" t="str">
        <f>Schedule!BX57</f>
        <v>0</v>
      </c>
      <c r="BH55" s="177" t="str">
        <f>Schedule!BY57</f>
        <v>0</v>
      </c>
      <c r="BI55" s="177" t="str">
        <f>Schedule!BZ57</f>
        <v>0</v>
      </c>
      <c r="BJ55" s="177" t="str">
        <f>Schedule!CA57</f>
        <v>0</v>
      </c>
      <c r="BK55" s="178"/>
      <c r="BL55" s="177" t="str">
        <f>Schedule!CB57</f>
        <v>0</v>
      </c>
      <c r="BM55" s="177" t="str">
        <f>Schedule!CC57</f>
        <v>0</v>
      </c>
      <c r="BN55" s="177" t="str">
        <f>Schedule!CD57</f>
        <v>0</v>
      </c>
      <c r="BO55" s="177" t="str">
        <f>Schedule!CE57</f>
        <v>0</v>
      </c>
      <c r="BP55" s="177" t="str">
        <f>Schedule!CF57</f>
        <v>0</v>
      </c>
      <c r="BQ55" s="177" t="str">
        <f>Schedule!CG57</f>
        <v>0</v>
      </c>
      <c r="BR55" s="177" t="str">
        <f>Schedule!CH57</f>
        <v>0</v>
      </c>
      <c r="BS55" s="177" t="str">
        <f>Schedule!CI57</f>
        <v>0</v>
      </c>
      <c r="BT55" s="177" t="str">
        <f>Schedule!CJ57</f>
        <v>0</v>
      </c>
      <c r="BU55" s="178"/>
      <c r="BV55" s="177" t="str">
        <f>Schedule!CK57</f>
        <v>0</v>
      </c>
      <c r="BW55" s="177" t="str">
        <f>Schedule!CL57</f>
        <v>0</v>
      </c>
      <c r="BX55" s="177" t="str">
        <f>Schedule!CM57</f>
        <v>0</v>
      </c>
      <c r="BY55" s="177" t="str">
        <f>Schedule!CN57</f>
        <v>0</v>
      </c>
      <c r="BZ55" s="177" t="str">
        <f>Schedule!CO57</f>
        <v>0</v>
      </c>
      <c r="CA55" s="177" t="str">
        <f>Schedule!CP57</f>
        <v>0</v>
      </c>
      <c r="CB55" s="177" t="str">
        <f>Schedule!CQ57</f>
        <v>0</v>
      </c>
      <c r="CC55" s="177" t="str">
        <f>Schedule!CR57</f>
        <v>0</v>
      </c>
      <c r="CD55" s="177" t="str">
        <f>Schedule!CS57</f>
        <v>0</v>
      </c>
      <c r="CE55" s="178"/>
      <c r="CF55" s="177" t="str">
        <f>Schedule!CT57</f>
        <v>0</v>
      </c>
      <c r="CG55" s="177" t="str">
        <f>Schedule!CU57</f>
        <v>0</v>
      </c>
      <c r="CH55" s="177" t="str">
        <f>Schedule!CV57</f>
        <v>0</v>
      </c>
      <c r="CI55" s="177" t="str">
        <f>Schedule!CW57</f>
        <v>0</v>
      </c>
      <c r="CJ55" s="177" t="str">
        <f>Schedule!CX57</f>
        <v>0</v>
      </c>
      <c r="CK55" s="177" t="str">
        <f>Schedule!CY57</f>
        <v>0</v>
      </c>
      <c r="CL55" s="177" t="str">
        <f>Schedule!CZ57</f>
        <v>0</v>
      </c>
      <c r="CM55" s="177" t="str">
        <f>Schedule!DA57</f>
        <v>0</v>
      </c>
      <c r="CN55" s="177" t="str">
        <f>Schedule!DB57</f>
        <v>0</v>
      </c>
      <c r="CO55" s="178"/>
      <c r="CP55" s="177" t="str">
        <f>Schedule!DC57</f>
        <v>0</v>
      </c>
      <c r="CQ55" s="177" t="str">
        <f>Schedule!DD57</f>
        <v>0</v>
      </c>
      <c r="CR55" s="177" t="str">
        <f>Schedule!DE57</f>
        <v>0</v>
      </c>
      <c r="CS55" s="177" t="str">
        <f>Schedule!DF57</f>
        <v>0</v>
      </c>
      <c r="CT55" s="177" t="str">
        <f>Schedule!DG57</f>
        <v>0</v>
      </c>
      <c r="CU55" s="177" t="str">
        <f>Schedule!DH57</f>
        <v>0</v>
      </c>
      <c r="CV55" s="177" t="str">
        <f>Schedule!DI57</f>
        <v>0</v>
      </c>
      <c r="CW55" s="177" t="str">
        <f>Schedule!DJ57</f>
        <v>0</v>
      </c>
      <c r="CX55" s="177" t="str">
        <f>Schedule!DK57</f>
        <v>0</v>
      </c>
      <c r="CY55" s="178"/>
      <c r="CZ55" s="177" t="str">
        <f>Schedule!DL57</f>
        <v>0</v>
      </c>
      <c r="DA55" s="177" t="str">
        <f>Schedule!DM57</f>
        <v>0</v>
      </c>
      <c r="DB55" s="177" t="str">
        <f>Schedule!DN57</f>
        <v>0</v>
      </c>
      <c r="DC55" s="177" t="str">
        <f>Schedule!DO57</f>
        <v>0</v>
      </c>
      <c r="DD55" s="177" t="str">
        <f>Schedule!DP57</f>
        <v>0</v>
      </c>
      <c r="DE55" s="177" t="str">
        <f>Schedule!DQ57</f>
        <v>0</v>
      </c>
      <c r="DF55" s="177" t="str">
        <f>Schedule!DR57</f>
        <v>0</v>
      </c>
      <c r="DG55" s="177" t="str">
        <f>Schedule!DS57</f>
        <v>0</v>
      </c>
      <c r="DH55" s="177" t="str">
        <f>Schedule!DT57</f>
        <v>0</v>
      </c>
      <c r="DI55" s="178"/>
      <c r="DJ55" s="177" t="str">
        <f>Schedule!DU57</f>
        <v>0</v>
      </c>
      <c r="DK55" s="177" t="str">
        <f>Schedule!DV57</f>
        <v>0</v>
      </c>
      <c r="DL55" s="177" t="str">
        <f>Schedule!DW57</f>
        <v>0</v>
      </c>
      <c r="DM55" s="177" t="str">
        <f>Schedule!DX57</f>
        <v>0</v>
      </c>
      <c r="DN55" s="177" t="str">
        <f>Schedule!DY57</f>
        <v>0</v>
      </c>
      <c r="DO55" s="177" t="str">
        <f>Schedule!DZ57</f>
        <v>0</v>
      </c>
      <c r="DP55" s="177" t="str">
        <f>Schedule!EA57</f>
        <v>0</v>
      </c>
      <c r="DQ55" s="177" t="str">
        <f>Schedule!EB57</f>
        <v>0</v>
      </c>
      <c r="DR55" s="177" t="str">
        <f>Schedule!EC57</f>
        <v>0</v>
      </c>
      <c r="DS55" s="178"/>
      <c r="DT55" s="177" t="str">
        <f>Schedule!ED57</f>
        <v>0</v>
      </c>
      <c r="DU55" s="177" t="str">
        <f>Schedule!EE57</f>
        <v>0</v>
      </c>
      <c r="DV55" s="177" t="str">
        <f>Schedule!EF57</f>
        <v>0</v>
      </c>
      <c r="DW55" s="177" t="str">
        <f>Schedule!EG57</f>
        <v>0</v>
      </c>
      <c r="DX55" s="177" t="str">
        <f>Schedule!EH57</f>
        <v>0</v>
      </c>
      <c r="DY55" s="177" t="str">
        <f>Schedule!EI57</f>
        <v>0</v>
      </c>
      <c r="DZ55" s="177" t="str">
        <f>Schedule!EJ57</f>
        <v>0</v>
      </c>
      <c r="EA55" s="177" t="str">
        <f>Schedule!EK57</f>
        <v>0</v>
      </c>
      <c r="EB55" s="177" t="str">
        <f>Schedule!EL57</f>
        <v>0</v>
      </c>
      <c r="EC55" s="178"/>
      <c r="ED55" s="177" t="str">
        <f>Schedule!EM57</f>
        <v>0</v>
      </c>
      <c r="EE55" s="177" t="str">
        <f>Schedule!EN57</f>
        <v>0</v>
      </c>
      <c r="EF55" s="177" t="str">
        <f>Schedule!EO57</f>
        <v>0</v>
      </c>
      <c r="EG55" s="177" t="str">
        <f>Schedule!EP57</f>
        <v>0</v>
      </c>
      <c r="EH55" s="177" t="str">
        <f>Schedule!EQ57</f>
        <v>0</v>
      </c>
      <c r="EI55" s="177" t="str">
        <f>Schedule!ER57</f>
        <v>0</v>
      </c>
      <c r="EJ55" s="177" t="str">
        <f>Schedule!ES57</f>
        <v>0</v>
      </c>
      <c r="EK55" s="177" t="str">
        <f>Schedule!ET57</f>
        <v>0</v>
      </c>
      <c r="EL55" s="177" t="str">
        <f>Schedule!EU57</f>
        <v>0</v>
      </c>
      <c r="EM55" s="178"/>
      <c r="EN55" s="177" t="str">
        <f>Schedule!EV57</f>
        <v>0</v>
      </c>
      <c r="EO55" s="177" t="str">
        <f>Schedule!EW57</f>
        <v>0</v>
      </c>
      <c r="EP55" s="177" t="str">
        <f>Schedule!EX57</f>
        <v>0</v>
      </c>
      <c r="EQ55" s="177" t="str">
        <f>Schedule!EY57</f>
        <v>0</v>
      </c>
      <c r="ER55" s="177" t="str">
        <f>Schedule!EZ57</f>
        <v>0</v>
      </c>
      <c r="ES55" s="177" t="str">
        <f>Schedule!FA57</f>
        <v>0</v>
      </c>
      <c r="ET55" s="177" t="str">
        <f>Schedule!FB57</f>
        <v>0</v>
      </c>
      <c r="EU55" s="177" t="str">
        <f>Schedule!FC57</f>
        <v>0</v>
      </c>
      <c r="EV55" s="177" t="str">
        <f>Schedule!FD57</f>
        <v>0</v>
      </c>
      <c r="EW55" s="178"/>
      <c r="EX55" s="177" t="str">
        <f>Schedule!FE57</f>
        <v>0</v>
      </c>
      <c r="EY55" s="177" t="str">
        <f>Schedule!FF57</f>
        <v>0</v>
      </c>
      <c r="EZ55" s="177" t="str">
        <f>Schedule!FG57</f>
        <v>0</v>
      </c>
      <c r="FA55" s="177" t="str">
        <f>Schedule!FH57</f>
        <v>0</v>
      </c>
      <c r="FB55" s="177" t="str">
        <f>Schedule!FI57</f>
        <v>0</v>
      </c>
      <c r="FC55" s="177" t="str">
        <f>Schedule!FJ57</f>
        <v>0</v>
      </c>
      <c r="FD55" s="177" t="str">
        <f>Schedule!FK57</f>
        <v>0</v>
      </c>
      <c r="FE55" s="177" t="str">
        <f>Schedule!FL57</f>
        <v>0</v>
      </c>
      <c r="FF55" s="177" t="str">
        <f>Schedule!FM57</f>
        <v>0</v>
      </c>
      <c r="FG55" s="178"/>
      <c r="FH55" s="177" t="str">
        <f>Schedule!FN57</f>
        <v>0</v>
      </c>
      <c r="FI55" s="177" t="str">
        <f>Schedule!FO57</f>
        <v>0</v>
      </c>
      <c r="FJ55" s="177" t="str">
        <f>Schedule!FP57</f>
        <v>0</v>
      </c>
      <c r="FK55" s="177" t="str">
        <f>Schedule!FQ57</f>
        <v>0</v>
      </c>
      <c r="FL55" s="177" t="str">
        <f>Schedule!FR57</f>
        <v>0</v>
      </c>
      <c r="FM55" s="177" t="str">
        <f>Schedule!FS57</f>
        <v>0</v>
      </c>
      <c r="FN55" s="177" t="str">
        <f>Schedule!FT57</f>
        <v>0</v>
      </c>
      <c r="FO55" s="177" t="str">
        <f>Schedule!FU57</f>
        <v>0</v>
      </c>
      <c r="FP55" s="177" t="str">
        <f>Schedule!FV57</f>
        <v>0</v>
      </c>
      <c r="FQ55" s="178"/>
      <c r="FR55" s="177" t="str">
        <f>Schedule!FW57</f>
        <v>0</v>
      </c>
      <c r="FS55" s="177" t="str">
        <f>Schedule!FX57</f>
        <v>0</v>
      </c>
      <c r="FT55" s="177" t="str">
        <f>Schedule!FY57</f>
        <v>0</v>
      </c>
      <c r="FU55" s="177" t="str">
        <f>Schedule!FZ57</f>
        <v>0</v>
      </c>
      <c r="FV55" s="177" t="str">
        <f>Schedule!GA57</f>
        <v>0</v>
      </c>
      <c r="FW55" s="177" t="str">
        <f>Schedule!GB57</f>
        <v>0</v>
      </c>
      <c r="FX55" s="177" t="str">
        <f>Schedule!GC57</f>
        <v>0</v>
      </c>
      <c r="FY55" s="177" t="str">
        <f>Schedule!GD57</f>
        <v>0</v>
      </c>
      <c r="FZ55" s="177" t="str">
        <f>Schedule!GE57</f>
        <v>0</v>
      </c>
      <c r="GA55" s="178"/>
      <c r="GB55" s="177" t="str">
        <f>Schedule!GF57</f>
        <v>0</v>
      </c>
      <c r="GC55" s="177" t="str">
        <f>Schedule!GG57</f>
        <v>0</v>
      </c>
      <c r="GD55" s="177" t="str">
        <f>Schedule!GH57</f>
        <v>0</v>
      </c>
      <c r="GE55" s="177" t="str">
        <f>Schedule!GI57</f>
        <v>0</v>
      </c>
      <c r="GF55" s="177" t="str">
        <f>Schedule!GJ57</f>
        <v>0</v>
      </c>
      <c r="GG55" s="177" t="str">
        <f>Schedule!GK57</f>
        <v>0</v>
      </c>
      <c r="GH55" s="177" t="str">
        <f>Schedule!GL57</f>
        <v>0</v>
      </c>
      <c r="GI55" s="177" t="str">
        <f>Schedule!GM57</f>
        <v>0</v>
      </c>
      <c r="GJ55" s="177" t="str">
        <f>Schedule!GN57</f>
        <v>0</v>
      </c>
      <c r="GK55" s="178"/>
      <c r="GL55" s="177" t="str">
        <f>Schedule!GO57</f>
        <v>0</v>
      </c>
      <c r="GM55" s="177" t="str">
        <f>Schedule!GP57</f>
        <v>0</v>
      </c>
      <c r="GN55" s="177" t="str">
        <f>Schedule!GQ57</f>
        <v>0</v>
      </c>
      <c r="GO55" s="177" t="str">
        <f>Schedule!GR57</f>
        <v>0</v>
      </c>
      <c r="GP55" s="177" t="str">
        <f>Schedule!GS57</f>
        <v>0</v>
      </c>
      <c r="GQ55" s="177" t="str">
        <f>Schedule!GT57</f>
        <v>0</v>
      </c>
      <c r="GR55" s="177" t="str">
        <f>Schedule!GU57</f>
        <v>0</v>
      </c>
      <c r="GS55" s="177" t="str">
        <f>Schedule!GV57</f>
        <v>0</v>
      </c>
      <c r="GT55" s="177" t="str">
        <f>Schedule!GW57</f>
        <v>0</v>
      </c>
    </row>
    <row r="56" spans="2:202" ht="18" hidden="1" customHeight="1">
      <c r="B56" s="269"/>
      <c r="C56" s="169">
        <f>Schedule!C58</f>
        <v>0</v>
      </c>
      <c r="D56" s="177" t="str">
        <f>Schedule!Z58</f>
        <v>0</v>
      </c>
      <c r="E56" s="177" t="str">
        <f>Schedule!AA58</f>
        <v>0</v>
      </c>
      <c r="F56" s="177" t="str">
        <f>Schedule!AB58</f>
        <v>0</v>
      </c>
      <c r="G56" s="177" t="str">
        <f>Schedule!AC58</f>
        <v>0</v>
      </c>
      <c r="H56" s="177" t="str">
        <f>Schedule!AD58</f>
        <v>0</v>
      </c>
      <c r="I56" s="177" t="str">
        <f>Schedule!AE58</f>
        <v>0</v>
      </c>
      <c r="J56" s="177" t="str">
        <f>Schedule!AF58</f>
        <v>0</v>
      </c>
      <c r="K56" s="182" t="str">
        <f>Schedule!AG58</f>
        <v>0</v>
      </c>
      <c r="L56" s="182" t="str">
        <f>Schedule!AH58</f>
        <v>0</v>
      </c>
      <c r="M56" s="178"/>
      <c r="N56" s="184" t="str">
        <f>Schedule!AI58</f>
        <v>0</v>
      </c>
      <c r="O56" s="177" t="str">
        <f>Schedule!AJ58</f>
        <v>0</v>
      </c>
      <c r="P56" s="177" t="str">
        <f>Schedule!AK58</f>
        <v>0</v>
      </c>
      <c r="Q56" s="177" t="str">
        <f>Schedule!AL58</f>
        <v>0</v>
      </c>
      <c r="R56" s="177" t="str">
        <f>Schedule!AM58</f>
        <v>0</v>
      </c>
      <c r="S56" s="177" t="str">
        <f>Schedule!AN58</f>
        <v>0</v>
      </c>
      <c r="T56" s="177" t="str">
        <f>Schedule!AO58</f>
        <v>0</v>
      </c>
      <c r="U56" s="177" t="str">
        <f>Schedule!AP58</f>
        <v>0</v>
      </c>
      <c r="V56" s="177" t="str">
        <f>Schedule!AQ58</f>
        <v>0</v>
      </c>
      <c r="W56" s="178"/>
      <c r="X56" s="177" t="str">
        <f>Schedule!AR58</f>
        <v>0</v>
      </c>
      <c r="Y56" s="177" t="str">
        <f>Schedule!AS58</f>
        <v>0</v>
      </c>
      <c r="Z56" s="177" t="str">
        <f>Schedule!AT58</f>
        <v>0</v>
      </c>
      <c r="AA56" s="177" t="str">
        <f>Schedule!AU58</f>
        <v>0</v>
      </c>
      <c r="AB56" s="177" t="str">
        <f>Schedule!AV58</f>
        <v>0</v>
      </c>
      <c r="AC56" s="177" t="str">
        <f>Schedule!AW58</f>
        <v>0</v>
      </c>
      <c r="AD56" s="177" t="str">
        <f>Schedule!AX58</f>
        <v>0</v>
      </c>
      <c r="AE56" s="177" t="str">
        <f>Schedule!AY58</f>
        <v>0</v>
      </c>
      <c r="AF56" s="177" t="str">
        <f>Schedule!AZ58</f>
        <v>0</v>
      </c>
      <c r="AG56" s="178"/>
      <c r="AH56" s="177" t="str">
        <f>Schedule!BA58</f>
        <v>0</v>
      </c>
      <c r="AI56" s="177" t="str">
        <f>Schedule!BB58</f>
        <v>0</v>
      </c>
      <c r="AJ56" s="177" t="str">
        <f>Schedule!BC58</f>
        <v>0</v>
      </c>
      <c r="AK56" s="177" t="str">
        <f>Schedule!BD58</f>
        <v>0</v>
      </c>
      <c r="AL56" s="177" t="str">
        <f>Schedule!BE58</f>
        <v>0</v>
      </c>
      <c r="AM56" s="177" t="str">
        <f>Schedule!BF58</f>
        <v>0</v>
      </c>
      <c r="AN56" s="177" t="str">
        <f>Schedule!BG58</f>
        <v>0</v>
      </c>
      <c r="AO56" s="177" t="str">
        <f>Schedule!BH58</f>
        <v>0</v>
      </c>
      <c r="AP56" s="177" t="str">
        <f>Schedule!BI58</f>
        <v>0</v>
      </c>
      <c r="AQ56" s="178"/>
      <c r="AR56" s="177" t="str">
        <f>Schedule!BJ58</f>
        <v>0</v>
      </c>
      <c r="AS56" s="177" t="str">
        <f>Schedule!BK58</f>
        <v>0</v>
      </c>
      <c r="AT56" s="177" t="str">
        <f>Schedule!BL58</f>
        <v>0</v>
      </c>
      <c r="AU56" s="177" t="str">
        <f>Schedule!BM58</f>
        <v>0</v>
      </c>
      <c r="AV56" s="177" t="str">
        <f>Schedule!BN58</f>
        <v>0</v>
      </c>
      <c r="AW56" s="177" t="str">
        <f>Schedule!BO58</f>
        <v>0</v>
      </c>
      <c r="AX56" s="177" t="str">
        <f>Schedule!BP58</f>
        <v>0</v>
      </c>
      <c r="AY56" s="177" t="str">
        <f>Schedule!BQ58</f>
        <v>0</v>
      </c>
      <c r="AZ56" s="177" t="str">
        <f>Schedule!BR58</f>
        <v>0</v>
      </c>
      <c r="BA56" s="178"/>
      <c r="BB56" s="177" t="str">
        <f>Schedule!BS58</f>
        <v>0</v>
      </c>
      <c r="BC56" s="177" t="str">
        <f>Schedule!BT58</f>
        <v>0</v>
      </c>
      <c r="BD56" s="177" t="str">
        <f>Schedule!BU58</f>
        <v>0</v>
      </c>
      <c r="BE56" s="177" t="str">
        <f>Schedule!BV58</f>
        <v>0</v>
      </c>
      <c r="BF56" s="177" t="str">
        <f>Schedule!BW58</f>
        <v>0</v>
      </c>
      <c r="BG56" s="177" t="str">
        <f>Schedule!BX58</f>
        <v>0</v>
      </c>
      <c r="BH56" s="177" t="str">
        <f>Schedule!BY58</f>
        <v>0</v>
      </c>
      <c r="BI56" s="177" t="str">
        <f>Schedule!BZ58</f>
        <v>0</v>
      </c>
      <c r="BJ56" s="177" t="str">
        <f>Schedule!CA58</f>
        <v>0</v>
      </c>
      <c r="BK56" s="178"/>
      <c r="BL56" s="177" t="str">
        <f>Schedule!CB58</f>
        <v>0</v>
      </c>
      <c r="BM56" s="177" t="str">
        <f>Schedule!CC58</f>
        <v>0</v>
      </c>
      <c r="BN56" s="177" t="str">
        <f>Schedule!CD58</f>
        <v>0</v>
      </c>
      <c r="BO56" s="177" t="str">
        <f>Schedule!CE58</f>
        <v>0</v>
      </c>
      <c r="BP56" s="177" t="str">
        <f>Schedule!CF58</f>
        <v>0</v>
      </c>
      <c r="BQ56" s="177" t="str">
        <f>Schedule!CG58</f>
        <v>0</v>
      </c>
      <c r="BR56" s="177" t="str">
        <f>Schedule!CH58</f>
        <v>0</v>
      </c>
      <c r="BS56" s="177" t="str">
        <f>Schedule!CI58</f>
        <v>0</v>
      </c>
      <c r="BT56" s="177" t="str">
        <f>Schedule!CJ58</f>
        <v>0</v>
      </c>
      <c r="BU56" s="178"/>
      <c r="BV56" s="177" t="str">
        <f>Schedule!CK58</f>
        <v>0</v>
      </c>
      <c r="BW56" s="177" t="str">
        <f>Schedule!CL58</f>
        <v>0</v>
      </c>
      <c r="BX56" s="177" t="str">
        <f>Schedule!CM58</f>
        <v>0</v>
      </c>
      <c r="BY56" s="177" t="str">
        <f>Schedule!CN58</f>
        <v>0</v>
      </c>
      <c r="BZ56" s="177" t="str">
        <f>Schedule!CO58</f>
        <v>0</v>
      </c>
      <c r="CA56" s="177" t="str">
        <f>Schedule!CP58</f>
        <v>0</v>
      </c>
      <c r="CB56" s="177" t="str">
        <f>Schedule!CQ58</f>
        <v>0</v>
      </c>
      <c r="CC56" s="177" t="str">
        <f>Schedule!CR58</f>
        <v>0</v>
      </c>
      <c r="CD56" s="177" t="str">
        <f>Schedule!CS58</f>
        <v>0</v>
      </c>
      <c r="CE56" s="178"/>
      <c r="CF56" s="177" t="str">
        <f>Schedule!CT58</f>
        <v>0</v>
      </c>
      <c r="CG56" s="177" t="str">
        <f>Schedule!CU58</f>
        <v>0</v>
      </c>
      <c r="CH56" s="177" t="str">
        <f>Schedule!CV58</f>
        <v>0</v>
      </c>
      <c r="CI56" s="177" t="str">
        <f>Schedule!CW58</f>
        <v>0</v>
      </c>
      <c r="CJ56" s="177" t="str">
        <f>Schedule!CX58</f>
        <v>0</v>
      </c>
      <c r="CK56" s="177" t="str">
        <f>Schedule!CY58</f>
        <v>0</v>
      </c>
      <c r="CL56" s="177" t="str">
        <f>Schedule!CZ58</f>
        <v>0</v>
      </c>
      <c r="CM56" s="177" t="str">
        <f>Schedule!DA58</f>
        <v>0</v>
      </c>
      <c r="CN56" s="177" t="str">
        <f>Schedule!DB58</f>
        <v>0</v>
      </c>
      <c r="CO56" s="178"/>
      <c r="CP56" s="177" t="str">
        <f>Schedule!DC58</f>
        <v>0</v>
      </c>
      <c r="CQ56" s="177" t="str">
        <f>Schedule!DD58</f>
        <v>0</v>
      </c>
      <c r="CR56" s="177" t="str">
        <f>Schedule!DE58</f>
        <v>0</v>
      </c>
      <c r="CS56" s="177" t="str">
        <f>Schedule!DF58</f>
        <v>0</v>
      </c>
      <c r="CT56" s="177" t="str">
        <f>Schedule!DG58</f>
        <v>0</v>
      </c>
      <c r="CU56" s="177" t="str">
        <f>Schedule!DH58</f>
        <v>0</v>
      </c>
      <c r="CV56" s="177" t="str">
        <f>Schedule!DI58</f>
        <v>0</v>
      </c>
      <c r="CW56" s="177" t="str">
        <f>Schedule!DJ58</f>
        <v>0</v>
      </c>
      <c r="CX56" s="177" t="str">
        <f>Schedule!DK58</f>
        <v>0</v>
      </c>
      <c r="CY56" s="178"/>
      <c r="CZ56" s="177" t="str">
        <f>Schedule!DL58</f>
        <v>0</v>
      </c>
      <c r="DA56" s="177" t="str">
        <f>Schedule!DM58</f>
        <v>0</v>
      </c>
      <c r="DB56" s="177" t="str">
        <f>Schedule!DN58</f>
        <v>0</v>
      </c>
      <c r="DC56" s="177" t="str">
        <f>Schedule!DO58</f>
        <v>0</v>
      </c>
      <c r="DD56" s="177" t="str">
        <f>Schedule!DP58</f>
        <v>0</v>
      </c>
      <c r="DE56" s="177" t="str">
        <f>Schedule!DQ58</f>
        <v>0</v>
      </c>
      <c r="DF56" s="177" t="str">
        <f>Schedule!DR58</f>
        <v>0</v>
      </c>
      <c r="DG56" s="177" t="str">
        <f>Schedule!DS58</f>
        <v>0</v>
      </c>
      <c r="DH56" s="177" t="str">
        <f>Schedule!DT58</f>
        <v>0</v>
      </c>
      <c r="DI56" s="178"/>
      <c r="DJ56" s="177" t="str">
        <f>Schedule!DU58</f>
        <v>0</v>
      </c>
      <c r="DK56" s="177" t="str">
        <f>Schedule!DV58</f>
        <v>0</v>
      </c>
      <c r="DL56" s="177" t="str">
        <f>Schedule!DW58</f>
        <v>0</v>
      </c>
      <c r="DM56" s="177" t="str">
        <f>Schedule!DX58</f>
        <v>0</v>
      </c>
      <c r="DN56" s="177" t="str">
        <f>Schedule!DY58</f>
        <v>0</v>
      </c>
      <c r="DO56" s="177" t="str">
        <f>Schedule!DZ58</f>
        <v>0</v>
      </c>
      <c r="DP56" s="177" t="str">
        <f>Schedule!EA58</f>
        <v>0</v>
      </c>
      <c r="DQ56" s="177" t="str">
        <f>Schedule!EB58</f>
        <v>0</v>
      </c>
      <c r="DR56" s="177" t="str">
        <f>Schedule!EC58</f>
        <v>0</v>
      </c>
      <c r="DS56" s="178"/>
      <c r="DT56" s="177" t="str">
        <f>Schedule!ED58</f>
        <v>0</v>
      </c>
      <c r="DU56" s="177" t="str">
        <f>Schedule!EE58</f>
        <v>0</v>
      </c>
      <c r="DV56" s="177" t="str">
        <f>Schedule!EF58</f>
        <v>0</v>
      </c>
      <c r="DW56" s="177" t="str">
        <f>Schedule!EG58</f>
        <v>0</v>
      </c>
      <c r="DX56" s="177" t="str">
        <f>Schedule!EH58</f>
        <v>0</v>
      </c>
      <c r="DY56" s="177" t="str">
        <f>Schedule!EI58</f>
        <v>0</v>
      </c>
      <c r="DZ56" s="177" t="str">
        <f>Schedule!EJ58</f>
        <v>0</v>
      </c>
      <c r="EA56" s="177" t="str">
        <f>Schedule!EK58</f>
        <v>0</v>
      </c>
      <c r="EB56" s="177" t="str">
        <f>Schedule!EL58</f>
        <v>0</v>
      </c>
      <c r="EC56" s="178"/>
      <c r="ED56" s="177" t="str">
        <f>Schedule!EM58</f>
        <v>0</v>
      </c>
      <c r="EE56" s="177" t="str">
        <f>Schedule!EN58</f>
        <v>0</v>
      </c>
      <c r="EF56" s="177" t="str">
        <f>Schedule!EO58</f>
        <v>0</v>
      </c>
      <c r="EG56" s="177" t="str">
        <f>Schedule!EP58</f>
        <v>0</v>
      </c>
      <c r="EH56" s="177" t="str">
        <f>Schedule!EQ58</f>
        <v>0</v>
      </c>
      <c r="EI56" s="177" t="str">
        <f>Schedule!ER58</f>
        <v>0</v>
      </c>
      <c r="EJ56" s="177" t="str">
        <f>Schedule!ES58</f>
        <v>0</v>
      </c>
      <c r="EK56" s="177" t="str">
        <f>Schedule!ET58</f>
        <v>0</v>
      </c>
      <c r="EL56" s="177" t="str">
        <f>Schedule!EU58</f>
        <v>0</v>
      </c>
      <c r="EM56" s="178"/>
      <c r="EN56" s="177" t="str">
        <f>Schedule!EV58</f>
        <v>0</v>
      </c>
      <c r="EO56" s="177" t="str">
        <f>Schedule!EW58</f>
        <v>0</v>
      </c>
      <c r="EP56" s="177" t="str">
        <f>Schedule!EX58</f>
        <v>0</v>
      </c>
      <c r="EQ56" s="177" t="str">
        <f>Schedule!EY58</f>
        <v>0</v>
      </c>
      <c r="ER56" s="177" t="str">
        <f>Schedule!EZ58</f>
        <v>0</v>
      </c>
      <c r="ES56" s="177" t="str">
        <f>Schedule!FA58</f>
        <v>0</v>
      </c>
      <c r="ET56" s="177" t="str">
        <f>Schedule!FB58</f>
        <v>0</v>
      </c>
      <c r="EU56" s="177" t="str">
        <f>Schedule!FC58</f>
        <v>0</v>
      </c>
      <c r="EV56" s="177" t="str">
        <f>Schedule!FD58</f>
        <v>0</v>
      </c>
      <c r="EW56" s="178"/>
      <c r="EX56" s="177" t="str">
        <f>Schedule!FE58</f>
        <v>0</v>
      </c>
      <c r="EY56" s="177" t="str">
        <f>Schedule!FF58</f>
        <v>0</v>
      </c>
      <c r="EZ56" s="177" t="str">
        <f>Schedule!FG58</f>
        <v>0</v>
      </c>
      <c r="FA56" s="177" t="str">
        <f>Schedule!FH58</f>
        <v>0</v>
      </c>
      <c r="FB56" s="177" t="str">
        <f>Schedule!FI58</f>
        <v>0</v>
      </c>
      <c r="FC56" s="177" t="str">
        <f>Schedule!FJ58</f>
        <v>0</v>
      </c>
      <c r="FD56" s="177" t="str">
        <f>Schedule!FK58</f>
        <v>0</v>
      </c>
      <c r="FE56" s="177" t="str">
        <f>Schedule!FL58</f>
        <v>0</v>
      </c>
      <c r="FF56" s="177" t="str">
        <f>Schedule!FM58</f>
        <v>0</v>
      </c>
      <c r="FG56" s="178"/>
      <c r="FH56" s="177" t="str">
        <f>Schedule!FN58</f>
        <v>0</v>
      </c>
      <c r="FI56" s="177" t="str">
        <f>Schedule!FO58</f>
        <v>0</v>
      </c>
      <c r="FJ56" s="177" t="str">
        <f>Schedule!FP58</f>
        <v>0</v>
      </c>
      <c r="FK56" s="177" t="str">
        <f>Schedule!FQ58</f>
        <v>0</v>
      </c>
      <c r="FL56" s="177" t="str">
        <f>Schedule!FR58</f>
        <v>0</v>
      </c>
      <c r="FM56" s="177" t="str">
        <f>Schedule!FS58</f>
        <v>0</v>
      </c>
      <c r="FN56" s="177" t="str">
        <f>Schedule!FT58</f>
        <v>0</v>
      </c>
      <c r="FO56" s="177" t="str">
        <f>Schedule!FU58</f>
        <v>0</v>
      </c>
      <c r="FP56" s="177" t="str">
        <f>Schedule!FV58</f>
        <v>0</v>
      </c>
      <c r="FQ56" s="178"/>
      <c r="FR56" s="177" t="str">
        <f>Schedule!FW58</f>
        <v>0</v>
      </c>
      <c r="FS56" s="177" t="str">
        <f>Schedule!FX58</f>
        <v>0</v>
      </c>
      <c r="FT56" s="177" t="str">
        <f>Schedule!FY58</f>
        <v>0</v>
      </c>
      <c r="FU56" s="177" t="str">
        <f>Schedule!FZ58</f>
        <v>0</v>
      </c>
      <c r="FV56" s="177" t="str">
        <f>Schedule!GA58</f>
        <v>0</v>
      </c>
      <c r="FW56" s="177" t="str">
        <f>Schedule!GB58</f>
        <v>0</v>
      </c>
      <c r="FX56" s="177" t="str">
        <f>Schedule!GC58</f>
        <v>0</v>
      </c>
      <c r="FY56" s="177" t="str">
        <f>Schedule!GD58</f>
        <v>0</v>
      </c>
      <c r="FZ56" s="177" t="str">
        <f>Schedule!GE58</f>
        <v>0</v>
      </c>
      <c r="GA56" s="178"/>
      <c r="GB56" s="177" t="str">
        <f>Schedule!GF58</f>
        <v>0</v>
      </c>
      <c r="GC56" s="177" t="str">
        <f>Schedule!GG58</f>
        <v>0</v>
      </c>
      <c r="GD56" s="177" t="str">
        <f>Schedule!GH58</f>
        <v>0</v>
      </c>
      <c r="GE56" s="177" t="str">
        <f>Schedule!GI58</f>
        <v>0</v>
      </c>
      <c r="GF56" s="177" t="str">
        <f>Schedule!GJ58</f>
        <v>0</v>
      </c>
      <c r="GG56" s="177" t="str">
        <f>Schedule!GK58</f>
        <v>0</v>
      </c>
      <c r="GH56" s="177" t="str">
        <f>Schedule!GL58</f>
        <v>0</v>
      </c>
      <c r="GI56" s="177" t="str">
        <f>Schedule!GM58</f>
        <v>0</v>
      </c>
      <c r="GJ56" s="177" t="str">
        <f>Schedule!GN58</f>
        <v>0</v>
      </c>
      <c r="GK56" s="178"/>
      <c r="GL56" s="177" t="str">
        <f>Schedule!GO58</f>
        <v>0</v>
      </c>
      <c r="GM56" s="177" t="str">
        <f>Schedule!GP58</f>
        <v>0</v>
      </c>
      <c r="GN56" s="177" t="str">
        <f>Schedule!GQ58</f>
        <v>0</v>
      </c>
      <c r="GO56" s="177" t="str">
        <f>Schedule!GR58</f>
        <v>0</v>
      </c>
      <c r="GP56" s="177" t="str">
        <f>Schedule!GS58</f>
        <v>0</v>
      </c>
      <c r="GQ56" s="177" t="str">
        <f>Schedule!GT58</f>
        <v>0</v>
      </c>
      <c r="GR56" s="177" t="str">
        <f>Schedule!GU58</f>
        <v>0</v>
      </c>
      <c r="GS56" s="177" t="str">
        <f>Schedule!GV58</f>
        <v>0</v>
      </c>
      <c r="GT56" s="177" t="str">
        <f>Schedule!GW58</f>
        <v>0</v>
      </c>
    </row>
    <row r="57" spans="2:202" ht="18" hidden="1" customHeight="1">
      <c r="B57" s="269"/>
      <c r="C57" s="169">
        <f>Schedule!C59</f>
        <v>0</v>
      </c>
      <c r="D57" s="177" t="str">
        <f>Schedule!Z59</f>
        <v>0</v>
      </c>
      <c r="E57" s="177" t="str">
        <f>Schedule!AA59</f>
        <v>0</v>
      </c>
      <c r="F57" s="177" t="str">
        <f>Schedule!AB59</f>
        <v>0</v>
      </c>
      <c r="G57" s="177" t="str">
        <f>Schedule!AC59</f>
        <v>0</v>
      </c>
      <c r="H57" s="177" t="str">
        <f>Schedule!AD59</f>
        <v>0</v>
      </c>
      <c r="I57" s="177" t="str">
        <f>Schedule!AE59</f>
        <v>0</v>
      </c>
      <c r="J57" s="177" t="str">
        <f>Schedule!AF59</f>
        <v>0</v>
      </c>
      <c r="K57" s="182" t="str">
        <f>Schedule!AG59</f>
        <v>0</v>
      </c>
      <c r="L57" s="182" t="str">
        <f>Schedule!AH59</f>
        <v>0</v>
      </c>
      <c r="M57" s="178"/>
      <c r="N57" s="184" t="str">
        <f>Schedule!AI59</f>
        <v>0</v>
      </c>
      <c r="O57" s="177" t="str">
        <f>Schedule!AJ59</f>
        <v>0</v>
      </c>
      <c r="P57" s="177" t="str">
        <f>Schedule!AK59</f>
        <v>0</v>
      </c>
      <c r="Q57" s="177" t="str">
        <f>Schedule!AL59</f>
        <v>0</v>
      </c>
      <c r="R57" s="177" t="str">
        <f>Schedule!AM59</f>
        <v>0</v>
      </c>
      <c r="S57" s="177" t="str">
        <f>Schedule!AN59</f>
        <v>0</v>
      </c>
      <c r="T57" s="177" t="str">
        <f>Schedule!AO59</f>
        <v>0</v>
      </c>
      <c r="U57" s="177" t="str">
        <f>Schedule!AP59</f>
        <v>0</v>
      </c>
      <c r="V57" s="177" t="str">
        <f>Schedule!AQ59</f>
        <v>0</v>
      </c>
      <c r="W57" s="178"/>
      <c r="X57" s="177" t="str">
        <f>Schedule!AR59</f>
        <v>0</v>
      </c>
      <c r="Y57" s="177" t="str">
        <f>Schedule!AS59</f>
        <v>0</v>
      </c>
      <c r="Z57" s="177" t="str">
        <f>Schedule!AT59</f>
        <v>0</v>
      </c>
      <c r="AA57" s="177" t="str">
        <f>Schedule!AU59</f>
        <v>0</v>
      </c>
      <c r="AB57" s="177" t="str">
        <f>Schedule!AV59</f>
        <v>0</v>
      </c>
      <c r="AC57" s="177" t="str">
        <f>Schedule!AW59</f>
        <v>0</v>
      </c>
      <c r="AD57" s="177" t="str">
        <f>Schedule!AX59</f>
        <v>0</v>
      </c>
      <c r="AE57" s="177" t="str">
        <f>Schedule!AY59</f>
        <v>0</v>
      </c>
      <c r="AF57" s="177" t="str">
        <f>Schedule!AZ59</f>
        <v>0</v>
      </c>
      <c r="AG57" s="178"/>
      <c r="AH57" s="177" t="str">
        <f>Schedule!BA59</f>
        <v>0</v>
      </c>
      <c r="AI57" s="177" t="str">
        <f>Schedule!BB59</f>
        <v>0</v>
      </c>
      <c r="AJ57" s="177" t="str">
        <f>Schedule!BC59</f>
        <v>0</v>
      </c>
      <c r="AK57" s="177" t="str">
        <f>Schedule!BD59</f>
        <v>0</v>
      </c>
      <c r="AL57" s="177" t="str">
        <f>Schedule!BE59</f>
        <v>0</v>
      </c>
      <c r="AM57" s="177" t="str">
        <f>Schedule!BF59</f>
        <v>0</v>
      </c>
      <c r="AN57" s="177" t="str">
        <f>Schedule!BG59</f>
        <v>0</v>
      </c>
      <c r="AO57" s="177" t="str">
        <f>Schedule!BH59</f>
        <v>0</v>
      </c>
      <c r="AP57" s="177" t="str">
        <f>Schedule!BI59</f>
        <v>0</v>
      </c>
      <c r="AQ57" s="178"/>
      <c r="AR57" s="177" t="str">
        <f>Schedule!BJ59</f>
        <v>0</v>
      </c>
      <c r="AS57" s="177" t="str">
        <f>Schedule!BK59</f>
        <v>0</v>
      </c>
      <c r="AT57" s="177" t="str">
        <f>Schedule!BL59</f>
        <v>0</v>
      </c>
      <c r="AU57" s="177" t="str">
        <f>Schedule!BM59</f>
        <v>0</v>
      </c>
      <c r="AV57" s="177" t="str">
        <f>Schedule!BN59</f>
        <v>0</v>
      </c>
      <c r="AW57" s="177" t="str">
        <f>Schedule!BO59</f>
        <v>0</v>
      </c>
      <c r="AX57" s="177" t="str">
        <f>Schedule!BP59</f>
        <v>0</v>
      </c>
      <c r="AY57" s="177" t="str">
        <f>Schedule!BQ59</f>
        <v>0</v>
      </c>
      <c r="AZ57" s="177" t="str">
        <f>Schedule!BR59</f>
        <v>0</v>
      </c>
      <c r="BA57" s="178"/>
      <c r="BB57" s="177" t="str">
        <f>Schedule!BS59</f>
        <v>0</v>
      </c>
      <c r="BC57" s="177" t="str">
        <f>Schedule!BT59</f>
        <v>0</v>
      </c>
      <c r="BD57" s="177" t="str">
        <f>Schedule!BU59</f>
        <v>0</v>
      </c>
      <c r="BE57" s="177" t="str">
        <f>Schedule!BV59</f>
        <v>0</v>
      </c>
      <c r="BF57" s="177" t="str">
        <f>Schedule!BW59</f>
        <v>0</v>
      </c>
      <c r="BG57" s="177" t="str">
        <f>Schedule!BX59</f>
        <v>0</v>
      </c>
      <c r="BH57" s="177" t="str">
        <f>Schedule!BY59</f>
        <v>0</v>
      </c>
      <c r="BI57" s="177" t="str">
        <f>Schedule!BZ59</f>
        <v>0</v>
      </c>
      <c r="BJ57" s="177" t="str">
        <f>Schedule!CA59</f>
        <v>0</v>
      </c>
      <c r="BK57" s="178"/>
      <c r="BL57" s="177" t="str">
        <f>Schedule!CB59</f>
        <v>0</v>
      </c>
      <c r="BM57" s="177" t="str">
        <f>Schedule!CC59</f>
        <v>0</v>
      </c>
      <c r="BN57" s="177" t="str">
        <f>Schedule!CD59</f>
        <v>0</v>
      </c>
      <c r="BO57" s="177" t="str">
        <f>Schedule!CE59</f>
        <v>0</v>
      </c>
      <c r="BP57" s="177" t="str">
        <f>Schedule!CF59</f>
        <v>0</v>
      </c>
      <c r="BQ57" s="177" t="str">
        <f>Schedule!CG59</f>
        <v>0</v>
      </c>
      <c r="BR57" s="177" t="str">
        <f>Schedule!CH59</f>
        <v>0</v>
      </c>
      <c r="BS57" s="177" t="str">
        <f>Schedule!CI59</f>
        <v>0</v>
      </c>
      <c r="BT57" s="177" t="str">
        <f>Schedule!CJ59</f>
        <v>0</v>
      </c>
      <c r="BU57" s="178"/>
      <c r="BV57" s="177" t="str">
        <f>Schedule!CK59</f>
        <v>0</v>
      </c>
      <c r="BW57" s="177" t="str">
        <f>Schedule!CL59</f>
        <v>0</v>
      </c>
      <c r="BX57" s="177" t="str">
        <f>Schedule!CM59</f>
        <v>0</v>
      </c>
      <c r="BY57" s="177" t="str">
        <f>Schedule!CN59</f>
        <v>0</v>
      </c>
      <c r="BZ57" s="177" t="str">
        <f>Schedule!CO59</f>
        <v>0</v>
      </c>
      <c r="CA57" s="177" t="str">
        <f>Schedule!CP59</f>
        <v>0</v>
      </c>
      <c r="CB57" s="177" t="str">
        <f>Schedule!CQ59</f>
        <v>0</v>
      </c>
      <c r="CC57" s="177" t="str">
        <f>Schedule!CR59</f>
        <v>0</v>
      </c>
      <c r="CD57" s="177" t="str">
        <f>Schedule!CS59</f>
        <v>0</v>
      </c>
      <c r="CE57" s="178"/>
      <c r="CF57" s="177" t="str">
        <f>Schedule!CT59</f>
        <v>0</v>
      </c>
      <c r="CG57" s="177" t="str">
        <f>Schedule!CU59</f>
        <v>0</v>
      </c>
      <c r="CH57" s="177" t="str">
        <f>Schedule!CV59</f>
        <v>0</v>
      </c>
      <c r="CI57" s="177" t="str">
        <f>Schedule!CW59</f>
        <v>0</v>
      </c>
      <c r="CJ57" s="177" t="str">
        <f>Schedule!CX59</f>
        <v>0</v>
      </c>
      <c r="CK57" s="177" t="str">
        <f>Schedule!CY59</f>
        <v>0</v>
      </c>
      <c r="CL57" s="177" t="str">
        <f>Schedule!CZ59</f>
        <v>0</v>
      </c>
      <c r="CM57" s="177" t="str">
        <f>Schedule!DA59</f>
        <v>0</v>
      </c>
      <c r="CN57" s="177" t="str">
        <f>Schedule!DB59</f>
        <v>0</v>
      </c>
      <c r="CO57" s="178"/>
      <c r="CP57" s="177" t="str">
        <f>Schedule!DC59</f>
        <v>0</v>
      </c>
      <c r="CQ57" s="177" t="str">
        <f>Schedule!DD59</f>
        <v>0</v>
      </c>
      <c r="CR57" s="177" t="str">
        <f>Schedule!DE59</f>
        <v>0</v>
      </c>
      <c r="CS57" s="177" t="str">
        <f>Schedule!DF59</f>
        <v>0</v>
      </c>
      <c r="CT57" s="177" t="str">
        <f>Schedule!DG59</f>
        <v>0</v>
      </c>
      <c r="CU57" s="177" t="str">
        <f>Schedule!DH59</f>
        <v>0</v>
      </c>
      <c r="CV57" s="177" t="str">
        <f>Schedule!DI59</f>
        <v>0</v>
      </c>
      <c r="CW57" s="177" t="str">
        <f>Schedule!DJ59</f>
        <v>0</v>
      </c>
      <c r="CX57" s="177" t="str">
        <f>Schedule!DK59</f>
        <v>0</v>
      </c>
      <c r="CY57" s="178"/>
      <c r="CZ57" s="177" t="str">
        <f>Schedule!DL59</f>
        <v>0</v>
      </c>
      <c r="DA57" s="177" t="str">
        <f>Schedule!DM59</f>
        <v>0</v>
      </c>
      <c r="DB57" s="177" t="str">
        <f>Schedule!DN59</f>
        <v>0</v>
      </c>
      <c r="DC57" s="177" t="str">
        <f>Schedule!DO59</f>
        <v>0</v>
      </c>
      <c r="DD57" s="177" t="str">
        <f>Schedule!DP59</f>
        <v>0</v>
      </c>
      <c r="DE57" s="177" t="str">
        <f>Schedule!DQ59</f>
        <v>0</v>
      </c>
      <c r="DF57" s="177" t="str">
        <f>Schedule!DR59</f>
        <v>0</v>
      </c>
      <c r="DG57" s="177" t="str">
        <f>Schedule!DS59</f>
        <v>0</v>
      </c>
      <c r="DH57" s="177" t="str">
        <f>Schedule!DT59</f>
        <v>0</v>
      </c>
      <c r="DI57" s="178"/>
      <c r="DJ57" s="177" t="str">
        <f>Schedule!DU59</f>
        <v>0</v>
      </c>
      <c r="DK57" s="177" t="str">
        <f>Schedule!DV59</f>
        <v>0</v>
      </c>
      <c r="DL57" s="177" t="str">
        <f>Schedule!DW59</f>
        <v>0</v>
      </c>
      <c r="DM57" s="177" t="str">
        <f>Schedule!DX59</f>
        <v>0</v>
      </c>
      <c r="DN57" s="177" t="str">
        <f>Schedule!DY59</f>
        <v>0</v>
      </c>
      <c r="DO57" s="177" t="str">
        <f>Schedule!DZ59</f>
        <v>0</v>
      </c>
      <c r="DP57" s="177" t="str">
        <f>Schedule!EA59</f>
        <v>0</v>
      </c>
      <c r="DQ57" s="177" t="str">
        <f>Schedule!EB59</f>
        <v>0</v>
      </c>
      <c r="DR57" s="177" t="str">
        <f>Schedule!EC59</f>
        <v>0</v>
      </c>
      <c r="DS57" s="178"/>
      <c r="DT57" s="177" t="str">
        <f>Schedule!ED59</f>
        <v>0</v>
      </c>
      <c r="DU57" s="177" t="str">
        <f>Schedule!EE59</f>
        <v>0</v>
      </c>
      <c r="DV57" s="177" t="str">
        <f>Schedule!EF59</f>
        <v>0</v>
      </c>
      <c r="DW57" s="177" t="str">
        <f>Schedule!EG59</f>
        <v>0</v>
      </c>
      <c r="DX57" s="177" t="str">
        <f>Schedule!EH59</f>
        <v>0</v>
      </c>
      <c r="DY57" s="177" t="str">
        <f>Schedule!EI59</f>
        <v>0</v>
      </c>
      <c r="DZ57" s="177" t="str">
        <f>Schedule!EJ59</f>
        <v>0</v>
      </c>
      <c r="EA57" s="177" t="str">
        <f>Schedule!EK59</f>
        <v>0</v>
      </c>
      <c r="EB57" s="177" t="str">
        <f>Schedule!EL59</f>
        <v>0</v>
      </c>
      <c r="EC57" s="178"/>
      <c r="ED57" s="177" t="str">
        <f>Schedule!EM59</f>
        <v>0</v>
      </c>
      <c r="EE57" s="177" t="str">
        <f>Schedule!EN59</f>
        <v>0</v>
      </c>
      <c r="EF57" s="177" t="str">
        <f>Schedule!EO59</f>
        <v>0</v>
      </c>
      <c r="EG57" s="177" t="str">
        <f>Schedule!EP59</f>
        <v>0</v>
      </c>
      <c r="EH57" s="177" t="str">
        <f>Schedule!EQ59</f>
        <v>0</v>
      </c>
      <c r="EI57" s="177" t="str">
        <f>Schedule!ER59</f>
        <v>0</v>
      </c>
      <c r="EJ57" s="177" t="str">
        <f>Schedule!ES59</f>
        <v>0</v>
      </c>
      <c r="EK57" s="177" t="str">
        <f>Schedule!ET59</f>
        <v>0</v>
      </c>
      <c r="EL57" s="177" t="str">
        <f>Schedule!EU59</f>
        <v>0</v>
      </c>
      <c r="EM57" s="178"/>
      <c r="EN57" s="177" t="str">
        <f>Schedule!EV59</f>
        <v>0</v>
      </c>
      <c r="EO57" s="177" t="str">
        <f>Schedule!EW59</f>
        <v>0</v>
      </c>
      <c r="EP57" s="177" t="str">
        <f>Schedule!EX59</f>
        <v>0</v>
      </c>
      <c r="EQ57" s="177" t="str">
        <f>Schedule!EY59</f>
        <v>0</v>
      </c>
      <c r="ER57" s="177" t="str">
        <f>Schedule!EZ59</f>
        <v>0</v>
      </c>
      <c r="ES57" s="177" t="str">
        <f>Schedule!FA59</f>
        <v>0</v>
      </c>
      <c r="ET57" s="177" t="str">
        <f>Schedule!FB59</f>
        <v>0</v>
      </c>
      <c r="EU57" s="177" t="str">
        <f>Schedule!FC59</f>
        <v>0</v>
      </c>
      <c r="EV57" s="177" t="str">
        <f>Schedule!FD59</f>
        <v>0</v>
      </c>
      <c r="EW57" s="178"/>
      <c r="EX57" s="177" t="str">
        <f>Schedule!FE59</f>
        <v>0</v>
      </c>
      <c r="EY57" s="177" t="str">
        <f>Schedule!FF59</f>
        <v>0</v>
      </c>
      <c r="EZ57" s="177" t="str">
        <f>Schedule!FG59</f>
        <v>0</v>
      </c>
      <c r="FA57" s="177" t="str">
        <f>Schedule!FH59</f>
        <v>0</v>
      </c>
      <c r="FB57" s="177" t="str">
        <f>Schedule!FI59</f>
        <v>0</v>
      </c>
      <c r="FC57" s="177" t="str">
        <f>Schedule!FJ59</f>
        <v>0</v>
      </c>
      <c r="FD57" s="177" t="str">
        <f>Schedule!FK59</f>
        <v>0</v>
      </c>
      <c r="FE57" s="177" t="str">
        <f>Schedule!FL59</f>
        <v>0</v>
      </c>
      <c r="FF57" s="177" t="str">
        <f>Schedule!FM59</f>
        <v>0</v>
      </c>
      <c r="FG57" s="178"/>
      <c r="FH57" s="177" t="str">
        <f>Schedule!FN59</f>
        <v>0</v>
      </c>
      <c r="FI57" s="177" t="str">
        <f>Schedule!FO59</f>
        <v>0</v>
      </c>
      <c r="FJ57" s="177" t="str">
        <f>Schedule!FP59</f>
        <v>0</v>
      </c>
      <c r="FK57" s="177" t="str">
        <f>Schedule!FQ59</f>
        <v>0</v>
      </c>
      <c r="FL57" s="177" t="str">
        <f>Schedule!FR59</f>
        <v>0</v>
      </c>
      <c r="FM57" s="177" t="str">
        <f>Schedule!FS59</f>
        <v>0</v>
      </c>
      <c r="FN57" s="177" t="str">
        <f>Schedule!FT59</f>
        <v>0</v>
      </c>
      <c r="FO57" s="177" t="str">
        <f>Schedule!FU59</f>
        <v>0</v>
      </c>
      <c r="FP57" s="177" t="str">
        <f>Schedule!FV59</f>
        <v>0</v>
      </c>
      <c r="FQ57" s="178"/>
      <c r="FR57" s="177" t="str">
        <f>Schedule!FW59</f>
        <v>0</v>
      </c>
      <c r="FS57" s="177" t="str">
        <f>Schedule!FX59</f>
        <v>0</v>
      </c>
      <c r="FT57" s="177" t="str">
        <f>Schedule!FY59</f>
        <v>0</v>
      </c>
      <c r="FU57" s="177" t="str">
        <f>Schedule!FZ59</f>
        <v>0</v>
      </c>
      <c r="FV57" s="177" t="str">
        <f>Schedule!GA59</f>
        <v>0</v>
      </c>
      <c r="FW57" s="177" t="str">
        <f>Schedule!GB59</f>
        <v>0</v>
      </c>
      <c r="FX57" s="177" t="str">
        <f>Schedule!GC59</f>
        <v>0</v>
      </c>
      <c r="FY57" s="177" t="str">
        <f>Schedule!GD59</f>
        <v>0</v>
      </c>
      <c r="FZ57" s="177" t="str">
        <f>Schedule!GE59</f>
        <v>0</v>
      </c>
      <c r="GA57" s="178"/>
      <c r="GB57" s="177" t="str">
        <f>Schedule!GF59</f>
        <v>0</v>
      </c>
      <c r="GC57" s="177" t="str">
        <f>Schedule!GG59</f>
        <v>0</v>
      </c>
      <c r="GD57" s="177" t="str">
        <f>Schedule!GH59</f>
        <v>0</v>
      </c>
      <c r="GE57" s="177" t="str">
        <f>Schedule!GI59</f>
        <v>0</v>
      </c>
      <c r="GF57" s="177" t="str">
        <f>Schedule!GJ59</f>
        <v>0</v>
      </c>
      <c r="GG57" s="177" t="str">
        <f>Schedule!GK59</f>
        <v>0</v>
      </c>
      <c r="GH57" s="177" t="str">
        <f>Schedule!GL59</f>
        <v>0</v>
      </c>
      <c r="GI57" s="177" t="str">
        <f>Schedule!GM59</f>
        <v>0</v>
      </c>
      <c r="GJ57" s="177" t="str">
        <f>Schedule!GN59</f>
        <v>0</v>
      </c>
      <c r="GK57" s="178"/>
      <c r="GL57" s="177" t="str">
        <f>Schedule!GO59</f>
        <v>0</v>
      </c>
      <c r="GM57" s="177" t="str">
        <f>Schedule!GP59</f>
        <v>0</v>
      </c>
      <c r="GN57" s="177" t="str">
        <f>Schedule!GQ59</f>
        <v>0</v>
      </c>
      <c r="GO57" s="177" t="str">
        <f>Schedule!GR59</f>
        <v>0</v>
      </c>
      <c r="GP57" s="177" t="str">
        <f>Schedule!GS59</f>
        <v>0</v>
      </c>
      <c r="GQ57" s="177" t="str">
        <f>Schedule!GT59</f>
        <v>0</v>
      </c>
      <c r="GR57" s="177" t="str">
        <f>Schedule!GU59</f>
        <v>0</v>
      </c>
      <c r="GS57" s="177" t="str">
        <f>Schedule!GV59</f>
        <v>0</v>
      </c>
      <c r="GT57" s="177" t="str">
        <f>Schedule!GW59</f>
        <v>0</v>
      </c>
    </row>
    <row r="58" spans="2:202" ht="18" hidden="1" customHeight="1">
      <c r="B58" s="269"/>
      <c r="C58" s="169">
        <f>Schedule!C60</f>
        <v>0</v>
      </c>
      <c r="D58" s="177" t="str">
        <f>Schedule!Z60</f>
        <v>0</v>
      </c>
      <c r="E58" s="177" t="str">
        <f>Schedule!AA60</f>
        <v>0</v>
      </c>
      <c r="F58" s="177" t="str">
        <f>Schedule!AB60</f>
        <v>0</v>
      </c>
      <c r="G58" s="177" t="str">
        <f>Schedule!AC60</f>
        <v>0</v>
      </c>
      <c r="H58" s="177" t="str">
        <f>Schedule!AD60</f>
        <v>0</v>
      </c>
      <c r="I58" s="177" t="str">
        <f>Schedule!AE60</f>
        <v>0</v>
      </c>
      <c r="J58" s="177" t="str">
        <f>Schedule!AF60</f>
        <v>0</v>
      </c>
      <c r="K58" s="182" t="str">
        <f>Schedule!AG60</f>
        <v>0</v>
      </c>
      <c r="L58" s="182" t="str">
        <f>Schedule!AH60</f>
        <v>0</v>
      </c>
      <c r="M58" s="178"/>
      <c r="N58" s="184" t="str">
        <f>Schedule!AI60</f>
        <v>0</v>
      </c>
      <c r="O58" s="177" t="str">
        <f>Schedule!AJ60</f>
        <v>0</v>
      </c>
      <c r="P58" s="177" t="str">
        <f>Schedule!AK60</f>
        <v>0</v>
      </c>
      <c r="Q58" s="177" t="str">
        <f>Schedule!AL60</f>
        <v>0</v>
      </c>
      <c r="R58" s="177" t="str">
        <f>Schedule!AM60</f>
        <v>0</v>
      </c>
      <c r="S58" s="177" t="str">
        <f>Schedule!AN60</f>
        <v>0</v>
      </c>
      <c r="T58" s="177" t="str">
        <f>Schedule!AO60</f>
        <v>0</v>
      </c>
      <c r="U58" s="177" t="str">
        <f>Schedule!AP60</f>
        <v>0</v>
      </c>
      <c r="V58" s="177" t="str">
        <f>Schedule!AQ60</f>
        <v>0</v>
      </c>
      <c r="W58" s="178"/>
      <c r="X58" s="177" t="str">
        <f>Schedule!AR60</f>
        <v>0</v>
      </c>
      <c r="Y58" s="177" t="str">
        <f>Schedule!AS60</f>
        <v>0</v>
      </c>
      <c r="Z58" s="177" t="str">
        <f>Schedule!AT60</f>
        <v>0</v>
      </c>
      <c r="AA58" s="177" t="str">
        <f>Schedule!AU60</f>
        <v>0</v>
      </c>
      <c r="AB58" s="177" t="str">
        <f>Schedule!AV60</f>
        <v>0</v>
      </c>
      <c r="AC58" s="177" t="str">
        <f>Schedule!AW60</f>
        <v>0</v>
      </c>
      <c r="AD58" s="177" t="str">
        <f>Schedule!AX60</f>
        <v>0</v>
      </c>
      <c r="AE58" s="177" t="str">
        <f>Schedule!AY60</f>
        <v>0</v>
      </c>
      <c r="AF58" s="177" t="str">
        <f>Schedule!AZ60</f>
        <v>0</v>
      </c>
      <c r="AG58" s="178"/>
      <c r="AH58" s="177" t="str">
        <f>Schedule!BA60</f>
        <v>0</v>
      </c>
      <c r="AI58" s="177" t="str">
        <f>Schedule!BB60</f>
        <v>0</v>
      </c>
      <c r="AJ58" s="177" t="str">
        <f>Schedule!BC60</f>
        <v>0</v>
      </c>
      <c r="AK58" s="177" t="str">
        <f>Schedule!BD60</f>
        <v>0</v>
      </c>
      <c r="AL58" s="177" t="str">
        <f>Schedule!BE60</f>
        <v>0</v>
      </c>
      <c r="AM58" s="177" t="str">
        <f>Schedule!BF60</f>
        <v>0</v>
      </c>
      <c r="AN58" s="177" t="str">
        <f>Schedule!BG60</f>
        <v>0</v>
      </c>
      <c r="AO58" s="177" t="str">
        <f>Schedule!BH60</f>
        <v>0</v>
      </c>
      <c r="AP58" s="177" t="str">
        <f>Schedule!BI60</f>
        <v>0</v>
      </c>
      <c r="AQ58" s="178"/>
      <c r="AR58" s="177" t="str">
        <f>Schedule!BJ60</f>
        <v>0</v>
      </c>
      <c r="AS58" s="177" t="str">
        <f>Schedule!BK60</f>
        <v>0</v>
      </c>
      <c r="AT58" s="177" t="str">
        <f>Schedule!BL60</f>
        <v>0</v>
      </c>
      <c r="AU58" s="177" t="str">
        <f>Schedule!BM60</f>
        <v>0</v>
      </c>
      <c r="AV58" s="177" t="str">
        <f>Schedule!BN60</f>
        <v>0</v>
      </c>
      <c r="AW58" s="177" t="str">
        <f>Schedule!BO60</f>
        <v>0</v>
      </c>
      <c r="AX58" s="177" t="str">
        <f>Schedule!BP60</f>
        <v>0</v>
      </c>
      <c r="AY58" s="177" t="str">
        <f>Schedule!BQ60</f>
        <v>0</v>
      </c>
      <c r="AZ58" s="177" t="str">
        <f>Schedule!BR60</f>
        <v>0</v>
      </c>
      <c r="BA58" s="178"/>
      <c r="BB58" s="177" t="str">
        <f>Schedule!BS60</f>
        <v>0</v>
      </c>
      <c r="BC58" s="177" t="str">
        <f>Schedule!BT60</f>
        <v>0</v>
      </c>
      <c r="BD58" s="177" t="str">
        <f>Schedule!BU60</f>
        <v>0</v>
      </c>
      <c r="BE58" s="177" t="str">
        <f>Schedule!BV60</f>
        <v>0</v>
      </c>
      <c r="BF58" s="177" t="str">
        <f>Schedule!BW60</f>
        <v>0</v>
      </c>
      <c r="BG58" s="177" t="str">
        <f>Schedule!BX60</f>
        <v>0</v>
      </c>
      <c r="BH58" s="177" t="str">
        <f>Schedule!BY60</f>
        <v>0</v>
      </c>
      <c r="BI58" s="177" t="str">
        <f>Schedule!BZ60</f>
        <v>0</v>
      </c>
      <c r="BJ58" s="177" t="str">
        <f>Schedule!CA60</f>
        <v>0</v>
      </c>
      <c r="BK58" s="178"/>
      <c r="BL58" s="177" t="str">
        <f>Schedule!CB60</f>
        <v>0</v>
      </c>
      <c r="BM58" s="177" t="str">
        <f>Schedule!CC60</f>
        <v>0</v>
      </c>
      <c r="BN58" s="177" t="str">
        <f>Schedule!CD60</f>
        <v>0</v>
      </c>
      <c r="BO58" s="177" t="str">
        <f>Schedule!CE60</f>
        <v>0</v>
      </c>
      <c r="BP58" s="177" t="str">
        <f>Schedule!CF60</f>
        <v>0</v>
      </c>
      <c r="BQ58" s="177" t="str">
        <f>Schedule!CG60</f>
        <v>0</v>
      </c>
      <c r="BR58" s="177" t="str">
        <f>Schedule!CH60</f>
        <v>0</v>
      </c>
      <c r="BS58" s="177" t="str">
        <f>Schedule!CI60</f>
        <v>0</v>
      </c>
      <c r="BT58" s="177" t="str">
        <f>Schedule!CJ60</f>
        <v>0</v>
      </c>
      <c r="BU58" s="178"/>
      <c r="BV58" s="177" t="str">
        <f>Schedule!CK60</f>
        <v>0</v>
      </c>
      <c r="BW58" s="177" t="str">
        <f>Schedule!CL60</f>
        <v>0</v>
      </c>
      <c r="BX58" s="177" t="str">
        <f>Schedule!CM60</f>
        <v>0</v>
      </c>
      <c r="BY58" s="177" t="str">
        <f>Schedule!CN60</f>
        <v>0</v>
      </c>
      <c r="BZ58" s="177" t="str">
        <f>Schedule!CO60</f>
        <v>0</v>
      </c>
      <c r="CA58" s="177" t="str">
        <f>Schedule!CP60</f>
        <v>0</v>
      </c>
      <c r="CB58" s="177" t="str">
        <f>Schedule!CQ60</f>
        <v>0</v>
      </c>
      <c r="CC58" s="177" t="str">
        <f>Schedule!CR60</f>
        <v>0</v>
      </c>
      <c r="CD58" s="177" t="str">
        <f>Schedule!CS60</f>
        <v>0</v>
      </c>
      <c r="CE58" s="178"/>
      <c r="CF58" s="177" t="str">
        <f>Schedule!CT60</f>
        <v>0</v>
      </c>
      <c r="CG58" s="177" t="str">
        <f>Schedule!CU60</f>
        <v>0</v>
      </c>
      <c r="CH58" s="177" t="str">
        <f>Schedule!CV60</f>
        <v>0</v>
      </c>
      <c r="CI58" s="177" t="str">
        <f>Schedule!CW60</f>
        <v>0</v>
      </c>
      <c r="CJ58" s="177" t="str">
        <f>Schedule!CX60</f>
        <v>0</v>
      </c>
      <c r="CK58" s="177" t="str">
        <f>Schedule!CY60</f>
        <v>0</v>
      </c>
      <c r="CL58" s="177" t="str">
        <f>Schedule!CZ60</f>
        <v>0</v>
      </c>
      <c r="CM58" s="177" t="str">
        <f>Schedule!DA60</f>
        <v>0</v>
      </c>
      <c r="CN58" s="177" t="str">
        <f>Schedule!DB60</f>
        <v>0</v>
      </c>
      <c r="CO58" s="178"/>
      <c r="CP58" s="177" t="str">
        <f>Schedule!DC60</f>
        <v>0</v>
      </c>
      <c r="CQ58" s="177" t="str">
        <f>Schedule!DD60</f>
        <v>0</v>
      </c>
      <c r="CR58" s="177" t="str">
        <f>Schedule!DE60</f>
        <v>0</v>
      </c>
      <c r="CS58" s="177" t="str">
        <f>Schedule!DF60</f>
        <v>0</v>
      </c>
      <c r="CT58" s="177" t="str">
        <f>Schedule!DG60</f>
        <v>0</v>
      </c>
      <c r="CU58" s="177" t="str">
        <f>Schedule!DH60</f>
        <v>0</v>
      </c>
      <c r="CV58" s="177" t="str">
        <f>Schedule!DI60</f>
        <v>0</v>
      </c>
      <c r="CW58" s="177" t="str">
        <f>Schedule!DJ60</f>
        <v>0</v>
      </c>
      <c r="CX58" s="177" t="str">
        <f>Schedule!DK60</f>
        <v>0</v>
      </c>
      <c r="CY58" s="178"/>
      <c r="CZ58" s="177" t="str">
        <f>Schedule!DL60</f>
        <v>0</v>
      </c>
      <c r="DA58" s="177" t="str">
        <f>Schedule!DM60</f>
        <v>0</v>
      </c>
      <c r="DB58" s="177" t="str">
        <f>Schedule!DN60</f>
        <v>0</v>
      </c>
      <c r="DC58" s="177" t="str">
        <f>Schedule!DO60</f>
        <v>0</v>
      </c>
      <c r="DD58" s="177" t="str">
        <f>Schedule!DP60</f>
        <v>0</v>
      </c>
      <c r="DE58" s="177" t="str">
        <f>Schedule!DQ60</f>
        <v>0</v>
      </c>
      <c r="DF58" s="177" t="str">
        <f>Schedule!DR60</f>
        <v>0</v>
      </c>
      <c r="DG58" s="177" t="str">
        <f>Schedule!DS60</f>
        <v>0</v>
      </c>
      <c r="DH58" s="177" t="str">
        <f>Schedule!DT60</f>
        <v>0</v>
      </c>
      <c r="DI58" s="178"/>
      <c r="DJ58" s="177" t="str">
        <f>Schedule!DU60</f>
        <v>0</v>
      </c>
      <c r="DK58" s="177" t="str">
        <f>Schedule!DV60</f>
        <v>0</v>
      </c>
      <c r="DL58" s="177" t="str">
        <f>Schedule!DW60</f>
        <v>0</v>
      </c>
      <c r="DM58" s="177" t="str">
        <f>Schedule!DX60</f>
        <v>0</v>
      </c>
      <c r="DN58" s="177" t="str">
        <f>Schedule!DY60</f>
        <v>0</v>
      </c>
      <c r="DO58" s="177" t="str">
        <f>Schedule!DZ60</f>
        <v>0</v>
      </c>
      <c r="DP58" s="177" t="str">
        <f>Schedule!EA60</f>
        <v>0</v>
      </c>
      <c r="DQ58" s="177" t="str">
        <f>Schedule!EB60</f>
        <v>0</v>
      </c>
      <c r="DR58" s="177" t="str">
        <f>Schedule!EC60</f>
        <v>0</v>
      </c>
      <c r="DS58" s="178"/>
      <c r="DT58" s="177" t="str">
        <f>Schedule!ED60</f>
        <v>0</v>
      </c>
      <c r="DU58" s="177" t="str">
        <f>Schedule!EE60</f>
        <v>0</v>
      </c>
      <c r="DV58" s="177" t="str">
        <f>Schedule!EF60</f>
        <v>0</v>
      </c>
      <c r="DW58" s="177" t="str">
        <f>Schedule!EG60</f>
        <v>0</v>
      </c>
      <c r="DX58" s="177" t="str">
        <f>Schedule!EH60</f>
        <v>0</v>
      </c>
      <c r="DY58" s="177" t="str">
        <f>Schedule!EI60</f>
        <v>0</v>
      </c>
      <c r="DZ58" s="177" t="str">
        <f>Schedule!EJ60</f>
        <v>0</v>
      </c>
      <c r="EA58" s="177" t="str">
        <f>Schedule!EK60</f>
        <v>0</v>
      </c>
      <c r="EB58" s="177" t="str">
        <f>Schedule!EL60</f>
        <v>0</v>
      </c>
      <c r="EC58" s="178"/>
      <c r="ED58" s="177" t="str">
        <f>Schedule!EM60</f>
        <v>0</v>
      </c>
      <c r="EE58" s="177" t="str">
        <f>Schedule!EN60</f>
        <v>0</v>
      </c>
      <c r="EF58" s="177" t="str">
        <f>Schedule!EO60</f>
        <v>0</v>
      </c>
      <c r="EG58" s="177" t="str">
        <f>Schedule!EP60</f>
        <v>0</v>
      </c>
      <c r="EH58" s="177" t="str">
        <f>Schedule!EQ60</f>
        <v>0</v>
      </c>
      <c r="EI58" s="177" t="str">
        <f>Schedule!ER60</f>
        <v>0</v>
      </c>
      <c r="EJ58" s="177" t="str">
        <f>Schedule!ES60</f>
        <v>0</v>
      </c>
      <c r="EK58" s="177" t="str">
        <f>Schedule!ET60</f>
        <v>0</v>
      </c>
      <c r="EL58" s="177" t="str">
        <f>Schedule!EU60</f>
        <v>0</v>
      </c>
      <c r="EM58" s="178"/>
      <c r="EN58" s="177" t="str">
        <f>Schedule!EV60</f>
        <v>0</v>
      </c>
      <c r="EO58" s="177" t="str">
        <f>Schedule!EW60</f>
        <v>0</v>
      </c>
      <c r="EP58" s="177" t="str">
        <f>Schedule!EX60</f>
        <v>0</v>
      </c>
      <c r="EQ58" s="177" t="str">
        <f>Schedule!EY60</f>
        <v>0</v>
      </c>
      <c r="ER58" s="177" t="str">
        <f>Schedule!EZ60</f>
        <v>0</v>
      </c>
      <c r="ES58" s="177" t="str">
        <f>Schedule!FA60</f>
        <v>0</v>
      </c>
      <c r="ET58" s="177" t="str">
        <f>Schedule!FB60</f>
        <v>0</v>
      </c>
      <c r="EU58" s="177" t="str">
        <f>Schedule!FC60</f>
        <v>0</v>
      </c>
      <c r="EV58" s="177" t="str">
        <f>Schedule!FD60</f>
        <v>0</v>
      </c>
      <c r="EW58" s="178"/>
      <c r="EX58" s="177" t="str">
        <f>Schedule!FE60</f>
        <v>0</v>
      </c>
      <c r="EY58" s="177" t="str">
        <f>Schedule!FF60</f>
        <v>0</v>
      </c>
      <c r="EZ58" s="177" t="str">
        <f>Schedule!FG60</f>
        <v>0</v>
      </c>
      <c r="FA58" s="177" t="str">
        <f>Schedule!FH60</f>
        <v>0</v>
      </c>
      <c r="FB58" s="177" t="str">
        <f>Schedule!FI60</f>
        <v>0</v>
      </c>
      <c r="FC58" s="177" t="str">
        <f>Schedule!FJ60</f>
        <v>0</v>
      </c>
      <c r="FD58" s="177" t="str">
        <f>Schedule!FK60</f>
        <v>0</v>
      </c>
      <c r="FE58" s="177" t="str">
        <f>Schedule!FL60</f>
        <v>0</v>
      </c>
      <c r="FF58" s="177" t="str">
        <f>Schedule!FM60</f>
        <v>0</v>
      </c>
      <c r="FG58" s="178"/>
      <c r="FH58" s="177" t="str">
        <f>Schedule!FN60</f>
        <v>0</v>
      </c>
      <c r="FI58" s="177" t="str">
        <f>Schedule!FO60</f>
        <v>0</v>
      </c>
      <c r="FJ58" s="177" t="str">
        <f>Schedule!FP60</f>
        <v>0</v>
      </c>
      <c r="FK58" s="177" t="str">
        <f>Schedule!FQ60</f>
        <v>0</v>
      </c>
      <c r="FL58" s="177" t="str">
        <f>Schedule!FR60</f>
        <v>0</v>
      </c>
      <c r="FM58" s="177" t="str">
        <f>Schedule!FS60</f>
        <v>0</v>
      </c>
      <c r="FN58" s="177" t="str">
        <f>Schedule!FT60</f>
        <v>0</v>
      </c>
      <c r="FO58" s="177" t="str">
        <f>Schedule!FU60</f>
        <v>0</v>
      </c>
      <c r="FP58" s="177" t="str">
        <f>Schedule!FV60</f>
        <v>0</v>
      </c>
      <c r="FQ58" s="178"/>
      <c r="FR58" s="177" t="str">
        <f>Schedule!FW60</f>
        <v>0</v>
      </c>
      <c r="FS58" s="177" t="str">
        <f>Schedule!FX60</f>
        <v>0</v>
      </c>
      <c r="FT58" s="177" t="str">
        <f>Schedule!FY60</f>
        <v>0</v>
      </c>
      <c r="FU58" s="177" t="str">
        <f>Schedule!FZ60</f>
        <v>0</v>
      </c>
      <c r="FV58" s="177" t="str">
        <f>Schedule!GA60</f>
        <v>0</v>
      </c>
      <c r="FW58" s="177" t="str">
        <f>Schedule!GB60</f>
        <v>0</v>
      </c>
      <c r="FX58" s="177" t="str">
        <f>Schedule!GC60</f>
        <v>0</v>
      </c>
      <c r="FY58" s="177" t="str">
        <f>Schedule!GD60</f>
        <v>0</v>
      </c>
      <c r="FZ58" s="177" t="str">
        <f>Schedule!GE60</f>
        <v>0</v>
      </c>
      <c r="GA58" s="178"/>
      <c r="GB58" s="177" t="str">
        <f>Schedule!GF60</f>
        <v>0</v>
      </c>
      <c r="GC58" s="177" t="str">
        <f>Schedule!GG60</f>
        <v>0</v>
      </c>
      <c r="GD58" s="177" t="str">
        <f>Schedule!GH60</f>
        <v>0</v>
      </c>
      <c r="GE58" s="177" t="str">
        <f>Schedule!GI60</f>
        <v>0</v>
      </c>
      <c r="GF58" s="177" t="str">
        <f>Schedule!GJ60</f>
        <v>0</v>
      </c>
      <c r="GG58" s="177" t="str">
        <f>Schedule!GK60</f>
        <v>0</v>
      </c>
      <c r="GH58" s="177" t="str">
        <f>Schedule!GL60</f>
        <v>0</v>
      </c>
      <c r="GI58" s="177" t="str">
        <f>Schedule!GM60</f>
        <v>0</v>
      </c>
      <c r="GJ58" s="177" t="str">
        <f>Schedule!GN60</f>
        <v>0</v>
      </c>
      <c r="GK58" s="178"/>
      <c r="GL58" s="177" t="str">
        <f>Schedule!GO60</f>
        <v>0</v>
      </c>
      <c r="GM58" s="177" t="str">
        <f>Schedule!GP60</f>
        <v>0</v>
      </c>
      <c r="GN58" s="177" t="str">
        <f>Schedule!GQ60</f>
        <v>0</v>
      </c>
      <c r="GO58" s="177" t="str">
        <f>Schedule!GR60</f>
        <v>0</v>
      </c>
      <c r="GP58" s="177" t="str">
        <f>Schedule!GS60</f>
        <v>0</v>
      </c>
      <c r="GQ58" s="177" t="str">
        <f>Schedule!GT60</f>
        <v>0</v>
      </c>
      <c r="GR58" s="177" t="str">
        <f>Schedule!GU60</f>
        <v>0</v>
      </c>
      <c r="GS58" s="177" t="str">
        <f>Schedule!GV60</f>
        <v>0</v>
      </c>
      <c r="GT58" s="177" t="str">
        <f>Schedule!GW60</f>
        <v>0</v>
      </c>
    </row>
    <row r="59" spans="2:202" ht="18" hidden="1" customHeight="1">
      <c r="B59" s="269"/>
      <c r="C59" s="169">
        <f>Schedule!C61</f>
        <v>0</v>
      </c>
      <c r="D59" s="177" t="str">
        <f>Schedule!Z61</f>
        <v>0</v>
      </c>
      <c r="E59" s="177" t="str">
        <f>Schedule!AA61</f>
        <v>0</v>
      </c>
      <c r="F59" s="177" t="str">
        <f>Schedule!AB61</f>
        <v>0</v>
      </c>
      <c r="G59" s="177" t="str">
        <f>Schedule!AC61</f>
        <v>0</v>
      </c>
      <c r="H59" s="177" t="str">
        <f>Schedule!AD61</f>
        <v>0</v>
      </c>
      <c r="I59" s="177" t="str">
        <f>Schedule!AE61</f>
        <v>0</v>
      </c>
      <c r="J59" s="177" t="str">
        <f>Schedule!AF61</f>
        <v>0</v>
      </c>
      <c r="K59" s="182" t="str">
        <f>Schedule!AG61</f>
        <v>0</v>
      </c>
      <c r="L59" s="182" t="str">
        <f>Schedule!AH61</f>
        <v>0</v>
      </c>
      <c r="M59" s="178"/>
      <c r="N59" s="184" t="str">
        <f>Schedule!AI61</f>
        <v>0</v>
      </c>
      <c r="O59" s="177" t="str">
        <f>Schedule!AJ61</f>
        <v>0</v>
      </c>
      <c r="P59" s="177" t="str">
        <f>Schedule!AK61</f>
        <v>0</v>
      </c>
      <c r="Q59" s="177" t="str">
        <f>Schedule!AL61</f>
        <v>0</v>
      </c>
      <c r="R59" s="177" t="str">
        <f>Schedule!AM61</f>
        <v>0</v>
      </c>
      <c r="S59" s="177" t="str">
        <f>Schedule!AN61</f>
        <v>0</v>
      </c>
      <c r="T59" s="177" t="str">
        <f>Schedule!AO61</f>
        <v>0</v>
      </c>
      <c r="U59" s="177" t="str">
        <f>Schedule!AP61</f>
        <v>0</v>
      </c>
      <c r="V59" s="177" t="str">
        <f>Schedule!AQ61</f>
        <v>0</v>
      </c>
      <c r="W59" s="178"/>
      <c r="X59" s="177" t="str">
        <f>Schedule!AR61</f>
        <v>0</v>
      </c>
      <c r="Y59" s="177" t="str">
        <f>Schedule!AS61</f>
        <v>0</v>
      </c>
      <c r="Z59" s="177" t="str">
        <f>Schedule!AT61</f>
        <v>0</v>
      </c>
      <c r="AA59" s="177" t="str">
        <f>Schedule!AU61</f>
        <v>0</v>
      </c>
      <c r="AB59" s="177" t="str">
        <f>Schedule!AV61</f>
        <v>0</v>
      </c>
      <c r="AC59" s="177" t="str">
        <f>Schedule!AW61</f>
        <v>0</v>
      </c>
      <c r="AD59" s="177" t="str">
        <f>Schedule!AX61</f>
        <v>0</v>
      </c>
      <c r="AE59" s="177" t="str">
        <f>Schedule!AY61</f>
        <v>0</v>
      </c>
      <c r="AF59" s="177" t="str">
        <f>Schedule!AZ61</f>
        <v>0</v>
      </c>
      <c r="AG59" s="178"/>
      <c r="AH59" s="177" t="str">
        <f>Schedule!BA61</f>
        <v>0</v>
      </c>
      <c r="AI59" s="177" t="str">
        <f>Schedule!BB61</f>
        <v>0</v>
      </c>
      <c r="AJ59" s="177" t="str">
        <f>Schedule!BC61</f>
        <v>0</v>
      </c>
      <c r="AK59" s="177" t="str">
        <f>Schedule!BD61</f>
        <v>0</v>
      </c>
      <c r="AL59" s="177" t="str">
        <f>Schedule!BE61</f>
        <v>0</v>
      </c>
      <c r="AM59" s="177" t="str">
        <f>Schedule!BF61</f>
        <v>0</v>
      </c>
      <c r="AN59" s="177" t="str">
        <f>Schedule!BG61</f>
        <v>0</v>
      </c>
      <c r="AO59" s="177" t="str">
        <f>Schedule!BH61</f>
        <v>0</v>
      </c>
      <c r="AP59" s="177" t="str">
        <f>Schedule!BI61</f>
        <v>0</v>
      </c>
      <c r="AQ59" s="178"/>
      <c r="AR59" s="177" t="str">
        <f>Schedule!BJ61</f>
        <v>0</v>
      </c>
      <c r="AS59" s="177" t="str">
        <f>Schedule!BK61</f>
        <v>0</v>
      </c>
      <c r="AT59" s="177" t="str">
        <f>Schedule!BL61</f>
        <v>0</v>
      </c>
      <c r="AU59" s="177" t="str">
        <f>Schedule!BM61</f>
        <v>0</v>
      </c>
      <c r="AV59" s="177" t="str">
        <f>Schedule!BN61</f>
        <v>0</v>
      </c>
      <c r="AW59" s="177" t="str">
        <f>Schedule!BO61</f>
        <v>0</v>
      </c>
      <c r="AX59" s="177" t="str">
        <f>Schedule!BP61</f>
        <v>0</v>
      </c>
      <c r="AY59" s="177" t="str">
        <f>Schedule!BQ61</f>
        <v>0</v>
      </c>
      <c r="AZ59" s="177" t="str">
        <f>Schedule!BR61</f>
        <v>0</v>
      </c>
      <c r="BA59" s="178"/>
      <c r="BB59" s="177" t="str">
        <f>Schedule!BS61</f>
        <v>0</v>
      </c>
      <c r="BC59" s="177" t="str">
        <f>Schedule!BT61</f>
        <v>0</v>
      </c>
      <c r="BD59" s="177" t="str">
        <f>Schedule!BU61</f>
        <v>0</v>
      </c>
      <c r="BE59" s="177" t="str">
        <f>Schedule!BV61</f>
        <v>0</v>
      </c>
      <c r="BF59" s="177" t="str">
        <f>Schedule!BW61</f>
        <v>0</v>
      </c>
      <c r="BG59" s="177" t="str">
        <f>Schedule!BX61</f>
        <v>0</v>
      </c>
      <c r="BH59" s="177" t="str">
        <f>Schedule!BY61</f>
        <v>0</v>
      </c>
      <c r="BI59" s="177" t="str">
        <f>Schedule!BZ61</f>
        <v>0</v>
      </c>
      <c r="BJ59" s="177" t="str">
        <f>Schedule!CA61</f>
        <v>0</v>
      </c>
      <c r="BK59" s="178"/>
      <c r="BL59" s="177" t="str">
        <f>Schedule!CB61</f>
        <v>0</v>
      </c>
      <c r="BM59" s="177" t="str">
        <f>Schedule!CC61</f>
        <v>0</v>
      </c>
      <c r="BN59" s="177" t="str">
        <f>Schedule!CD61</f>
        <v>0</v>
      </c>
      <c r="BO59" s="177" t="str">
        <f>Schedule!CE61</f>
        <v>0</v>
      </c>
      <c r="BP59" s="177" t="str">
        <f>Schedule!CF61</f>
        <v>0</v>
      </c>
      <c r="BQ59" s="177" t="str">
        <f>Schedule!CG61</f>
        <v>0</v>
      </c>
      <c r="BR59" s="177" t="str">
        <f>Schedule!CH61</f>
        <v>0</v>
      </c>
      <c r="BS59" s="177" t="str">
        <f>Schedule!CI61</f>
        <v>0</v>
      </c>
      <c r="BT59" s="177" t="str">
        <f>Schedule!CJ61</f>
        <v>0</v>
      </c>
      <c r="BU59" s="178"/>
      <c r="BV59" s="177" t="str">
        <f>Schedule!CK61</f>
        <v>0</v>
      </c>
      <c r="BW59" s="177" t="str">
        <f>Schedule!CL61</f>
        <v>0</v>
      </c>
      <c r="BX59" s="177" t="str">
        <f>Schedule!CM61</f>
        <v>0</v>
      </c>
      <c r="BY59" s="177" t="str">
        <f>Schedule!CN61</f>
        <v>0</v>
      </c>
      <c r="BZ59" s="177" t="str">
        <f>Schedule!CO61</f>
        <v>0</v>
      </c>
      <c r="CA59" s="177" t="str">
        <f>Schedule!CP61</f>
        <v>0</v>
      </c>
      <c r="CB59" s="177" t="str">
        <f>Schedule!CQ61</f>
        <v>0</v>
      </c>
      <c r="CC59" s="177" t="str">
        <f>Schedule!CR61</f>
        <v>0</v>
      </c>
      <c r="CD59" s="177" t="str">
        <f>Schedule!CS61</f>
        <v>0</v>
      </c>
      <c r="CE59" s="178"/>
      <c r="CF59" s="177" t="str">
        <f>Schedule!CT61</f>
        <v>0</v>
      </c>
      <c r="CG59" s="177" t="str">
        <f>Schedule!CU61</f>
        <v>0</v>
      </c>
      <c r="CH59" s="177" t="str">
        <f>Schedule!CV61</f>
        <v>0</v>
      </c>
      <c r="CI59" s="177" t="str">
        <f>Schedule!CW61</f>
        <v>0</v>
      </c>
      <c r="CJ59" s="177" t="str">
        <f>Schedule!CX61</f>
        <v>0</v>
      </c>
      <c r="CK59" s="177" t="str">
        <f>Schedule!CY61</f>
        <v>0</v>
      </c>
      <c r="CL59" s="177" t="str">
        <f>Schedule!CZ61</f>
        <v>0</v>
      </c>
      <c r="CM59" s="177" t="str">
        <f>Schedule!DA61</f>
        <v>0</v>
      </c>
      <c r="CN59" s="177" t="str">
        <f>Schedule!DB61</f>
        <v>0</v>
      </c>
      <c r="CO59" s="178"/>
      <c r="CP59" s="177" t="str">
        <f>Schedule!DC61</f>
        <v>0</v>
      </c>
      <c r="CQ59" s="177" t="str">
        <f>Schedule!DD61</f>
        <v>0</v>
      </c>
      <c r="CR59" s="177" t="str">
        <f>Schedule!DE61</f>
        <v>0</v>
      </c>
      <c r="CS59" s="177" t="str">
        <f>Schedule!DF61</f>
        <v>0</v>
      </c>
      <c r="CT59" s="177" t="str">
        <f>Schedule!DG61</f>
        <v>0</v>
      </c>
      <c r="CU59" s="177" t="str">
        <f>Schedule!DH61</f>
        <v>0</v>
      </c>
      <c r="CV59" s="177" t="str">
        <f>Schedule!DI61</f>
        <v>0</v>
      </c>
      <c r="CW59" s="177" t="str">
        <f>Schedule!DJ61</f>
        <v>0</v>
      </c>
      <c r="CX59" s="177" t="str">
        <f>Schedule!DK61</f>
        <v>0</v>
      </c>
      <c r="CY59" s="178"/>
      <c r="CZ59" s="177" t="str">
        <f>Schedule!DL61</f>
        <v>0</v>
      </c>
      <c r="DA59" s="177" t="str">
        <f>Schedule!DM61</f>
        <v>0</v>
      </c>
      <c r="DB59" s="177" t="str">
        <f>Schedule!DN61</f>
        <v>0</v>
      </c>
      <c r="DC59" s="177" t="str">
        <f>Schedule!DO61</f>
        <v>0</v>
      </c>
      <c r="DD59" s="177" t="str">
        <f>Schedule!DP61</f>
        <v>0</v>
      </c>
      <c r="DE59" s="177" t="str">
        <f>Schedule!DQ61</f>
        <v>0</v>
      </c>
      <c r="DF59" s="177" t="str">
        <f>Schedule!DR61</f>
        <v>0</v>
      </c>
      <c r="DG59" s="177" t="str">
        <f>Schedule!DS61</f>
        <v>0</v>
      </c>
      <c r="DH59" s="177" t="str">
        <f>Schedule!DT61</f>
        <v>0</v>
      </c>
      <c r="DI59" s="178"/>
      <c r="DJ59" s="177" t="str">
        <f>Schedule!DU61</f>
        <v>0</v>
      </c>
      <c r="DK59" s="177" t="str">
        <f>Schedule!DV61</f>
        <v>0</v>
      </c>
      <c r="DL59" s="177" t="str">
        <f>Schedule!DW61</f>
        <v>0</v>
      </c>
      <c r="DM59" s="177" t="str">
        <f>Schedule!DX61</f>
        <v>0</v>
      </c>
      <c r="DN59" s="177" t="str">
        <f>Schedule!DY61</f>
        <v>0</v>
      </c>
      <c r="DO59" s="177" t="str">
        <f>Schedule!DZ61</f>
        <v>0</v>
      </c>
      <c r="DP59" s="177" t="str">
        <f>Schedule!EA61</f>
        <v>0</v>
      </c>
      <c r="DQ59" s="177" t="str">
        <f>Schedule!EB61</f>
        <v>0</v>
      </c>
      <c r="DR59" s="177" t="str">
        <f>Schedule!EC61</f>
        <v>0</v>
      </c>
      <c r="DS59" s="178"/>
      <c r="DT59" s="177" t="str">
        <f>Schedule!ED61</f>
        <v>0</v>
      </c>
      <c r="DU59" s="177" t="str">
        <f>Schedule!EE61</f>
        <v>0</v>
      </c>
      <c r="DV59" s="177" t="str">
        <f>Schedule!EF61</f>
        <v>0</v>
      </c>
      <c r="DW59" s="177" t="str">
        <f>Schedule!EG61</f>
        <v>0</v>
      </c>
      <c r="DX59" s="177" t="str">
        <f>Schedule!EH61</f>
        <v>0</v>
      </c>
      <c r="DY59" s="177" t="str">
        <f>Schedule!EI61</f>
        <v>0</v>
      </c>
      <c r="DZ59" s="177" t="str">
        <f>Schedule!EJ61</f>
        <v>0</v>
      </c>
      <c r="EA59" s="177" t="str">
        <f>Schedule!EK61</f>
        <v>0</v>
      </c>
      <c r="EB59" s="177" t="str">
        <f>Schedule!EL61</f>
        <v>0</v>
      </c>
      <c r="EC59" s="178"/>
      <c r="ED59" s="177" t="str">
        <f>Schedule!EM61</f>
        <v>0</v>
      </c>
      <c r="EE59" s="177" t="str">
        <f>Schedule!EN61</f>
        <v>0</v>
      </c>
      <c r="EF59" s="177" t="str">
        <f>Schedule!EO61</f>
        <v>0</v>
      </c>
      <c r="EG59" s="177" t="str">
        <f>Schedule!EP61</f>
        <v>0</v>
      </c>
      <c r="EH59" s="177" t="str">
        <f>Schedule!EQ61</f>
        <v>0</v>
      </c>
      <c r="EI59" s="177" t="str">
        <f>Schedule!ER61</f>
        <v>0</v>
      </c>
      <c r="EJ59" s="177" t="str">
        <f>Schedule!ES61</f>
        <v>0</v>
      </c>
      <c r="EK59" s="177" t="str">
        <f>Schedule!ET61</f>
        <v>0</v>
      </c>
      <c r="EL59" s="177" t="str">
        <f>Schedule!EU61</f>
        <v>0</v>
      </c>
      <c r="EM59" s="178"/>
      <c r="EN59" s="177" t="str">
        <f>Schedule!EV61</f>
        <v>0</v>
      </c>
      <c r="EO59" s="177" t="str">
        <f>Schedule!EW61</f>
        <v>0</v>
      </c>
      <c r="EP59" s="177" t="str">
        <f>Schedule!EX61</f>
        <v>0</v>
      </c>
      <c r="EQ59" s="177" t="str">
        <f>Schedule!EY61</f>
        <v>0</v>
      </c>
      <c r="ER59" s="177" t="str">
        <f>Schedule!EZ61</f>
        <v>0</v>
      </c>
      <c r="ES59" s="177" t="str">
        <f>Schedule!FA61</f>
        <v>0</v>
      </c>
      <c r="ET59" s="177" t="str">
        <f>Schedule!FB61</f>
        <v>0</v>
      </c>
      <c r="EU59" s="177" t="str">
        <f>Schedule!FC61</f>
        <v>0</v>
      </c>
      <c r="EV59" s="177" t="str">
        <f>Schedule!FD61</f>
        <v>0</v>
      </c>
      <c r="EW59" s="178"/>
      <c r="EX59" s="177" t="str">
        <f>Schedule!FE61</f>
        <v>0</v>
      </c>
      <c r="EY59" s="177" t="str">
        <f>Schedule!FF61</f>
        <v>0</v>
      </c>
      <c r="EZ59" s="177" t="str">
        <f>Schedule!FG61</f>
        <v>0</v>
      </c>
      <c r="FA59" s="177" t="str">
        <f>Schedule!FH61</f>
        <v>0</v>
      </c>
      <c r="FB59" s="177" t="str">
        <f>Schedule!FI61</f>
        <v>0</v>
      </c>
      <c r="FC59" s="177" t="str">
        <f>Schedule!FJ61</f>
        <v>0</v>
      </c>
      <c r="FD59" s="177" t="str">
        <f>Schedule!FK61</f>
        <v>0</v>
      </c>
      <c r="FE59" s="177" t="str">
        <f>Schedule!FL61</f>
        <v>0</v>
      </c>
      <c r="FF59" s="177" t="str">
        <f>Schedule!FM61</f>
        <v>0</v>
      </c>
      <c r="FG59" s="178"/>
      <c r="FH59" s="177" t="str">
        <f>Schedule!FN61</f>
        <v>0</v>
      </c>
      <c r="FI59" s="177" t="str">
        <f>Schedule!FO61</f>
        <v>0</v>
      </c>
      <c r="FJ59" s="177" t="str">
        <f>Schedule!FP61</f>
        <v>0</v>
      </c>
      <c r="FK59" s="177" t="str">
        <f>Schedule!FQ61</f>
        <v>0</v>
      </c>
      <c r="FL59" s="177" t="str">
        <f>Schedule!FR61</f>
        <v>0</v>
      </c>
      <c r="FM59" s="177" t="str">
        <f>Schedule!FS61</f>
        <v>0</v>
      </c>
      <c r="FN59" s="177" t="str">
        <f>Schedule!FT61</f>
        <v>0</v>
      </c>
      <c r="FO59" s="177" t="str">
        <f>Schedule!FU61</f>
        <v>0</v>
      </c>
      <c r="FP59" s="177" t="str">
        <f>Schedule!FV61</f>
        <v>0</v>
      </c>
      <c r="FQ59" s="178"/>
      <c r="FR59" s="177" t="str">
        <f>Schedule!FW61</f>
        <v>0</v>
      </c>
      <c r="FS59" s="177" t="str">
        <f>Schedule!FX61</f>
        <v>0</v>
      </c>
      <c r="FT59" s="177" t="str">
        <f>Schedule!FY61</f>
        <v>0</v>
      </c>
      <c r="FU59" s="177" t="str">
        <f>Schedule!FZ61</f>
        <v>0</v>
      </c>
      <c r="FV59" s="177" t="str">
        <f>Schedule!GA61</f>
        <v>0</v>
      </c>
      <c r="FW59" s="177" t="str">
        <f>Schedule!GB61</f>
        <v>0</v>
      </c>
      <c r="FX59" s="177" t="str">
        <f>Schedule!GC61</f>
        <v>0</v>
      </c>
      <c r="FY59" s="177" t="str">
        <f>Schedule!GD61</f>
        <v>0</v>
      </c>
      <c r="FZ59" s="177" t="str">
        <f>Schedule!GE61</f>
        <v>0</v>
      </c>
      <c r="GA59" s="178"/>
      <c r="GB59" s="177" t="str">
        <f>Schedule!GF61</f>
        <v>0</v>
      </c>
      <c r="GC59" s="177" t="str">
        <f>Schedule!GG61</f>
        <v>0</v>
      </c>
      <c r="GD59" s="177" t="str">
        <f>Schedule!GH61</f>
        <v>0</v>
      </c>
      <c r="GE59" s="177" t="str">
        <f>Schedule!GI61</f>
        <v>0</v>
      </c>
      <c r="GF59" s="177" t="str">
        <f>Schedule!GJ61</f>
        <v>0</v>
      </c>
      <c r="GG59" s="177" t="str">
        <f>Schedule!GK61</f>
        <v>0</v>
      </c>
      <c r="GH59" s="177" t="str">
        <f>Schedule!GL61</f>
        <v>0</v>
      </c>
      <c r="GI59" s="177" t="str">
        <f>Schedule!GM61</f>
        <v>0</v>
      </c>
      <c r="GJ59" s="177" t="str">
        <f>Schedule!GN61</f>
        <v>0</v>
      </c>
      <c r="GK59" s="178"/>
      <c r="GL59" s="177" t="str">
        <f>Schedule!GO61</f>
        <v>0</v>
      </c>
      <c r="GM59" s="177" t="str">
        <f>Schedule!GP61</f>
        <v>0</v>
      </c>
      <c r="GN59" s="177" t="str">
        <f>Schedule!GQ61</f>
        <v>0</v>
      </c>
      <c r="GO59" s="177" t="str">
        <f>Schedule!GR61</f>
        <v>0</v>
      </c>
      <c r="GP59" s="177" t="str">
        <f>Schedule!GS61</f>
        <v>0</v>
      </c>
      <c r="GQ59" s="177" t="str">
        <f>Schedule!GT61</f>
        <v>0</v>
      </c>
      <c r="GR59" s="177" t="str">
        <f>Schedule!GU61</f>
        <v>0</v>
      </c>
      <c r="GS59" s="177" t="str">
        <f>Schedule!GV61</f>
        <v>0</v>
      </c>
      <c r="GT59" s="177" t="str">
        <f>Schedule!GW61</f>
        <v>0</v>
      </c>
    </row>
    <row r="60" spans="2:202" ht="18" hidden="1" customHeight="1">
      <c r="B60" s="269"/>
      <c r="C60" s="169">
        <f>Schedule!C62</f>
        <v>0</v>
      </c>
      <c r="D60" s="177" t="str">
        <f>Schedule!Z62</f>
        <v>0</v>
      </c>
      <c r="E60" s="177" t="str">
        <f>Schedule!AA62</f>
        <v>0</v>
      </c>
      <c r="F60" s="177" t="str">
        <f>Schedule!AB62</f>
        <v>0</v>
      </c>
      <c r="G60" s="177" t="str">
        <f>Schedule!AC62</f>
        <v>0</v>
      </c>
      <c r="H60" s="177" t="str">
        <f>Schedule!AD62</f>
        <v>0</v>
      </c>
      <c r="I60" s="177" t="str">
        <f>Schedule!AE62</f>
        <v>0</v>
      </c>
      <c r="J60" s="177" t="str">
        <f>Schedule!AF62</f>
        <v>0</v>
      </c>
      <c r="K60" s="182" t="str">
        <f>Schedule!AG62</f>
        <v>0</v>
      </c>
      <c r="L60" s="182" t="str">
        <f>Schedule!AH62</f>
        <v>0</v>
      </c>
      <c r="M60" s="178"/>
      <c r="N60" s="184" t="str">
        <f>Schedule!AI62</f>
        <v>0</v>
      </c>
      <c r="O60" s="177" t="str">
        <f>Schedule!AJ62</f>
        <v>0</v>
      </c>
      <c r="P60" s="177" t="str">
        <f>Schedule!AK62</f>
        <v>0</v>
      </c>
      <c r="Q60" s="177" t="str">
        <f>Schedule!AL62</f>
        <v>0</v>
      </c>
      <c r="R60" s="177" t="str">
        <f>Schedule!AM62</f>
        <v>0</v>
      </c>
      <c r="S60" s="177" t="str">
        <f>Schedule!AN62</f>
        <v>0</v>
      </c>
      <c r="T60" s="177" t="str">
        <f>Schedule!AO62</f>
        <v>0</v>
      </c>
      <c r="U60" s="177" t="str">
        <f>Schedule!AP62</f>
        <v>0</v>
      </c>
      <c r="V60" s="177" t="str">
        <f>Schedule!AQ62</f>
        <v>0</v>
      </c>
      <c r="W60" s="178"/>
      <c r="X60" s="177" t="str">
        <f>Schedule!AR62</f>
        <v>0</v>
      </c>
      <c r="Y60" s="177" t="str">
        <f>Schedule!AS62</f>
        <v>0</v>
      </c>
      <c r="Z60" s="177" t="str">
        <f>Schedule!AT62</f>
        <v>0</v>
      </c>
      <c r="AA60" s="177" t="str">
        <f>Schedule!AU62</f>
        <v>0</v>
      </c>
      <c r="AB60" s="177" t="str">
        <f>Schedule!AV62</f>
        <v>0</v>
      </c>
      <c r="AC60" s="177" t="str">
        <f>Schedule!AW62</f>
        <v>0</v>
      </c>
      <c r="AD60" s="177" t="str">
        <f>Schedule!AX62</f>
        <v>0</v>
      </c>
      <c r="AE60" s="177" t="str">
        <f>Schedule!AY62</f>
        <v>0</v>
      </c>
      <c r="AF60" s="177" t="str">
        <f>Schedule!AZ62</f>
        <v>0</v>
      </c>
      <c r="AG60" s="178"/>
      <c r="AH60" s="177" t="str">
        <f>Schedule!BA62</f>
        <v>0</v>
      </c>
      <c r="AI60" s="177" t="str">
        <f>Schedule!BB62</f>
        <v>0</v>
      </c>
      <c r="AJ60" s="177" t="str">
        <f>Schedule!BC62</f>
        <v>0</v>
      </c>
      <c r="AK60" s="177" t="str">
        <f>Schedule!BD62</f>
        <v>0</v>
      </c>
      <c r="AL60" s="177" t="str">
        <f>Schedule!BE62</f>
        <v>0</v>
      </c>
      <c r="AM60" s="177" t="str">
        <f>Schedule!BF62</f>
        <v>0</v>
      </c>
      <c r="AN60" s="177" t="str">
        <f>Schedule!BG62</f>
        <v>0</v>
      </c>
      <c r="AO60" s="177" t="str">
        <f>Schedule!BH62</f>
        <v>0</v>
      </c>
      <c r="AP60" s="177" t="str">
        <f>Schedule!BI62</f>
        <v>0</v>
      </c>
      <c r="AQ60" s="178"/>
      <c r="AR60" s="177" t="str">
        <f>Schedule!BJ62</f>
        <v>0</v>
      </c>
      <c r="AS60" s="177" t="str">
        <f>Schedule!BK62</f>
        <v>0</v>
      </c>
      <c r="AT60" s="177" t="str">
        <f>Schedule!BL62</f>
        <v>0</v>
      </c>
      <c r="AU60" s="177" t="str">
        <f>Schedule!BM62</f>
        <v>0</v>
      </c>
      <c r="AV60" s="177" t="str">
        <f>Schedule!BN62</f>
        <v>0</v>
      </c>
      <c r="AW60" s="177" t="str">
        <f>Schedule!BO62</f>
        <v>0</v>
      </c>
      <c r="AX60" s="177" t="str">
        <f>Schedule!BP62</f>
        <v>0</v>
      </c>
      <c r="AY60" s="177" t="str">
        <f>Schedule!BQ62</f>
        <v>0</v>
      </c>
      <c r="AZ60" s="177" t="str">
        <f>Schedule!BR62</f>
        <v>0</v>
      </c>
      <c r="BA60" s="178"/>
      <c r="BB60" s="177" t="str">
        <f>Schedule!BS62</f>
        <v>0</v>
      </c>
      <c r="BC60" s="177" t="str">
        <f>Schedule!BT62</f>
        <v>0</v>
      </c>
      <c r="BD60" s="177" t="str">
        <f>Schedule!BU62</f>
        <v>0</v>
      </c>
      <c r="BE60" s="177" t="str">
        <f>Schedule!BV62</f>
        <v>0</v>
      </c>
      <c r="BF60" s="177" t="str">
        <f>Schedule!BW62</f>
        <v>0</v>
      </c>
      <c r="BG60" s="177" t="str">
        <f>Schedule!BX62</f>
        <v>0</v>
      </c>
      <c r="BH60" s="177" t="str">
        <f>Schedule!BY62</f>
        <v>0</v>
      </c>
      <c r="BI60" s="177" t="str">
        <f>Schedule!BZ62</f>
        <v>0</v>
      </c>
      <c r="BJ60" s="177" t="str">
        <f>Schedule!CA62</f>
        <v>0</v>
      </c>
      <c r="BK60" s="178"/>
      <c r="BL60" s="177" t="str">
        <f>Schedule!CB62</f>
        <v>0</v>
      </c>
      <c r="BM60" s="177" t="str">
        <f>Schedule!CC62</f>
        <v>0</v>
      </c>
      <c r="BN60" s="177" t="str">
        <f>Schedule!CD62</f>
        <v>0</v>
      </c>
      <c r="BO60" s="177" t="str">
        <f>Schedule!CE62</f>
        <v>0</v>
      </c>
      <c r="BP60" s="177" t="str">
        <f>Schedule!CF62</f>
        <v>0</v>
      </c>
      <c r="BQ60" s="177" t="str">
        <f>Schedule!CG62</f>
        <v>0</v>
      </c>
      <c r="BR60" s="177" t="str">
        <f>Schedule!CH62</f>
        <v>0</v>
      </c>
      <c r="BS60" s="177" t="str">
        <f>Schedule!CI62</f>
        <v>0</v>
      </c>
      <c r="BT60" s="177" t="str">
        <f>Schedule!CJ62</f>
        <v>0</v>
      </c>
      <c r="BU60" s="178"/>
      <c r="BV60" s="177" t="str">
        <f>Schedule!CK62</f>
        <v>0</v>
      </c>
      <c r="BW60" s="177" t="str">
        <f>Schedule!CL62</f>
        <v>0</v>
      </c>
      <c r="BX60" s="177" t="str">
        <f>Schedule!CM62</f>
        <v>0</v>
      </c>
      <c r="BY60" s="177" t="str">
        <f>Schedule!CN62</f>
        <v>0</v>
      </c>
      <c r="BZ60" s="177" t="str">
        <f>Schedule!CO62</f>
        <v>0</v>
      </c>
      <c r="CA60" s="177" t="str">
        <f>Schedule!CP62</f>
        <v>0</v>
      </c>
      <c r="CB60" s="177" t="str">
        <f>Schedule!CQ62</f>
        <v>0</v>
      </c>
      <c r="CC60" s="177" t="str">
        <f>Schedule!CR62</f>
        <v>0</v>
      </c>
      <c r="CD60" s="177" t="str">
        <f>Schedule!CS62</f>
        <v>0</v>
      </c>
      <c r="CE60" s="178"/>
      <c r="CF60" s="177" t="str">
        <f>Schedule!CT62</f>
        <v>0</v>
      </c>
      <c r="CG60" s="177" t="str">
        <f>Schedule!CU62</f>
        <v>0</v>
      </c>
      <c r="CH60" s="177" t="str">
        <f>Schedule!CV62</f>
        <v>0</v>
      </c>
      <c r="CI60" s="177" t="str">
        <f>Schedule!CW62</f>
        <v>0</v>
      </c>
      <c r="CJ60" s="177" t="str">
        <f>Schedule!CX62</f>
        <v>0</v>
      </c>
      <c r="CK60" s="177" t="str">
        <f>Schedule!CY62</f>
        <v>0</v>
      </c>
      <c r="CL60" s="177" t="str">
        <f>Schedule!CZ62</f>
        <v>0</v>
      </c>
      <c r="CM60" s="177" t="str">
        <f>Schedule!DA62</f>
        <v>0</v>
      </c>
      <c r="CN60" s="177" t="str">
        <f>Schedule!DB62</f>
        <v>0</v>
      </c>
      <c r="CO60" s="178"/>
      <c r="CP60" s="177" t="str">
        <f>Schedule!DC62</f>
        <v>0</v>
      </c>
      <c r="CQ60" s="177" t="str">
        <f>Schedule!DD62</f>
        <v>0</v>
      </c>
      <c r="CR60" s="177" t="str">
        <f>Schedule!DE62</f>
        <v>0</v>
      </c>
      <c r="CS60" s="177" t="str">
        <f>Schedule!DF62</f>
        <v>0</v>
      </c>
      <c r="CT60" s="177" t="str">
        <f>Schedule!DG62</f>
        <v>0</v>
      </c>
      <c r="CU60" s="177" t="str">
        <f>Schedule!DH62</f>
        <v>0</v>
      </c>
      <c r="CV60" s="177" t="str">
        <f>Schedule!DI62</f>
        <v>0</v>
      </c>
      <c r="CW60" s="177" t="str">
        <f>Schedule!DJ62</f>
        <v>0</v>
      </c>
      <c r="CX60" s="177" t="str">
        <f>Schedule!DK62</f>
        <v>0</v>
      </c>
      <c r="CY60" s="178"/>
      <c r="CZ60" s="177" t="str">
        <f>Schedule!DL62</f>
        <v>0</v>
      </c>
      <c r="DA60" s="177" t="str">
        <f>Schedule!DM62</f>
        <v>0</v>
      </c>
      <c r="DB60" s="177" t="str">
        <f>Schedule!DN62</f>
        <v>0</v>
      </c>
      <c r="DC60" s="177" t="str">
        <f>Schedule!DO62</f>
        <v>0</v>
      </c>
      <c r="DD60" s="177" t="str">
        <f>Schedule!DP62</f>
        <v>0</v>
      </c>
      <c r="DE60" s="177" t="str">
        <f>Schedule!DQ62</f>
        <v>0</v>
      </c>
      <c r="DF60" s="177" t="str">
        <f>Schedule!DR62</f>
        <v>0</v>
      </c>
      <c r="DG60" s="177" t="str">
        <f>Schedule!DS62</f>
        <v>0</v>
      </c>
      <c r="DH60" s="177" t="str">
        <f>Schedule!DT62</f>
        <v>0</v>
      </c>
      <c r="DI60" s="178"/>
      <c r="DJ60" s="177" t="str">
        <f>Schedule!DU62</f>
        <v>0</v>
      </c>
      <c r="DK60" s="177" t="str">
        <f>Schedule!DV62</f>
        <v>0</v>
      </c>
      <c r="DL60" s="177" t="str">
        <f>Schedule!DW62</f>
        <v>0</v>
      </c>
      <c r="DM60" s="177" t="str">
        <f>Schedule!DX62</f>
        <v>0</v>
      </c>
      <c r="DN60" s="177" t="str">
        <f>Schedule!DY62</f>
        <v>0</v>
      </c>
      <c r="DO60" s="177" t="str">
        <f>Schedule!DZ62</f>
        <v>0</v>
      </c>
      <c r="DP60" s="177" t="str">
        <f>Schedule!EA62</f>
        <v>0</v>
      </c>
      <c r="DQ60" s="177" t="str">
        <f>Schedule!EB62</f>
        <v>0</v>
      </c>
      <c r="DR60" s="177" t="str">
        <f>Schedule!EC62</f>
        <v>0</v>
      </c>
      <c r="DS60" s="178"/>
      <c r="DT60" s="177" t="str">
        <f>Schedule!ED62</f>
        <v>0</v>
      </c>
      <c r="DU60" s="177" t="str">
        <f>Schedule!EE62</f>
        <v>0</v>
      </c>
      <c r="DV60" s="177" t="str">
        <f>Schedule!EF62</f>
        <v>0</v>
      </c>
      <c r="DW60" s="177" t="str">
        <f>Schedule!EG62</f>
        <v>0</v>
      </c>
      <c r="DX60" s="177" t="str">
        <f>Schedule!EH62</f>
        <v>0</v>
      </c>
      <c r="DY60" s="177" t="str">
        <f>Schedule!EI62</f>
        <v>0</v>
      </c>
      <c r="DZ60" s="177" t="str">
        <f>Schedule!EJ62</f>
        <v>0</v>
      </c>
      <c r="EA60" s="177" t="str">
        <f>Schedule!EK62</f>
        <v>0</v>
      </c>
      <c r="EB60" s="177" t="str">
        <f>Schedule!EL62</f>
        <v>0</v>
      </c>
      <c r="EC60" s="178"/>
      <c r="ED60" s="177" t="str">
        <f>Schedule!EM62</f>
        <v>0</v>
      </c>
      <c r="EE60" s="177" t="str">
        <f>Schedule!EN62</f>
        <v>0</v>
      </c>
      <c r="EF60" s="177" t="str">
        <f>Schedule!EO62</f>
        <v>0</v>
      </c>
      <c r="EG60" s="177" t="str">
        <f>Schedule!EP62</f>
        <v>0</v>
      </c>
      <c r="EH60" s="177" t="str">
        <f>Schedule!EQ62</f>
        <v>0</v>
      </c>
      <c r="EI60" s="177" t="str">
        <f>Schedule!ER62</f>
        <v>0</v>
      </c>
      <c r="EJ60" s="177" t="str">
        <f>Schedule!ES62</f>
        <v>0</v>
      </c>
      <c r="EK60" s="177" t="str">
        <f>Schedule!ET62</f>
        <v>0</v>
      </c>
      <c r="EL60" s="177" t="str">
        <f>Schedule!EU62</f>
        <v>0</v>
      </c>
      <c r="EM60" s="178"/>
      <c r="EN60" s="177" t="str">
        <f>Schedule!EV62</f>
        <v>0</v>
      </c>
      <c r="EO60" s="177" t="str">
        <f>Schedule!EW62</f>
        <v>0</v>
      </c>
      <c r="EP60" s="177" t="str">
        <f>Schedule!EX62</f>
        <v>0</v>
      </c>
      <c r="EQ60" s="177" t="str">
        <f>Schedule!EY62</f>
        <v>0</v>
      </c>
      <c r="ER60" s="177" t="str">
        <f>Schedule!EZ62</f>
        <v>0</v>
      </c>
      <c r="ES60" s="177" t="str">
        <f>Schedule!FA62</f>
        <v>0</v>
      </c>
      <c r="ET60" s="177" t="str">
        <f>Schedule!FB62</f>
        <v>0</v>
      </c>
      <c r="EU60" s="177" t="str">
        <f>Schedule!FC62</f>
        <v>0</v>
      </c>
      <c r="EV60" s="177" t="str">
        <f>Schedule!FD62</f>
        <v>0</v>
      </c>
      <c r="EW60" s="178"/>
      <c r="EX60" s="177" t="str">
        <f>Schedule!FE62</f>
        <v>0</v>
      </c>
      <c r="EY60" s="177" t="str">
        <f>Schedule!FF62</f>
        <v>0</v>
      </c>
      <c r="EZ60" s="177" t="str">
        <f>Schedule!FG62</f>
        <v>0</v>
      </c>
      <c r="FA60" s="177" t="str">
        <f>Schedule!FH62</f>
        <v>0</v>
      </c>
      <c r="FB60" s="177" t="str">
        <f>Schedule!FI62</f>
        <v>0</v>
      </c>
      <c r="FC60" s="177" t="str">
        <f>Schedule!FJ62</f>
        <v>0</v>
      </c>
      <c r="FD60" s="177" t="str">
        <f>Schedule!FK62</f>
        <v>0</v>
      </c>
      <c r="FE60" s="177" t="str">
        <f>Schedule!FL62</f>
        <v>0</v>
      </c>
      <c r="FF60" s="177" t="str">
        <f>Schedule!FM62</f>
        <v>0</v>
      </c>
      <c r="FG60" s="178"/>
      <c r="FH60" s="177" t="str">
        <f>Schedule!FN62</f>
        <v>0</v>
      </c>
      <c r="FI60" s="177" t="str">
        <f>Schedule!FO62</f>
        <v>0</v>
      </c>
      <c r="FJ60" s="177" t="str">
        <f>Schedule!FP62</f>
        <v>0</v>
      </c>
      <c r="FK60" s="177" t="str">
        <f>Schedule!FQ62</f>
        <v>0</v>
      </c>
      <c r="FL60" s="177" t="str">
        <f>Schedule!FR62</f>
        <v>0</v>
      </c>
      <c r="FM60" s="177" t="str">
        <f>Schedule!FS62</f>
        <v>0</v>
      </c>
      <c r="FN60" s="177" t="str">
        <f>Schedule!FT62</f>
        <v>0</v>
      </c>
      <c r="FO60" s="177" t="str">
        <f>Schedule!FU62</f>
        <v>0</v>
      </c>
      <c r="FP60" s="177" t="str">
        <f>Schedule!FV62</f>
        <v>0</v>
      </c>
      <c r="FQ60" s="178"/>
      <c r="FR60" s="177" t="str">
        <f>Schedule!FW62</f>
        <v>0</v>
      </c>
      <c r="FS60" s="177" t="str">
        <f>Schedule!FX62</f>
        <v>0</v>
      </c>
      <c r="FT60" s="177" t="str">
        <f>Schedule!FY62</f>
        <v>0</v>
      </c>
      <c r="FU60" s="177" t="str">
        <f>Schedule!FZ62</f>
        <v>0</v>
      </c>
      <c r="FV60" s="177" t="str">
        <f>Schedule!GA62</f>
        <v>0</v>
      </c>
      <c r="FW60" s="177" t="str">
        <f>Schedule!GB62</f>
        <v>0</v>
      </c>
      <c r="FX60" s="177" t="str">
        <f>Schedule!GC62</f>
        <v>0</v>
      </c>
      <c r="FY60" s="177" t="str">
        <f>Schedule!GD62</f>
        <v>0</v>
      </c>
      <c r="FZ60" s="177" t="str">
        <f>Schedule!GE62</f>
        <v>0</v>
      </c>
      <c r="GA60" s="178"/>
      <c r="GB60" s="177" t="str">
        <f>Schedule!GF62</f>
        <v>0</v>
      </c>
      <c r="GC60" s="177" t="str">
        <f>Schedule!GG62</f>
        <v>0</v>
      </c>
      <c r="GD60" s="177" t="str">
        <f>Schedule!GH62</f>
        <v>0</v>
      </c>
      <c r="GE60" s="177" t="str">
        <f>Schedule!GI62</f>
        <v>0</v>
      </c>
      <c r="GF60" s="177" t="str">
        <f>Schedule!GJ62</f>
        <v>0</v>
      </c>
      <c r="GG60" s="177" t="str">
        <f>Schedule!GK62</f>
        <v>0</v>
      </c>
      <c r="GH60" s="177" t="str">
        <f>Schedule!GL62</f>
        <v>0</v>
      </c>
      <c r="GI60" s="177" t="str">
        <f>Schedule!GM62</f>
        <v>0</v>
      </c>
      <c r="GJ60" s="177" t="str">
        <f>Schedule!GN62</f>
        <v>0</v>
      </c>
      <c r="GK60" s="178"/>
      <c r="GL60" s="177" t="str">
        <f>Schedule!GO62</f>
        <v>0</v>
      </c>
      <c r="GM60" s="177" t="str">
        <f>Schedule!GP62</f>
        <v>0</v>
      </c>
      <c r="GN60" s="177" t="str">
        <f>Schedule!GQ62</f>
        <v>0</v>
      </c>
      <c r="GO60" s="177" t="str">
        <f>Schedule!GR62</f>
        <v>0</v>
      </c>
      <c r="GP60" s="177" t="str">
        <f>Schedule!GS62</f>
        <v>0</v>
      </c>
      <c r="GQ60" s="177" t="str">
        <f>Schedule!GT62</f>
        <v>0</v>
      </c>
      <c r="GR60" s="177" t="str">
        <f>Schedule!GU62</f>
        <v>0</v>
      </c>
      <c r="GS60" s="177" t="str">
        <f>Schedule!GV62</f>
        <v>0</v>
      </c>
      <c r="GT60" s="177" t="str">
        <f>Schedule!GW62</f>
        <v>0</v>
      </c>
    </row>
    <row r="61" spans="2:202" ht="18" hidden="1" customHeight="1">
      <c r="B61" s="269"/>
      <c r="C61" s="169">
        <f>Schedule!C63</f>
        <v>0</v>
      </c>
      <c r="D61" s="177" t="str">
        <f>Schedule!Z63</f>
        <v>0</v>
      </c>
      <c r="E61" s="177" t="str">
        <f>Schedule!AA63</f>
        <v>0</v>
      </c>
      <c r="F61" s="177" t="str">
        <f>Schedule!AB63</f>
        <v>0</v>
      </c>
      <c r="G61" s="177" t="str">
        <f>Schedule!AC63</f>
        <v>0</v>
      </c>
      <c r="H61" s="177" t="str">
        <f>Schedule!AD63</f>
        <v>0</v>
      </c>
      <c r="I61" s="177" t="str">
        <f>Schedule!AE63</f>
        <v>0</v>
      </c>
      <c r="J61" s="177" t="str">
        <f>Schedule!AF63</f>
        <v>0</v>
      </c>
      <c r="K61" s="182" t="str">
        <f>Schedule!AG63</f>
        <v>0</v>
      </c>
      <c r="L61" s="182" t="str">
        <f>Schedule!AH63</f>
        <v>0</v>
      </c>
      <c r="M61" s="178"/>
      <c r="N61" s="184" t="str">
        <f>Schedule!AI63</f>
        <v>0</v>
      </c>
      <c r="O61" s="177" t="str">
        <f>Schedule!AJ63</f>
        <v>0</v>
      </c>
      <c r="P61" s="177" t="str">
        <f>Schedule!AK63</f>
        <v>0</v>
      </c>
      <c r="Q61" s="177" t="str">
        <f>Schedule!AL63</f>
        <v>0</v>
      </c>
      <c r="R61" s="177" t="str">
        <f>Schedule!AM63</f>
        <v>0</v>
      </c>
      <c r="S61" s="177" t="str">
        <f>Schedule!AN63</f>
        <v>0</v>
      </c>
      <c r="T61" s="177" t="str">
        <f>Schedule!AO63</f>
        <v>0</v>
      </c>
      <c r="U61" s="177" t="str">
        <f>Schedule!AP63</f>
        <v>0</v>
      </c>
      <c r="V61" s="177" t="str">
        <f>Schedule!AQ63</f>
        <v>0</v>
      </c>
      <c r="W61" s="178"/>
      <c r="X61" s="177" t="str">
        <f>Schedule!AR63</f>
        <v>0</v>
      </c>
      <c r="Y61" s="177" t="str">
        <f>Schedule!AS63</f>
        <v>0</v>
      </c>
      <c r="Z61" s="177" t="str">
        <f>Schedule!AT63</f>
        <v>0</v>
      </c>
      <c r="AA61" s="177" t="str">
        <f>Schedule!AU63</f>
        <v>0</v>
      </c>
      <c r="AB61" s="177" t="str">
        <f>Schedule!AV63</f>
        <v>0</v>
      </c>
      <c r="AC61" s="177" t="str">
        <f>Schedule!AW63</f>
        <v>0</v>
      </c>
      <c r="AD61" s="177" t="str">
        <f>Schedule!AX63</f>
        <v>0</v>
      </c>
      <c r="AE61" s="177" t="str">
        <f>Schedule!AY63</f>
        <v>0</v>
      </c>
      <c r="AF61" s="177" t="str">
        <f>Schedule!AZ63</f>
        <v>0</v>
      </c>
      <c r="AG61" s="178"/>
      <c r="AH61" s="177" t="str">
        <f>Schedule!BA63</f>
        <v>0</v>
      </c>
      <c r="AI61" s="177" t="str">
        <f>Schedule!BB63</f>
        <v>0</v>
      </c>
      <c r="AJ61" s="177" t="str">
        <f>Schedule!BC63</f>
        <v>0</v>
      </c>
      <c r="AK61" s="177" t="str">
        <f>Schedule!BD63</f>
        <v>0</v>
      </c>
      <c r="AL61" s="177" t="str">
        <f>Schedule!BE63</f>
        <v>0</v>
      </c>
      <c r="AM61" s="177" t="str">
        <f>Schedule!BF63</f>
        <v>0</v>
      </c>
      <c r="AN61" s="177" t="str">
        <f>Schedule!BG63</f>
        <v>0</v>
      </c>
      <c r="AO61" s="177" t="str">
        <f>Schedule!BH63</f>
        <v>0</v>
      </c>
      <c r="AP61" s="177" t="str">
        <f>Schedule!BI63</f>
        <v>0</v>
      </c>
      <c r="AQ61" s="178"/>
      <c r="AR61" s="177" t="str">
        <f>Schedule!BJ63</f>
        <v>0</v>
      </c>
      <c r="AS61" s="177" t="str">
        <f>Schedule!BK63</f>
        <v>0</v>
      </c>
      <c r="AT61" s="177" t="str">
        <f>Schedule!BL63</f>
        <v>0</v>
      </c>
      <c r="AU61" s="177" t="str">
        <f>Schedule!BM63</f>
        <v>0</v>
      </c>
      <c r="AV61" s="177" t="str">
        <f>Schedule!BN63</f>
        <v>0</v>
      </c>
      <c r="AW61" s="177" t="str">
        <f>Schedule!BO63</f>
        <v>0</v>
      </c>
      <c r="AX61" s="177" t="str">
        <f>Schedule!BP63</f>
        <v>0</v>
      </c>
      <c r="AY61" s="177" t="str">
        <f>Schedule!BQ63</f>
        <v>0</v>
      </c>
      <c r="AZ61" s="177" t="str">
        <f>Schedule!BR63</f>
        <v>0</v>
      </c>
      <c r="BA61" s="178"/>
      <c r="BB61" s="177" t="str">
        <f>Schedule!BS63</f>
        <v>0</v>
      </c>
      <c r="BC61" s="177" t="str">
        <f>Schedule!BT63</f>
        <v>0</v>
      </c>
      <c r="BD61" s="177" t="str">
        <f>Schedule!BU63</f>
        <v>0</v>
      </c>
      <c r="BE61" s="177" t="str">
        <f>Schedule!BV63</f>
        <v>0</v>
      </c>
      <c r="BF61" s="177" t="str">
        <f>Schedule!BW63</f>
        <v>0</v>
      </c>
      <c r="BG61" s="177" t="str">
        <f>Schedule!BX63</f>
        <v>0</v>
      </c>
      <c r="BH61" s="177" t="str">
        <f>Schedule!BY63</f>
        <v>0</v>
      </c>
      <c r="BI61" s="177" t="str">
        <f>Schedule!BZ63</f>
        <v>0</v>
      </c>
      <c r="BJ61" s="177" t="str">
        <f>Schedule!CA63</f>
        <v>0</v>
      </c>
      <c r="BK61" s="178"/>
      <c r="BL61" s="177" t="str">
        <f>Schedule!CB63</f>
        <v>0</v>
      </c>
      <c r="BM61" s="177" t="str">
        <f>Schedule!CC63</f>
        <v>0</v>
      </c>
      <c r="BN61" s="177" t="str">
        <f>Schedule!CD63</f>
        <v>0</v>
      </c>
      <c r="BO61" s="177" t="str">
        <f>Schedule!CE63</f>
        <v>0</v>
      </c>
      <c r="BP61" s="177" t="str">
        <f>Schedule!CF63</f>
        <v>0</v>
      </c>
      <c r="BQ61" s="177" t="str">
        <f>Schedule!CG63</f>
        <v>0</v>
      </c>
      <c r="BR61" s="177" t="str">
        <f>Schedule!CH63</f>
        <v>0</v>
      </c>
      <c r="BS61" s="177" t="str">
        <f>Schedule!CI63</f>
        <v>0</v>
      </c>
      <c r="BT61" s="177" t="str">
        <f>Schedule!CJ63</f>
        <v>0</v>
      </c>
      <c r="BU61" s="178"/>
      <c r="BV61" s="177" t="str">
        <f>Schedule!CK63</f>
        <v>0</v>
      </c>
      <c r="BW61" s="177" t="str">
        <f>Schedule!CL63</f>
        <v>0</v>
      </c>
      <c r="BX61" s="177" t="str">
        <f>Schedule!CM63</f>
        <v>0</v>
      </c>
      <c r="BY61" s="177" t="str">
        <f>Schedule!CN63</f>
        <v>0</v>
      </c>
      <c r="BZ61" s="177" t="str">
        <f>Schedule!CO63</f>
        <v>0</v>
      </c>
      <c r="CA61" s="177" t="str">
        <f>Schedule!CP63</f>
        <v>0</v>
      </c>
      <c r="CB61" s="177" t="str">
        <f>Schedule!CQ63</f>
        <v>0</v>
      </c>
      <c r="CC61" s="177" t="str">
        <f>Schedule!CR63</f>
        <v>0</v>
      </c>
      <c r="CD61" s="177" t="str">
        <f>Schedule!CS63</f>
        <v>0</v>
      </c>
      <c r="CE61" s="178"/>
      <c r="CF61" s="177" t="str">
        <f>Schedule!CT63</f>
        <v>0</v>
      </c>
      <c r="CG61" s="177" t="str">
        <f>Schedule!CU63</f>
        <v>0</v>
      </c>
      <c r="CH61" s="177" t="str">
        <f>Schedule!CV63</f>
        <v>0</v>
      </c>
      <c r="CI61" s="177" t="str">
        <f>Schedule!CW63</f>
        <v>0</v>
      </c>
      <c r="CJ61" s="177" t="str">
        <f>Schedule!CX63</f>
        <v>0</v>
      </c>
      <c r="CK61" s="177" t="str">
        <f>Schedule!CY63</f>
        <v>0</v>
      </c>
      <c r="CL61" s="177" t="str">
        <f>Schedule!CZ63</f>
        <v>0</v>
      </c>
      <c r="CM61" s="177" t="str">
        <f>Schedule!DA63</f>
        <v>0</v>
      </c>
      <c r="CN61" s="177" t="str">
        <f>Schedule!DB63</f>
        <v>0</v>
      </c>
      <c r="CO61" s="178"/>
      <c r="CP61" s="177" t="str">
        <f>Schedule!DC63</f>
        <v>0</v>
      </c>
      <c r="CQ61" s="177" t="str">
        <f>Schedule!DD63</f>
        <v>0</v>
      </c>
      <c r="CR61" s="177" t="str">
        <f>Schedule!DE63</f>
        <v>0</v>
      </c>
      <c r="CS61" s="177" t="str">
        <f>Schedule!DF63</f>
        <v>0</v>
      </c>
      <c r="CT61" s="177" t="str">
        <f>Schedule!DG63</f>
        <v>0</v>
      </c>
      <c r="CU61" s="177" t="str">
        <f>Schedule!DH63</f>
        <v>0</v>
      </c>
      <c r="CV61" s="177" t="str">
        <f>Schedule!DI63</f>
        <v>0</v>
      </c>
      <c r="CW61" s="177" t="str">
        <f>Schedule!DJ63</f>
        <v>0</v>
      </c>
      <c r="CX61" s="177" t="str">
        <f>Schedule!DK63</f>
        <v>0</v>
      </c>
      <c r="CY61" s="178"/>
      <c r="CZ61" s="177" t="str">
        <f>Schedule!DL63</f>
        <v>0</v>
      </c>
      <c r="DA61" s="177" t="str">
        <f>Schedule!DM63</f>
        <v>0</v>
      </c>
      <c r="DB61" s="177" t="str">
        <f>Schedule!DN63</f>
        <v>0</v>
      </c>
      <c r="DC61" s="177" t="str">
        <f>Schedule!DO63</f>
        <v>0</v>
      </c>
      <c r="DD61" s="177" t="str">
        <f>Schedule!DP63</f>
        <v>0</v>
      </c>
      <c r="DE61" s="177" t="str">
        <f>Schedule!DQ63</f>
        <v>0</v>
      </c>
      <c r="DF61" s="177" t="str">
        <f>Schedule!DR63</f>
        <v>0</v>
      </c>
      <c r="DG61" s="177" t="str">
        <f>Schedule!DS63</f>
        <v>0</v>
      </c>
      <c r="DH61" s="177" t="str">
        <f>Schedule!DT63</f>
        <v>0</v>
      </c>
      <c r="DI61" s="178"/>
      <c r="DJ61" s="177" t="str">
        <f>Schedule!DU63</f>
        <v>0</v>
      </c>
      <c r="DK61" s="177" t="str">
        <f>Schedule!DV63</f>
        <v>0</v>
      </c>
      <c r="DL61" s="177" t="str">
        <f>Schedule!DW63</f>
        <v>0</v>
      </c>
      <c r="DM61" s="177" t="str">
        <f>Schedule!DX63</f>
        <v>0</v>
      </c>
      <c r="DN61" s="177" t="str">
        <f>Schedule!DY63</f>
        <v>0</v>
      </c>
      <c r="DO61" s="177" t="str">
        <f>Schedule!DZ63</f>
        <v>0</v>
      </c>
      <c r="DP61" s="177" t="str">
        <f>Schedule!EA63</f>
        <v>0</v>
      </c>
      <c r="DQ61" s="177" t="str">
        <f>Schedule!EB63</f>
        <v>0</v>
      </c>
      <c r="DR61" s="177" t="str">
        <f>Schedule!EC63</f>
        <v>0</v>
      </c>
      <c r="DS61" s="178"/>
      <c r="DT61" s="177" t="str">
        <f>Schedule!ED63</f>
        <v>0</v>
      </c>
      <c r="DU61" s="177" t="str">
        <f>Schedule!EE63</f>
        <v>0</v>
      </c>
      <c r="DV61" s="177" t="str">
        <f>Schedule!EF63</f>
        <v>0</v>
      </c>
      <c r="DW61" s="177" t="str">
        <f>Schedule!EG63</f>
        <v>0</v>
      </c>
      <c r="DX61" s="177" t="str">
        <f>Schedule!EH63</f>
        <v>0</v>
      </c>
      <c r="DY61" s="177" t="str">
        <f>Schedule!EI63</f>
        <v>0</v>
      </c>
      <c r="DZ61" s="177" t="str">
        <f>Schedule!EJ63</f>
        <v>0</v>
      </c>
      <c r="EA61" s="177" t="str">
        <f>Schedule!EK63</f>
        <v>0</v>
      </c>
      <c r="EB61" s="177" t="str">
        <f>Schedule!EL63</f>
        <v>0</v>
      </c>
      <c r="EC61" s="178"/>
      <c r="ED61" s="177" t="str">
        <f>Schedule!EM63</f>
        <v>0</v>
      </c>
      <c r="EE61" s="177" t="str">
        <f>Schedule!EN63</f>
        <v>0</v>
      </c>
      <c r="EF61" s="177" t="str">
        <f>Schedule!EO63</f>
        <v>0</v>
      </c>
      <c r="EG61" s="177" t="str">
        <f>Schedule!EP63</f>
        <v>0</v>
      </c>
      <c r="EH61" s="177" t="str">
        <f>Schedule!EQ63</f>
        <v>0</v>
      </c>
      <c r="EI61" s="177" t="str">
        <f>Schedule!ER63</f>
        <v>0</v>
      </c>
      <c r="EJ61" s="177" t="str">
        <f>Schedule!ES63</f>
        <v>0</v>
      </c>
      <c r="EK61" s="177" t="str">
        <f>Schedule!ET63</f>
        <v>0</v>
      </c>
      <c r="EL61" s="177" t="str">
        <f>Schedule!EU63</f>
        <v>0</v>
      </c>
      <c r="EM61" s="178"/>
      <c r="EN61" s="177" t="str">
        <f>Schedule!EV63</f>
        <v>0</v>
      </c>
      <c r="EO61" s="177" t="str">
        <f>Schedule!EW63</f>
        <v>0</v>
      </c>
      <c r="EP61" s="177" t="str">
        <f>Schedule!EX63</f>
        <v>0</v>
      </c>
      <c r="EQ61" s="177" t="str">
        <f>Schedule!EY63</f>
        <v>0</v>
      </c>
      <c r="ER61" s="177" t="str">
        <f>Schedule!EZ63</f>
        <v>0</v>
      </c>
      <c r="ES61" s="177" t="str">
        <f>Schedule!FA63</f>
        <v>0</v>
      </c>
      <c r="ET61" s="177" t="str">
        <f>Schedule!FB63</f>
        <v>0</v>
      </c>
      <c r="EU61" s="177" t="str">
        <f>Schedule!FC63</f>
        <v>0</v>
      </c>
      <c r="EV61" s="177" t="str">
        <f>Schedule!FD63</f>
        <v>0</v>
      </c>
      <c r="EW61" s="178"/>
      <c r="EX61" s="177" t="str">
        <f>Schedule!FE63</f>
        <v>0</v>
      </c>
      <c r="EY61" s="177" t="str">
        <f>Schedule!FF63</f>
        <v>0</v>
      </c>
      <c r="EZ61" s="177" t="str">
        <f>Schedule!FG63</f>
        <v>0</v>
      </c>
      <c r="FA61" s="177" t="str">
        <f>Schedule!FH63</f>
        <v>0</v>
      </c>
      <c r="FB61" s="177" t="str">
        <f>Schedule!FI63</f>
        <v>0</v>
      </c>
      <c r="FC61" s="177" t="str">
        <f>Schedule!FJ63</f>
        <v>0</v>
      </c>
      <c r="FD61" s="177" t="str">
        <f>Schedule!FK63</f>
        <v>0</v>
      </c>
      <c r="FE61" s="177" t="str">
        <f>Schedule!FL63</f>
        <v>0</v>
      </c>
      <c r="FF61" s="177" t="str">
        <f>Schedule!FM63</f>
        <v>0</v>
      </c>
      <c r="FG61" s="178"/>
      <c r="FH61" s="177" t="str">
        <f>Schedule!FN63</f>
        <v>0</v>
      </c>
      <c r="FI61" s="177" t="str">
        <f>Schedule!FO63</f>
        <v>0</v>
      </c>
      <c r="FJ61" s="177" t="str">
        <f>Schedule!FP63</f>
        <v>0</v>
      </c>
      <c r="FK61" s="177" t="str">
        <f>Schedule!FQ63</f>
        <v>0</v>
      </c>
      <c r="FL61" s="177" t="str">
        <f>Schedule!FR63</f>
        <v>0</v>
      </c>
      <c r="FM61" s="177" t="str">
        <f>Schedule!FS63</f>
        <v>0</v>
      </c>
      <c r="FN61" s="177" t="str">
        <f>Schedule!FT63</f>
        <v>0</v>
      </c>
      <c r="FO61" s="177" t="str">
        <f>Schedule!FU63</f>
        <v>0</v>
      </c>
      <c r="FP61" s="177" t="str">
        <f>Schedule!FV63</f>
        <v>0</v>
      </c>
      <c r="FQ61" s="178"/>
      <c r="FR61" s="177" t="str">
        <f>Schedule!FW63</f>
        <v>0</v>
      </c>
      <c r="FS61" s="177" t="str">
        <f>Schedule!FX63</f>
        <v>0</v>
      </c>
      <c r="FT61" s="177" t="str">
        <f>Schedule!FY63</f>
        <v>0</v>
      </c>
      <c r="FU61" s="177" t="str">
        <f>Schedule!FZ63</f>
        <v>0</v>
      </c>
      <c r="FV61" s="177" t="str">
        <f>Schedule!GA63</f>
        <v>0</v>
      </c>
      <c r="FW61" s="177" t="str">
        <f>Schedule!GB63</f>
        <v>0</v>
      </c>
      <c r="FX61" s="177" t="str">
        <f>Schedule!GC63</f>
        <v>0</v>
      </c>
      <c r="FY61" s="177" t="str">
        <f>Schedule!GD63</f>
        <v>0</v>
      </c>
      <c r="FZ61" s="177" t="str">
        <f>Schedule!GE63</f>
        <v>0</v>
      </c>
      <c r="GA61" s="178"/>
      <c r="GB61" s="177" t="str">
        <f>Schedule!GF63</f>
        <v>0</v>
      </c>
      <c r="GC61" s="177" t="str">
        <f>Schedule!GG63</f>
        <v>0</v>
      </c>
      <c r="GD61" s="177" t="str">
        <f>Schedule!GH63</f>
        <v>0</v>
      </c>
      <c r="GE61" s="177" t="str">
        <f>Schedule!GI63</f>
        <v>0</v>
      </c>
      <c r="GF61" s="177" t="str">
        <f>Schedule!GJ63</f>
        <v>0</v>
      </c>
      <c r="GG61" s="177" t="str">
        <f>Schedule!GK63</f>
        <v>0</v>
      </c>
      <c r="GH61" s="177" t="str">
        <f>Schedule!GL63</f>
        <v>0</v>
      </c>
      <c r="GI61" s="177" t="str">
        <f>Schedule!GM63</f>
        <v>0</v>
      </c>
      <c r="GJ61" s="177" t="str">
        <f>Schedule!GN63</f>
        <v>0</v>
      </c>
      <c r="GK61" s="178"/>
      <c r="GL61" s="177" t="str">
        <f>Schedule!GO63</f>
        <v>0</v>
      </c>
      <c r="GM61" s="177" t="str">
        <f>Schedule!GP63</f>
        <v>0</v>
      </c>
      <c r="GN61" s="177" t="str">
        <f>Schedule!GQ63</f>
        <v>0</v>
      </c>
      <c r="GO61" s="177" t="str">
        <f>Schedule!GR63</f>
        <v>0</v>
      </c>
      <c r="GP61" s="177" t="str">
        <f>Schedule!GS63</f>
        <v>0</v>
      </c>
      <c r="GQ61" s="177" t="str">
        <f>Schedule!GT63</f>
        <v>0</v>
      </c>
      <c r="GR61" s="177" t="str">
        <f>Schedule!GU63</f>
        <v>0</v>
      </c>
      <c r="GS61" s="177" t="str">
        <f>Schedule!GV63</f>
        <v>0</v>
      </c>
      <c r="GT61" s="177" t="str">
        <f>Schedule!GW63</f>
        <v>0</v>
      </c>
    </row>
    <row r="62" spans="2:202" ht="18" hidden="1" customHeight="1">
      <c r="B62" s="269"/>
      <c r="C62" s="169">
        <f>Schedule!C64</f>
        <v>0</v>
      </c>
      <c r="D62" s="177" t="str">
        <f>Schedule!Z64</f>
        <v>0</v>
      </c>
      <c r="E62" s="177" t="str">
        <f>Schedule!AA64</f>
        <v>0</v>
      </c>
      <c r="F62" s="177" t="str">
        <f>Schedule!AB64</f>
        <v>0</v>
      </c>
      <c r="G62" s="177" t="str">
        <f>Schedule!AC64</f>
        <v>0</v>
      </c>
      <c r="H62" s="177" t="str">
        <f>Schedule!AD64</f>
        <v>0</v>
      </c>
      <c r="I62" s="177" t="str">
        <f>Schedule!AE64</f>
        <v>0</v>
      </c>
      <c r="J62" s="177" t="str">
        <f>Schedule!AF64</f>
        <v>0</v>
      </c>
      <c r="K62" s="182" t="str">
        <f>Schedule!AG64</f>
        <v>0</v>
      </c>
      <c r="L62" s="182" t="str">
        <f>Schedule!AH64</f>
        <v>0</v>
      </c>
      <c r="M62" s="178"/>
      <c r="N62" s="184" t="str">
        <f>Schedule!AI64</f>
        <v>0</v>
      </c>
      <c r="O62" s="177" t="str">
        <f>Schedule!AJ64</f>
        <v>0</v>
      </c>
      <c r="P62" s="177" t="str">
        <f>Schedule!AK64</f>
        <v>0</v>
      </c>
      <c r="Q62" s="177" t="str">
        <f>Schedule!AL64</f>
        <v>0</v>
      </c>
      <c r="R62" s="177" t="str">
        <f>Schedule!AM64</f>
        <v>0</v>
      </c>
      <c r="S62" s="177" t="str">
        <f>Schedule!AN64</f>
        <v>0</v>
      </c>
      <c r="T62" s="177" t="str">
        <f>Schedule!AO64</f>
        <v>0</v>
      </c>
      <c r="U62" s="177" t="str">
        <f>Schedule!AP64</f>
        <v>0</v>
      </c>
      <c r="V62" s="177" t="str">
        <f>Schedule!AQ64</f>
        <v>0</v>
      </c>
      <c r="W62" s="178"/>
      <c r="X62" s="177" t="str">
        <f>Schedule!AR64</f>
        <v>0</v>
      </c>
      <c r="Y62" s="177" t="str">
        <f>Schedule!AS64</f>
        <v>0</v>
      </c>
      <c r="Z62" s="177" t="str">
        <f>Schedule!AT64</f>
        <v>0</v>
      </c>
      <c r="AA62" s="177" t="str">
        <f>Schedule!AU64</f>
        <v>0</v>
      </c>
      <c r="AB62" s="177" t="str">
        <f>Schedule!AV64</f>
        <v>0</v>
      </c>
      <c r="AC62" s="177" t="str">
        <f>Schedule!AW64</f>
        <v>0</v>
      </c>
      <c r="AD62" s="177" t="str">
        <f>Schedule!AX64</f>
        <v>0</v>
      </c>
      <c r="AE62" s="177" t="str">
        <f>Schedule!AY64</f>
        <v>0</v>
      </c>
      <c r="AF62" s="177" t="str">
        <f>Schedule!AZ64</f>
        <v>0</v>
      </c>
      <c r="AG62" s="178"/>
      <c r="AH62" s="177" t="str">
        <f>Schedule!BA64</f>
        <v>0</v>
      </c>
      <c r="AI62" s="177" t="str">
        <f>Schedule!BB64</f>
        <v>0</v>
      </c>
      <c r="AJ62" s="177" t="str">
        <f>Schedule!BC64</f>
        <v>0</v>
      </c>
      <c r="AK62" s="177" t="str">
        <f>Schedule!BD64</f>
        <v>0</v>
      </c>
      <c r="AL62" s="177" t="str">
        <f>Schedule!BE64</f>
        <v>0</v>
      </c>
      <c r="AM62" s="177" t="str">
        <f>Schedule!BF64</f>
        <v>0</v>
      </c>
      <c r="AN62" s="177" t="str">
        <f>Schedule!BG64</f>
        <v>0</v>
      </c>
      <c r="AO62" s="177" t="str">
        <f>Schedule!BH64</f>
        <v>0</v>
      </c>
      <c r="AP62" s="177" t="str">
        <f>Schedule!BI64</f>
        <v>0</v>
      </c>
      <c r="AQ62" s="178"/>
      <c r="AR62" s="177" t="str">
        <f>Schedule!BJ64</f>
        <v>0</v>
      </c>
      <c r="AS62" s="177" t="str">
        <f>Schedule!BK64</f>
        <v>0</v>
      </c>
      <c r="AT62" s="177" t="str">
        <f>Schedule!BL64</f>
        <v>0</v>
      </c>
      <c r="AU62" s="177" t="str">
        <f>Schedule!BM64</f>
        <v>0</v>
      </c>
      <c r="AV62" s="177" t="str">
        <f>Schedule!BN64</f>
        <v>0</v>
      </c>
      <c r="AW62" s="177" t="str">
        <f>Schedule!BO64</f>
        <v>0</v>
      </c>
      <c r="AX62" s="177" t="str">
        <f>Schedule!BP64</f>
        <v>0</v>
      </c>
      <c r="AY62" s="177" t="str">
        <f>Schedule!BQ64</f>
        <v>0</v>
      </c>
      <c r="AZ62" s="177" t="str">
        <f>Schedule!BR64</f>
        <v>0</v>
      </c>
      <c r="BA62" s="178"/>
      <c r="BB62" s="177" t="str">
        <f>Schedule!BS64</f>
        <v>0</v>
      </c>
      <c r="BC62" s="177" t="str">
        <f>Schedule!BT64</f>
        <v>0</v>
      </c>
      <c r="BD62" s="177" t="str">
        <f>Schedule!BU64</f>
        <v>0</v>
      </c>
      <c r="BE62" s="177" t="str">
        <f>Schedule!BV64</f>
        <v>0</v>
      </c>
      <c r="BF62" s="177" t="str">
        <f>Schedule!BW64</f>
        <v>0</v>
      </c>
      <c r="BG62" s="177" t="str">
        <f>Schedule!BX64</f>
        <v>0</v>
      </c>
      <c r="BH62" s="177" t="str">
        <f>Schedule!BY64</f>
        <v>0</v>
      </c>
      <c r="BI62" s="177" t="str">
        <f>Schedule!BZ64</f>
        <v>0</v>
      </c>
      <c r="BJ62" s="177" t="str">
        <f>Schedule!CA64</f>
        <v>0</v>
      </c>
      <c r="BK62" s="178"/>
      <c r="BL62" s="177" t="str">
        <f>Schedule!CB64</f>
        <v>0</v>
      </c>
      <c r="BM62" s="177" t="str">
        <f>Schedule!CC64</f>
        <v>0</v>
      </c>
      <c r="BN62" s="177" t="str">
        <f>Schedule!CD64</f>
        <v>0</v>
      </c>
      <c r="BO62" s="177" t="str">
        <f>Schedule!CE64</f>
        <v>0</v>
      </c>
      <c r="BP62" s="177" t="str">
        <f>Schedule!CF64</f>
        <v>0</v>
      </c>
      <c r="BQ62" s="177" t="str">
        <f>Schedule!CG64</f>
        <v>0</v>
      </c>
      <c r="BR62" s="177" t="str">
        <f>Schedule!CH64</f>
        <v>0</v>
      </c>
      <c r="BS62" s="177" t="str">
        <f>Schedule!CI64</f>
        <v>0</v>
      </c>
      <c r="BT62" s="177" t="str">
        <f>Schedule!CJ64</f>
        <v>0</v>
      </c>
      <c r="BU62" s="178"/>
      <c r="BV62" s="177" t="str">
        <f>Schedule!CK64</f>
        <v>0</v>
      </c>
      <c r="BW62" s="177" t="str">
        <f>Schedule!CL64</f>
        <v>0</v>
      </c>
      <c r="BX62" s="177" t="str">
        <f>Schedule!CM64</f>
        <v>0</v>
      </c>
      <c r="BY62" s="177" t="str">
        <f>Schedule!CN64</f>
        <v>0</v>
      </c>
      <c r="BZ62" s="177" t="str">
        <f>Schedule!CO64</f>
        <v>0</v>
      </c>
      <c r="CA62" s="177" t="str">
        <f>Schedule!CP64</f>
        <v>0</v>
      </c>
      <c r="CB62" s="177" t="str">
        <f>Schedule!CQ64</f>
        <v>0</v>
      </c>
      <c r="CC62" s="177" t="str">
        <f>Schedule!CR64</f>
        <v>0</v>
      </c>
      <c r="CD62" s="177" t="str">
        <f>Schedule!CS64</f>
        <v>0</v>
      </c>
      <c r="CE62" s="178"/>
      <c r="CF62" s="177" t="str">
        <f>Schedule!CT64</f>
        <v>0</v>
      </c>
      <c r="CG62" s="177" t="str">
        <f>Schedule!CU64</f>
        <v>0</v>
      </c>
      <c r="CH62" s="177" t="str">
        <f>Schedule!CV64</f>
        <v>0</v>
      </c>
      <c r="CI62" s="177" t="str">
        <f>Schedule!CW64</f>
        <v>0</v>
      </c>
      <c r="CJ62" s="177" t="str">
        <f>Schedule!CX64</f>
        <v>0</v>
      </c>
      <c r="CK62" s="177" t="str">
        <f>Schedule!CY64</f>
        <v>0</v>
      </c>
      <c r="CL62" s="177" t="str">
        <f>Schedule!CZ64</f>
        <v>0</v>
      </c>
      <c r="CM62" s="177" t="str">
        <f>Schedule!DA64</f>
        <v>0</v>
      </c>
      <c r="CN62" s="177" t="str">
        <f>Schedule!DB64</f>
        <v>0</v>
      </c>
      <c r="CO62" s="178"/>
      <c r="CP62" s="177" t="str">
        <f>Schedule!DC64</f>
        <v>0</v>
      </c>
      <c r="CQ62" s="177" t="str">
        <f>Schedule!DD64</f>
        <v>0</v>
      </c>
      <c r="CR62" s="177" t="str">
        <f>Schedule!DE64</f>
        <v>0</v>
      </c>
      <c r="CS62" s="177" t="str">
        <f>Schedule!DF64</f>
        <v>0</v>
      </c>
      <c r="CT62" s="177" t="str">
        <f>Schedule!DG64</f>
        <v>0</v>
      </c>
      <c r="CU62" s="177" t="str">
        <f>Schedule!DH64</f>
        <v>0</v>
      </c>
      <c r="CV62" s="177" t="str">
        <f>Schedule!DI64</f>
        <v>0</v>
      </c>
      <c r="CW62" s="177" t="str">
        <f>Schedule!DJ64</f>
        <v>0</v>
      </c>
      <c r="CX62" s="177" t="str">
        <f>Schedule!DK64</f>
        <v>0</v>
      </c>
      <c r="CY62" s="178"/>
      <c r="CZ62" s="177" t="str">
        <f>Schedule!DL64</f>
        <v>0</v>
      </c>
      <c r="DA62" s="177" t="str">
        <f>Schedule!DM64</f>
        <v>0</v>
      </c>
      <c r="DB62" s="177" t="str">
        <f>Schedule!DN64</f>
        <v>0</v>
      </c>
      <c r="DC62" s="177" t="str">
        <f>Schedule!DO64</f>
        <v>0</v>
      </c>
      <c r="DD62" s="177" t="str">
        <f>Schedule!DP64</f>
        <v>0</v>
      </c>
      <c r="DE62" s="177" t="str">
        <f>Schedule!DQ64</f>
        <v>0</v>
      </c>
      <c r="DF62" s="177" t="str">
        <f>Schedule!DR64</f>
        <v>0</v>
      </c>
      <c r="DG62" s="177" t="str">
        <f>Schedule!DS64</f>
        <v>0</v>
      </c>
      <c r="DH62" s="177" t="str">
        <f>Schedule!DT64</f>
        <v>0</v>
      </c>
      <c r="DI62" s="178"/>
      <c r="DJ62" s="177" t="str">
        <f>Schedule!DU64</f>
        <v>0</v>
      </c>
      <c r="DK62" s="177" t="str">
        <f>Schedule!DV64</f>
        <v>0</v>
      </c>
      <c r="DL62" s="177" t="str">
        <f>Schedule!DW64</f>
        <v>0</v>
      </c>
      <c r="DM62" s="177" t="str">
        <f>Schedule!DX64</f>
        <v>0</v>
      </c>
      <c r="DN62" s="177" t="str">
        <f>Schedule!DY64</f>
        <v>0</v>
      </c>
      <c r="DO62" s="177" t="str">
        <f>Schedule!DZ64</f>
        <v>0</v>
      </c>
      <c r="DP62" s="177" t="str">
        <f>Schedule!EA64</f>
        <v>0</v>
      </c>
      <c r="DQ62" s="177" t="str">
        <f>Schedule!EB64</f>
        <v>0</v>
      </c>
      <c r="DR62" s="177" t="str">
        <f>Schedule!EC64</f>
        <v>0</v>
      </c>
      <c r="DS62" s="178"/>
      <c r="DT62" s="177" t="str">
        <f>Schedule!ED64</f>
        <v>0</v>
      </c>
      <c r="DU62" s="177" t="str">
        <f>Schedule!EE64</f>
        <v>0</v>
      </c>
      <c r="DV62" s="177" t="str">
        <f>Schedule!EF64</f>
        <v>0</v>
      </c>
      <c r="DW62" s="177" t="str">
        <f>Schedule!EG64</f>
        <v>0</v>
      </c>
      <c r="DX62" s="177" t="str">
        <f>Schedule!EH64</f>
        <v>0</v>
      </c>
      <c r="DY62" s="177" t="str">
        <f>Schedule!EI64</f>
        <v>0</v>
      </c>
      <c r="DZ62" s="177" t="str">
        <f>Schedule!EJ64</f>
        <v>0</v>
      </c>
      <c r="EA62" s="177" t="str">
        <f>Schedule!EK64</f>
        <v>0</v>
      </c>
      <c r="EB62" s="177" t="str">
        <f>Schedule!EL64</f>
        <v>0</v>
      </c>
      <c r="EC62" s="178"/>
      <c r="ED62" s="177" t="str">
        <f>Schedule!EM64</f>
        <v>0</v>
      </c>
      <c r="EE62" s="177" t="str">
        <f>Schedule!EN64</f>
        <v>0</v>
      </c>
      <c r="EF62" s="177" t="str">
        <f>Schedule!EO64</f>
        <v>0</v>
      </c>
      <c r="EG62" s="177" t="str">
        <f>Schedule!EP64</f>
        <v>0</v>
      </c>
      <c r="EH62" s="177" t="str">
        <f>Schedule!EQ64</f>
        <v>0</v>
      </c>
      <c r="EI62" s="177" t="str">
        <f>Schedule!ER64</f>
        <v>0</v>
      </c>
      <c r="EJ62" s="177" t="str">
        <f>Schedule!ES64</f>
        <v>0</v>
      </c>
      <c r="EK62" s="177" t="str">
        <f>Schedule!ET64</f>
        <v>0</v>
      </c>
      <c r="EL62" s="177" t="str">
        <f>Schedule!EU64</f>
        <v>0</v>
      </c>
      <c r="EM62" s="178"/>
      <c r="EN62" s="177" t="str">
        <f>Schedule!EV64</f>
        <v>0</v>
      </c>
      <c r="EO62" s="177" t="str">
        <f>Schedule!EW64</f>
        <v>0</v>
      </c>
      <c r="EP62" s="177" t="str">
        <f>Schedule!EX64</f>
        <v>0</v>
      </c>
      <c r="EQ62" s="177" t="str">
        <f>Schedule!EY64</f>
        <v>0</v>
      </c>
      <c r="ER62" s="177" t="str">
        <f>Schedule!EZ64</f>
        <v>0</v>
      </c>
      <c r="ES62" s="177" t="str">
        <f>Schedule!FA64</f>
        <v>0</v>
      </c>
      <c r="ET62" s="177" t="str">
        <f>Schedule!FB64</f>
        <v>0</v>
      </c>
      <c r="EU62" s="177" t="str">
        <f>Schedule!FC64</f>
        <v>0</v>
      </c>
      <c r="EV62" s="177" t="str">
        <f>Schedule!FD64</f>
        <v>0</v>
      </c>
      <c r="EW62" s="178"/>
      <c r="EX62" s="177" t="str">
        <f>Schedule!FE64</f>
        <v>0</v>
      </c>
      <c r="EY62" s="177" t="str">
        <f>Schedule!FF64</f>
        <v>0</v>
      </c>
      <c r="EZ62" s="177" t="str">
        <f>Schedule!FG64</f>
        <v>0</v>
      </c>
      <c r="FA62" s="177" t="str">
        <f>Schedule!FH64</f>
        <v>0</v>
      </c>
      <c r="FB62" s="177" t="str">
        <f>Schedule!FI64</f>
        <v>0</v>
      </c>
      <c r="FC62" s="177" t="str">
        <f>Schedule!FJ64</f>
        <v>0</v>
      </c>
      <c r="FD62" s="177" t="str">
        <f>Schedule!FK64</f>
        <v>0</v>
      </c>
      <c r="FE62" s="177" t="str">
        <f>Schedule!FL64</f>
        <v>0</v>
      </c>
      <c r="FF62" s="177" t="str">
        <f>Schedule!FM64</f>
        <v>0</v>
      </c>
      <c r="FG62" s="178"/>
      <c r="FH62" s="177" t="str">
        <f>Schedule!FN64</f>
        <v>0</v>
      </c>
      <c r="FI62" s="177" t="str">
        <f>Schedule!FO64</f>
        <v>0</v>
      </c>
      <c r="FJ62" s="177" t="str">
        <f>Schedule!FP64</f>
        <v>0</v>
      </c>
      <c r="FK62" s="177" t="str">
        <f>Schedule!FQ64</f>
        <v>0</v>
      </c>
      <c r="FL62" s="177" t="str">
        <f>Schedule!FR64</f>
        <v>0</v>
      </c>
      <c r="FM62" s="177" t="str">
        <f>Schedule!FS64</f>
        <v>0</v>
      </c>
      <c r="FN62" s="177" t="str">
        <f>Schedule!FT64</f>
        <v>0</v>
      </c>
      <c r="FO62" s="177" t="str">
        <f>Schedule!FU64</f>
        <v>0</v>
      </c>
      <c r="FP62" s="177" t="str">
        <f>Schedule!FV64</f>
        <v>0</v>
      </c>
      <c r="FQ62" s="178"/>
      <c r="FR62" s="177" t="str">
        <f>Schedule!FW64</f>
        <v>0</v>
      </c>
      <c r="FS62" s="177" t="str">
        <f>Schedule!FX64</f>
        <v>0</v>
      </c>
      <c r="FT62" s="177" t="str">
        <f>Schedule!FY64</f>
        <v>0</v>
      </c>
      <c r="FU62" s="177" t="str">
        <f>Schedule!FZ64</f>
        <v>0</v>
      </c>
      <c r="FV62" s="177" t="str">
        <f>Schedule!GA64</f>
        <v>0</v>
      </c>
      <c r="FW62" s="177" t="str">
        <f>Schedule!GB64</f>
        <v>0</v>
      </c>
      <c r="FX62" s="177" t="str">
        <f>Schedule!GC64</f>
        <v>0</v>
      </c>
      <c r="FY62" s="177" t="str">
        <f>Schedule!GD64</f>
        <v>0</v>
      </c>
      <c r="FZ62" s="177" t="str">
        <f>Schedule!GE64</f>
        <v>0</v>
      </c>
      <c r="GA62" s="178"/>
      <c r="GB62" s="177" t="str">
        <f>Schedule!GF64</f>
        <v>0</v>
      </c>
      <c r="GC62" s="177" t="str">
        <f>Schedule!GG64</f>
        <v>0</v>
      </c>
      <c r="GD62" s="177" t="str">
        <f>Schedule!GH64</f>
        <v>0</v>
      </c>
      <c r="GE62" s="177" t="str">
        <f>Schedule!GI64</f>
        <v>0</v>
      </c>
      <c r="GF62" s="177" t="str">
        <f>Schedule!GJ64</f>
        <v>0</v>
      </c>
      <c r="GG62" s="177" t="str">
        <f>Schedule!GK64</f>
        <v>0</v>
      </c>
      <c r="GH62" s="177" t="str">
        <f>Schedule!GL64</f>
        <v>0</v>
      </c>
      <c r="GI62" s="177" t="str">
        <f>Schedule!GM64</f>
        <v>0</v>
      </c>
      <c r="GJ62" s="177" t="str">
        <f>Schedule!GN64</f>
        <v>0</v>
      </c>
      <c r="GK62" s="178"/>
      <c r="GL62" s="177" t="str">
        <f>Schedule!GO64</f>
        <v>0</v>
      </c>
      <c r="GM62" s="177" t="str">
        <f>Schedule!GP64</f>
        <v>0</v>
      </c>
      <c r="GN62" s="177" t="str">
        <f>Schedule!GQ64</f>
        <v>0</v>
      </c>
      <c r="GO62" s="177" t="str">
        <f>Schedule!GR64</f>
        <v>0</v>
      </c>
      <c r="GP62" s="177" t="str">
        <f>Schedule!GS64</f>
        <v>0</v>
      </c>
      <c r="GQ62" s="177" t="str">
        <f>Schedule!GT64</f>
        <v>0</v>
      </c>
      <c r="GR62" s="177" t="str">
        <f>Schedule!GU64</f>
        <v>0</v>
      </c>
      <c r="GS62" s="177" t="str">
        <f>Schedule!GV64</f>
        <v>0</v>
      </c>
      <c r="GT62" s="177" t="str">
        <f>Schedule!GW64</f>
        <v>0</v>
      </c>
    </row>
    <row r="63" spans="2:202" ht="18" hidden="1" customHeight="1">
      <c r="B63" s="269"/>
      <c r="C63" s="169">
        <f>Schedule!C65</f>
        <v>0</v>
      </c>
      <c r="D63" s="177" t="str">
        <f>Schedule!Z65</f>
        <v>0</v>
      </c>
      <c r="E63" s="177" t="str">
        <f>Schedule!AA65</f>
        <v>0</v>
      </c>
      <c r="F63" s="177" t="str">
        <f>Schedule!AB65</f>
        <v>0</v>
      </c>
      <c r="G63" s="177" t="str">
        <f>Schedule!AC65</f>
        <v>0</v>
      </c>
      <c r="H63" s="177" t="str">
        <f>Schedule!AD65</f>
        <v>0</v>
      </c>
      <c r="I63" s="177" t="str">
        <f>Schedule!AE65</f>
        <v>0</v>
      </c>
      <c r="J63" s="177" t="str">
        <f>Schedule!AF65</f>
        <v>0</v>
      </c>
      <c r="K63" s="182" t="str">
        <f>Schedule!AG65</f>
        <v>0</v>
      </c>
      <c r="L63" s="182" t="str">
        <f>Schedule!AH65</f>
        <v>0</v>
      </c>
      <c r="M63" s="178"/>
      <c r="N63" s="184" t="str">
        <f>Schedule!AI65</f>
        <v>0</v>
      </c>
      <c r="O63" s="177" t="str">
        <f>Schedule!AJ65</f>
        <v>0</v>
      </c>
      <c r="P63" s="177" t="str">
        <f>Schedule!AK65</f>
        <v>0</v>
      </c>
      <c r="Q63" s="177" t="str">
        <f>Schedule!AL65</f>
        <v>0</v>
      </c>
      <c r="R63" s="177" t="str">
        <f>Schedule!AM65</f>
        <v>0</v>
      </c>
      <c r="S63" s="177" t="str">
        <f>Schedule!AN65</f>
        <v>0</v>
      </c>
      <c r="T63" s="177" t="str">
        <f>Schedule!AO65</f>
        <v>0</v>
      </c>
      <c r="U63" s="177" t="str">
        <f>Schedule!AP65</f>
        <v>0</v>
      </c>
      <c r="V63" s="177" t="str">
        <f>Schedule!AQ65</f>
        <v>0</v>
      </c>
      <c r="W63" s="178"/>
      <c r="X63" s="177" t="str">
        <f>Schedule!AR65</f>
        <v>0</v>
      </c>
      <c r="Y63" s="177" t="str">
        <f>Schedule!AS65</f>
        <v>0</v>
      </c>
      <c r="Z63" s="177" t="str">
        <f>Schedule!AT65</f>
        <v>0</v>
      </c>
      <c r="AA63" s="177" t="str">
        <f>Schedule!AU65</f>
        <v>0</v>
      </c>
      <c r="AB63" s="177" t="str">
        <f>Schedule!AV65</f>
        <v>0</v>
      </c>
      <c r="AC63" s="177" t="str">
        <f>Schedule!AW65</f>
        <v>0</v>
      </c>
      <c r="AD63" s="177" t="str">
        <f>Schedule!AX65</f>
        <v>0</v>
      </c>
      <c r="AE63" s="177" t="str">
        <f>Schedule!AY65</f>
        <v>0</v>
      </c>
      <c r="AF63" s="177" t="str">
        <f>Schedule!AZ65</f>
        <v>0</v>
      </c>
      <c r="AG63" s="178"/>
      <c r="AH63" s="177" t="str">
        <f>Schedule!BA65</f>
        <v>0</v>
      </c>
      <c r="AI63" s="177" t="str">
        <f>Schedule!BB65</f>
        <v>0</v>
      </c>
      <c r="AJ63" s="177" t="str">
        <f>Schedule!BC65</f>
        <v>0</v>
      </c>
      <c r="AK63" s="177" t="str">
        <f>Schedule!BD65</f>
        <v>0</v>
      </c>
      <c r="AL63" s="177" t="str">
        <f>Schedule!BE65</f>
        <v>0</v>
      </c>
      <c r="AM63" s="177" t="str">
        <f>Schedule!BF65</f>
        <v>0</v>
      </c>
      <c r="AN63" s="177" t="str">
        <f>Schedule!BG65</f>
        <v>0</v>
      </c>
      <c r="AO63" s="177" t="str">
        <f>Schedule!BH65</f>
        <v>0</v>
      </c>
      <c r="AP63" s="177" t="str">
        <f>Schedule!BI65</f>
        <v>0</v>
      </c>
      <c r="AQ63" s="178"/>
      <c r="AR63" s="177" t="str">
        <f>Schedule!BJ65</f>
        <v>0</v>
      </c>
      <c r="AS63" s="177" t="str">
        <f>Schedule!BK65</f>
        <v>0</v>
      </c>
      <c r="AT63" s="177" t="str">
        <f>Schedule!BL65</f>
        <v>0</v>
      </c>
      <c r="AU63" s="177" t="str">
        <f>Schedule!BM65</f>
        <v>0</v>
      </c>
      <c r="AV63" s="177" t="str">
        <f>Schedule!BN65</f>
        <v>0</v>
      </c>
      <c r="AW63" s="177" t="str">
        <f>Schedule!BO65</f>
        <v>0</v>
      </c>
      <c r="AX63" s="177" t="str">
        <f>Schedule!BP65</f>
        <v>0</v>
      </c>
      <c r="AY63" s="177" t="str">
        <f>Schedule!BQ65</f>
        <v>0</v>
      </c>
      <c r="AZ63" s="177" t="str">
        <f>Schedule!BR65</f>
        <v>0</v>
      </c>
      <c r="BA63" s="178"/>
      <c r="BB63" s="177" t="str">
        <f>Schedule!BS65</f>
        <v>0</v>
      </c>
      <c r="BC63" s="177" t="str">
        <f>Schedule!BT65</f>
        <v>0</v>
      </c>
      <c r="BD63" s="177" t="str">
        <f>Schedule!BU65</f>
        <v>0</v>
      </c>
      <c r="BE63" s="177" t="str">
        <f>Schedule!BV65</f>
        <v>0</v>
      </c>
      <c r="BF63" s="177" t="str">
        <f>Schedule!BW65</f>
        <v>0</v>
      </c>
      <c r="BG63" s="177" t="str">
        <f>Schedule!BX65</f>
        <v>0</v>
      </c>
      <c r="BH63" s="177" t="str">
        <f>Schedule!BY65</f>
        <v>0</v>
      </c>
      <c r="BI63" s="177" t="str">
        <f>Schedule!BZ65</f>
        <v>0</v>
      </c>
      <c r="BJ63" s="177" t="str">
        <f>Schedule!CA65</f>
        <v>0</v>
      </c>
      <c r="BK63" s="178"/>
      <c r="BL63" s="177" t="str">
        <f>Schedule!CB65</f>
        <v>0</v>
      </c>
      <c r="BM63" s="177" t="str">
        <f>Schedule!CC65</f>
        <v>0</v>
      </c>
      <c r="BN63" s="177" t="str">
        <f>Schedule!CD65</f>
        <v>0</v>
      </c>
      <c r="BO63" s="177" t="str">
        <f>Schedule!CE65</f>
        <v>0</v>
      </c>
      <c r="BP63" s="177" t="str">
        <f>Schedule!CF65</f>
        <v>0</v>
      </c>
      <c r="BQ63" s="177" t="str">
        <f>Schedule!CG65</f>
        <v>0</v>
      </c>
      <c r="BR63" s="177" t="str">
        <f>Schedule!CH65</f>
        <v>0</v>
      </c>
      <c r="BS63" s="177" t="str">
        <f>Schedule!CI65</f>
        <v>0</v>
      </c>
      <c r="BT63" s="177" t="str">
        <f>Schedule!CJ65</f>
        <v>0</v>
      </c>
      <c r="BU63" s="178"/>
      <c r="BV63" s="177" t="str">
        <f>Schedule!CK65</f>
        <v>0</v>
      </c>
      <c r="BW63" s="177" t="str">
        <f>Schedule!CL65</f>
        <v>0</v>
      </c>
      <c r="BX63" s="177" t="str">
        <f>Schedule!CM65</f>
        <v>0</v>
      </c>
      <c r="BY63" s="177" t="str">
        <f>Schedule!CN65</f>
        <v>0</v>
      </c>
      <c r="BZ63" s="177" t="str">
        <f>Schedule!CO65</f>
        <v>0</v>
      </c>
      <c r="CA63" s="177" t="str">
        <f>Schedule!CP65</f>
        <v>0</v>
      </c>
      <c r="CB63" s="177" t="str">
        <f>Schedule!CQ65</f>
        <v>0</v>
      </c>
      <c r="CC63" s="177" t="str">
        <f>Schedule!CR65</f>
        <v>0</v>
      </c>
      <c r="CD63" s="177" t="str">
        <f>Schedule!CS65</f>
        <v>0</v>
      </c>
      <c r="CE63" s="178"/>
      <c r="CF63" s="177" t="str">
        <f>Schedule!CT65</f>
        <v>0</v>
      </c>
      <c r="CG63" s="177" t="str">
        <f>Schedule!CU65</f>
        <v>0</v>
      </c>
      <c r="CH63" s="177" t="str">
        <f>Schedule!CV65</f>
        <v>0</v>
      </c>
      <c r="CI63" s="177" t="str">
        <f>Schedule!CW65</f>
        <v>0</v>
      </c>
      <c r="CJ63" s="177" t="str">
        <f>Schedule!CX65</f>
        <v>0</v>
      </c>
      <c r="CK63" s="177" t="str">
        <f>Schedule!CY65</f>
        <v>0</v>
      </c>
      <c r="CL63" s="177" t="str">
        <f>Schedule!CZ65</f>
        <v>0</v>
      </c>
      <c r="CM63" s="177" t="str">
        <f>Schedule!DA65</f>
        <v>0</v>
      </c>
      <c r="CN63" s="177" t="str">
        <f>Schedule!DB65</f>
        <v>0</v>
      </c>
      <c r="CO63" s="178"/>
      <c r="CP63" s="177" t="str">
        <f>Schedule!DC65</f>
        <v>0</v>
      </c>
      <c r="CQ63" s="177" t="str">
        <f>Schedule!DD65</f>
        <v>0</v>
      </c>
      <c r="CR63" s="177" t="str">
        <f>Schedule!DE65</f>
        <v>0</v>
      </c>
      <c r="CS63" s="177" t="str">
        <f>Schedule!DF65</f>
        <v>0</v>
      </c>
      <c r="CT63" s="177" t="str">
        <f>Schedule!DG65</f>
        <v>0</v>
      </c>
      <c r="CU63" s="177" t="str">
        <f>Schedule!DH65</f>
        <v>0</v>
      </c>
      <c r="CV63" s="177" t="str">
        <f>Schedule!DI65</f>
        <v>0</v>
      </c>
      <c r="CW63" s="177" t="str">
        <f>Schedule!DJ65</f>
        <v>0</v>
      </c>
      <c r="CX63" s="177" t="str">
        <f>Schedule!DK65</f>
        <v>0</v>
      </c>
      <c r="CY63" s="178"/>
      <c r="CZ63" s="177" t="str">
        <f>Schedule!DL65</f>
        <v>0</v>
      </c>
      <c r="DA63" s="177" t="str">
        <f>Schedule!DM65</f>
        <v>0</v>
      </c>
      <c r="DB63" s="177" t="str">
        <f>Schedule!DN65</f>
        <v>0</v>
      </c>
      <c r="DC63" s="177" t="str">
        <f>Schedule!DO65</f>
        <v>0</v>
      </c>
      <c r="DD63" s="177" t="str">
        <f>Schedule!DP65</f>
        <v>0</v>
      </c>
      <c r="DE63" s="177" t="str">
        <f>Schedule!DQ65</f>
        <v>0</v>
      </c>
      <c r="DF63" s="177" t="str">
        <f>Schedule!DR65</f>
        <v>0</v>
      </c>
      <c r="DG63" s="177" t="str">
        <f>Schedule!DS65</f>
        <v>0</v>
      </c>
      <c r="DH63" s="177" t="str">
        <f>Schedule!DT65</f>
        <v>0</v>
      </c>
      <c r="DI63" s="178"/>
      <c r="DJ63" s="177" t="str">
        <f>Schedule!DU65</f>
        <v>0</v>
      </c>
      <c r="DK63" s="177" t="str">
        <f>Schedule!DV65</f>
        <v>0</v>
      </c>
      <c r="DL63" s="177" t="str">
        <f>Schedule!DW65</f>
        <v>0</v>
      </c>
      <c r="DM63" s="177" t="str">
        <f>Schedule!DX65</f>
        <v>0</v>
      </c>
      <c r="DN63" s="177" t="str">
        <f>Schedule!DY65</f>
        <v>0</v>
      </c>
      <c r="DO63" s="177" t="str">
        <f>Schedule!DZ65</f>
        <v>0</v>
      </c>
      <c r="DP63" s="177" t="str">
        <f>Schedule!EA65</f>
        <v>0</v>
      </c>
      <c r="DQ63" s="177" t="str">
        <f>Schedule!EB65</f>
        <v>0</v>
      </c>
      <c r="DR63" s="177" t="str">
        <f>Schedule!EC65</f>
        <v>0</v>
      </c>
      <c r="DS63" s="178"/>
      <c r="DT63" s="177" t="str">
        <f>Schedule!ED65</f>
        <v>0</v>
      </c>
      <c r="DU63" s="177" t="str">
        <f>Schedule!EE65</f>
        <v>0</v>
      </c>
      <c r="DV63" s="177" t="str">
        <f>Schedule!EF65</f>
        <v>0</v>
      </c>
      <c r="DW63" s="177" t="str">
        <f>Schedule!EG65</f>
        <v>0</v>
      </c>
      <c r="DX63" s="177" t="str">
        <f>Schedule!EH65</f>
        <v>0</v>
      </c>
      <c r="DY63" s="177" t="str">
        <f>Schedule!EI65</f>
        <v>0</v>
      </c>
      <c r="DZ63" s="177" t="str">
        <f>Schedule!EJ65</f>
        <v>0</v>
      </c>
      <c r="EA63" s="177" t="str">
        <f>Schedule!EK65</f>
        <v>0</v>
      </c>
      <c r="EB63" s="177" t="str">
        <f>Schedule!EL65</f>
        <v>0</v>
      </c>
      <c r="EC63" s="178"/>
      <c r="ED63" s="177" t="str">
        <f>Schedule!EM65</f>
        <v>0</v>
      </c>
      <c r="EE63" s="177" t="str">
        <f>Schedule!EN65</f>
        <v>0</v>
      </c>
      <c r="EF63" s="177" t="str">
        <f>Schedule!EO65</f>
        <v>0</v>
      </c>
      <c r="EG63" s="177" t="str">
        <f>Schedule!EP65</f>
        <v>0</v>
      </c>
      <c r="EH63" s="177" t="str">
        <f>Schedule!EQ65</f>
        <v>0</v>
      </c>
      <c r="EI63" s="177" t="str">
        <f>Schedule!ER65</f>
        <v>0</v>
      </c>
      <c r="EJ63" s="177" t="str">
        <f>Schedule!ES65</f>
        <v>0</v>
      </c>
      <c r="EK63" s="177" t="str">
        <f>Schedule!ET65</f>
        <v>0</v>
      </c>
      <c r="EL63" s="177" t="str">
        <f>Schedule!EU65</f>
        <v>0</v>
      </c>
      <c r="EM63" s="178"/>
      <c r="EN63" s="177" t="str">
        <f>Schedule!EV65</f>
        <v>0</v>
      </c>
      <c r="EO63" s="177" t="str">
        <f>Schedule!EW65</f>
        <v>0</v>
      </c>
      <c r="EP63" s="177" t="str">
        <f>Schedule!EX65</f>
        <v>0</v>
      </c>
      <c r="EQ63" s="177" t="str">
        <f>Schedule!EY65</f>
        <v>0</v>
      </c>
      <c r="ER63" s="177" t="str">
        <f>Schedule!EZ65</f>
        <v>0</v>
      </c>
      <c r="ES63" s="177" t="str">
        <f>Schedule!FA65</f>
        <v>0</v>
      </c>
      <c r="ET63" s="177" t="str">
        <f>Schedule!FB65</f>
        <v>0</v>
      </c>
      <c r="EU63" s="177" t="str">
        <f>Schedule!FC65</f>
        <v>0</v>
      </c>
      <c r="EV63" s="177" t="str">
        <f>Schedule!FD65</f>
        <v>0</v>
      </c>
      <c r="EW63" s="178"/>
      <c r="EX63" s="177" t="str">
        <f>Schedule!FE65</f>
        <v>0</v>
      </c>
      <c r="EY63" s="177" t="str">
        <f>Schedule!FF65</f>
        <v>0</v>
      </c>
      <c r="EZ63" s="177" t="str">
        <f>Schedule!FG65</f>
        <v>0</v>
      </c>
      <c r="FA63" s="177" t="str">
        <f>Schedule!FH65</f>
        <v>0</v>
      </c>
      <c r="FB63" s="177" t="str">
        <f>Schedule!FI65</f>
        <v>0</v>
      </c>
      <c r="FC63" s="177" t="str">
        <f>Schedule!FJ65</f>
        <v>0</v>
      </c>
      <c r="FD63" s="177" t="str">
        <f>Schedule!FK65</f>
        <v>0</v>
      </c>
      <c r="FE63" s="177" t="str">
        <f>Schedule!FL65</f>
        <v>0</v>
      </c>
      <c r="FF63" s="177" t="str">
        <f>Schedule!FM65</f>
        <v>0</v>
      </c>
      <c r="FG63" s="178"/>
      <c r="FH63" s="177" t="str">
        <f>Schedule!FN65</f>
        <v>0</v>
      </c>
      <c r="FI63" s="177" t="str">
        <f>Schedule!FO65</f>
        <v>0</v>
      </c>
      <c r="FJ63" s="177" t="str">
        <f>Schedule!FP65</f>
        <v>0</v>
      </c>
      <c r="FK63" s="177" t="str">
        <f>Schedule!FQ65</f>
        <v>0</v>
      </c>
      <c r="FL63" s="177" t="str">
        <f>Schedule!FR65</f>
        <v>0</v>
      </c>
      <c r="FM63" s="177" t="str">
        <f>Schedule!FS65</f>
        <v>0</v>
      </c>
      <c r="FN63" s="177" t="str">
        <f>Schedule!FT65</f>
        <v>0</v>
      </c>
      <c r="FO63" s="177" t="str">
        <f>Schedule!FU65</f>
        <v>0</v>
      </c>
      <c r="FP63" s="177" t="str">
        <f>Schedule!FV65</f>
        <v>0</v>
      </c>
      <c r="FQ63" s="178"/>
      <c r="FR63" s="177" t="str">
        <f>Schedule!FW65</f>
        <v>0</v>
      </c>
      <c r="FS63" s="177" t="str">
        <f>Schedule!FX65</f>
        <v>0</v>
      </c>
      <c r="FT63" s="177" t="str">
        <f>Schedule!FY65</f>
        <v>0</v>
      </c>
      <c r="FU63" s="177" t="str">
        <f>Schedule!FZ65</f>
        <v>0</v>
      </c>
      <c r="FV63" s="177" t="str">
        <f>Schedule!GA65</f>
        <v>0</v>
      </c>
      <c r="FW63" s="177" t="str">
        <f>Schedule!GB65</f>
        <v>0</v>
      </c>
      <c r="FX63" s="177" t="str">
        <f>Schedule!GC65</f>
        <v>0</v>
      </c>
      <c r="FY63" s="177" t="str">
        <f>Schedule!GD65</f>
        <v>0</v>
      </c>
      <c r="FZ63" s="177" t="str">
        <f>Schedule!GE65</f>
        <v>0</v>
      </c>
      <c r="GA63" s="178"/>
      <c r="GB63" s="177" t="str">
        <f>Schedule!GF65</f>
        <v>0</v>
      </c>
      <c r="GC63" s="177" t="str">
        <f>Schedule!GG65</f>
        <v>0</v>
      </c>
      <c r="GD63" s="177" t="str">
        <f>Schedule!GH65</f>
        <v>0</v>
      </c>
      <c r="GE63" s="177" t="str">
        <f>Schedule!GI65</f>
        <v>0</v>
      </c>
      <c r="GF63" s="177" t="str">
        <f>Schedule!GJ65</f>
        <v>0</v>
      </c>
      <c r="GG63" s="177" t="str">
        <f>Schedule!GK65</f>
        <v>0</v>
      </c>
      <c r="GH63" s="177" t="str">
        <f>Schedule!GL65</f>
        <v>0</v>
      </c>
      <c r="GI63" s="177" t="str">
        <f>Schedule!GM65</f>
        <v>0</v>
      </c>
      <c r="GJ63" s="177" t="str">
        <f>Schedule!GN65</f>
        <v>0</v>
      </c>
      <c r="GK63" s="178"/>
      <c r="GL63" s="177" t="str">
        <f>Schedule!GO65</f>
        <v>0</v>
      </c>
      <c r="GM63" s="177" t="str">
        <f>Schedule!GP65</f>
        <v>0</v>
      </c>
      <c r="GN63" s="177" t="str">
        <f>Schedule!GQ65</f>
        <v>0</v>
      </c>
      <c r="GO63" s="177" t="str">
        <f>Schedule!GR65</f>
        <v>0</v>
      </c>
      <c r="GP63" s="177" t="str">
        <f>Schedule!GS65</f>
        <v>0</v>
      </c>
      <c r="GQ63" s="177" t="str">
        <f>Schedule!GT65</f>
        <v>0</v>
      </c>
      <c r="GR63" s="177" t="str">
        <f>Schedule!GU65</f>
        <v>0</v>
      </c>
      <c r="GS63" s="177" t="str">
        <f>Schedule!GV65</f>
        <v>0</v>
      </c>
      <c r="GT63" s="177" t="str">
        <f>Schedule!GW65</f>
        <v>0</v>
      </c>
    </row>
    <row r="64" spans="2:202" ht="18" hidden="1" customHeight="1">
      <c r="B64" s="272"/>
      <c r="C64" s="169">
        <f>Schedule!C66</f>
        <v>0</v>
      </c>
      <c r="D64" s="177" t="str">
        <f>Schedule!Z66</f>
        <v>0</v>
      </c>
      <c r="E64" s="177" t="str">
        <f>Schedule!AA66</f>
        <v>0</v>
      </c>
      <c r="F64" s="177" t="str">
        <f>Schedule!AB66</f>
        <v>0</v>
      </c>
      <c r="G64" s="177" t="str">
        <f>Schedule!AC66</f>
        <v>0</v>
      </c>
      <c r="H64" s="177" t="str">
        <f>Schedule!AD66</f>
        <v>0</v>
      </c>
      <c r="I64" s="177" t="str">
        <f>Schedule!AE66</f>
        <v>0</v>
      </c>
      <c r="J64" s="177" t="str">
        <f>Schedule!AF66</f>
        <v>0</v>
      </c>
      <c r="K64" s="182" t="str">
        <f>Schedule!AG66</f>
        <v>0</v>
      </c>
      <c r="L64" s="182" t="str">
        <f>Schedule!AH66</f>
        <v>0</v>
      </c>
      <c r="M64" s="178"/>
      <c r="N64" s="184" t="str">
        <f>Schedule!AI66</f>
        <v>0</v>
      </c>
      <c r="O64" s="177" t="str">
        <f>Schedule!AJ66</f>
        <v>0</v>
      </c>
      <c r="P64" s="177" t="str">
        <f>Schedule!AK66</f>
        <v>0</v>
      </c>
      <c r="Q64" s="177" t="str">
        <f>Schedule!AL66</f>
        <v>0</v>
      </c>
      <c r="R64" s="177" t="str">
        <f>Schedule!AM66</f>
        <v>0</v>
      </c>
      <c r="S64" s="177" t="str">
        <f>Schedule!AN66</f>
        <v>0</v>
      </c>
      <c r="T64" s="177" t="str">
        <f>Schedule!AO66</f>
        <v>0</v>
      </c>
      <c r="U64" s="177" t="str">
        <f>Schedule!AP66</f>
        <v>0</v>
      </c>
      <c r="V64" s="177" t="str">
        <f>Schedule!AQ66</f>
        <v>0</v>
      </c>
      <c r="W64" s="178"/>
      <c r="X64" s="177" t="str">
        <f>Schedule!AR66</f>
        <v>0</v>
      </c>
      <c r="Y64" s="177" t="str">
        <f>Schedule!AS66</f>
        <v>0</v>
      </c>
      <c r="Z64" s="177" t="str">
        <f>Schedule!AT66</f>
        <v>0</v>
      </c>
      <c r="AA64" s="177" t="str">
        <f>Schedule!AU66</f>
        <v>0</v>
      </c>
      <c r="AB64" s="177" t="str">
        <f>Schedule!AV66</f>
        <v>0</v>
      </c>
      <c r="AC64" s="177" t="str">
        <f>Schedule!AW66</f>
        <v>0</v>
      </c>
      <c r="AD64" s="177" t="str">
        <f>Schedule!AX66</f>
        <v>0</v>
      </c>
      <c r="AE64" s="177" t="str">
        <f>Schedule!AY66</f>
        <v>0</v>
      </c>
      <c r="AF64" s="177" t="str">
        <f>Schedule!AZ66</f>
        <v>0</v>
      </c>
      <c r="AG64" s="178"/>
      <c r="AH64" s="177" t="str">
        <f>Schedule!BA66</f>
        <v>0</v>
      </c>
      <c r="AI64" s="177" t="str">
        <f>Schedule!BB66</f>
        <v>0</v>
      </c>
      <c r="AJ64" s="177" t="str">
        <f>Schedule!BC66</f>
        <v>0</v>
      </c>
      <c r="AK64" s="177" t="str">
        <f>Schedule!BD66</f>
        <v>0</v>
      </c>
      <c r="AL64" s="177" t="str">
        <f>Schedule!BE66</f>
        <v>0</v>
      </c>
      <c r="AM64" s="177" t="str">
        <f>Schedule!BF66</f>
        <v>0</v>
      </c>
      <c r="AN64" s="177" t="str">
        <f>Schedule!BG66</f>
        <v>0</v>
      </c>
      <c r="AO64" s="177" t="str">
        <f>Schedule!BH66</f>
        <v>0</v>
      </c>
      <c r="AP64" s="177" t="str">
        <f>Schedule!BI66</f>
        <v>0</v>
      </c>
      <c r="AQ64" s="178"/>
      <c r="AR64" s="177" t="str">
        <f>Schedule!BJ66</f>
        <v>0</v>
      </c>
      <c r="AS64" s="177" t="str">
        <f>Schedule!BK66</f>
        <v>0</v>
      </c>
      <c r="AT64" s="177" t="str">
        <f>Schedule!BL66</f>
        <v>0</v>
      </c>
      <c r="AU64" s="177" t="str">
        <f>Schedule!BM66</f>
        <v>0</v>
      </c>
      <c r="AV64" s="177" t="str">
        <f>Schedule!BN66</f>
        <v>0</v>
      </c>
      <c r="AW64" s="177" t="str">
        <f>Schedule!BO66</f>
        <v>0</v>
      </c>
      <c r="AX64" s="177" t="str">
        <f>Schedule!BP66</f>
        <v>0</v>
      </c>
      <c r="AY64" s="177" t="str">
        <f>Schedule!BQ66</f>
        <v>0</v>
      </c>
      <c r="AZ64" s="177" t="str">
        <f>Schedule!BR66</f>
        <v>0</v>
      </c>
      <c r="BA64" s="178"/>
      <c r="BB64" s="177" t="str">
        <f>Schedule!BS66</f>
        <v>0</v>
      </c>
      <c r="BC64" s="177" t="str">
        <f>Schedule!BT66</f>
        <v>0</v>
      </c>
      <c r="BD64" s="177" t="str">
        <f>Schedule!BU66</f>
        <v>0</v>
      </c>
      <c r="BE64" s="177" t="str">
        <f>Schedule!BV66</f>
        <v>0</v>
      </c>
      <c r="BF64" s="177" t="str">
        <f>Schedule!BW66</f>
        <v>0</v>
      </c>
      <c r="BG64" s="177" t="str">
        <f>Schedule!BX66</f>
        <v>0</v>
      </c>
      <c r="BH64" s="177" t="str">
        <f>Schedule!BY66</f>
        <v>0</v>
      </c>
      <c r="BI64" s="177" t="str">
        <f>Schedule!BZ66</f>
        <v>0</v>
      </c>
      <c r="BJ64" s="177" t="str">
        <f>Schedule!CA66</f>
        <v>0</v>
      </c>
      <c r="BK64" s="178"/>
      <c r="BL64" s="177" t="str">
        <f>Schedule!CB66</f>
        <v>0</v>
      </c>
      <c r="BM64" s="177" t="str">
        <f>Schedule!CC66</f>
        <v>0</v>
      </c>
      <c r="BN64" s="177" t="str">
        <f>Schedule!CD66</f>
        <v>0</v>
      </c>
      <c r="BO64" s="177" t="str">
        <f>Schedule!CE66</f>
        <v>0</v>
      </c>
      <c r="BP64" s="177" t="str">
        <f>Schedule!CF66</f>
        <v>0</v>
      </c>
      <c r="BQ64" s="177" t="str">
        <f>Schedule!CG66</f>
        <v>0</v>
      </c>
      <c r="BR64" s="177" t="str">
        <f>Schedule!CH66</f>
        <v>0</v>
      </c>
      <c r="BS64" s="177" t="str">
        <f>Schedule!CI66</f>
        <v>0</v>
      </c>
      <c r="BT64" s="177" t="str">
        <f>Schedule!CJ66</f>
        <v>0</v>
      </c>
      <c r="BU64" s="178"/>
      <c r="BV64" s="177" t="str">
        <f>Schedule!CK66</f>
        <v>0</v>
      </c>
      <c r="BW64" s="177" t="str">
        <f>Schedule!CL66</f>
        <v>0</v>
      </c>
      <c r="BX64" s="177" t="str">
        <f>Schedule!CM66</f>
        <v>0</v>
      </c>
      <c r="BY64" s="177" t="str">
        <f>Schedule!CN66</f>
        <v>0</v>
      </c>
      <c r="BZ64" s="177" t="str">
        <f>Schedule!CO66</f>
        <v>0</v>
      </c>
      <c r="CA64" s="177" t="str">
        <f>Schedule!CP66</f>
        <v>0</v>
      </c>
      <c r="CB64" s="177" t="str">
        <f>Schedule!CQ66</f>
        <v>0</v>
      </c>
      <c r="CC64" s="177" t="str">
        <f>Schedule!CR66</f>
        <v>0</v>
      </c>
      <c r="CD64" s="177" t="str">
        <f>Schedule!CS66</f>
        <v>0</v>
      </c>
      <c r="CE64" s="178"/>
      <c r="CF64" s="177" t="str">
        <f>Schedule!CT66</f>
        <v>0</v>
      </c>
      <c r="CG64" s="177" t="str">
        <f>Schedule!CU66</f>
        <v>0</v>
      </c>
      <c r="CH64" s="177" t="str">
        <f>Schedule!CV66</f>
        <v>0</v>
      </c>
      <c r="CI64" s="177" t="str">
        <f>Schedule!CW66</f>
        <v>0</v>
      </c>
      <c r="CJ64" s="177" t="str">
        <f>Schedule!CX66</f>
        <v>0</v>
      </c>
      <c r="CK64" s="177" t="str">
        <f>Schedule!CY66</f>
        <v>0</v>
      </c>
      <c r="CL64" s="177" t="str">
        <f>Schedule!CZ66</f>
        <v>0</v>
      </c>
      <c r="CM64" s="177" t="str">
        <f>Schedule!DA66</f>
        <v>0</v>
      </c>
      <c r="CN64" s="177" t="str">
        <f>Schedule!DB66</f>
        <v>0</v>
      </c>
      <c r="CO64" s="178"/>
      <c r="CP64" s="177" t="str">
        <f>Schedule!DC66</f>
        <v>0</v>
      </c>
      <c r="CQ64" s="177" t="str">
        <f>Schedule!DD66</f>
        <v>0</v>
      </c>
      <c r="CR64" s="177" t="str">
        <f>Schedule!DE66</f>
        <v>0</v>
      </c>
      <c r="CS64" s="177" t="str">
        <f>Schedule!DF66</f>
        <v>0</v>
      </c>
      <c r="CT64" s="177" t="str">
        <f>Schedule!DG66</f>
        <v>0</v>
      </c>
      <c r="CU64" s="177" t="str">
        <f>Schedule!DH66</f>
        <v>0</v>
      </c>
      <c r="CV64" s="177" t="str">
        <f>Schedule!DI66</f>
        <v>0</v>
      </c>
      <c r="CW64" s="177" t="str">
        <f>Schedule!DJ66</f>
        <v>0</v>
      </c>
      <c r="CX64" s="177" t="str">
        <f>Schedule!DK66</f>
        <v>0</v>
      </c>
      <c r="CY64" s="178"/>
      <c r="CZ64" s="177" t="str">
        <f>Schedule!DL66</f>
        <v>0</v>
      </c>
      <c r="DA64" s="177" t="str">
        <f>Schedule!DM66</f>
        <v>0</v>
      </c>
      <c r="DB64" s="177" t="str">
        <f>Schedule!DN66</f>
        <v>0</v>
      </c>
      <c r="DC64" s="177" t="str">
        <f>Schedule!DO66</f>
        <v>0</v>
      </c>
      <c r="DD64" s="177" t="str">
        <f>Schedule!DP66</f>
        <v>0</v>
      </c>
      <c r="DE64" s="177" t="str">
        <f>Schedule!DQ66</f>
        <v>0</v>
      </c>
      <c r="DF64" s="177" t="str">
        <f>Schedule!DR66</f>
        <v>0</v>
      </c>
      <c r="DG64" s="177" t="str">
        <f>Schedule!DS66</f>
        <v>0</v>
      </c>
      <c r="DH64" s="177" t="str">
        <f>Schedule!DT66</f>
        <v>0</v>
      </c>
      <c r="DI64" s="178"/>
      <c r="DJ64" s="177" t="str">
        <f>Schedule!DU66</f>
        <v>0</v>
      </c>
      <c r="DK64" s="177" t="str">
        <f>Schedule!DV66</f>
        <v>0</v>
      </c>
      <c r="DL64" s="177" t="str">
        <f>Schedule!DW66</f>
        <v>0</v>
      </c>
      <c r="DM64" s="177" t="str">
        <f>Schedule!DX66</f>
        <v>0</v>
      </c>
      <c r="DN64" s="177" t="str">
        <f>Schedule!DY66</f>
        <v>0</v>
      </c>
      <c r="DO64" s="177" t="str">
        <f>Schedule!DZ66</f>
        <v>0</v>
      </c>
      <c r="DP64" s="177" t="str">
        <f>Schedule!EA66</f>
        <v>0</v>
      </c>
      <c r="DQ64" s="177" t="str">
        <f>Schedule!EB66</f>
        <v>0</v>
      </c>
      <c r="DR64" s="177" t="str">
        <f>Schedule!EC66</f>
        <v>0</v>
      </c>
      <c r="DS64" s="178"/>
      <c r="DT64" s="177" t="str">
        <f>Schedule!ED66</f>
        <v>0</v>
      </c>
      <c r="DU64" s="177" t="str">
        <f>Schedule!EE66</f>
        <v>0</v>
      </c>
      <c r="DV64" s="177" t="str">
        <f>Schedule!EF66</f>
        <v>0</v>
      </c>
      <c r="DW64" s="177" t="str">
        <f>Schedule!EG66</f>
        <v>0</v>
      </c>
      <c r="DX64" s="177" t="str">
        <f>Schedule!EH66</f>
        <v>0</v>
      </c>
      <c r="DY64" s="177" t="str">
        <f>Schedule!EI66</f>
        <v>0</v>
      </c>
      <c r="DZ64" s="177" t="str">
        <f>Schedule!EJ66</f>
        <v>0</v>
      </c>
      <c r="EA64" s="177" t="str">
        <f>Schedule!EK66</f>
        <v>0</v>
      </c>
      <c r="EB64" s="177" t="str">
        <f>Schedule!EL66</f>
        <v>0</v>
      </c>
      <c r="EC64" s="178"/>
      <c r="ED64" s="177" t="str">
        <f>Schedule!EM66</f>
        <v>0</v>
      </c>
      <c r="EE64" s="177" t="str">
        <f>Schedule!EN66</f>
        <v>0</v>
      </c>
      <c r="EF64" s="177" t="str">
        <f>Schedule!EO66</f>
        <v>0</v>
      </c>
      <c r="EG64" s="177" t="str">
        <f>Schedule!EP66</f>
        <v>0</v>
      </c>
      <c r="EH64" s="177" t="str">
        <f>Schedule!EQ66</f>
        <v>0</v>
      </c>
      <c r="EI64" s="177" t="str">
        <f>Schedule!ER66</f>
        <v>0</v>
      </c>
      <c r="EJ64" s="177" t="str">
        <f>Schedule!ES66</f>
        <v>0</v>
      </c>
      <c r="EK64" s="177" t="str">
        <f>Schedule!ET66</f>
        <v>0</v>
      </c>
      <c r="EL64" s="177" t="str">
        <f>Schedule!EU66</f>
        <v>0</v>
      </c>
      <c r="EM64" s="178"/>
      <c r="EN64" s="177" t="str">
        <f>Schedule!EV66</f>
        <v>0</v>
      </c>
      <c r="EO64" s="177" t="str">
        <f>Schedule!EW66</f>
        <v>0</v>
      </c>
      <c r="EP64" s="177" t="str">
        <f>Schedule!EX66</f>
        <v>0</v>
      </c>
      <c r="EQ64" s="177" t="str">
        <f>Schedule!EY66</f>
        <v>0</v>
      </c>
      <c r="ER64" s="177" t="str">
        <f>Schedule!EZ66</f>
        <v>0</v>
      </c>
      <c r="ES64" s="177" t="str">
        <f>Schedule!FA66</f>
        <v>0</v>
      </c>
      <c r="ET64" s="177" t="str">
        <f>Schedule!FB66</f>
        <v>0</v>
      </c>
      <c r="EU64" s="177" t="str">
        <f>Schedule!FC66</f>
        <v>0</v>
      </c>
      <c r="EV64" s="177" t="str">
        <f>Schedule!FD66</f>
        <v>0</v>
      </c>
      <c r="EW64" s="178"/>
      <c r="EX64" s="177" t="str">
        <f>Schedule!FE66</f>
        <v>0</v>
      </c>
      <c r="EY64" s="177" t="str">
        <f>Schedule!FF66</f>
        <v>0</v>
      </c>
      <c r="EZ64" s="177" t="str">
        <f>Schedule!FG66</f>
        <v>0</v>
      </c>
      <c r="FA64" s="177" t="str">
        <f>Schedule!FH66</f>
        <v>0</v>
      </c>
      <c r="FB64" s="177" t="str">
        <f>Schedule!FI66</f>
        <v>0</v>
      </c>
      <c r="FC64" s="177" t="str">
        <f>Schedule!FJ66</f>
        <v>0</v>
      </c>
      <c r="FD64" s="177" t="str">
        <f>Schedule!FK66</f>
        <v>0</v>
      </c>
      <c r="FE64" s="177" t="str">
        <f>Schedule!FL66</f>
        <v>0</v>
      </c>
      <c r="FF64" s="177" t="str">
        <f>Schedule!FM66</f>
        <v>0</v>
      </c>
      <c r="FG64" s="178"/>
      <c r="FH64" s="177" t="str">
        <f>Schedule!FN66</f>
        <v>0</v>
      </c>
      <c r="FI64" s="177" t="str">
        <f>Schedule!FO66</f>
        <v>0</v>
      </c>
      <c r="FJ64" s="177" t="str">
        <f>Schedule!FP66</f>
        <v>0</v>
      </c>
      <c r="FK64" s="177" t="str">
        <f>Schedule!FQ66</f>
        <v>0</v>
      </c>
      <c r="FL64" s="177" t="str">
        <f>Schedule!FR66</f>
        <v>0</v>
      </c>
      <c r="FM64" s="177" t="str">
        <f>Schedule!FS66</f>
        <v>0</v>
      </c>
      <c r="FN64" s="177" t="str">
        <f>Schedule!FT66</f>
        <v>0</v>
      </c>
      <c r="FO64" s="177" t="str">
        <f>Schedule!FU66</f>
        <v>0</v>
      </c>
      <c r="FP64" s="177" t="str">
        <f>Schedule!FV66</f>
        <v>0</v>
      </c>
      <c r="FQ64" s="178"/>
      <c r="FR64" s="177" t="str">
        <f>Schedule!FW66</f>
        <v>0</v>
      </c>
      <c r="FS64" s="177" t="str">
        <f>Schedule!FX66</f>
        <v>0</v>
      </c>
      <c r="FT64" s="177" t="str">
        <f>Schedule!FY66</f>
        <v>0</v>
      </c>
      <c r="FU64" s="177" t="str">
        <f>Schedule!FZ66</f>
        <v>0</v>
      </c>
      <c r="FV64" s="177" t="str">
        <f>Schedule!GA66</f>
        <v>0</v>
      </c>
      <c r="FW64" s="177" t="str">
        <f>Schedule!GB66</f>
        <v>0</v>
      </c>
      <c r="FX64" s="177" t="str">
        <f>Schedule!GC66</f>
        <v>0</v>
      </c>
      <c r="FY64" s="177" t="str">
        <f>Schedule!GD66</f>
        <v>0</v>
      </c>
      <c r="FZ64" s="177" t="str">
        <f>Schedule!GE66</f>
        <v>0</v>
      </c>
      <c r="GA64" s="178"/>
      <c r="GB64" s="177" t="str">
        <f>Schedule!GF66</f>
        <v>0</v>
      </c>
      <c r="GC64" s="177" t="str">
        <f>Schedule!GG66</f>
        <v>0</v>
      </c>
      <c r="GD64" s="177" t="str">
        <f>Schedule!GH66</f>
        <v>0</v>
      </c>
      <c r="GE64" s="177" t="str">
        <f>Schedule!GI66</f>
        <v>0</v>
      </c>
      <c r="GF64" s="177" t="str">
        <f>Schedule!GJ66</f>
        <v>0</v>
      </c>
      <c r="GG64" s="177" t="str">
        <f>Schedule!GK66</f>
        <v>0</v>
      </c>
      <c r="GH64" s="177" t="str">
        <f>Schedule!GL66</f>
        <v>0</v>
      </c>
      <c r="GI64" s="177" t="str">
        <f>Schedule!GM66</f>
        <v>0</v>
      </c>
      <c r="GJ64" s="177" t="str">
        <f>Schedule!GN66</f>
        <v>0</v>
      </c>
      <c r="GK64" s="178"/>
      <c r="GL64" s="177" t="str">
        <f>Schedule!GO66</f>
        <v>0</v>
      </c>
      <c r="GM64" s="177" t="str">
        <f>Schedule!GP66</f>
        <v>0</v>
      </c>
      <c r="GN64" s="177" t="str">
        <f>Schedule!GQ66</f>
        <v>0</v>
      </c>
      <c r="GO64" s="177" t="str">
        <f>Schedule!GR66</f>
        <v>0</v>
      </c>
      <c r="GP64" s="177" t="str">
        <f>Schedule!GS66</f>
        <v>0</v>
      </c>
      <c r="GQ64" s="177" t="str">
        <f>Schedule!GT66</f>
        <v>0</v>
      </c>
      <c r="GR64" s="177" t="str">
        <f>Schedule!GU66</f>
        <v>0</v>
      </c>
      <c r="GS64" s="177" t="str">
        <f>Schedule!GV66</f>
        <v>0</v>
      </c>
      <c r="GT64" s="177" t="str">
        <f>Schedule!GW66</f>
        <v>0</v>
      </c>
    </row>
    <row r="65" spans="1:203" ht="5.65" customHeight="1">
      <c r="A65" s="167"/>
      <c r="B65" s="170"/>
      <c r="C65" s="171"/>
      <c r="D65" s="178"/>
      <c r="E65" s="178"/>
      <c r="F65" s="178"/>
      <c r="G65" s="178"/>
      <c r="H65" s="178"/>
      <c r="I65" s="178"/>
      <c r="J65" s="178"/>
      <c r="K65" s="179"/>
      <c r="L65" s="179"/>
      <c r="M65" s="178"/>
      <c r="N65" s="180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  <c r="CO65" s="178"/>
      <c r="CP65" s="178"/>
      <c r="CQ65" s="178"/>
      <c r="CR65" s="178"/>
      <c r="CS65" s="178"/>
      <c r="CT65" s="178"/>
      <c r="CU65" s="178"/>
      <c r="CV65" s="178"/>
      <c r="CW65" s="178"/>
      <c r="CX65" s="178"/>
      <c r="CY65" s="178"/>
      <c r="CZ65" s="178"/>
      <c r="DA65" s="178"/>
      <c r="DB65" s="178"/>
      <c r="DC65" s="178"/>
      <c r="DD65" s="178"/>
      <c r="DE65" s="178"/>
      <c r="DF65" s="178"/>
      <c r="DG65" s="178"/>
      <c r="DH65" s="178"/>
      <c r="DI65" s="178"/>
      <c r="DJ65" s="178"/>
      <c r="DK65" s="178"/>
      <c r="DL65" s="178"/>
      <c r="DM65" s="178"/>
      <c r="DN65" s="178"/>
      <c r="DO65" s="178"/>
      <c r="DP65" s="178"/>
      <c r="DQ65" s="178"/>
      <c r="DR65" s="178"/>
      <c r="DS65" s="178"/>
      <c r="DT65" s="178"/>
      <c r="DU65" s="178"/>
      <c r="DV65" s="178"/>
      <c r="DW65" s="178"/>
      <c r="DX65" s="178"/>
      <c r="DY65" s="178"/>
      <c r="DZ65" s="178"/>
      <c r="EA65" s="178"/>
      <c r="EB65" s="178"/>
      <c r="EC65" s="178"/>
      <c r="ED65" s="178"/>
      <c r="EE65" s="178"/>
      <c r="EF65" s="178"/>
      <c r="EG65" s="178"/>
      <c r="EH65" s="178"/>
      <c r="EI65" s="178"/>
      <c r="EJ65" s="178"/>
      <c r="EK65" s="178"/>
      <c r="EL65" s="178"/>
      <c r="EM65" s="178"/>
      <c r="EN65" s="178"/>
      <c r="EO65" s="178"/>
      <c r="EP65" s="178"/>
      <c r="EQ65" s="178"/>
      <c r="ER65" s="178"/>
      <c r="ES65" s="178"/>
      <c r="ET65" s="178"/>
      <c r="EU65" s="178"/>
      <c r="EV65" s="178"/>
      <c r="EW65" s="178"/>
      <c r="EX65" s="178"/>
      <c r="EY65" s="178"/>
      <c r="EZ65" s="178"/>
      <c r="FA65" s="178"/>
      <c r="FB65" s="178"/>
      <c r="FC65" s="178"/>
      <c r="FD65" s="178"/>
      <c r="FE65" s="178"/>
      <c r="FF65" s="178"/>
      <c r="FG65" s="178"/>
      <c r="FH65" s="178"/>
      <c r="FI65" s="178"/>
      <c r="FJ65" s="178"/>
      <c r="FK65" s="178"/>
      <c r="FL65" s="178"/>
      <c r="FM65" s="178"/>
      <c r="FN65" s="178"/>
      <c r="FO65" s="178"/>
      <c r="FP65" s="178"/>
      <c r="FQ65" s="178"/>
      <c r="FR65" s="178"/>
      <c r="FS65" s="178"/>
      <c r="FT65" s="178"/>
      <c r="FU65" s="178"/>
      <c r="FV65" s="178"/>
      <c r="FW65" s="178"/>
      <c r="FX65" s="178"/>
      <c r="FY65" s="178"/>
      <c r="FZ65" s="178"/>
      <c r="GA65" s="178"/>
      <c r="GB65" s="178"/>
      <c r="GC65" s="178"/>
      <c r="GD65" s="178"/>
      <c r="GE65" s="178"/>
      <c r="GF65" s="178"/>
      <c r="GG65" s="178"/>
      <c r="GH65" s="178"/>
      <c r="GI65" s="178"/>
      <c r="GJ65" s="178"/>
      <c r="GK65" s="178"/>
      <c r="GL65" s="178"/>
      <c r="GM65" s="178"/>
      <c r="GN65" s="178"/>
      <c r="GO65" s="178"/>
      <c r="GP65" s="178"/>
      <c r="GQ65" s="178"/>
      <c r="GR65" s="178"/>
      <c r="GS65" s="178"/>
      <c r="GT65" s="178"/>
      <c r="GU65" s="168"/>
    </row>
    <row r="66" spans="1:203" ht="18" customHeight="1">
      <c r="B66" s="268" t="s">
        <v>63</v>
      </c>
      <c r="C66" s="159">
        <f>Schedule!C68</f>
        <v>0</v>
      </c>
      <c r="D66" s="176" t="str">
        <f>Schedule!Z68</f>
        <v>0</v>
      </c>
      <c r="E66" s="176" t="str">
        <f>Schedule!AA68</f>
        <v>0</v>
      </c>
      <c r="F66" s="176" t="str">
        <f>Schedule!AB68</f>
        <v>0</v>
      </c>
      <c r="G66" s="176" t="str">
        <f>Schedule!AC68</f>
        <v>0</v>
      </c>
      <c r="H66" s="176" t="str">
        <f>Schedule!AD68</f>
        <v>0</v>
      </c>
      <c r="I66" s="176" t="str">
        <f>Schedule!AE68</f>
        <v>0</v>
      </c>
      <c r="J66" s="176" t="str">
        <f>Schedule!AF68</f>
        <v>0</v>
      </c>
      <c r="K66" s="181" t="str">
        <f>Schedule!AG68</f>
        <v>0</v>
      </c>
      <c r="L66" s="181" t="str">
        <f>Schedule!AH68</f>
        <v>0</v>
      </c>
      <c r="M66" s="178"/>
      <c r="N66" s="183" t="str">
        <f>Schedule!AI68</f>
        <v>0</v>
      </c>
      <c r="O66" s="176" t="str">
        <f>Schedule!AJ68</f>
        <v>0</v>
      </c>
      <c r="P66" s="176" t="str">
        <f>Schedule!AK68</f>
        <v>0</v>
      </c>
      <c r="Q66" s="176" t="str">
        <f>Schedule!AL68</f>
        <v>0</v>
      </c>
      <c r="R66" s="176" t="str">
        <f>Schedule!AM68</f>
        <v>0</v>
      </c>
      <c r="S66" s="176" t="str">
        <f>Schedule!AN68</f>
        <v>0</v>
      </c>
      <c r="T66" s="176" t="str">
        <f>Schedule!AO68</f>
        <v>0</v>
      </c>
      <c r="U66" s="176" t="str">
        <f>Schedule!AP68</f>
        <v>0</v>
      </c>
      <c r="V66" s="176" t="str">
        <f>Schedule!AQ68</f>
        <v>0</v>
      </c>
      <c r="W66" s="178"/>
      <c r="X66" s="176" t="str">
        <f>Schedule!AR68</f>
        <v>0</v>
      </c>
      <c r="Y66" s="176" t="str">
        <f>Schedule!AS68</f>
        <v>0</v>
      </c>
      <c r="Z66" s="176" t="str">
        <f>Schedule!AT68</f>
        <v>0</v>
      </c>
      <c r="AA66" s="176" t="str">
        <f>Schedule!AU68</f>
        <v>0</v>
      </c>
      <c r="AB66" s="176" t="str">
        <f>Schedule!AV68</f>
        <v>0</v>
      </c>
      <c r="AC66" s="176" t="str">
        <f>Schedule!AW68</f>
        <v>0</v>
      </c>
      <c r="AD66" s="176" t="str">
        <f>Schedule!AX68</f>
        <v>0</v>
      </c>
      <c r="AE66" s="176" t="str">
        <f>Schedule!AY68</f>
        <v>0</v>
      </c>
      <c r="AF66" s="176" t="str">
        <f>Schedule!AZ68</f>
        <v>0</v>
      </c>
      <c r="AG66" s="178"/>
      <c r="AH66" s="176" t="str">
        <f>Schedule!BA68</f>
        <v>0</v>
      </c>
      <c r="AI66" s="176" t="str">
        <f>Schedule!BB68</f>
        <v>0</v>
      </c>
      <c r="AJ66" s="176" t="str">
        <f>Schedule!BC68</f>
        <v>0</v>
      </c>
      <c r="AK66" s="176" t="str">
        <f>Schedule!BD68</f>
        <v>0</v>
      </c>
      <c r="AL66" s="176" t="str">
        <f>Schedule!BE68</f>
        <v>0</v>
      </c>
      <c r="AM66" s="176" t="str">
        <f>Schedule!BF68</f>
        <v>0</v>
      </c>
      <c r="AN66" s="176" t="str">
        <f>Schedule!BG68</f>
        <v>0</v>
      </c>
      <c r="AO66" s="176" t="str">
        <f>Schedule!BH68</f>
        <v>0</v>
      </c>
      <c r="AP66" s="176" t="str">
        <f>Schedule!BI68</f>
        <v>0</v>
      </c>
      <c r="AQ66" s="178"/>
      <c r="AR66" s="176" t="str">
        <f>Schedule!BJ68</f>
        <v>0</v>
      </c>
      <c r="AS66" s="176" t="str">
        <f>Schedule!BK68</f>
        <v>0</v>
      </c>
      <c r="AT66" s="176" t="str">
        <f>Schedule!BL68</f>
        <v>0</v>
      </c>
      <c r="AU66" s="176" t="str">
        <f>Schedule!BM68</f>
        <v>0</v>
      </c>
      <c r="AV66" s="176" t="str">
        <f>Schedule!BN68</f>
        <v>0</v>
      </c>
      <c r="AW66" s="176" t="str">
        <f>Schedule!BO68</f>
        <v>0</v>
      </c>
      <c r="AX66" s="176" t="str">
        <f>Schedule!BP68</f>
        <v>0</v>
      </c>
      <c r="AY66" s="176" t="str">
        <f>Schedule!BQ68</f>
        <v>0</v>
      </c>
      <c r="AZ66" s="176" t="str">
        <f>Schedule!BR68</f>
        <v>0</v>
      </c>
      <c r="BA66" s="178"/>
      <c r="BB66" s="176" t="str">
        <f>Schedule!BS68</f>
        <v>0</v>
      </c>
      <c r="BC66" s="176" t="str">
        <f>Schedule!BT68</f>
        <v>0</v>
      </c>
      <c r="BD66" s="176" t="str">
        <f>Schedule!BU68</f>
        <v>0</v>
      </c>
      <c r="BE66" s="176" t="str">
        <f>Schedule!BV68</f>
        <v>0</v>
      </c>
      <c r="BF66" s="176" t="str">
        <f>Schedule!BW68</f>
        <v>0</v>
      </c>
      <c r="BG66" s="176" t="str">
        <f>Schedule!BX68</f>
        <v>0</v>
      </c>
      <c r="BH66" s="176" t="str">
        <f>Schedule!BY68</f>
        <v>0</v>
      </c>
      <c r="BI66" s="176" t="str">
        <f>Schedule!BZ68</f>
        <v>0</v>
      </c>
      <c r="BJ66" s="176" t="str">
        <f>Schedule!CA68</f>
        <v>0</v>
      </c>
      <c r="BK66" s="178"/>
      <c r="BL66" s="176" t="str">
        <f>Schedule!CB68</f>
        <v>0</v>
      </c>
      <c r="BM66" s="176" t="str">
        <f>Schedule!CC68</f>
        <v>0</v>
      </c>
      <c r="BN66" s="176" t="str">
        <f>Schedule!CD68</f>
        <v>0</v>
      </c>
      <c r="BO66" s="176" t="str">
        <f>Schedule!CE68</f>
        <v>0</v>
      </c>
      <c r="BP66" s="176" t="str">
        <f>Schedule!CF68</f>
        <v>0</v>
      </c>
      <c r="BQ66" s="176" t="str">
        <f>Schedule!CG68</f>
        <v>0</v>
      </c>
      <c r="BR66" s="176" t="str">
        <f>Schedule!CH68</f>
        <v>0</v>
      </c>
      <c r="BS66" s="176" t="str">
        <f>Schedule!CI68</f>
        <v>0</v>
      </c>
      <c r="BT66" s="176" t="str">
        <f>Schedule!CJ68</f>
        <v>0</v>
      </c>
      <c r="BU66" s="178"/>
      <c r="BV66" s="176" t="str">
        <f>Schedule!CK68</f>
        <v>0</v>
      </c>
      <c r="BW66" s="176" t="str">
        <f>Schedule!CL68</f>
        <v>0</v>
      </c>
      <c r="BX66" s="176" t="str">
        <f>Schedule!CM68</f>
        <v>0</v>
      </c>
      <c r="BY66" s="176" t="str">
        <f>Schedule!CN68</f>
        <v>0</v>
      </c>
      <c r="BZ66" s="176" t="str">
        <f>Schedule!CO68</f>
        <v>0</v>
      </c>
      <c r="CA66" s="176" t="str">
        <f>Schedule!CP68</f>
        <v>0</v>
      </c>
      <c r="CB66" s="176" t="str">
        <f>Schedule!CQ68</f>
        <v>0</v>
      </c>
      <c r="CC66" s="176" t="str">
        <f>Schedule!CR68</f>
        <v>0</v>
      </c>
      <c r="CD66" s="176" t="str">
        <f>Schedule!CS68</f>
        <v>0</v>
      </c>
      <c r="CE66" s="178"/>
      <c r="CF66" s="176" t="str">
        <f>Schedule!CT68</f>
        <v>0</v>
      </c>
      <c r="CG66" s="176" t="str">
        <f>Schedule!CU68</f>
        <v>0</v>
      </c>
      <c r="CH66" s="176" t="str">
        <f>Schedule!CV68</f>
        <v>0</v>
      </c>
      <c r="CI66" s="176" t="str">
        <f>Schedule!CW68</f>
        <v>0</v>
      </c>
      <c r="CJ66" s="176" t="str">
        <f>Schedule!CX68</f>
        <v>0</v>
      </c>
      <c r="CK66" s="176" t="str">
        <f>Schedule!CY68</f>
        <v>0</v>
      </c>
      <c r="CL66" s="176" t="str">
        <f>Schedule!CZ68</f>
        <v>0</v>
      </c>
      <c r="CM66" s="176" t="str">
        <f>Schedule!DA68</f>
        <v>0</v>
      </c>
      <c r="CN66" s="176" t="str">
        <f>Schedule!DB68</f>
        <v>0</v>
      </c>
      <c r="CO66" s="178"/>
      <c r="CP66" s="176" t="str">
        <f>Schedule!DC68</f>
        <v>0</v>
      </c>
      <c r="CQ66" s="176" t="str">
        <f>Schedule!DD68</f>
        <v>0</v>
      </c>
      <c r="CR66" s="176" t="str">
        <f>Schedule!DE68</f>
        <v>0</v>
      </c>
      <c r="CS66" s="176" t="str">
        <f>Schedule!DF68</f>
        <v>0</v>
      </c>
      <c r="CT66" s="176" t="str">
        <f>Schedule!DG68</f>
        <v>0</v>
      </c>
      <c r="CU66" s="176" t="str">
        <f>Schedule!DH68</f>
        <v>0</v>
      </c>
      <c r="CV66" s="176" t="str">
        <f>Schedule!DI68</f>
        <v>0</v>
      </c>
      <c r="CW66" s="176" t="str">
        <f>Schedule!DJ68</f>
        <v>0</v>
      </c>
      <c r="CX66" s="176" t="str">
        <f>Schedule!DK68</f>
        <v>0</v>
      </c>
      <c r="CY66" s="178"/>
      <c r="CZ66" s="176" t="str">
        <f>Schedule!DL68</f>
        <v>0</v>
      </c>
      <c r="DA66" s="176" t="str">
        <f>Schedule!DM68</f>
        <v>0</v>
      </c>
      <c r="DB66" s="176" t="str">
        <f>Schedule!DN68</f>
        <v>0</v>
      </c>
      <c r="DC66" s="176" t="str">
        <f>Schedule!DO68</f>
        <v>0</v>
      </c>
      <c r="DD66" s="176" t="str">
        <f>Schedule!DP68</f>
        <v>0</v>
      </c>
      <c r="DE66" s="176" t="str">
        <f>Schedule!DQ68</f>
        <v>0</v>
      </c>
      <c r="DF66" s="176" t="str">
        <f>Schedule!DR68</f>
        <v>0</v>
      </c>
      <c r="DG66" s="176" t="str">
        <f>Schedule!DS68</f>
        <v>0</v>
      </c>
      <c r="DH66" s="176" t="str">
        <f>Schedule!DT68</f>
        <v>0</v>
      </c>
      <c r="DI66" s="178"/>
      <c r="DJ66" s="176" t="str">
        <f>Schedule!DU68</f>
        <v>0</v>
      </c>
      <c r="DK66" s="176" t="str">
        <f>Schedule!DV68</f>
        <v>0</v>
      </c>
      <c r="DL66" s="176" t="str">
        <f>Schedule!DW68</f>
        <v>0</v>
      </c>
      <c r="DM66" s="176" t="str">
        <f>Schedule!DX68</f>
        <v>0</v>
      </c>
      <c r="DN66" s="176" t="str">
        <f>Schedule!DY68</f>
        <v>0</v>
      </c>
      <c r="DO66" s="176" t="str">
        <f>Schedule!DZ68</f>
        <v>0</v>
      </c>
      <c r="DP66" s="176" t="str">
        <f>Schedule!EA68</f>
        <v>0</v>
      </c>
      <c r="DQ66" s="176" t="str">
        <f>Schedule!EB68</f>
        <v>0</v>
      </c>
      <c r="DR66" s="176" t="str">
        <f>Schedule!EC68</f>
        <v>0</v>
      </c>
      <c r="DS66" s="178"/>
      <c r="DT66" s="176" t="str">
        <f>Schedule!ED68</f>
        <v>0</v>
      </c>
      <c r="DU66" s="176" t="str">
        <f>Schedule!EE68</f>
        <v>0</v>
      </c>
      <c r="DV66" s="176" t="str">
        <f>Schedule!EF68</f>
        <v>0</v>
      </c>
      <c r="DW66" s="176" t="str">
        <f>Schedule!EG68</f>
        <v>0</v>
      </c>
      <c r="DX66" s="176" t="str">
        <f>Schedule!EH68</f>
        <v>0</v>
      </c>
      <c r="DY66" s="176" t="str">
        <f>Schedule!EI68</f>
        <v>0</v>
      </c>
      <c r="DZ66" s="176" t="str">
        <f>Schedule!EJ68</f>
        <v>0</v>
      </c>
      <c r="EA66" s="176" t="str">
        <f>Schedule!EK68</f>
        <v>0</v>
      </c>
      <c r="EB66" s="176" t="str">
        <f>Schedule!EL68</f>
        <v>0</v>
      </c>
      <c r="EC66" s="178"/>
      <c r="ED66" s="176" t="str">
        <f>Schedule!EM68</f>
        <v>0</v>
      </c>
      <c r="EE66" s="176" t="str">
        <f>Schedule!EN68</f>
        <v>0</v>
      </c>
      <c r="EF66" s="176" t="str">
        <f>Schedule!EO68</f>
        <v>0</v>
      </c>
      <c r="EG66" s="176" t="str">
        <f>Schedule!EP68</f>
        <v>0</v>
      </c>
      <c r="EH66" s="176" t="str">
        <f>Schedule!EQ68</f>
        <v>0</v>
      </c>
      <c r="EI66" s="176" t="str">
        <f>Schedule!ER68</f>
        <v>0</v>
      </c>
      <c r="EJ66" s="176" t="str">
        <f>Schedule!ES68</f>
        <v>0</v>
      </c>
      <c r="EK66" s="176" t="str">
        <f>Schedule!ET68</f>
        <v>0</v>
      </c>
      <c r="EL66" s="176" t="str">
        <f>Schedule!EU68</f>
        <v>0</v>
      </c>
      <c r="EM66" s="178"/>
      <c r="EN66" s="176" t="str">
        <f>Schedule!EV68</f>
        <v>0</v>
      </c>
      <c r="EO66" s="176" t="str">
        <f>Schedule!EW68</f>
        <v>0</v>
      </c>
      <c r="EP66" s="176" t="str">
        <f>Schedule!EX68</f>
        <v>0</v>
      </c>
      <c r="EQ66" s="176" t="str">
        <f>Schedule!EY68</f>
        <v>0</v>
      </c>
      <c r="ER66" s="176" t="str">
        <f>Schedule!EZ68</f>
        <v>0</v>
      </c>
      <c r="ES66" s="176" t="str">
        <f>Schedule!FA68</f>
        <v>0</v>
      </c>
      <c r="ET66" s="176" t="str">
        <f>Schedule!FB68</f>
        <v>0</v>
      </c>
      <c r="EU66" s="176" t="str">
        <f>Schedule!FC68</f>
        <v>0</v>
      </c>
      <c r="EV66" s="176" t="str">
        <f>Schedule!FD68</f>
        <v>0</v>
      </c>
      <c r="EW66" s="178"/>
      <c r="EX66" s="176" t="str">
        <f>Schedule!FE68</f>
        <v>0</v>
      </c>
      <c r="EY66" s="176" t="str">
        <f>Schedule!FF68</f>
        <v>0</v>
      </c>
      <c r="EZ66" s="176" t="str">
        <f>Schedule!FG68</f>
        <v>0</v>
      </c>
      <c r="FA66" s="176" t="str">
        <f>Schedule!FH68</f>
        <v>0</v>
      </c>
      <c r="FB66" s="176" t="str">
        <f>Schedule!FI68</f>
        <v>0</v>
      </c>
      <c r="FC66" s="176" t="str">
        <f>Schedule!FJ68</f>
        <v>0</v>
      </c>
      <c r="FD66" s="176" t="str">
        <f>Schedule!FK68</f>
        <v>0</v>
      </c>
      <c r="FE66" s="176" t="str">
        <f>Schedule!FL68</f>
        <v>0</v>
      </c>
      <c r="FF66" s="176" t="str">
        <f>Schedule!FM68</f>
        <v>0</v>
      </c>
      <c r="FG66" s="178"/>
      <c r="FH66" s="176" t="str">
        <f>Schedule!FN68</f>
        <v>0</v>
      </c>
      <c r="FI66" s="176" t="str">
        <f>Schedule!FO68</f>
        <v>0</v>
      </c>
      <c r="FJ66" s="176" t="str">
        <f>Schedule!FP68</f>
        <v>0</v>
      </c>
      <c r="FK66" s="176" t="str">
        <f>Schedule!FQ68</f>
        <v>0</v>
      </c>
      <c r="FL66" s="176" t="str">
        <f>Schedule!FR68</f>
        <v>0</v>
      </c>
      <c r="FM66" s="176" t="str">
        <f>Schedule!FS68</f>
        <v>0</v>
      </c>
      <c r="FN66" s="176" t="str">
        <f>Schedule!FT68</f>
        <v>0</v>
      </c>
      <c r="FO66" s="176" t="str">
        <f>Schedule!FU68</f>
        <v>0</v>
      </c>
      <c r="FP66" s="176" t="str">
        <f>Schedule!FV68</f>
        <v>0</v>
      </c>
      <c r="FQ66" s="178"/>
      <c r="FR66" s="176" t="str">
        <f>Schedule!FW68</f>
        <v>0</v>
      </c>
      <c r="FS66" s="176" t="str">
        <f>Schedule!FX68</f>
        <v>0</v>
      </c>
      <c r="FT66" s="176" t="str">
        <f>Schedule!FY68</f>
        <v>0</v>
      </c>
      <c r="FU66" s="176" t="str">
        <f>Schedule!FZ68</f>
        <v>0</v>
      </c>
      <c r="FV66" s="176" t="str">
        <f>Schedule!GA68</f>
        <v>0</v>
      </c>
      <c r="FW66" s="176" t="str">
        <f>Schedule!GB68</f>
        <v>0</v>
      </c>
      <c r="FX66" s="176" t="str">
        <f>Schedule!GC68</f>
        <v>0</v>
      </c>
      <c r="FY66" s="176" t="str">
        <f>Schedule!GD68</f>
        <v>0</v>
      </c>
      <c r="FZ66" s="176" t="str">
        <f>Schedule!GE68</f>
        <v>0</v>
      </c>
      <c r="GA66" s="178"/>
      <c r="GB66" s="176" t="str">
        <f>Schedule!GF68</f>
        <v>0</v>
      </c>
      <c r="GC66" s="176" t="str">
        <f>Schedule!GG68</f>
        <v>0</v>
      </c>
      <c r="GD66" s="176" t="str">
        <f>Schedule!GH68</f>
        <v>0</v>
      </c>
      <c r="GE66" s="176" t="str">
        <f>Schedule!GI68</f>
        <v>0</v>
      </c>
      <c r="GF66" s="176" t="str">
        <f>Schedule!GJ68</f>
        <v>0</v>
      </c>
      <c r="GG66" s="176" t="str">
        <f>Schedule!GK68</f>
        <v>0</v>
      </c>
      <c r="GH66" s="176" t="str">
        <f>Schedule!GL68</f>
        <v>0</v>
      </c>
      <c r="GI66" s="176" t="str">
        <f>Schedule!GM68</f>
        <v>0</v>
      </c>
      <c r="GJ66" s="176" t="str">
        <f>Schedule!GN68</f>
        <v>0</v>
      </c>
      <c r="GK66" s="178"/>
      <c r="GL66" s="176" t="str">
        <f>Schedule!GO68</f>
        <v>0</v>
      </c>
      <c r="GM66" s="176" t="str">
        <f>Schedule!GP68</f>
        <v>0</v>
      </c>
      <c r="GN66" s="176" t="str">
        <f>Schedule!GQ68</f>
        <v>0</v>
      </c>
      <c r="GO66" s="176" t="str">
        <f>Schedule!GR68</f>
        <v>0</v>
      </c>
      <c r="GP66" s="176" t="str">
        <f>Schedule!GS68</f>
        <v>0</v>
      </c>
      <c r="GQ66" s="176" t="str">
        <f>Schedule!GT68</f>
        <v>0</v>
      </c>
      <c r="GR66" s="176" t="str">
        <f>Schedule!GU68</f>
        <v>0</v>
      </c>
      <c r="GS66" s="176" t="str">
        <f>Schedule!GV68</f>
        <v>0</v>
      </c>
      <c r="GT66" s="176" t="str">
        <f>Schedule!GW68</f>
        <v>0</v>
      </c>
    </row>
    <row r="67" spans="1:203" ht="18" customHeight="1">
      <c r="B67" s="269"/>
      <c r="C67" s="159">
        <f>Schedule!C69</f>
        <v>0</v>
      </c>
      <c r="D67" s="176" t="str">
        <f>Schedule!Z69</f>
        <v>0</v>
      </c>
      <c r="E67" s="176" t="str">
        <f>Schedule!AA69</f>
        <v>0</v>
      </c>
      <c r="F67" s="176" t="str">
        <f>Schedule!AB69</f>
        <v>0</v>
      </c>
      <c r="G67" s="176" t="str">
        <f>Schedule!AC69</f>
        <v>0</v>
      </c>
      <c r="H67" s="176" t="str">
        <f>Schedule!AD69</f>
        <v>0</v>
      </c>
      <c r="I67" s="176" t="str">
        <f>Schedule!AE69</f>
        <v>0</v>
      </c>
      <c r="J67" s="176" t="str">
        <f>Schedule!AF69</f>
        <v>0</v>
      </c>
      <c r="K67" s="181" t="str">
        <f>Schedule!AG69</f>
        <v>0</v>
      </c>
      <c r="L67" s="181" t="str">
        <f>Schedule!AH69</f>
        <v>0</v>
      </c>
      <c r="M67" s="178"/>
      <c r="N67" s="183" t="str">
        <f>Schedule!AI69</f>
        <v>0</v>
      </c>
      <c r="O67" s="176" t="str">
        <f>Schedule!AJ69</f>
        <v>0</v>
      </c>
      <c r="P67" s="176" t="str">
        <f>Schedule!AK69</f>
        <v>0</v>
      </c>
      <c r="Q67" s="176" t="str">
        <f>Schedule!AL69</f>
        <v>0</v>
      </c>
      <c r="R67" s="176" t="str">
        <f>Schedule!AM69</f>
        <v>0</v>
      </c>
      <c r="S67" s="176" t="str">
        <f>Schedule!AN69</f>
        <v>0</v>
      </c>
      <c r="T67" s="176" t="str">
        <f>Schedule!AO69</f>
        <v>0</v>
      </c>
      <c r="U67" s="176" t="str">
        <f>Schedule!AP69</f>
        <v>0</v>
      </c>
      <c r="V67" s="176" t="str">
        <f>Schedule!AQ69</f>
        <v>0</v>
      </c>
      <c r="W67" s="178"/>
      <c r="X67" s="176" t="str">
        <f>Schedule!AR69</f>
        <v>0</v>
      </c>
      <c r="Y67" s="176" t="str">
        <f>Schedule!AS69</f>
        <v>0</v>
      </c>
      <c r="Z67" s="176" t="str">
        <f>Schedule!AT69</f>
        <v>0</v>
      </c>
      <c r="AA67" s="176" t="str">
        <f>Schedule!AU69</f>
        <v>0</v>
      </c>
      <c r="AB67" s="176" t="str">
        <f>Schedule!AV69</f>
        <v>0</v>
      </c>
      <c r="AC67" s="176" t="str">
        <f>Schedule!AW69</f>
        <v>0</v>
      </c>
      <c r="AD67" s="176" t="str">
        <f>Schedule!AX69</f>
        <v>0</v>
      </c>
      <c r="AE67" s="176" t="str">
        <f>Schedule!AY69</f>
        <v>0</v>
      </c>
      <c r="AF67" s="176" t="str">
        <f>Schedule!AZ69</f>
        <v>0</v>
      </c>
      <c r="AG67" s="178"/>
      <c r="AH67" s="176" t="str">
        <f>Schedule!BA69</f>
        <v>0</v>
      </c>
      <c r="AI67" s="176" t="str">
        <f>Schedule!BB69</f>
        <v>0</v>
      </c>
      <c r="AJ67" s="176" t="str">
        <f>Schedule!BC69</f>
        <v>0</v>
      </c>
      <c r="AK67" s="176" t="str">
        <f>Schedule!BD69</f>
        <v>0</v>
      </c>
      <c r="AL67" s="176" t="str">
        <f>Schedule!BE69</f>
        <v>0</v>
      </c>
      <c r="AM67" s="176" t="str">
        <f>Schedule!BF69</f>
        <v>0</v>
      </c>
      <c r="AN67" s="176" t="str">
        <f>Schedule!BG69</f>
        <v>0</v>
      </c>
      <c r="AO67" s="176" t="str">
        <f>Schedule!BH69</f>
        <v>0</v>
      </c>
      <c r="AP67" s="176" t="str">
        <f>Schedule!BI69</f>
        <v>0</v>
      </c>
      <c r="AQ67" s="178"/>
      <c r="AR67" s="176" t="str">
        <f>Schedule!BJ69</f>
        <v>0</v>
      </c>
      <c r="AS67" s="176" t="str">
        <f>Schedule!BK69</f>
        <v>0</v>
      </c>
      <c r="AT67" s="176" t="str">
        <f>Schedule!BL69</f>
        <v>0</v>
      </c>
      <c r="AU67" s="176" t="str">
        <f>Schedule!BM69</f>
        <v>0</v>
      </c>
      <c r="AV67" s="176" t="str">
        <f>Schedule!BN69</f>
        <v>0</v>
      </c>
      <c r="AW67" s="176" t="str">
        <f>Schedule!BO69</f>
        <v>0</v>
      </c>
      <c r="AX67" s="176" t="str">
        <f>Schedule!BP69</f>
        <v>0</v>
      </c>
      <c r="AY67" s="176" t="str">
        <f>Schedule!BQ69</f>
        <v>0</v>
      </c>
      <c r="AZ67" s="176" t="str">
        <f>Schedule!BR69</f>
        <v>0</v>
      </c>
      <c r="BA67" s="178"/>
      <c r="BB67" s="176" t="str">
        <f>Schedule!BS69</f>
        <v>0</v>
      </c>
      <c r="BC67" s="176" t="str">
        <f>Schedule!BT69</f>
        <v>0</v>
      </c>
      <c r="BD67" s="176" t="str">
        <f>Schedule!BU69</f>
        <v>0</v>
      </c>
      <c r="BE67" s="176" t="str">
        <f>Schedule!BV69</f>
        <v>0</v>
      </c>
      <c r="BF67" s="176" t="str">
        <f>Schedule!BW69</f>
        <v>0</v>
      </c>
      <c r="BG67" s="176" t="str">
        <f>Schedule!BX69</f>
        <v>0</v>
      </c>
      <c r="BH67" s="176" t="str">
        <f>Schedule!BY69</f>
        <v>0</v>
      </c>
      <c r="BI67" s="176" t="str">
        <f>Schedule!BZ69</f>
        <v>0</v>
      </c>
      <c r="BJ67" s="176" t="str">
        <f>Schedule!CA69</f>
        <v>0</v>
      </c>
      <c r="BK67" s="178"/>
      <c r="BL67" s="176" t="str">
        <f>Schedule!CB69</f>
        <v>0</v>
      </c>
      <c r="BM67" s="176" t="str">
        <f>Schedule!CC69</f>
        <v>0</v>
      </c>
      <c r="BN67" s="176" t="str">
        <f>Schedule!CD69</f>
        <v>0</v>
      </c>
      <c r="BO67" s="176" t="str">
        <f>Schedule!CE69</f>
        <v>0</v>
      </c>
      <c r="BP67" s="176" t="str">
        <f>Schedule!CF69</f>
        <v>0</v>
      </c>
      <c r="BQ67" s="176" t="str">
        <f>Schedule!CG69</f>
        <v>0</v>
      </c>
      <c r="BR67" s="176" t="str">
        <f>Schedule!CH69</f>
        <v>0</v>
      </c>
      <c r="BS67" s="176" t="str">
        <f>Schedule!CI69</f>
        <v>0</v>
      </c>
      <c r="BT67" s="176" t="str">
        <f>Schedule!CJ69</f>
        <v>0</v>
      </c>
      <c r="BU67" s="178"/>
      <c r="BV67" s="176" t="str">
        <f>Schedule!CK69</f>
        <v>0</v>
      </c>
      <c r="BW67" s="176" t="str">
        <f>Schedule!CL69</f>
        <v>0</v>
      </c>
      <c r="BX67" s="176" t="str">
        <f>Schedule!CM69</f>
        <v>0</v>
      </c>
      <c r="BY67" s="176" t="str">
        <f>Schedule!CN69</f>
        <v>0</v>
      </c>
      <c r="BZ67" s="176" t="str">
        <f>Schedule!CO69</f>
        <v>0</v>
      </c>
      <c r="CA67" s="176" t="str">
        <f>Schedule!CP69</f>
        <v>0</v>
      </c>
      <c r="CB67" s="176" t="str">
        <f>Schedule!CQ69</f>
        <v>0</v>
      </c>
      <c r="CC67" s="176" t="str">
        <f>Schedule!CR69</f>
        <v>0</v>
      </c>
      <c r="CD67" s="176" t="str">
        <f>Schedule!CS69</f>
        <v>0</v>
      </c>
      <c r="CE67" s="178"/>
      <c r="CF67" s="176" t="str">
        <f>Schedule!CT69</f>
        <v>0</v>
      </c>
      <c r="CG67" s="176" t="str">
        <f>Schedule!CU69</f>
        <v>0</v>
      </c>
      <c r="CH67" s="176" t="str">
        <f>Schedule!CV69</f>
        <v>0</v>
      </c>
      <c r="CI67" s="176" t="str">
        <f>Schedule!CW69</f>
        <v>0</v>
      </c>
      <c r="CJ67" s="176" t="str">
        <f>Schedule!CX69</f>
        <v>0</v>
      </c>
      <c r="CK67" s="176" t="str">
        <f>Schedule!CY69</f>
        <v>0</v>
      </c>
      <c r="CL67" s="176" t="str">
        <f>Schedule!CZ69</f>
        <v>0</v>
      </c>
      <c r="CM67" s="176" t="str">
        <f>Schedule!DA69</f>
        <v>0</v>
      </c>
      <c r="CN67" s="176" t="str">
        <f>Schedule!DB69</f>
        <v>0</v>
      </c>
      <c r="CO67" s="178"/>
      <c r="CP67" s="176" t="str">
        <f>Schedule!DC69</f>
        <v>0</v>
      </c>
      <c r="CQ67" s="176" t="str">
        <f>Schedule!DD69</f>
        <v>0</v>
      </c>
      <c r="CR67" s="176" t="str">
        <f>Schedule!DE69</f>
        <v>0</v>
      </c>
      <c r="CS67" s="176" t="str">
        <f>Schedule!DF69</f>
        <v>0</v>
      </c>
      <c r="CT67" s="176" t="str">
        <f>Schedule!DG69</f>
        <v>0</v>
      </c>
      <c r="CU67" s="176" t="str">
        <f>Schedule!DH69</f>
        <v>0</v>
      </c>
      <c r="CV67" s="176" t="str">
        <f>Schedule!DI69</f>
        <v>0</v>
      </c>
      <c r="CW67" s="176" t="str">
        <f>Schedule!DJ69</f>
        <v>0</v>
      </c>
      <c r="CX67" s="176" t="str">
        <f>Schedule!DK69</f>
        <v>0</v>
      </c>
      <c r="CY67" s="178"/>
      <c r="CZ67" s="176" t="str">
        <f>Schedule!DL69</f>
        <v>0</v>
      </c>
      <c r="DA67" s="176" t="str">
        <f>Schedule!DM69</f>
        <v>0</v>
      </c>
      <c r="DB67" s="176" t="str">
        <f>Schedule!DN69</f>
        <v>0</v>
      </c>
      <c r="DC67" s="176" t="str">
        <f>Schedule!DO69</f>
        <v>0</v>
      </c>
      <c r="DD67" s="176" t="str">
        <f>Schedule!DP69</f>
        <v>0</v>
      </c>
      <c r="DE67" s="176" t="str">
        <f>Schedule!DQ69</f>
        <v>0</v>
      </c>
      <c r="DF67" s="176" t="str">
        <f>Schedule!DR69</f>
        <v>0</v>
      </c>
      <c r="DG67" s="176" t="str">
        <f>Schedule!DS69</f>
        <v>0</v>
      </c>
      <c r="DH67" s="176" t="str">
        <f>Schedule!DT69</f>
        <v>0</v>
      </c>
      <c r="DI67" s="178"/>
      <c r="DJ67" s="176" t="str">
        <f>Schedule!DU69</f>
        <v>0</v>
      </c>
      <c r="DK67" s="176" t="str">
        <f>Schedule!DV69</f>
        <v>0</v>
      </c>
      <c r="DL67" s="176" t="str">
        <f>Schedule!DW69</f>
        <v>0</v>
      </c>
      <c r="DM67" s="176" t="str">
        <f>Schedule!DX69</f>
        <v>0</v>
      </c>
      <c r="DN67" s="176" t="str">
        <f>Schedule!DY69</f>
        <v>0</v>
      </c>
      <c r="DO67" s="176" t="str">
        <f>Schedule!DZ69</f>
        <v>0</v>
      </c>
      <c r="DP67" s="176" t="str">
        <f>Schedule!EA69</f>
        <v>0</v>
      </c>
      <c r="DQ67" s="176" t="str">
        <f>Schedule!EB69</f>
        <v>0</v>
      </c>
      <c r="DR67" s="176" t="str">
        <f>Schedule!EC69</f>
        <v>0</v>
      </c>
      <c r="DS67" s="178"/>
      <c r="DT67" s="176" t="str">
        <f>Schedule!ED69</f>
        <v>0</v>
      </c>
      <c r="DU67" s="176" t="str">
        <f>Schedule!EE69</f>
        <v>0</v>
      </c>
      <c r="DV67" s="176" t="str">
        <f>Schedule!EF69</f>
        <v>0</v>
      </c>
      <c r="DW67" s="176" t="str">
        <f>Schedule!EG69</f>
        <v>0</v>
      </c>
      <c r="DX67" s="176" t="str">
        <f>Schedule!EH69</f>
        <v>0</v>
      </c>
      <c r="DY67" s="176" t="str">
        <f>Schedule!EI69</f>
        <v>0</v>
      </c>
      <c r="DZ67" s="176" t="str">
        <f>Schedule!EJ69</f>
        <v>0</v>
      </c>
      <c r="EA67" s="176" t="str">
        <f>Schedule!EK69</f>
        <v>0</v>
      </c>
      <c r="EB67" s="176" t="str">
        <f>Schedule!EL69</f>
        <v>0</v>
      </c>
      <c r="EC67" s="178"/>
      <c r="ED67" s="176" t="str">
        <f>Schedule!EM69</f>
        <v>0</v>
      </c>
      <c r="EE67" s="176" t="str">
        <f>Schedule!EN69</f>
        <v>0</v>
      </c>
      <c r="EF67" s="176" t="str">
        <f>Schedule!EO69</f>
        <v>0</v>
      </c>
      <c r="EG67" s="176" t="str">
        <f>Schedule!EP69</f>
        <v>0</v>
      </c>
      <c r="EH67" s="176" t="str">
        <f>Schedule!EQ69</f>
        <v>0</v>
      </c>
      <c r="EI67" s="176" t="str">
        <f>Schedule!ER69</f>
        <v>0</v>
      </c>
      <c r="EJ67" s="176" t="str">
        <f>Schedule!ES69</f>
        <v>0</v>
      </c>
      <c r="EK67" s="176" t="str">
        <f>Schedule!ET69</f>
        <v>0</v>
      </c>
      <c r="EL67" s="176" t="str">
        <f>Schedule!EU69</f>
        <v>0</v>
      </c>
      <c r="EM67" s="178"/>
      <c r="EN67" s="176" t="str">
        <f>Schedule!EV69</f>
        <v>0</v>
      </c>
      <c r="EO67" s="176" t="str">
        <f>Schedule!EW69</f>
        <v>0</v>
      </c>
      <c r="EP67" s="176" t="str">
        <f>Schedule!EX69</f>
        <v>0</v>
      </c>
      <c r="EQ67" s="176" t="str">
        <f>Schedule!EY69</f>
        <v>0</v>
      </c>
      <c r="ER67" s="176" t="str">
        <f>Schedule!EZ69</f>
        <v>0</v>
      </c>
      <c r="ES67" s="176" t="str">
        <f>Schedule!FA69</f>
        <v>0</v>
      </c>
      <c r="ET67" s="176" t="str">
        <f>Schedule!FB69</f>
        <v>0</v>
      </c>
      <c r="EU67" s="176" t="str">
        <f>Schedule!FC69</f>
        <v>0</v>
      </c>
      <c r="EV67" s="176" t="str">
        <f>Schedule!FD69</f>
        <v>0</v>
      </c>
      <c r="EW67" s="178"/>
      <c r="EX67" s="176" t="str">
        <f>Schedule!FE69</f>
        <v>0</v>
      </c>
      <c r="EY67" s="176" t="str">
        <f>Schedule!FF69</f>
        <v>0</v>
      </c>
      <c r="EZ67" s="176" t="str">
        <f>Schedule!FG69</f>
        <v>0</v>
      </c>
      <c r="FA67" s="176" t="str">
        <f>Schedule!FH69</f>
        <v>0</v>
      </c>
      <c r="FB67" s="176" t="str">
        <f>Schedule!FI69</f>
        <v>0</v>
      </c>
      <c r="FC67" s="176" t="str">
        <f>Schedule!FJ69</f>
        <v>0</v>
      </c>
      <c r="FD67" s="176" t="str">
        <f>Schedule!FK69</f>
        <v>0</v>
      </c>
      <c r="FE67" s="176" t="str">
        <f>Schedule!FL69</f>
        <v>0</v>
      </c>
      <c r="FF67" s="176" t="str">
        <f>Schedule!FM69</f>
        <v>0</v>
      </c>
      <c r="FG67" s="178"/>
      <c r="FH67" s="176" t="str">
        <f>Schedule!FN69</f>
        <v>0</v>
      </c>
      <c r="FI67" s="176" t="str">
        <f>Schedule!FO69</f>
        <v>0</v>
      </c>
      <c r="FJ67" s="176" t="str">
        <f>Schedule!FP69</f>
        <v>0</v>
      </c>
      <c r="FK67" s="176" t="str">
        <f>Schedule!FQ69</f>
        <v>0</v>
      </c>
      <c r="FL67" s="176" t="str">
        <f>Schedule!FR69</f>
        <v>0</v>
      </c>
      <c r="FM67" s="176" t="str">
        <f>Schedule!FS69</f>
        <v>0</v>
      </c>
      <c r="FN67" s="176" t="str">
        <f>Schedule!FT69</f>
        <v>0</v>
      </c>
      <c r="FO67" s="176" t="str">
        <f>Schedule!FU69</f>
        <v>0</v>
      </c>
      <c r="FP67" s="176" t="str">
        <f>Schedule!FV69</f>
        <v>0</v>
      </c>
      <c r="FQ67" s="178"/>
      <c r="FR67" s="176" t="str">
        <f>Schedule!FW69</f>
        <v>0</v>
      </c>
      <c r="FS67" s="176" t="str">
        <f>Schedule!FX69</f>
        <v>0</v>
      </c>
      <c r="FT67" s="176" t="str">
        <f>Schedule!FY69</f>
        <v>0</v>
      </c>
      <c r="FU67" s="176" t="str">
        <f>Schedule!FZ69</f>
        <v>0</v>
      </c>
      <c r="FV67" s="176" t="str">
        <f>Schedule!GA69</f>
        <v>0</v>
      </c>
      <c r="FW67" s="176" t="str">
        <f>Schedule!GB69</f>
        <v>0</v>
      </c>
      <c r="FX67" s="176" t="str">
        <f>Schedule!GC69</f>
        <v>0</v>
      </c>
      <c r="FY67" s="176" t="str">
        <f>Schedule!GD69</f>
        <v>0</v>
      </c>
      <c r="FZ67" s="176" t="str">
        <f>Schedule!GE69</f>
        <v>0</v>
      </c>
      <c r="GA67" s="178"/>
      <c r="GB67" s="176" t="str">
        <f>Schedule!GF69</f>
        <v>0</v>
      </c>
      <c r="GC67" s="176" t="str">
        <f>Schedule!GG69</f>
        <v>0</v>
      </c>
      <c r="GD67" s="176" t="str">
        <f>Schedule!GH69</f>
        <v>0</v>
      </c>
      <c r="GE67" s="176" t="str">
        <f>Schedule!GI69</f>
        <v>0</v>
      </c>
      <c r="GF67" s="176" t="str">
        <f>Schedule!GJ69</f>
        <v>0</v>
      </c>
      <c r="GG67" s="176" t="str">
        <f>Schedule!GK69</f>
        <v>0</v>
      </c>
      <c r="GH67" s="176" t="str">
        <f>Schedule!GL69</f>
        <v>0</v>
      </c>
      <c r="GI67" s="176" t="str">
        <f>Schedule!GM69</f>
        <v>0</v>
      </c>
      <c r="GJ67" s="176" t="str">
        <f>Schedule!GN69</f>
        <v>0</v>
      </c>
      <c r="GK67" s="178"/>
      <c r="GL67" s="176" t="str">
        <f>Schedule!GO69</f>
        <v>0</v>
      </c>
      <c r="GM67" s="176" t="str">
        <f>Schedule!GP69</f>
        <v>0</v>
      </c>
      <c r="GN67" s="176" t="str">
        <f>Schedule!GQ69</f>
        <v>0</v>
      </c>
      <c r="GO67" s="176" t="str">
        <f>Schedule!GR69</f>
        <v>0</v>
      </c>
      <c r="GP67" s="176" t="str">
        <f>Schedule!GS69</f>
        <v>0</v>
      </c>
      <c r="GQ67" s="176" t="str">
        <f>Schedule!GT69</f>
        <v>0</v>
      </c>
      <c r="GR67" s="176" t="str">
        <f>Schedule!GU69</f>
        <v>0</v>
      </c>
      <c r="GS67" s="176" t="str">
        <f>Schedule!GV69</f>
        <v>0</v>
      </c>
      <c r="GT67" s="176" t="str">
        <f>Schedule!GW69</f>
        <v>0</v>
      </c>
    </row>
    <row r="68" spans="1:203" ht="18" customHeight="1">
      <c r="B68" s="269"/>
      <c r="C68" s="159">
        <f>Schedule!C70</f>
        <v>0</v>
      </c>
      <c r="D68" s="176" t="str">
        <f>Schedule!Z70</f>
        <v>0</v>
      </c>
      <c r="E68" s="176" t="str">
        <f>Schedule!AA70</f>
        <v>0</v>
      </c>
      <c r="F68" s="176" t="str">
        <f>Schedule!AB70</f>
        <v>0</v>
      </c>
      <c r="G68" s="176" t="str">
        <f>Schedule!AC70</f>
        <v>0</v>
      </c>
      <c r="H68" s="176" t="str">
        <f>Schedule!AD70</f>
        <v>0</v>
      </c>
      <c r="I68" s="176" t="str">
        <f>Schedule!AE70</f>
        <v>0</v>
      </c>
      <c r="J68" s="176" t="str">
        <f>Schedule!AF70</f>
        <v>0</v>
      </c>
      <c r="K68" s="181" t="str">
        <f>Schedule!AG70</f>
        <v>0</v>
      </c>
      <c r="L68" s="181" t="str">
        <f>Schedule!AH70</f>
        <v>0</v>
      </c>
      <c r="M68" s="178"/>
      <c r="N68" s="183" t="str">
        <f>Schedule!AI70</f>
        <v>0</v>
      </c>
      <c r="O68" s="176" t="str">
        <f>Schedule!AJ70</f>
        <v>0</v>
      </c>
      <c r="P68" s="176" t="str">
        <f>Schedule!AK70</f>
        <v>0</v>
      </c>
      <c r="Q68" s="176" t="str">
        <f>Schedule!AL70</f>
        <v>0</v>
      </c>
      <c r="R68" s="176" t="str">
        <f>Schedule!AM70</f>
        <v>0</v>
      </c>
      <c r="S68" s="176" t="str">
        <f>Schedule!AN70</f>
        <v>0</v>
      </c>
      <c r="T68" s="176" t="str">
        <f>Schedule!AO70</f>
        <v>0</v>
      </c>
      <c r="U68" s="176" t="str">
        <f>Schedule!AP70</f>
        <v>0</v>
      </c>
      <c r="V68" s="176" t="str">
        <f>Schedule!AQ70</f>
        <v>0</v>
      </c>
      <c r="W68" s="178"/>
      <c r="X68" s="176" t="str">
        <f>Schedule!AR70</f>
        <v>0</v>
      </c>
      <c r="Y68" s="176" t="str">
        <f>Schedule!AS70</f>
        <v>0</v>
      </c>
      <c r="Z68" s="176" t="str">
        <f>Schedule!AT70</f>
        <v>0</v>
      </c>
      <c r="AA68" s="176" t="str">
        <f>Schedule!AU70</f>
        <v>0</v>
      </c>
      <c r="AB68" s="176" t="str">
        <f>Schedule!AV70</f>
        <v>0</v>
      </c>
      <c r="AC68" s="176" t="str">
        <f>Schedule!AW70</f>
        <v>0</v>
      </c>
      <c r="AD68" s="176" t="str">
        <f>Schedule!AX70</f>
        <v>0</v>
      </c>
      <c r="AE68" s="176" t="str">
        <f>Schedule!AY70</f>
        <v>0</v>
      </c>
      <c r="AF68" s="176" t="str">
        <f>Schedule!AZ70</f>
        <v>0</v>
      </c>
      <c r="AG68" s="178"/>
      <c r="AH68" s="176" t="str">
        <f>Schedule!BA70</f>
        <v>0</v>
      </c>
      <c r="AI68" s="176" t="str">
        <f>Schedule!BB70</f>
        <v>0</v>
      </c>
      <c r="AJ68" s="176" t="str">
        <f>Schedule!BC70</f>
        <v>0</v>
      </c>
      <c r="AK68" s="176" t="str">
        <f>Schedule!BD70</f>
        <v>0</v>
      </c>
      <c r="AL68" s="176" t="str">
        <f>Schedule!BE70</f>
        <v>0</v>
      </c>
      <c r="AM68" s="176" t="str">
        <f>Schedule!BF70</f>
        <v>0</v>
      </c>
      <c r="AN68" s="176" t="str">
        <f>Schedule!BG70</f>
        <v>0</v>
      </c>
      <c r="AO68" s="176" t="str">
        <f>Schedule!BH70</f>
        <v>0</v>
      </c>
      <c r="AP68" s="176" t="str">
        <f>Schedule!BI70</f>
        <v>0</v>
      </c>
      <c r="AQ68" s="178"/>
      <c r="AR68" s="176" t="str">
        <f>Schedule!BJ70</f>
        <v>0</v>
      </c>
      <c r="AS68" s="176" t="str">
        <f>Schedule!BK70</f>
        <v>0</v>
      </c>
      <c r="AT68" s="176" t="str">
        <f>Schedule!BL70</f>
        <v>0</v>
      </c>
      <c r="AU68" s="176" t="str">
        <f>Schedule!BM70</f>
        <v>0</v>
      </c>
      <c r="AV68" s="176" t="str">
        <f>Schedule!BN70</f>
        <v>0</v>
      </c>
      <c r="AW68" s="176" t="str">
        <f>Schedule!BO70</f>
        <v>0</v>
      </c>
      <c r="AX68" s="176" t="str">
        <f>Schedule!BP70</f>
        <v>0</v>
      </c>
      <c r="AY68" s="176" t="str">
        <f>Schedule!BQ70</f>
        <v>0</v>
      </c>
      <c r="AZ68" s="176" t="str">
        <f>Schedule!BR70</f>
        <v>0</v>
      </c>
      <c r="BA68" s="178"/>
      <c r="BB68" s="176" t="str">
        <f>Schedule!BS70</f>
        <v>0</v>
      </c>
      <c r="BC68" s="176" t="str">
        <f>Schedule!BT70</f>
        <v>0</v>
      </c>
      <c r="BD68" s="176" t="str">
        <f>Schedule!BU70</f>
        <v>0</v>
      </c>
      <c r="BE68" s="176" t="str">
        <f>Schedule!BV70</f>
        <v>0</v>
      </c>
      <c r="BF68" s="176" t="str">
        <f>Schedule!BW70</f>
        <v>0</v>
      </c>
      <c r="BG68" s="176" t="str">
        <f>Schedule!BX70</f>
        <v>0</v>
      </c>
      <c r="BH68" s="176" t="str">
        <f>Schedule!BY70</f>
        <v>0</v>
      </c>
      <c r="BI68" s="176" t="str">
        <f>Schedule!BZ70</f>
        <v>0</v>
      </c>
      <c r="BJ68" s="176" t="str">
        <f>Schedule!CA70</f>
        <v>0</v>
      </c>
      <c r="BK68" s="178"/>
      <c r="BL68" s="176" t="str">
        <f>Schedule!CB70</f>
        <v>0</v>
      </c>
      <c r="BM68" s="176" t="str">
        <f>Schedule!CC70</f>
        <v>0</v>
      </c>
      <c r="BN68" s="176" t="str">
        <f>Schedule!CD70</f>
        <v>0</v>
      </c>
      <c r="BO68" s="176" t="str">
        <f>Schedule!CE70</f>
        <v>0</v>
      </c>
      <c r="BP68" s="176" t="str">
        <f>Schedule!CF70</f>
        <v>0</v>
      </c>
      <c r="BQ68" s="176" t="str">
        <f>Schedule!CG70</f>
        <v>0</v>
      </c>
      <c r="BR68" s="176" t="str">
        <f>Schedule!CH70</f>
        <v>0</v>
      </c>
      <c r="BS68" s="176" t="str">
        <f>Schedule!CI70</f>
        <v>0</v>
      </c>
      <c r="BT68" s="176" t="str">
        <f>Schedule!CJ70</f>
        <v>0</v>
      </c>
      <c r="BU68" s="178"/>
      <c r="BV68" s="176" t="str">
        <f>Schedule!CK70</f>
        <v>0</v>
      </c>
      <c r="BW68" s="176" t="str">
        <f>Schedule!CL70</f>
        <v>0</v>
      </c>
      <c r="BX68" s="176" t="str">
        <f>Schedule!CM70</f>
        <v>0</v>
      </c>
      <c r="BY68" s="176" t="str">
        <f>Schedule!CN70</f>
        <v>0</v>
      </c>
      <c r="BZ68" s="176" t="str">
        <f>Schedule!CO70</f>
        <v>0</v>
      </c>
      <c r="CA68" s="176" t="str">
        <f>Schedule!CP70</f>
        <v>0</v>
      </c>
      <c r="CB68" s="176" t="str">
        <f>Schedule!CQ70</f>
        <v>0</v>
      </c>
      <c r="CC68" s="176" t="str">
        <f>Schedule!CR70</f>
        <v>0</v>
      </c>
      <c r="CD68" s="176" t="str">
        <f>Schedule!CS70</f>
        <v>0</v>
      </c>
      <c r="CE68" s="178"/>
      <c r="CF68" s="176" t="str">
        <f>Schedule!CT70</f>
        <v>0</v>
      </c>
      <c r="CG68" s="176" t="str">
        <f>Schedule!CU70</f>
        <v>0</v>
      </c>
      <c r="CH68" s="176" t="str">
        <f>Schedule!CV70</f>
        <v>0</v>
      </c>
      <c r="CI68" s="176" t="str">
        <f>Schedule!CW70</f>
        <v>0</v>
      </c>
      <c r="CJ68" s="176" t="str">
        <f>Schedule!CX70</f>
        <v>0</v>
      </c>
      <c r="CK68" s="176" t="str">
        <f>Schedule!CY70</f>
        <v>0</v>
      </c>
      <c r="CL68" s="176" t="str">
        <f>Schedule!CZ70</f>
        <v>0</v>
      </c>
      <c r="CM68" s="176" t="str">
        <f>Schedule!DA70</f>
        <v>0</v>
      </c>
      <c r="CN68" s="176" t="str">
        <f>Schedule!DB70</f>
        <v>0</v>
      </c>
      <c r="CO68" s="178"/>
      <c r="CP68" s="176" t="str">
        <f>Schedule!DC70</f>
        <v>0</v>
      </c>
      <c r="CQ68" s="176" t="str">
        <f>Schedule!DD70</f>
        <v>0</v>
      </c>
      <c r="CR68" s="176" t="str">
        <f>Schedule!DE70</f>
        <v>0</v>
      </c>
      <c r="CS68" s="176" t="str">
        <f>Schedule!DF70</f>
        <v>0</v>
      </c>
      <c r="CT68" s="176" t="str">
        <f>Schedule!DG70</f>
        <v>0</v>
      </c>
      <c r="CU68" s="176" t="str">
        <f>Schedule!DH70</f>
        <v>0</v>
      </c>
      <c r="CV68" s="176" t="str">
        <f>Schedule!DI70</f>
        <v>0</v>
      </c>
      <c r="CW68" s="176" t="str">
        <f>Schedule!DJ70</f>
        <v>0</v>
      </c>
      <c r="CX68" s="176" t="str">
        <f>Schedule!DK70</f>
        <v>0</v>
      </c>
      <c r="CY68" s="178"/>
      <c r="CZ68" s="176" t="str">
        <f>Schedule!DL70</f>
        <v>0</v>
      </c>
      <c r="DA68" s="176" t="str">
        <f>Schedule!DM70</f>
        <v>0</v>
      </c>
      <c r="DB68" s="176" t="str">
        <f>Schedule!DN70</f>
        <v>0</v>
      </c>
      <c r="DC68" s="176" t="str">
        <f>Schedule!DO70</f>
        <v>0</v>
      </c>
      <c r="DD68" s="176" t="str">
        <f>Schedule!DP70</f>
        <v>0</v>
      </c>
      <c r="DE68" s="176" t="str">
        <f>Schedule!DQ70</f>
        <v>0</v>
      </c>
      <c r="DF68" s="176" t="str">
        <f>Schedule!DR70</f>
        <v>0</v>
      </c>
      <c r="DG68" s="176" t="str">
        <f>Schedule!DS70</f>
        <v>0</v>
      </c>
      <c r="DH68" s="176" t="str">
        <f>Schedule!DT70</f>
        <v>0</v>
      </c>
      <c r="DI68" s="178"/>
      <c r="DJ68" s="176" t="str">
        <f>Schedule!DU70</f>
        <v>0</v>
      </c>
      <c r="DK68" s="176" t="str">
        <f>Schedule!DV70</f>
        <v>0</v>
      </c>
      <c r="DL68" s="176" t="str">
        <f>Schedule!DW70</f>
        <v>0</v>
      </c>
      <c r="DM68" s="176" t="str">
        <f>Schedule!DX70</f>
        <v>0</v>
      </c>
      <c r="DN68" s="176" t="str">
        <f>Schedule!DY70</f>
        <v>0</v>
      </c>
      <c r="DO68" s="176" t="str">
        <f>Schedule!DZ70</f>
        <v>0</v>
      </c>
      <c r="DP68" s="176" t="str">
        <f>Schedule!EA70</f>
        <v>0</v>
      </c>
      <c r="DQ68" s="176" t="str">
        <f>Schedule!EB70</f>
        <v>0</v>
      </c>
      <c r="DR68" s="176" t="str">
        <f>Schedule!EC70</f>
        <v>0</v>
      </c>
      <c r="DS68" s="178"/>
      <c r="DT68" s="176" t="str">
        <f>Schedule!ED70</f>
        <v>0</v>
      </c>
      <c r="DU68" s="176" t="str">
        <f>Schedule!EE70</f>
        <v>0</v>
      </c>
      <c r="DV68" s="176" t="str">
        <f>Schedule!EF70</f>
        <v>0</v>
      </c>
      <c r="DW68" s="176" t="str">
        <f>Schedule!EG70</f>
        <v>0</v>
      </c>
      <c r="DX68" s="176" t="str">
        <f>Schedule!EH70</f>
        <v>0</v>
      </c>
      <c r="DY68" s="176" t="str">
        <f>Schedule!EI70</f>
        <v>0</v>
      </c>
      <c r="DZ68" s="176" t="str">
        <f>Schedule!EJ70</f>
        <v>0</v>
      </c>
      <c r="EA68" s="176" t="str">
        <f>Schedule!EK70</f>
        <v>0</v>
      </c>
      <c r="EB68" s="176" t="str">
        <f>Schedule!EL70</f>
        <v>0</v>
      </c>
      <c r="EC68" s="178"/>
      <c r="ED68" s="176" t="str">
        <f>Schedule!EM70</f>
        <v>0</v>
      </c>
      <c r="EE68" s="176" t="str">
        <f>Schedule!EN70</f>
        <v>0</v>
      </c>
      <c r="EF68" s="176" t="str">
        <f>Schedule!EO70</f>
        <v>0</v>
      </c>
      <c r="EG68" s="176" t="str">
        <f>Schedule!EP70</f>
        <v>0</v>
      </c>
      <c r="EH68" s="176" t="str">
        <f>Schedule!EQ70</f>
        <v>0</v>
      </c>
      <c r="EI68" s="176" t="str">
        <f>Schedule!ER70</f>
        <v>0</v>
      </c>
      <c r="EJ68" s="176" t="str">
        <f>Schedule!ES70</f>
        <v>0</v>
      </c>
      <c r="EK68" s="176" t="str">
        <f>Schedule!ET70</f>
        <v>0</v>
      </c>
      <c r="EL68" s="176" t="str">
        <f>Schedule!EU70</f>
        <v>0</v>
      </c>
      <c r="EM68" s="178"/>
      <c r="EN68" s="176" t="str">
        <f>Schedule!EV70</f>
        <v>0</v>
      </c>
      <c r="EO68" s="176" t="str">
        <f>Schedule!EW70</f>
        <v>0</v>
      </c>
      <c r="EP68" s="176" t="str">
        <f>Schedule!EX70</f>
        <v>0</v>
      </c>
      <c r="EQ68" s="176" t="str">
        <f>Schedule!EY70</f>
        <v>0</v>
      </c>
      <c r="ER68" s="176" t="str">
        <f>Schedule!EZ70</f>
        <v>0</v>
      </c>
      <c r="ES68" s="176" t="str">
        <f>Schedule!FA70</f>
        <v>0</v>
      </c>
      <c r="ET68" s="176" t="str">
        <f>Schedule!FB70</f>
        <v>0</v>
      </c>
      <c r="EU68" s="176" t="str">
        <f>Schedule!FC70</f>
        <v>0</v>
      </c>
      <c r="EV68" s="176" t="str">
        <f>Schedule!FD70</f>
        <v>0</v>
      </c>
      <c r="EW68" s="178"/>
      <c r="EX68" s="176" t="str">
        <f>Schedule!FE70</f>
        <v>0</v>
      </c>
      <c r="EY68" s="176" t="str">
        <f>Schedule!FF70</f>
        <v>0</v>
      </c>
      <c r="EZ68" s="176" t="str">
        <f>Schedule!FG70</f>
        <v>0</v>
      </c>
      <c r="FA68" s="176" t="str">
        <f>Schedule!FH70</f>
        <v>0</v>
      </c>
      <c r="FB68" s="176" t="str">
        <f>Schedule!FI70</f>
        <v>0</v>
      </c>
      <c r="FC68" s="176" t="str">
        <f>Schedule!FJ70</f>
        <v>0</v>
      </c>
      <c r="FD68" s="176" t="str">
        <f>Schedule!FK70</f>
        <v>0</v>
      </c>
      <c r="FE68" s="176" t="str">
        <f>Schedule!FL70</f>
        <v>0</v>
      </c>
      <c r="FF68" s="176" t="str">
        <f>Schedule!FM70</f>
        <v>0</v>
      </c>
      <c r="FG68" s="178"/>
      <c r="FH68" s="176" t="str">
        <f>Schedule!FN70</f>
        <v>0</v>
      </c>
      <c r="FI68" s="176" t="str">
        <f>Schedule!FO70</f>
        <v>0</v>
      </c>
      <c r="FJ68" s="176" t="str">
        <f>Schedule!FP70</f>
        <v>0</v>
      </c>
      <c r="FK68" s="176" t="str">
        <f>Schedule!FQ70</f>
        <v>0</v>
      </c>
      <c r="FL68" s="176" t="str">
        <f>Schedule!FR70</f>
        <v>0</v>
      </c>
      <c r="FM68" s="176" t="str">
        <f>Schedule!FS70</f>
        <v>0</v>
      </c>
      <c r="FN68" s="176" t="str">
        <f>Schedule!FT70</f>
        <v>0</v>
      </c>
      <c r="FO68" s="176" t="str">
        <f>Schedule!FU70</f>
        <v>0</v>
      </c>
      <c r="FP68" s="176" t="str">
        <f>Schedule!FV70</f>
        <v>0</v>
      </c>
      <c r="FQ68" s="178"/>
      <c r="FR68" s="176" t="str">
        <f>Schedule!FW70</f>
        <v>0</v>
      </c>
      <c r="FS68" s="176" t="str">
        <f>Schedule!FX70</f>
        <v>0</v>
      </c>
      <c r="FT68" s="176" t="str">
        <f>Schedule!FY70</f>
        <v>0</v>
      </c>
      <c r="FU68" s="176" t="str">
        <f>Schedule!FZ70</f>
        <v>0</v>
      </c>
      <c r="FV68" s="176" t="str">
        <f>Schedule!GA70</f>
        <v>0</v>
      </c>
      <c r="FW68" s="176" t="str">
        <f>Schedule!GB70</f>
        <v>0</v>
      </c>
      <c r="FX68" s="176" t="str">
        <f>Schedule!GC70</f>
        <v>0</v>
      </c>
      <c r="FY68" s="176" t="str">
        <f>Schedule!GD70</f>
        <v>0</v>
      </c>
      <c r="FZ68" s="176" t="str">
        <f>Schedule!GE70</f>
        <v>0</v>
      </c>
      <c r="GA68" s="178"/>
      <c r="GB68" s="176" t="str">
        <f>Schedule!GF70</f>
        <v>0</v>
      </c>
      <c r="GC68" s="176" t="str">
        <f>Schedule!GG70</f>
        <v>0</v>
      </c>
      <c r="GD68" s="176" t="str">
        <f>Schedule!GH70</f>
        <v>0</v>
      </c>
      <c r="GE68" s="176" t="str">
        <f>Schedule!GI70</f>
        <v>0</v>
      </c>
      <c r="GF68" s="176" t="str">
        <f>Schedule!GJ70</f>
        <v>0</v>
      </c>
      <c r="GG68" s="176" t="str">
        <f>Schedule!GK70</f>
        <v>0</v>
      </c>
      <c r="GH68" s="176" t="str">
        <f>Schedule!GL70</f>
        <v>0</v>
      </c>
      <c r="GI68" s="176" t="str">
        <f>Schedule!GM70</f>
        <v>0</v>
      </c>
      <c r="GJ68" s="176" t="str">
        <f>Schedule!GN70</f>
        <v>0</v>
      </c>
      <c r="GK68" s="178"/>
      <c r="GL68" s="176" t="str">
        <f>Schedule!GO70</f>
        <v>0</v>
      </c>
      <c r="GM68" s="176" t="str">
        <f>Schedule!GP70</f>
        <v>0</v>
      </c>
      <c r="GN68" s="176" t="str">
        <f>Schedule!GQ70</f>
        <v>0</v>
      </c>
      <c r="GO68" s="176" t="str">
        <f>Schedule!GR70</f>
        <v>0</v>
      </c>
      <c r="GP68" s="176" t="str">
        <f>Schedule!GS70</f>
        <v>0</v>
      </c>
      <c r="GQ68" s="176" t="str">
        <f>Schedule!GT70</f>
        <v>0</v>
      </c>
      <c r="GR68" s="176" t="str">
        <f>Schedule!GU70</f>
        <v>0</v>
      </c>
      <c r="GS68" s="176" t="str">
        <f>Schedule!GV70</f>
        <v>0</v>
      </c>
      <c r="GT68" s="176" t="str">
        <f>Schedule!GW70</f>
        <v>0</v>
      </c>
    </row>
    <row r="69" spans="1:203" ht="18" customHeight="1">
      <c r="B69" s="269"/>
      <c r="C69" s="159">
        <f>Schedule!C71</f>
        <v>0</v>
      </c>
      <c r="D69" s="176" t="str">
        <f>Schedule!Z71</f>
        <v>0</v>
      </c>
      <c r="E69" s="176" t="str">
        <f>Schedule!AA71</f>
        <v>0</v>
      </c>
      <c r="F69" s="176" t="str">
        <f>Schedule!AB71</f>
        <v>0</v>
      </c>
      <c r="G69" s="176" t="str">
        <f>Schedule!AC71</f>
        <v>0</v>
      </c>
      <c r="H69" s="176" t="str">
        <f>Schedule!AD71</f>
        <v>0</v>
      </c>
      <c r="I69" s="176" t="str">
        <f>Schedule!AE71</f>
        <v>0</v>
      </c>
      <c r="J69" s="176" t="str">
        <f>Schedule!AF71</f>
        <v>0</v>
      </c>
      <c r="K69" s="181" t="str">
        <f>Schedule!AG71</f>
        <v>0</v>
      </c>
      <c r="L69" s="181" t="str">
        <f>Schedule!AH71</f>
        <v>0</v>
      </c>
      <c r="M69" s="178"/>
      <c r="N69" s="183" t="str">
        <f>Schedule!AI71</f>
        <v>0</v>
      </c>
      <c r="O69" s="176" t="str">
        <f>Schedule!AJ71</f>
        <v>0</v>
      </c>
      <c r="P69" s="176" t="str">
        <f>Schedule!AK71</f>
        <v>0</v>
      </c>
      <c r="Q69" s="176" t="str">
        <f>Schedule!AL71</f>
        <v>0</v>
      </c>
      <c r="R69" s="176" t="str">
        <f>Schedule!AM71</f>
        <v>0</v>
      </c>
      <c r="S69" s="176" t="str">
        <f>Schedule!AN71</f>
        <v>0</v>
      </c>
      <c r="T69" s="176" t="str">
        <f>Schedule!AO71</f>
        <v>0</v>
      </c>
      <c r="U69" s="176" t="str">
        <f>Schedule!AP71</f>
        <v>0</v>
      </c>
      <c r="V69" s="176" t="str">
        <f>Schedule!AQ71</f>
        <v>0</v>
      </c>
      <c r="W69" s="178"/>
      <c r="X69" s="176" t="str">
        <f>Schedule!AR71</f>
        <v>0</v>
      </c>
      <c r="Y69" s="176" t="str">
        <f>Schedule!AS71</f>
        <v>0</v>
      </c>
      <c r="Z69" s="176" t="str">
        <f>Schedule!AT71</f>
        <v>0</v>
      </c>
      <c r="AA69" s="176" t="str">
        <f>Schedule!AU71</f>
        <v>0</v>
      </c>
      <c r="AB69" s="176" t="str">
        <f>Schedule!AV71</f>
        <v>0</v>
      </c>
      <c r="AC69" s="176" t="str">
        <f>Schedule!AW71</f>
        <v>0</v>
      </c>
      <c r="AD69" s="176" t="str">
        <f>Schedule!AX71</f>
        <v>0</v>
      </c>
      <c r="AE69" s="176" t="str">
        <f>Schedule!AY71</f>
        <v>0</v>
      </c>
      <c r="AF69" s="176" t="str">
        <f>Schedule!AZ71</f>
        <v>0</v>
      </c>
      <c r="AG69" s="178"/>
      <c r="AH69" s="176" t="str">
        <f>Schedule!BA71</f>
        <v>0</v>
      </c>
      <c r="AI69" s="176" t="str">
        <f>Schedule!BB71</f>
        <v>0</v>
      </c>
      <c r="AJ69" s="176" t="str">
        <f>Schedule!BC71</f>
        <v>0</v>
      </c>
      <c r="AK69" s="176" t="str">
        <f>Schedule!BD71</f>
        <v>0</v>
      </c>
      <c r="AL69" s="176" t="str">
        <f>Schedule!BE71</f>
        <v>0</v>
      </c>
      <c r="AM69" s="176" t="str">
        <f>Schedule!BF71</f>
        <v>0</v>
      </c>
      <c r="AN69" s="176" t="str">
        <f>Schedule!BG71</f>
        <v>0</v>
      </c>
      <c r="AO69" s="176" t="str">
        <f>Schedule!BH71</f>
        <v>0</v>
      </c>
      <c r="AP69" s="176" t="str">
        <f>Schedule!BI71</f>
        <v>0</v>
      </c>
      <c r="AQ69" s="178"/>
      <c r="AR69" s="176" t="str">
        <f>Schedule!BJ71</f>
        <v>0</v>
      </c>
      <c r="AS69" s="176" t="str">
        <f>Schedule!BK71</f>
        <v>0</v>
      </c>
      <c r="AT69" s="176" t="str">
        <f>Schedule!BL71</f>
        <v>0</v>
      </c>
      <c r="AU69" s="176" t="str">
        <f>Schedule!BM71</f>
        <v>0</v>
      </c>
      <c r="AV69" s="176" t="str">
        <f>Schedule!BN71</f>
        <v>0</v>
      </c>
      <c r="AW69" s="176" t="str">
        <f>Schedule!BO71</f>
        <v>0</v>
      </c>
      <c r="AX69" s="176" t="str">
        <f>Schedule!BP71</f>
        <v>0</v>
      </c>
      <c r="AY69" s="176" t="str">
        <f>Schedule!BQ71</f>
        <v>0</v>
      </c>
      <c r="AZ69" s="176" t="str">
        <f>Schedule!BR71</f>
        <v>0</v>
      </c>
      <c r="BA69" s="178"/>
      <c r="BB69" s="176" t="str">
        <f>Schedule!BS71</f>
        <v>0</v>
      </c>
      <c r="BC69" s="176" t="str">
        <f>Schedule!BT71</f>
        <v>0</v>
      </c>
      <c r="BD69" s="176" t="str">
        <f>Schedule!BU71</f>
        <v>0</v>
      </c>
      <c r="BE69" s="176" t="str">
        <f>Schedule!BV71</f>
        <v>0</v>
      </c>
      <c r="BF69" s="176" t="str">
        <f>Schedule!BW71</f>
        <v>0</v>
      </c>
      <c r="BG69" s="176" t="str">
        <f>Schedule!BX71</f>
        <v>0</v>
      </c>
      <c r="BH69" s="176" t="str">
        <f>Schedule!BY71</f>
        <v>0</v>
      </c>
      <c r="BI69" s="176" t="str">
        <f>Schedule!BZ71</f>
        <v>0</v>
      </c>
      <c r="BJ69" s="176" t="str">
        <f>Schedule!CA71</f>
        <v>0</v>
      </c>
      <c r="BK69" s="178"/>
      <c r="BL69" s="176" t="str">
        <f>Schedule!CB71</f>
        <v>0</v>
      </c>
      <c r="BM69" s="176" t="str">
        <f>Schedule!CC71</f>
        <v>0</v>
      </c>
      <c r="BN69" s="176" t="str">
        <f>Schedule!CD71</f>
        <v>0</v>
      </c>
      <c r="BO69" s="176" t="str">
        <f>Schedule!CE71</f>
        <v>0</v>
      </c>
      <c r="BP69" s="176" t="str">
        <f>Schedule!CF71</f>
        <v>0</v>
      </c>
      <c r="BQ69" s="176" t="str">
        <f>Schedule!CG71</f>
        <v>0</v>
      </c>
      <c r="BR69" s="176" t="str">
        <f>Schedule!CH71</f>
        <v>0</v>
      </c>
      <c r="BS69" s="176" t="str">
        <f>Schedule!CI71</f>
        <v>0</v>
      </c>
      <c r="BT69" s="176" t="str">
        <f>Schedule!CJ71</f>
        <v>0</v>
      </c>
      <c r="BU69" s="178"/>
      <c r="BV69" s="176" t="str">
        <f>Schedule!CK71</f>
        <v>0</v>
      </c>
      <c r="BW69" s="176" t="str">
        <f>Schedule!CL71</f>
        <v>0</v>
      </c>
      <c r="BX69" s="176" t="str">
        <f>Schedule!CM71</f>
        <v>0</v>
      </c>
      <c r="BY69" s="176" t="str">
        <f>Schedule!CN71</f>
        <v>0</v>
      </c>
      <c r="BZ69" s="176" t="str">
        <f>Schedule!CO71</f>
        <v>0</v>
      </c>
      <c r="CA69" s="176" t="str">
        <f>Schedule!CP71</f>
        <v>0</v>
      </c>
      <c r="CB69" s="176" t="str">
        <f>Schedule!CQ71</f>
        <v>0</v>
      </c>
      <c r="CC69" s="176" t="str">
        <f>Schedule!CR71</f>
        <v>0</v>
      </c>
      <c r="CD69" s="176" t="str">
        <f>Schedule!CS71</f>
        <v>0</v>
      </c>
      <c r="CE69" s="178"/>
      <c r="CF69" s="176" t="str">
        <f>Schedule!CT71</f>
        <v>0</v>
      </c>
      <c r="CG69" s="176" t="str">
        <f>Schedule!CU71</f>
        <v>0</v>
      </c>
      <c r="CH69" s="176" t="str">
        <f>Schedule!CV71</f>
        <v>0</v>
      </c>
      <c r="CI69" s="176" t="str">
        <f>Schedule!CW71</f>
        <v>0</v>
      </c>
      <c r="CJ69" s="176" t="str">
        <f>Schedule!CX71</f>
        <v>0</v>
      </c>
      <c r="CK69" s="176" t="str">
        <f>Schedule!CY71</f>
        <v>0</v>
      </c>
      <c r="CL69" s="176" t="str">
        <f>Schedule!CZ71</f>
        <v>0</v>
      </c>
      <c r="CM69" s="176" t="str">
        <f>Schedule!DA71</f>
        <v>0</v>
      </c>
      <c r="CN69" s="176" t="str">
        <f>Schedule!DB71</f>
        <v>0</v>
      </c>
      <c r="CO69" s="178"/>
      <c r="CP69" s="176" t="str">
        <f>Schedule!DC71</f>
        <v>0</v>
      </c>
      <c r="CQ69" s="176" t="str">
        <f>Schedule!DD71</f>
        <v>0</v>
      </c>
      <c r="CR69" s="176" t="str">
        <f>Schedule!DE71</f>
        <v>0</v>
      </c>
      <c r="CS69" s="176" t="str">
        <f>Schedule!DF71</f>
        <v>0</v>
      </c>
      <c r="CT69" s="176" t="str">
        <f>Schedule!DG71</f>
        <v>0</v>
      </c>
      <c r="CU69" s="176" t="str">
        <f>Schedule!DH71</f>
        <v>0</v>
      </c>
      <c r="CV69" s="176" t="str">
        <f>Schedule!DI71</f>
        <v>0</v>
      </c>
      <c r="CW69" s="176" t="str">
        <f>Schedule!DJ71</f>
        <v>0</v>
      </c>
      <c r="CX69" s="176" t="str">
        <f>Schedule!DK71</f>
        <v>0</v>
      </c>
      <c r="CY69" s="178"/>
      <c r="CZ69" s="176" t="str">
        <f>Schedule!DL71</f>
        <v>0</v>
      </c>
      <c r="DA69" s="176" t="str">
        <f>Schedule!DM71</f>
        <v>0</v>
      </c>
      <c r="DB69" s="176" t="str">
        <f>Schedule!DN71</f>
        <v>0</v>
      </c>
      <c r="DC69" s="176" t="str">
        <f>Schedule!DO71</f>
        <v>0</v>
      </c>
      <c r="DD69" s="176" t="str">
        <f>Schedule!DP71</f>
        <v>0</v>
      </c>
      <c r="DE69" s="176" t="str">
        <f>Schedule!DQ71</f>
        <v>0</v>
      </c>
      <c r="DF69" s="176" t="str">
        <f>Schedule!DR71</f>
        <v>0</v>
      </c>
      <c r="DG69" s="176" t="str">
        <f>Schedule!DS71</f>
        <v>0</v>
      </c>
      <c r="DH69" s="176" t="str">
        <f>Schedule!DT71</f>
        <v>0</v>
      </c>
      <c r="DI69" s="178"/>
      <c r="DJ69" s="176" t="str">
        <f>Schedule!DU71</f>
        <v>0</v>
      </c>
      <c r="DK69" s="176" t="str">
        <f>Schedule!DV71</f>
        <v>0</v>
      </c>
      <c r="DL69" s="176" t="str">
        <f>Schedule!DW71</f>
        <v>0</v>
      </c>
      <c r="DM69" s="176" t="str">
        <f>Schedule!DX71</f>
        <v>0</v>
      </c>
      <c r="DN69" s="176" t="str">
        <f>Schedule!DY71</f>
        <v>0</v>
      </c>
      <c r="DO69" s="176" t="str">
        <f>Schedule!DZ71</f>
        <v>0</v>
      </c>
      <c r="DP69" s="176" t="str">
        <f>Schedule!EA71</f>
        <v>0</v>
      </c>
      <c r="DQ69" s="176" t="str">
        <f>Schedule!EB71</f>
        <v>0</v>
      </c>
      <c r="DR69" s="176" t="str">
        <f>Schedule!EC71</f>
        <v>0</v>
      </c>
      <c r="DS69" s="178"/>
      <c r="DT69" s="176" t="str">
        <f>Schedule!ED71</f>
        <v>0</v>
      </c>
      <c r="DU69" s="176" t="str">
        <f>Schedule!EE71</f>
        <v>0</v>
      </c>
      <c r="DV69" s="176" t="str">
        <f>Schedule!EF71</f>
        <v>0</v>
      </c>
      <c r="DW69" s="176" t="str">
        <f>Schedule!EG71</f>
        <v>0</v>
      </c>
      <c r="DX69" s="176" t="str">
        <f>Schedule!EH71</f>
        <v>0</v>
      </c>
      <c r="DY69" s="176" t="str">
        <f>Schedule!EI71</f>
        <v>0</v>
      </c>
      <c r="DZ69" s="176" t="str">
        <f>Schedule!EJ71</f>
        <v>0</v>
      </c>
      <c r="EA69" s="176" t="str">
        <f>Schedule!EK71</f>
        <v>0</v>
      </c>
      <c r="EB69" s="176" t="str">
        <f>Schedule!EL71</f>
        <v>0</v>
      </c>
      <c r="EC69" s="178"/>
      <c r="ED69" s="176" t="str">
        <f>Schedule!EM71</f>
        <v>0</v>
      </c>
      <c r="EE69" s="176" t="str">
        <f>Schedule!EN71</f>
        <v>0</v>
      </c>
      <c r="EF69" s="176" t="str">
        <f>Schedule!EO71</f>
        <v>0</v>
      </c>
      <c r="EG69" s="176" t="str">
        <f>Schedule!EP71</f>
        <v>0</v>
      </c>
      <c r="EH69" s="176" t="str">
        <f>Schedule!EQ71</f>
        <v>0</v>
      </c>
      <c r="EI69" s="176" t="str">
        <f>Schedule!ER71</f>
        <v>0</v>
      </c>
      <c r="EJ69" s="176" t="str">
        <f>Schedule!ES71</f>
        <v>0</v>
      </c>
      <c r="EK69" s="176" t="str">
        <f>Schedule!ET71</f>
        <v>0</v>
      </c>
      <c r="EL69" s="176" t="str">
        <f>Schedule!EU71</f>
        <v>0</v>
      </c>
      <c r="EM69" s="178"/>
      <c r="EN69" s="176" t="str">
        <f>Schedule!EV71</f>
        <v>0</v>
      </c>
      <c r="EO69" s="176" t="str">
        <f>Schedule!EW71</f>
        <v>0</v>
      </c>
      <c r="EP69" s="176" t="str">
        <f>Schedule!EX71</f>
        <v>0</v>
      </c>
      <c r="EQ69" s="176" t="str">
        <f>Schedule!EY71</f>
        <v>0</v>
      </c>
      <c r="ER69" s="176" t="str">
        <f>Schedule!EZ71</f>
        <v>0</v>
      </c>
      <c r="ES69" s="176" t="str">
        <f>Schedule!FA71</f>
        <v>0</v>
      </c>
      <c r="ET69" s="176" t="str">
        <f>Schedule!FB71</f>
        <v>0</v>
      </c>
      <c r="EU69" s="176" t="str">
        <f>Schedule!FC71</f>
        <v>0</v>
      </c>
      <c r="EV69" s="176" t="str">
        <f>Schedule!FD71</f>
        <v>0</v>
      </c>
      <c r="EW69" s="178"/>
      <c r="EX69" s="176" t="str">
        <f>Schedule!FE71</f>
        <v>0</v>
      </c>
      <c r="EY69" s="176" t="str">
        <f>Schedule!FF71</f>
        <v>0</v>
      </c>
      <c r="EZ69" s="176" t="str">
        <f>Schedule!FG71</f>
        <v>0</v>
      </c>
      <c r="FA69" s="176" t="str">
        <f>Schedule!FH71</f>
        <v>0</v>
      </c>
      <c r="FB69" s="176" t="str">
        <f>Schedule!FI71</f>
        <v>0</v>
      </c>
      <c r="FC69" s="176" t="str">
        <f>Schedule!FJ71</f>
        <v>0</v>
      </c>
      <c r="FD69" s="176" t="str">
        <f>Schedule!FK71</f>
        <v>0</v>
      </c>
      <c r="FE69" s="176" t="str">
        <f>Schedule!FL71</f>
        <v>0</v>
      </c>
      <c r="FF69" s="176" t="str">
        <f>Schedule!FM71</f>
        <v>0</v>
      </c>
      <c r="FG69" s="178"/>
      <c r="FH69" s="176" t="str">
        <f>Schedule!FN71</f>
        <v>0</v>
      </c>
      <c r="FI69" s="176" t="str">
        <f>Schedule!FO71</f>
        <v>0</v>
      </c>
      <c r="FJ69" s="176" t="str">
        <f>Schedule!FP71</f>
        <v>0</v>
      </c>
      <c r="FK69" s="176" t="str">
        <f>Schedule!FQ71</f>
        <v>0</v>
      </c>
      <c r="FL69" s="176" t="str">
        <f>Schedule!FR71</f>
        <v>0</v>
      </c>
      <c r="FM69" s="176" t="str">
        <f>Schedule!FS71</f>
        <v>0</v>
      </c>
      <c r="FN69" s="176" t="str">
        <f>Schedule!FT71</f>
        <v>0</v>
      </c>
      <c r="FO69" s="176" t="str">
        <f>Schedule!FU71</f>
        <v>0</v>
      </c>
      <c r="FP69" s="176" t="str">
        <f>Schedule!FV71</f>
        <v>0</v>
      </c>
      <c r="FQ69" s="178"/>
      <c r="FR69" s="176" t="str">
        <f>Schedule!FW71</f>
        <v>0</v>
      </c>
      <c r="FS69" s="176" t="str">
        <f>Schedule!FX71</f>
        <v>0</v>
      </c>
      <c r="FT69" s="176" t="str">
        <f>Schedule!FY71</f>
        <v>0</v>
      </c>
      <c r="FU69" s="176" t="str">
        <f>Schedule!FZ71</f>
        <v>0</v>
      </c>
      <c r="FV69" s="176" t="str">
        <f>Schedule!GA71</f>
        <v>0</v>
      </c>
      <c r="FW69" s="176" t="str">
        <f>Schedule!GB71</f>
        <v>0</v>
      </c>
      <c r="FX69" s="176" t="str">
        <f>Schedule!GC71</f>
        <v>0</v>
      </c>
      <c r="FY69" s="176" t="str">
        <f>Schedule!GD71</f>
        <v>0</v>
      </c>
      <c r="FZ69" s="176" t="str">
        <f>Schedule!GE71</f>
        <v>0</v>
      </c>
      <c r="GA69" s="178"/>
      <c r="GB69" s="176" t="str">
        <f>Schedule!GF71</f>
        <v>0</v>
      </c>
      <c r="GC69" s="176" t="str">
        <f>Schedule!GG71</f>
        <v>0</v>
      </c>
      <c r="GD69" s="176" t="str">
        <f>Schedule!GH71</f>
        <v>0</v>
      </c>
      <c r="GE69" s="176" t="str">
        <f>Schedule!GI71</f>
        <v>0</v>
      </c>
      <c r="GF69" s="176" t="str">
        <f>Schedule!GJ71</f>
        <v>0</v>
      </c>
      <c r="GG69" s="176" t="str">
        <f>Schedule!GK71</f>
        <v>0</v>
      </c>
      <c r="GH69" s="176" t="str">
        <f>Schedule!GL71</f>
        <v>0</v>
      </c>
      <c r="GI69" s="176" t="str">
        <f>Schedule!GM71</f>
        <v>0</v>
      </c>
      <c r="GJ69" s="176" t="str">
        <f>Schedule!GN71</f>
        <v>0</v>
      </c>
      <c r="GK69" s="178"/>
      <c r="GL69" s="176" t="str">
        <f>Schedule!GO71</f>
        <v>0</v>
      </c>
      <c r="GM69" s="176" t="str">
        <f>Schedule!GP71</f>
        <v>0</v>
      </c>
      <c r="GN69" s="176" t="str">
        <f>Schedule!GQ71</f>
        <v>0</v>
      </c>
      <c r="GO69" s="176" t="str">
        <f>Schedule!GR71</f>
        <v>0</v>
      </c>
      <c r="GP69" s="176" t="str">
        <f>Schedule!GS71</f>
        <v>0</v>
      </c>
      <c r="GQ69" s="176" t="str">
        <f>Schedule!GT71</f>
        <v>0</v>
      </c>
      <c r="GR69" s="176" t="str">
        <f>Schedule!GU71</f>
        <v>0</v>
      </c>
      <c r="GS69" s="176" t="str">
        <f>Schedule!GV71</f>
        <v>0</v>
      </c>
      <c r="GT69" s="176" t="str">
        <f>Schedule!GW71</f>
        <v>0</v>
      </c>
    </row>
    <row r="70" spans="1:203" ht="18" customHeight="1">
      <c r="B70" s="269"/>
      <c r="C70" s="159">
        <f>Schedule!C72</f>
        <v>0</v>
      </c>
      <c r="D70" s="176" t="str">
        <f>Schedule!Z72</f>
        <v>0</v>
      </c>
      <c r="E70" s="176" t="str">
        <f>Schedule!AA72</f>
        <v>0</v>
      </c>
      <c r="F70" s="176" t="str">
        <f>Schedule!AB72</f>
        <v>0</v>
      </c>
      <c r="G70" s="176" t="str">
        <f>Schedule!AC72</f>
        <v>0</v>
      </c>
      <c r="H70" s="176" t="str">
        <f>Schedule!AD72</f>
        <v>0</v>
      </c>
      <c r="I70" s="176" t="str">
        <f>Schedule!AE72</f>
        <v>0</v>
      </c>
      <c r="J70" s="176" t="str">
        <f>Schedule!AF72</f>
        <v>0</v>
      </c>
      <c r="K70" s="181" t="str">
        <f>Schedule!AG72</f>
        <v>0</v>
      </c>
      <c r="L70" s="181" t="str">
        <f>Schedule!AH72</f>
        <v>0</v>
      </c>
      <c r="M70" s="178"/>
      <c r="N70" s="183" t="str">
        <f>Schedule!AI72</f>
        <v>0</v>
      </c>
      <c r="O70" s="176" t="str">
        <f>Schedule!AJ72</f>
        <v>0</v>
      </c>
      <c r="P70" s="176" t="str">
        <f>Schedule!AK72</f>
        <v>0</v>
      </c>
      <c r="Q70" s="176" t="str">
        <f>Schedule!AL72</f>
        <v>0</v>
      </c>
      <c r="R70" s="176" t="str">
        <f>Schedule!AM72</f>
        <v>0</v>
      </c>
      <c r="S70" s="176" t="str">
        <f>Schedule!AN72</f>
        <v>0</v>
      </c>
      <c r="T70" s="176" t="str">
        <f>Schedule!AO72</f>
        <v>0</v>
      </c>
      <c r="U70" s="176" t="str">
        <f>Schedule!AP72</f>
        <v>0</v>
      </c>
      <c r="V70" s="176" t="str">
        <f>Schedule!AQ72</f>
        <v>0</v>
      </c>
      <c r="W70" s="178"/>
      <c r="X70" s="176" t="str">
        <f>Schedule!AR72</f>
        <v>0</v>
      </c>
      <c r="Y70" s="176" t="str">
        <f>Schedule!AS72</f>
        <v>0</v>
      </c>
      <c r="Z70" s="176" t="str">
        <f>Schedule!AT72</f>
        <v>0</v>
      </c>
      <c r="AA70" s="176" t="str">
        <f>Schedule!AU72</f>
        <v>0</v>
      </c>
      <c r="AB70" s="176" t="str">
        <f>Schedule!AV72</f>
        <v>0</v>
      </c>
      <c r="AC70" s="176" t="str">
        <f>Schedule!AW72</f>
        <v>0</v>
      </c>
      <c r="AD70" s="176" t="str">
        <f>Schedule!AX72</f>
        <v>0</v>
      </c>
      <c r="AE70" s="176" t="str">
        <f>Schedule!AY72</f>
        <v>0</v>
      </c>
      <c r="AF70" s="176" t="str">
        <f>Schedule!AZ72</f>
        <v>0</v>
      </c>
      <c r="AG70" s="178"/>
      <c r="AH70" s="176" t="str">
        <f>Schedule!BA72</f>
        <v>0</v>
      </c>
      <c r="AI70" s="176" t="str">
        <f>Schedule!BB72</f>
        <v>0</v>
      </c>
      <c r="AJ70" s="176" t="str">
        <f>Schedule!BC72</f>
        <v>0</v>
      </c>
      <c r="AK70" s="176" t="str">
        <f>Schedule!BD72</f>
        <v>0</v>
      </c>
      <c r="AL70" s="176" t="str">
        <f>Schedule!BE72</f>
        <v>0</v>
      </c>
      <c r="AM70" s="176" t="str">
        <f>Schedule!BF72</f>
        <v>0</v>
      </c>
      <c r="AN70" s="176" t="str">
        <f>Schedule!BG72</f>
        <v>0</v>
      </c>
      <c r="AO70" s="176" t="str">
        <f>Schedule!BH72</f>
        <v>0</v>
      </c>
      <c r="AP70" s="176" t="str">
        <f>Schedule!BI72</f>
        <v>0</v>
      </c>
      <c r="AQ70" s="178"/>
      <c r="AR70" s="176" t="str">
        <f>Schedule!BJ72</f>
        <v>0</v>
      </c>
      <c r="AS70" s="176" t="str">
        <f>Schedule!BK72</f>
        <v>0</v>
      </c>
      <c r="AT70" s="176" t="str">
        <f>Schedule!BL72</f>
        <v>0</v>
      </c>
      <c r="AU70" s="176" t="str">
        <f>Schedule!BM72</f>
        <v>0</v>
      </c>
      <c r="AV70" s="176" t="str">
        <f>Schedule!BN72</f>
        <v>0</v>
      </c>
      <c r="AW70" s="176" t="str">
        <f>Schedule!BO72</f>
        <v>0</v>
      </c>
      <c r="AX70" s="176" t="str">
        <f>Schedule!BP72</f>
        <v>0</v>
      </c>
      <c r="AY70" s="176" t="str">
        <f>Schedule!BQ72</f>
        <v>0</v>
      </c>
      <c r="AZ70" s="176" t="str">
        <f>Schedule!BR72</f>
        <v>0</v>
      </c>
      <c r="BA70" s="178"/>
      <c r="BB70" s="176" t="str">
        <f>Schedule!BS72</f>
        <v>0</v>
      </c>
      <c r="BC70" s="176" t="str">
        <f>Schedule!BT72</f>
        <v>0</v>
      </c>
      <c r="BD70" s="176" t="str">
        <f>Schedule!BU72</f>
        <v>0</v>
      </c>
      <c r="BE70" s="176" t="str">
        <f>Schedule!BV72</f>
        <v>0</v>
      </c>
      <c r="BF70" s="176" t="str">
        <f>Schedule!BW72</f>
        <v>0</v>
      </c>
      <c r="BG70" s="176" t="str">
        <f>Schedule!BX72</f>
        <v>0</v>
      </c>
      <c r="BH70" s="176" t="str">
        <f>Schedule!BY72</f>
        <v>0</v>
      </c>
      <c r="BI70" s="176" t="str">
        <f>Schedule!BZ72</f>
        <v>0</v>
      </c>
      <c r="BJ70" s="176" t="str">
        <f>Schedule!CA72</f>
        <v>0</v>
      </c>
      <c r="BK70" s="178"/>
      <c r="BL70" s="176" t="str">
        <f>Schedule!CB72</f>
        <v>0</v>
      </c>
      <c r="BM70" s="176" t="str">
        <f>Schedule!CC72</f>
        <v>0</v>
      </c>
      <c r="BN70" s="176" t="str">
        <f>Schedule!CD72</f>
        <v>0</v>
      </c>
      <c r="BO70" s="176" t="str">
        <f>Schedule!CE72</f>
        <v>0</v>
      </c>
      <c r="BP70" s="176" t="str">
        <f>Schedule!CF72</f>
        <v>0</v>
      </c>
      <c r="BQ70" s="176" t="str">
        <f>Schedule!CG72</f>
        <v>0</v>
      </c>
      <c r="BR70" s="176" t="str">
        <f>Schedule!CH72</f>
        <v>0</v>
      </c>
      <c r="BS70" s="176" t="str">
        <f>Schedule!CI72</f>
        <v>0</v>
      </c>
      <c r="BT70" s="176" t="str">
        <f>Schedule!CJ72</f>
        <v>0</v>
      </c>
      <c r="BU70" s="178"/>
      <c r="BV70" s="176" t="str">
        <f>Schedule!CK72</f>
        <v>0</v>
      </c>
      <c r="BW70" s="176" t="str">
        <f>Schedule!CL72</f>
        <v>0</v>
      </c>
      <c r="BX70" s="176" t="str">
        <f>Schedule!CM72</f>
        <v>0</v>
      </c>
      <c r="BY70" s="176" t="str">
        <f>Schedule!CN72</f>
        <v>0</v>
      </c>
      <c r="BZ70" s="176" t="str">
        <f>Schedule!CO72</f>
        <v>0</v>
      </c>
      <c r="CA70" s="176" t="str">
        <f>Schedule!CP72</f>
        <v>0</v>
      </c>
      <c r="CB70" s="176" t="str">
        <f>Schedule!CQ72</f>
        <v>0</v>
      </c>
      <c r="CC70" s="176" t="str">
        <f>Schedule!CR72</f>
        <v>0</v>
      </c>
      <c r="CD70" s="176" t="str">
        <f>Schedule!CS72</f>
        <v>0</v>
      </c>
      <c r="CE70" s="178"/>
      <c r="CF70" s="176" t="str">
        <f>Schedule!CT72</f>
        <v>0</v>
      </c>
      <c r="CG70" s="176" t="str">
        <f>Schedule!CU72</f>
        <v>0</v>
      </c>
      <c r="CH70" s="176" t="str">
        <f>Schedule!CV72</f>
        <v>0</v>
      </c>
      <c r="CI70" s="176" t="str">
        <f>Schedule!CW72</f>
        <v>0</v>
      </c>
      <c r="CJ70" s="176" t="str">
        <f>Schedule!CX72</f>
        <v>0</v>
      </c>
      <c r="CK70" s="176" t="str">
        <f>Schedule!CY72</f>
        <v>0</v>
      </c>
      <c r="CL70" s="176" t="str">
        <f>Schedule!CZ72</f>
        <v>0</v>
      </c>
      <c r="CM70" s="176" t="str">
        <f>Schedule!DA72</f>
        <v>0</v>
      </c>
      <c r="CN70" s="176" t="str">
        <f>Schedule!DB72</f>
        <v>0</v>
      </c>
      <c r="CO70" s="178"/>
      <c r="CP70" s="176" t="str">
        <f>Schedule!DC72</f>
        <v>0</v>
      </c>
      <c r="CQ70" s="176" t="str">
        <f>Schedule!DD72</f>
        <v>0</v>
      </c>
      <c r="CR70" s="176" t="str">
        <f>Schedule!DE72</f>
        <v>0</v>
      </c>
      <c r="CS70" s="176" t="str">
        <f>Schedule!DF72</f>
        <v>0</v>
      </c>
      <c r="CT70" s="176" t="str">
        <f>Schedule!DG72</f>
        <v>0</v>
      </c>
      <c r="CU70" s="176" t="str">
        <f>Schedule!DH72</f>
        <v>0</v>
      </c>
      <c r="CV70" s="176" t="str">
        <f>Schedule!DI72</f>
        <v>0</v>
      </c>
      <c r="CW70" s="176" t="str">
        <f>Schedule!DJ72</f>
        <v>0</v>
      </c>
      <c r="CX70" s="176" t="str">
        <f>Schedule!DK72</f>
        <v>0</v>
      </c>
      <c r="CY70" s="178"/>
      <c r="CZ70" s="176" t="str">
        <f>Schedule!DL72</f>
        <v>0</v>
      </c>
      <c r="DA70" s="176" t="str">
        <f>Schedule!DM72</f>
        <v>0</v>
      </c>
      <c r="DB70" s="176" t="str">
        <f>Schedule!DN72</f>
        <v>0</v>
      </c>
      <c r="DC70" s="176" t="str">
        <f>Schedule!DO72</f>
        <v>0</v>
      </c>
      <c r="DD70" s="176" t="str">
        <f>Schedule!DP72</f>
        <v>0</v>
      </c>
      <c r="DE70" s="176" t="str">
        <f>Schedule!DQ72</f>
        <v>0</v>
      </c>
      <c r="DF70" s="176" t="str">
        <f>Schedule!DR72</f>
        <v>0</v>
      </c>
      <c r="DG70" s="176" t="str">
        <f>Schedule!DS72</f>
        <v>0</v>
      </c>
      <c r="DH70" s="176" t="str">
        <f>Schedule!DT72</f>
        <v>0</v>
      </c>
      <c r="DI70" s="178"/>
      <c r="DJ70" s="176" t="str">
        <f>Schedule!DU72</f>
        <v>0</v>
      </c>
      <c r="DK70" s="176" t="str">
        <f>Schedule!DV72</f>
        <v>0</v>
      </c>
      <c r="DL70" s="176" t="str">
        <f>Schedule!DW72</f>
        <v>0</v>
      </c>
      <c r="DM70" s="176" t="str">
        <f>Schedule!DX72</f>
        <v>0</v>
      </c>
      <c r="DN70" s="176" t="str">
        <f>Schedule!DY72</f>
        <v>0</v>
      </c>
      <c r="DO70" s="176" t="str">
        <f>Schedule!DZ72</f>
        <v>0</v>
      </c>
      <c r="DP70" s="176" t="str">
        <f>Schedule!EA72</f>
        <v>0</v>
      </c>
      <c r="DQ70" s="176" t="str">
        <f>Schedule!EB72</f>
        <v>0</v>
      </c>
      <c r="DR70" s="176" t="str">
        <f>Schedule!EC72</f>
        <v>0</v>
      </c>
      <c r="DS70" s="178"/>
      <c r="DT70" s="176" t="str">
        <f>Schedule!ED72</f>
        <v>0</v>
      </c>
      <c r="DU70" s="176" t="str">
        <f>Schedule!EE72</f>
        <v>0</v>
      </c>
      <c r="DV70" s="176" t="str">
        <f>Schedule!EF72</f>
        <v>0</v>
      </c>
      <c r="DW70" s="176" t="str">
        <f>Schedule!EG72</f>
        <v>0</v>
      </c>
      <c r="DX70" s="176" t="str">
        <f>Schedule!EH72</f>
        <v>0</v>
      </c>
      <c r="DY70" s="176" t="str">
        <f>Schedule!EI72</f>
        <v>0</v>
      </c>
      <c r="DZ70" s="176" t="str">
        <f>Schedule!EJ72</f>
        <v>0</v>
      </c>
      <c r="EA70" s="176" t="str">
        <f>Schedule!EK72</f>
        <v>0</v>
      </c>
      <c r="EB70" s="176" t="str">
        <f>Schedule!EL72</f>
        <v>0</v>
      </c>
      <c r="EC70" s="178"/>
      <c r="ED70" s="176" t="str">
        <f>Schedule!EM72</f>
        <v>0</v>
      </c>
      <c r="EE70" s="176" t="str">
        <f>Schedule!EN72</f>
        <v>0</v>
      </c>
      <c r="EF70" s="176" t="str">
        <f>Schedule!EO72</f>
        <v>0</v>
      </c>
      <c r="EG70" s="176" t="str">
        <f>Schedule!EP72</f>
        <v>0</v>
      </c>
      <c r="EH70" s="176" t="str">
        <f>Schedule!EQ72</f>
        <v>0</v>
      </c>
      <c r="EI70" s="176" t="str">
        <f>Schedule!ER72</f>
        <v>0</v>
      </c>
      <c r="EJ70" s="176" t="str">
        <f>Schedule!ES72</f>
        <v>0</v>
      </c>
      <c r="EK70" s="176" t="str">
        <f>Schedule!ET72</f>
        <v>0</v>
      </c>
      <c r="EL70" s="176" t="str">
        <f>Schedule!EU72</f>
        <v>0</v>
      </c>
      <c r="EM70" s="178"/>
      <c r="EN70" s="176" t="str">
        <f>Schedule!EV72</f>
        <v>0</v>
      </c>
      <c r="EO70" s="176" t="str">
        <f>Schedule!EW72</f>
        <v>0</v>
      </c>
      <c r="EP70" s="176" t="str">
        <f>Schedule!EX72</f>
        <v>0</v>
      </c>
      <c r="EQ70" s="176" t="str">
        <f>Schedule!EY72</f>
        <v>0</v>
      </c>
      <c r="ER70" s="176" t="str">
        <f>Schedule!EZ72</f>
        <v>0</v>
      </c>
      <c r="ES70" s="176" t="str">
        <f>Schedule!FA72</f>
        <v>0</v>
      </c>
      <c r="ET70" s="176" t="str">
        <f>Schedule!FB72</f>
        <v>0</v>
      </c>
      <c r="EU70" s="176" t="str">
        <f>Schedule!FC72</f>
        <v>0</v>
      </c>
      <c r="EV70" s="176" t="str">
        <f>Schedule!FD72</f>
        <v>0</v>
      </c>
      <c r="EW70" s="178"/>
      <c r="EX70" s="176" t="str">
        <f>Schedule!FE72</f>
        <v>0</v>
      </c>
      <c r="EY70" s="176" t="str">
        <f>Schedule!FF72</f>
        <v>0</v>
      </c>
      <c r="EZ70" s="176" t="str">
        <f>Schedule!FG72</f>
        <v>0</v>
      </c>
      <c r="FA70" s="176" t="str">
        <f>Schedule!FH72</f>
        <v>0</v>
      </c>
      <c r="FB70" s="176" t="str">
        <f>Schedule!FI72</f>
        <v>0</v>
      </c>
      <c r="FC70" s="176" t="str">
        <f>Schedule!FJ72</f>
        <v>0</v>
      </c>
      <c r="FD70" s="176" t="str">
        <f>Schedule!FK72</f>
        <v>0</v>
      </c>
      <c r="FE70" s="176" t="str">
        <f>Schedule!FL72</f>
        <v>0</v>
      </c>
      <c r="FF70" s="176" t="str">
        <f>Schedule!FM72</f>
        <v>0</v>
      </c>
      <c r="FG70" s="178"/>
      <c r="FH70" s="176" t="str">
        <f>Schedule!FN72</f>
        <v>0</v>
      </c>
      <c r="FI70" s="176" t="str">
        <f>Schedule!FO72</f>
        <v>0</v>
      </c>
      <c r="FJ70" s="176" t="str">
        <f>Schedule!FP72</f>
        <v>0</v>
      </c>
      <c r="FK70" s="176" t="str">
        <f>Schedule!FQ72</f>
        <v>0</v>
      </c>
      <c r="FL70" s="176" t="str">
        <f>Schedule!FR72</f>
        <v>0</v>
      </c>
      <c r="FM70" s="176" t="str">
        <f>Schedule!FS72</f>
        <v>0</v>
      </c>
      <c r="FN70" s="176" t="str">
        <f>Schedule!FT72</f>
        <v>0</v>
      </c>
      <c r="FO70" s="176" t="str">
        <f>Schedule!FU72</f>
        <v>0</v>
      </c>
      <c r="FP70" s="176" t="str">
        <f>Schedule!FV72</f>
        <v>0</v>
      </c>
      <c r="FQ70" s="178"/>
      <c r="FR70" s="176" t="str">
        <f>Schedule!FW72</f>
        <v>0</v>
      </c>
      <c r="FS70" s="176" t="str">
        <f>Schedule!FX72</f>
        <v>0</v>
      </c>
      <c r="FT70" s="176" t="str">
        <f>Schedule!FY72</f>
        <v>0</v>
      </c>
      <c r="FU70" s="176" t="str">
        <f>Schedule!FZ72</f>
        <v>0</v>
      </c>
      <c r="FV70" s="176" t="str">
        <f>Schedule!GA72</f>
        <v>0</v>
      </c>
      <c r="FW70" s="176" t="str">
        <f>Schedule!GB72</f>
        <v>0</v>
      </c>
      <c r="FX70" s="176" t="str">
        <f>Schedule!GC72</f>
        <v>0</v>
      </c>
      <c r="FY70" s="176" t="str">
        <f>Schedule!GD72</f>
        <v>0</v>
      </c>
      <c r="FZ70" s="176" t="str">
        <f>Schedule!GE72</f>
        <v>0</v>
      </c>
      <c r="GA70" s="178"/>
      <c r="GB70" s="176" t="str">
        <f>Schedule!GF72</f>
        <v>0</v>
      </c>
      <c r="GC70" s="176" t="str">
        <f>Schedule!GG72</f>
        <v>0</v>
      </c>
      <c r="GD70" s="176" t="str">
        <f>Schedule!GH72</f>
        <v>0</v>
      </c>
      <c r="GE70" s="176" t="str">
        <f>Schedule!GI72</f>
        <v>0</v>
      </c>
      <c r="GF70" s="176" t="str">
        <f>Schedule!GJ72</f>
        <v>0</v>
      </c>
      <c r="GG70" s="176" t="str">
        <f>Schedule!GK72</f>
        <v>0</v>
      </c>
      <c r="GH70" s="176" t="str">
        <f>Schedule!GL72</f>
        <v>0</v>
      </c>
      <c r="GI70" s="176" t="str">
        <f>Schedule!GM72</f>
        <v>0</v>
      </c>
      <c r="GJ70" s="176" t="str">
        <f>Schedule!GN72</f>
        <v>0</v>
      </c>
      <c r="GK70" s="178"/>
      <c r="GL70" s="176" t="str">
        <f>Schedule!GO72</f>
        <v>0</v>
      </c>
      <c r="GM70" s="176" t="str">
        <f>Schedule!GP72</f>
        <v>0</v>
      </c>
      <c r="GN70" s="176" t="str">
        <f>Schedule!GQ72</f>
        <v>0</v>
      </c>
      <c r="GO70" s="176" t="str">
        <f>Schedule!GR72</f>
        <v>0</v>
      </c>
      <c r="GP70" s="176" t="str">
        <f>Schedule!GS72</f>
        <v>0</v>
      </c>
      <c r="GQ70" s="176" t="str">
        <f>Schedule!GT72</f>
        <v>0</v>
      </c>
      <c r="GR70" s="176" t="str">
        <f>Schedule!GU72</f>
        <v>0</v>
      </c>
      <c r="GS70" s="176" t="str">
        <f>Schedule!GV72</f>
        <v>0</v>
      </c>
      <c r="GT70" s="176" t="str">
        <f>Schedule!GW72</f>
        <v>0</v>
      </c>
    </row>
    <row r="71" spans="1:203" ht="18" customHeight="1">
      <c r="B71" s="269"/>
      <c r="C71" s="159">
        <f>Schedule!C73</f>
        <v>0</v>
      </c>
      <c r="D71" s="176" t="str">
        <f>Schedule!Z73</f>
        <v>0</v>
      </c>
      <c r="E71" s="176" t="str">
        <f>Schedule!AA73</f>
        <v>0</v>
      </c>
      <c r="F71" s="176" t="str">
        <f>Schedule!AB73</f>
        <v>0</v>
      </c>
      <c r="G71" s="176" t="str">
        <f>Schedule!AC73</f>
        <v>0</v>
      </c>
      <c r="H71" s="176" t="str">
        <f>Schedule!AD73</f>
        <v>0</v>
      </c>
      <c r="I71" s="176" t="str">
        <f>Schedule!AE73</f>
        <v>0</v>
      </c>
      <c r="J71" s="176" t="str">
        <f>Schedule!AF73</f>
        <v>0</v>
      </c>
      <c r="K71" s="181" t="str">
        <f>Schedule!AG73</f>
        <v>0</v>
      </c>
      <c r="L71" s="181" t="str">
        <f>Schedule!AH73</f>
        <v>0</v>
      </c>
      <c r="M71" s="178"/>
      <c r="N71" s="183" t="str">
        <f>Schedule!AI73</f>
        <v>0</v>
      </c>
      <c r="O71" s="176" t="str">
        <f>Schedule!AJ73</f>
        <v>0</v>
      </c>
      <c r="P71" s="176" t="str">
        <f>Schedule!AK73</f>
        <v>0</v>
      </c>
      <c r="Q71" s="176" t="str">
        <f>Schedule!AL73</f>
        <v>0</v>
      </c>
      <c r="R71" s="176" t="str">
        <f>Schedule!AM73</f>
        <v>0</v>
      </c>
      <c r="S71" s="176" t="str">
        <f>Schedule!AN73</f>
        <v>0</v>
      </c>
      <c r="T71" s="176" t="str">
        <f>Schedule!AO73</f>
        <v>0</v>
      </c>
      <c r="U71" s="176" t="str">
        <f>Schedule!AP73</f>
        <v>0</v>
      </c>
      <c r="V71" s="176" t="str">
        <f>Schedule!AQ73</f>
        <v>0</v>
      </c>
      <c r="W71" s="178"/>
      <c r="X71" s="176" t="str">
        <f>Schedule!AR73</f>
        <v>0</v>
      </c>
      <c r="Y71" s="176" t="str">
        <f>Schedule!AS73</f>
        <v>0</v>
      </c>
      <c r="Z71" s="176" t="str">
        <f>Schedule!AT73</f>
        <v>0</v>
      </c>
      <c r="AA71" s="176" t="str">
        <f>Schedule!AU73</f>
        <v>0</v>
      </c>
      <c r="AB71" s="176" t="str">
        <f>Schedule!AV73</f>
        <v>0</v>
      </c>
      <c r="AC71" s="176" t="str">
        <f>Schedule!AW73</f>
        <v>0</v>
      </c>
      <c r="AD71" s="176" t="str">
        <f>Schedule!AX73</f>
        <v>0</v>
      </c>
      <c r="AE71" s="176" t="str">
        <f>Schedule!AY73</f>
        <v>0</v>
      </c>
      <c r="AF71" s="176" t="str">
        <f>Schedule!AZ73</f>
        <v>0</v>
      </c>
      <c r="AG71" s="178"/>
      <c r="AH71" s="176" t="str">
        <f>Schedule!BA73</f>
        <v>0</v>
      </c>
      <c r="AI71" s="176" t="str">
        <f>Schedule!BB73</f>
        <v>0</v>
      </c>
      <c r="AJ71" s="176" t="str">
        <f>Schedule!BC73</f>
        <v>0</v>
      </c>
      <c r="AK71" s="176" t="str">
        <f>Schedule!BD73</f>
        <v>0</v>
      </c>
      <c r="AL71" s="176" t="str">
        <f>Schedule!BE73</f>
        <v>0</v>
      </c>
      <c r="AM71" s="176" t="str">
        <f>Schedule!BF73</f>
        <v>0</v>
      </c>
      <c r="AN71" s="176" t="str">
        <f>Schedule!BG73</f>
        <v>0</v>
      </c>
      <c r="AO71" s="176" t="str">
        <f>Schedule!BH73</f>
        <v>0</v>
      </c>
      <c r="AP71" s="176" t="str">
        <f>Schedule!BI73</f>
        <v>0</v>
      </c>
      <c r="AQ71" s="178"/>
      <c r="AR71" s="176" t="str">
        <f>Schedule!BJ73</f>
        <v>0</v>
      </c>
      <c r="AS71" s="176" t="str">
        <f>Schedule!BK73</f>
        <v>0</v>
      </c>
      <c r="AT71" s="176" t="str">
        <f>Schedule!BL73</f>
        <v>0</v>
      </c>
      <c r="AU71" s="176" t="str">
        <f>Schedule!BM73</f>
        <v>0</v>
      </c>
      <c r="AV71" s="176" t="str">
        <f>Schedule!BN73</f>
        <v>0</v>
      </c>
      <c r="AW71" s="176" t="str">
        <f>Schedule!BO73</f>
        <v>0</v>
      </c>
      <c r="AX71" s="176" t="str">
        <f>Schedule!BP73</f>
        <v>0</v>
      </c>
      <c r="AY71" s="176" t="str">
        <f>Schedule!BQ73</f>
        <v>0</v>
      </c>
      <c r="AZ71" s="176" t="str">
        <f>Schedule!BR73</f>
        <v>0</v>
      </c>
      <c r="BA71" s="178"/>
      <c r="BB71" s="176" t="str">
        <f>Schedule!BS73</f>
        <v>0</v>
      </c>
      <c r="BC71" s="176" t="str">
        <f>Schedule!BT73</f>
        <v>0</v>
      </c>
      <c r="BD71" s="176" t="str">
        <f>Schedule!BU73</f>
        <v>0</v>
      </c>
      <c r="BE71" s="176" t="str">
        <f>Schedule!BV73</f>
        <v>0</v>
      </c>
      <c r="BF71" s="176" t="str">
        <f>Schedule!BW73</f>
        <v>0</v>
      </c>
      <c r="BG71" s="176" t="str">
        <f>Schedule!BX73</f>
        <v>0</v>
      </c>
      <c r="BH71" s="176" t="str">
        <f>Schedule!BY73</f>
        <v>0</v>
      </c>
      <c r="BI71" s="176" t="str">
        <f>Schedule!BZ73</f>
        <v>0</v>
      </c>
      <c r="BJ71" s="176" t="str">
        <f>Schedule!CA73</f>
        <v>0</v>
      </c>
      <c r="BK71" s="178"/>
      <c r="BL71" s="176" t="str">
        <f>Schedule!CB73</f>
        <v>0</v>
      </c>
      <c r="BM71" s="176" t="str">
        <f>Schedule!CC73</f>
        <v>0</v>
      </c>
      <c r="BN71" s="176" t="str">
        <f>Schedule!CD73</f>
        <v>0</v>
      </c>
      <c r="BO71" s="176" t="str">
        <f>Schedule!CE73</f>
        <v>0</v>
      </c>
      <c r="BP71" s="176" t="str">
        <f>Schedule!CF73</f>
        <v>0</v>
      </c>
      <c r="BQ71" s="176" t="str">
        <f>Schedule!CG73</f>
        <v>0</v>
      </c>
      <c r="BR71" s="176" t="str">
        <f>Schedule!CH73</f>
        <v>0</v>
      </c>
      <c r="BS71" s="176" t="str">
        <f>Schedule!CI73</f>
        <v>0</v>
      </c>
      <c r="BT71" s="176" t="str">
        <f>Schedule!CJ73</f>
        <v>0</v>
      </c>
      <c r="BU71" s="178"/>
      <c r="BV71" s="176" t="str">
        <f>Schedule!CK73</f>
        <v>0</v>
      </c>
      <c r="BW71" s="176" t="str">
        <f>Schedule!CL73</f>
        <v>0</v>
      </c>
      <c r="BX71" s="176" t="str">
        <f>Schedule!CM73</f>
        <v>0</v>
      </c>
      <c r="BY71" s="176" t="str">
        <f>Schedule!CN73</f>
        <v>0</v>
      </c>
      <c r="BZ71" s="176" t="str">
        <f>Schedule!CO73</f>
        <v>0</v>
      </c>
      <c r="CA71" s="176" t="str">
        <f>Schedule!CP73</f>
        <v>0</v>
      </c>
      <c r="CB71" s="176" t="str">
        <f>Schedule!CQ73</f>
        <v>0</v>
      </c>
      <c r="CC71" s="176" t="str">
        <f>Schedule!CR73</f>
        <v>0</v>
      </c>
      <c r="CD71" s="176" t="str">
        <f>Schedule!CS73</f>
        <v>0</v>
      </c>
      <c r="CE71" s="178"/>
      <c r="CF71" s="176" t="str">
        <f>Schedule!CT73</f>
        <v>0</v>
      </c>
      <c r="CG71" s="176" t="str">
        <f>Schedule!CU73</f>
        <v>0</v>
      </c>
      <c r="CH71" s="176" t="str">
        <f>Schedule!CV73</f>
        <v>0</v>
      </c>
      <c r="CI71" s="176" t="str">
        <f>Schedule!CW73</f>
        <v>0</v>
      </c>
      <c r="CJ71" s="176" t="str">
        <f>Schedule!CX73</f>
        <v>0</v>
      </c>
      <c r="CK71" s="176" t="str">
        <f>Schedule!CY73</f>
        <v>0</v>
      </c>
      <c r="CL71" s="176" t="str">
        <f>Schedule!CZ73</f>
        <v>0</v>
      </c>
      <c r="CM71" s="176" t="str">
        <f>Schedule!DA73</f>
        <v>0</v>
      </c>
      <c r="CN71" s="176" t="str">
        <f>Schedule!DB73</f>
        <v>0</v>
      </c>
      <c r="CO71" s="178"/>
      <c r="CP71" s="176" t="str">
        <f>Schedule!DC73</f>
        <v>0</v>
      </c>
      <c r="CQ71" s="176" t="str">
        <f>Schedule!DD73</f>
        <v>0</v>
      </c>
      <c r="CR71" s="176" t="str">
        <f>Schedule!DE73</f>
        <v>0</v>
      </c>
      <c r="CS71" s="176" t="str">
        <f>Schedule!DF73</f>
        <v>0</v>
      </c>
      <c r="CT71" s="176" t="str">
        <f>Schedule!DG73</f>
        <v>0</v>
      </c>
      <c r="CU71" s="176" t="str">
        <f>Schedule!DH73</f>
        <v>0</v>
      </c>
      <c r="CV71" s="176" t="str">
        <f>Schedule!DI73</f>
        <v>0</v>
      </c>
      <c r="CW71" s="176" t="str">
        <f>Schedule!DJ73</f>
        <v>0</v>
      </c>
      <c r="CX71" s="176" t="str">
        <f>Schedule!DK73</f>
        <v>0</v>
      </c>
      <c r="CY71" s="178"/>
      <c r="CZ71" s="176" t="str">
        <f>Schedule!DL73</f>
        <v>0</v>
      </c>
      <c r="DA71" s="176" t="str">
        <f>Schedule!DM73</f>
        <v>0</v>
      </c>
      <c r="DB71" s="176" t="str">
        <f>Schedule!DN73</f>
        <v>0</v>
      </c>
      <c r="DC71" s="176" t="str">
        <f>Schedule!DO73</f>
        <v>0</v>
      </c>
      <c r="DD71" s="176" t="str">
        <f>Schedule!DP73</f>
        <v>0</v>
      </c>
      <c r="DE71" s="176" t="str">
        <f>Schedule!DQ73</f>
        <v>0</v>
      </c>
      <c r="DF71" s="176" t="str">
        <f>Schedule!DR73</f>
        <v>0</v>
      </c>
      <c r="DG71" s="176" t="str">
        <f>Schedule!DS73</f>
        <v>0</v>
      </c>
      <c r="DH71" s="176" t="str">
        <f>Schedule!DT73</f>
        <v>0</v>
      </c>
      <c r="DI71" s="178"/>
      <c r="DJ71" s="176" t="str">
        <f>Schedule!DU73</f>
        <v>0</v>
      </c>
      <c r="DK71" s="176" t="str">
        <f>Schedule!DV73</f>
        <v>0</v>
      </c>
      <c r="DL71" s="176" t="str">
        <f>Schedule!DW73</f>
        <v>0</v>
      </c>
      <c r="DM71" s="176" t="str">
        <f>Schedule!DX73</f>
        <v>0</v>
      </c>
      <c r="DN71" s="176" t="str">
        <f>Schedule!DY73</f>
        <v>0</v>
      </c>
      <c r="DO71" s="176" t="str">
        <f>Schedule!DZ73</f>
        <v>0</v>
      </c>
      <c r="DP71" s="176" t="str">
        <f>Schedule!EA73</f>
        <v>0</v>
      </c>
      <c r="DQ71" s="176" t="str">
        <f>Schedule!EB73</f>
        <v>0</v>
      </c>
      <c r="DR71" s="176" t="str">
        <f>Schedule!EC73</f>
        <v>0</v>
      </c>
      <c r="DS71" s="178"/>
      <c r="DT71" s="176" t="str">
        <f>Schedule!ED73</f>
        <v>0</v>
      </c>
      <c r="DU71" s="176" t="str">
        <f>Schedule!EE73</f>
        <v>0</v>
      </c>
      <c r="DV71" s="176" t="str">
        <f>Schedule!EF73</f>
        <v>0</v>
      </c>
      <c r="DW71" s="176" t="str">
        <f>Schedule!EG73</f>
        <v>0</v>
      </c>
      <c r="DX71" s="176" t="str">
        <f>Schedule!EH73</f>
        <v>0</v>
      </c>
      <c r="DY71" s="176" t="str">
        <f>Schedule!EI73</f>
        <v>0</v>
      </c>
      <c r="DZ71" s="176" t="str">
        <f>Schedule!EJ73</f>
        <v>0</v>
      </c>
      <c r="EA71" s="176" t="str">
        <f>Schedule!EK73</f>
        <v>0</v>
      </c>
      <c r="EB71" s="176" t="str">
        <f>Schedule!EL73</f>
        <v>0</v>
      </c>
      <c r="EC71" s="178"/>
      <c r="ED71" s="176" t="str">
        <f>Schedule!EM73</f>
        <v>0</v>
      </c>
      <c r="EE71" s="176" t="str">
        <f>Schedule!EN73</f>
        <v>0</v>
      </c>
      <c r="EF71" s="176" t="str">
        <f>Schedule!EO73</f>
        <v>0</v>
      </c>
      <c r="EG71" s="176" t="str">
        <f>Schedule!EP73</f>
        <v>0</v>
      </c>
      <c r="EH71" s="176" t="str">
        <f>Schedule!EQ73</f>
        <v>0</v>
      </c>
      <c r="EI71" s="176" t="str">
        <f>Schedule!ER73</f>
        <v>0</v>
      </c>
      <c r="EJ71" s="176" t="str">
        <f>Schedule!ES73</f>
        <v>0</v>
      </c>
      <c r="EK71" s="176" t="str">
        <f>Schedule!ET73</f>
        <v>0</v>
      </c>
      <c r="EL71" s="176" t="str">
        <f>Schedule!EU73</f>
        <v>0</v>
      </c>
      <c r="EM71" s="178"/>
      <c r="EN71" s="176" t="str">
        <f>Schedule!EV73</f>
        <v>0</v>
      </c>
      <c r="EO71" s="176" t="str">
        <f>Schedule!EW73</f>
        <v>0</v>
      </c>
      <c r="EP71" s="176" t="str">
        <f>Schedule!EX73</f>
        <v>0</v>
      </c>
      <c r="EQ71" s="176" t="str">
        <f>Schedule!EY73</f>
        <v>0</v>
      </c>
      <c r="ER71" s="176" t="str">
        <f>Schedule!EZ73</f>
        <v>0</v>
      </c>
      <c r="ES71" s="176" t="str">
        <f>Schedule!FA73</f>
        <v>0</v>
      </c>
      <c r="ET71" s="176" t="str">
        <f>Schedule!FB73</f>
        <v>0</v>
      </c>
      <c r="EU71" s="176" t="str">
        <f>Schedule!FC73</f>
        <v>0</v>
      </c>
      <c r="EV71" s="176" t="str">
        <f>Schedule!FD73</f>
        <v>0</v>
      </c>
      <c r="EW71" s="178"/>
      <c r="EX71" s="176" t="str">
        <f>Schedule!FE73</f>
        <v>0</v>
      </c>
      <c r="EY71" s="176" t="str">
        <f>Schedule!FF73</f>
        <v>0</v>
      </c>
      <c r="EZ71" s="176" t="str">
        <f>Schedule!FG73</f>
        <v>0</v>
      </c>
      <c r="FA71" s="176" t="str">
        <f>Schedule!FH73</f>
        <v>0</v>
      </c>
      <c r="FB71" s="176" t="str">
        <f>Schedule!FI73</f>
        <v>0</v>
      </c>
      <c r="FC71" s="176" t="str">
        <f>Schedule!FJ73</f>
        <v>0</v>
      </c>
      <c r="FD71" s="176" t="str">
        <f>Schedule!FK73</f>
        <v>0</v>
      </c>
      <c r="FE71" s="176" t="str">
        <f>Schedule!FL73</f>
        <v>0</v>
      </c>
      <c r="FF71" s="176" t="str">
        <f>Schedule!FM73</f>
        <v>0</v>
      </c>
      <c r="FG71" s="178"/>
      <c r="FH71" s="176" t="str">
        <f>Schedule!FN73</f>
        <v>0</v>
      </c>
      <c r="FI71" s="176" t="str">
        <f>Schedule!FO73</f>
        <v>0</v>
      </c>
      <c r="FJ71" s="176" t="str">
        <f>Schedule!FP73</f>
        <v>0</v>
      </c>
      <c r="FK71" s="176" t="str">
        <f>Schedule!FQ73</f>
        <v>0</v>
      </c>
      <c r="FL71" s="176" t="str">
        <f>Schedule!FR73</f>
        <v>0</v>
      </c>
      <c r="FM71" s="176" t="str">
        <f>Schedule!FS73</f>
        <v>0</v>
      </c>
      <c r="FN71" s="176" t="str">
        <f>Schedule!FT73</f>
        <v>0</v>
      </c>
      <c r="FO71" s="176" t="str">
        <f>Schedule!FU73</f>
        <v>0</v>
      </c>
      <c r="FP71" s="176" t="str">
        <f>Schedule!FV73</f>
        <v>0</v>
      </c>
      <c r="FQ71" s="178"/>
      <c r="FR71" s="176" t="str">
        <f>Schedule!FW73</f>
        <v>0</v>
      </c>
      <c r="FS71" s="176" t="str">
        <f>Schedule!FX73</f>
        <v>0</v>
      </c>
      <c r="FT71" s="176" t="str">
        <f>Schedule!FY73</f>
        <v>0</v>
      </c>
      <c r="FU71" s="176" t="str">
        <f>Schedule!FZ73</f>
        <v>0</v>
      </c>
      <c r="FV71" s="176" t="str">
        <f>Schedule!GA73</f>
        <v>0</v>
      </c>
      <c r="FW71" s="176" t="str">
        <f>Schedule!GB73</f>
        <v>0</v>
      </c>
      <c r="FX71" s="176" t="str">
        <f>Schedule!GC73</f>
        <v>0</v>
      </c>
      <c r="FY71" s="176" t="str">
        <f>Schedule!GD73</f>
        <v>0</v>
      </c>
      <c r="FZ71" s="176" t="str">
        <f>Schedule!GE73</f>
        <v>0</v>
      </c>
      <c r="GA71" s="178"/>
      <c r="GB71" s="176" t="str">
        <f>Schedule!GF73</f>
        <v>0</v>
      </c>
      <c r="GC71" s="176" t="str">
        <f>Schedule!GG73</f>
        <v>0</v>
      </c>
      <c r="GD71" s="176" t="str">
        <f>Schedule!GH73</f>
        <v>0</v>
      </c>
      <c r="GE71" s="176" t="str">
        <f>Schedule!GI73</f>
        <v>0</v>
      </c>
      <c r="GF71" s="176" t="str">
        <f>Schedule!GJ73</f>
        <v>0</v>
      </c>
      <c r="GG71" s="176" t="str">
        <f>Schedule!GK73</f>
        <v>0</v>
      </c>
      <c r="GH71" s="176" t="str">
        <f>Schedule!GL73</f>
        <v>0</v>
      </c>
      <c r="GI71" s="176" t="str">
        <f>Schedule!GM73</f>
        <v>0</v>
      </c>
      <c r="GJ71" s="176" t="str">
        <f>Schedule!GN73</f>
        <v>0</v>
      </c>
      <c r="GK71" s="178"/>
      <c r="GL71" s="176" t="str">
        <f>Schedule!GO73</f>
        <v>0</v>
      </c>
      <c r="GM71" s="176" t="str">
        <f>Schedule!GP73</f>
        <v>0</v>
      </c>
      <c r="GN71" s="176" t="str">
        <f>Schedule!GQ73</f>
        <v>0</v>
      </c>
      <c r="GO71" s="176" t="str">
        <f>Schedule!GR73</f>
        <v>0</v>
      </c>
      <c r="GP71" s="176" t="str">
        <f>Schedule!GS73</f>
        <v>0</v>
      </c>
      <c r="GQ71" s="176" t="str">
        <f>Schedule!GT73</f>
        <v>0</v>
      </c>
      <c r="GR71" s="176" t="str">
        <f>Schedule!GU73</f>
        <v>0</v>
      </c>
      <c r="GS71" s="176" t="str">
        <f>Schedule!GV73</f>
        <v>0</v>
      </c>
      <c r="GT71" s="176" t="str">
        <f>Schedule!GW73</f>
        <v>0</v>
      </c>
    </row>
    <row r="72" spans="1:203" ht="18" customHeight="1">
      <c r="B72" s="269"/>
      <c r="C72" s="159">
        <f>Schedule!C74</f>
        <v>0</v>
      </c>
      <c r="D72" s="176" t="str">
        <f>Schedule!Z74</f>
        <v>0</v>
      </c>
      <c r="E72" s="176" t="str">
        <f>Schedule!AA74</f>
        <v>0</v>
      </c>
      <c r="F72" s="176" t="str">
        <f>Schedule!AB74</f>
        <v>0</v>
      </c>
      <c r="G72" s="176" t="str">
        <f>Schedule!AC74</f>
        <v>0</v>
      </c>
      <c r="H72" s="176" t="str">
        <f>Schedule!AD74</f>
        <v>0</v>
      </c>
      <c r="I72" s="176" t="str">
        <f>Schedule!AE74</f>
        <v>0</v>
      </c>
      <c r="J72" s="176" t="str">
        <f>Schedule!AF74</f>
        <v>0</v>
      </c>
      <c r="K72" s="181" t="str">
        <f>Schedule!AG74</f>
        <v>0</v>
      </c>
      <c r="L72" s="181" t="str">
        <f>Schedule!AH74</f>
        <v>0</v>
      </c>
      <c r="M72" s="178"/>
      <c r="N72" s="183" t="str">
        <f>Schedule!AI74</f>
        <v>0</v>
      </c>
      <c r="O72" s="176" t="str">
        <f>Schedule!AJ74</f>
        <v>0</v>
      </c>
      <c r="P72" s="176" t="str">
        <f>Schedule!AK74</f>
        <v>0</v>
      </c>
      <c r="Q72" s="176" t="str">
        <f>Schedule!AL74</f>
        <v>0</v>
      </c>
      <c r="R72" s="176" t="str">
        <f>Schedule!AM74</f>
        <v>0</v>
      </c>
      <c r="S72" s="176" t="str">
        <f>Schedule!AN74</f>
        <v>0</v>
      </c>
      <c r="T72" s="176" t="str">
        <f>Schedule!AO74</f>
        <v>0</v>
      </c>
      <c r="U72" s="176" t="str">
        <f>Schedule!AP74</f>
        <v>0</v>
      </c>
      <c r="V72" s="176" t="str">
        <f>Schedule!AQ74</f>
        <v>0</v>
      </c>
      <c r="W72" s="178"/>
      <c r="X72" s="176" t="str">
        <f>Schedule!AR74</f>
        <v>0</v>
      </c>
      <c r="Y72" s="176" t="str">
        <f>Schedule!AS74</f>
        <v>0</v>
      </c>
      <c r="Z72" s="176" t="str">
        <f>Schedule!AT74</f>
        <v>0</v>
      </c>
      <c r="AA72" s="176" t="str">
        <f>Schedule!AU74</f>
        <v>0</v>
      </c>
      <c r="AB72" s="176" t="str">
        <f>Schedule!AV74</f>
        <v>0</v>
      </c>
      <c r="AC72" s="176" t="str">
        <f>Schedule!AW74</f>
        <v>0</v>
      </c>
      <c r="AD72" s="176" t="str">
        <f>Schedule!AX74</f>
        <v>0</v>
      </c>
      <c r="AE72" s="176" t="str">
        <f>Schedule!AY74</f>
        <v>0</v>
      </c>
      <c r="AF72" s="176" t="str">
        <f>Schedule!AZ74</f>
        <v>0</v>
      </c>
      <c r="AG72" s="178"/>
      <c r="AH72" s="176" t="str">
        <f>Schedule!BA74</f>
        <v>0</v>
      </c>
      <c r="AI72" s="176" t="str">
        <f>Schedule!BB74</f>
        <v>0</v>
      </c>
      <c r="AJ72" s="176" t="str">
        <f>Schedule!BC74</f>
        <v>0</v>
      </c>
      <c r="AK72" s="176" t="str">
        <f>Schedule!BD74</f>
        <v>0</v>
      </c>
      <c r="AL72" s="176" t="str">
        <f>Schedule!BE74</f>
        <v>0</v>
      </c>
      <c r="AM72" s="176" t="str">
        <f>Schedule!BF74</f>
        <v>0</v>
      </c>
      <c r="AN72" s="176" t="str">
        <f>Schedule!BG74</f>
        <v>0</v>
      </c>
      <c r="AO72" s="176" t="str">
        <f>Schedule!BH74</f>
        <v>0</v>
      </c>
      <c r="AP72" s="176" t="str">
        <f>Schedule!BI74</f>
        <v>0</v>
      </c>
      <c r="AQ72" s="178"/>
      <c r="AR72" s="176" t="str">
        <f>Schedule!BJ74</f>
        <v>0</v>
      </c>
      <c r="AS72" s="176" t="str">
        <f>Schedule!BK74</f>
        <v>0</v>
      </c>
      <c r="AT72" s="176" t="str">
        <f>Schedule!BL74</f>
        <v>0</v>
      </c>
      <c r="AU72" s="176" t="str">
        <f>Schedule!BM74</f>
        <v>0</v>
      </c>
      <c r="AV72" s="176" t="str">
        <f>Schedule!BN74</f>
        <v>0</v>
      </c>
      <c r="AW72" s="176" t="str">
        <f>Schedule!BO74</f>
        <v>0</v>
      </c>
      <c r="AX72" s="176" t="str">
        <f>Schedule!BP74</f>
        <v>0</v>
      </c>
      <c r="AY72" s="176" t="str">
        <f>Schedule!BQ74</f>
        <v>0</v>
      </c>
      <c r="AZ72" s="176" t="str">
        <f>Schedule!BR74</f>
        <v>0</v>
      </c>
      <c r="BA72" s="178"/>
      <c r="BB72" s="176" t="str">
        <f>Schedule!BS74</f>
        <v>0</v>
      </c>
      <c r="BC72" s="176" t="str">
        <f>Schedule!BT74</f>
        <v>0</v>
      </c>
      <c r="BD72" s="176" t="str">
        <f>Schedule!BU74</f>
        <v>0</v>
      </c>
      <c r="BE72" s="176" t="str">
        <f>Schedule!BV74</f>
        <v>0</v>
      </c>
      <c r="BF72" s="176" t="str">
        <f>Schedule!BW74</f>
        <v>0</v>
      </c>
      <c r="BG72" s="176" t="str">
        <f>Schedule!BX74</f>
        <v>0</v>
      </c>
      <c r="BH72" s="176" t="str">
        <f>Schedule!BY74</f>
        <v>0</v>
      </c>
      <c r="BI72" s="176" t="str">
        <f>Schedule!BZ74</f>
        <v>0</v>
      </c>
      <c r="BJ72" s="176" t="str">
        <f>Schedule!CA74</f>
        <v>0</v>
      </c>
      <c r="BK72" s="178"/>
      <c r="BL72" s="176" t="str">
        <f>Schedule!CB74</f>
        <v>0</v>
      </c>
      <c r="BM72" s="176" t="str">
        <f>Schedule!CC74</f>
        <v>0</v>
      </c>
      <c r="BN72" s="176" t="str">
        <f>Schedule!CD74</f>
        <v>0</v>
      </c>
      <c r="BO72" s="176" t="str">
        <f>Schedule!CE74</f>
        <v>0</v>
      </c>
      <c r="BP72" s="176" t="str">
        <f>Schedule!CF74</f>
        <v>0</v>
      </c>
      <c r="BQ72" s="176" t="str">
        <f>Schedule!CG74</f>
        <v>0</v>
      </c>
      <c r="BR72" s="176" t="str">
        <f>Schedule!CH74</f>
        <v>0</v>
      </c>
      <c r="BS72" s="176" t="str">
        <f>Schedule!CI74</f>
        <v>0</v>
      </c>
      <c r="BT72" s="176" t="str">
        <f>Schedule!CJ74</f>
        <v>0</v>
      </c>
      <c r="BU72" s="178"/>
      <c r="BV72" s="176" t="str">
        <f>Schedule!CK74</f>
        <v>0</v>
      </c>
      <c r="BW72" s="176" t="str">
        <f>Schedule!CL74</f>
        <v>0</v>
      </c>
      <c r="BX72" s="176" t="str">
        <f>Schedule!CM74</f>
        <v>0</v>
      </c>
      <c r="BY72" s="176" t="str">
        <f>Schedule!CN74</f>
        <v>0</v>
      </c>
      <c r="BZ72" s="176" t="str">
        <f>Schedule!CO74</f>
        <v>0</v>
      </c>
      <c r="CA72" s="176" t="str">
        <f>Schedule!CP74</f>
        <v>0</v>
      </c>
      <c r="CB72" s="176" t="str">
        <f>Schedule!CQ74</f>
        <v>0</v>
      </c>
      <c r="CC72" s="176" t="str">
        <f>Schedule!CR74</f>
        <v>0</v>
      </c>
      <c r="CD72" s="176" t="str">
        <f>Schedule!CS74</f>
        <v>0</v>
      </c>
      <c r="CE72" s="178"/>
      <c r="CF72" s="176" t="str">
        <f>Schedule!CT74</f>
        <v>0</v>
      </c>
      <c r="CG72" s="176" t="str">
        <f>Schedule!CU74</f>
        <v>0</v>
      </c>
      <c r="CH72" s="176" t="str">
        <f>Schedule!CV74</f>
        <v>0</v>
      </c>
      <c r="CI72" s="176" t="str">
        <f>Schedule!CW74</f>
        <v>0</v>
      </c>
      <c r="CJ72" s="176" t="str">
        <f>Schedule!CX74</f>
        <v>0</v>
      </c>
      <c r="CK72" s="176" t="str">
        <f>Schedule!CY74</f>
        <v>0</v>
      </c>
      <c r="CL72" s="176" t="str">
        <f>Schedule!CZ74</f>
        <v>0</v>
      </c>
      <c r="CM72" s="176" t="str">
        <f>Schedule!DA74</f>
        <v>0</v>
      </c>
      <c r="CN72" s="176" t="str">
        <f>Schedule!DB74</f>
        <v>0</v>
      </c>
      <c r="CO72" s="178"/>
      <c r="CP72" s="176" t="str">
        <f>Schedule!DC74</f>
        <v>0</v>
      </c>
      <c r="CQ72" s="176" t="str">
        <f>Schedule!DD74</f>
        <v>0</v>
      </c>
      <c r="CR72" s="176" t="str">
        <f>Schedule!DE74</f>
        <v>0</v>
      </c>
      <c r="CS72" s="176" t="str">
        <f>Schedule!DF74</f>
        <v>0</v>
      </c>
      <c r="CT72" s="176" t="str">
        <f>Schedule!DG74</f>
        <v>0</v>
      </c>
      <c r="CU72" s="176" t="str">
        <f>Schedule!DH74</f>
        <v>0</v>
      </c>
      <c r="CV72" s="176" t="str">
        <f>Schedule!DI74</f>
        <v>0</v>
      </c>
      <c r="CW72" s="176" t="str">
        <f>Schedule!DJ74</f>
        <v>0</v>
      </c>
      <c r="CX72" s="176" t="str">
        <f>Schedule!DK74</f>
        <v>0</v>
      </c>
      <c r="CY72" s="178"/>
      <c r="CZ72" s="176" t="str">
        <f>Schedule!DL74</f>
        <v>0</v>
      </c>
      <c r="DA72" s="176" t="str">
        <f>Schedule!DM74</f>
        <v>0</v>
      </c>
      <c r="DB72" s="176" t="str">
        <f>Schedule!DN74</f>
        <v>0</v>
      </c>
      <c r="DC72" s="176" t="str">
        <f>Schedule!DO74</f>
        <v>0</v>
      </c>
      <c r="DD72" s="176" t="str">
        <f>Schedule!DP74</f>
        <v>0</v>
      </c>
      <c r="DE72" s="176" t="str">
        <f>Schedule!DQ74</f>
        <v>0</v>
      </c>
      <c r="DF72" s="176" t="str">
        <f>Schedule!DR74</f>
        <v>0</v>
      </c>
      <c r="DG72" s="176" t="str">
        <f>Schedule!DS74</f>
        <v>0</v>
      </c>
      <c r="DH72" s="176" t="str">
        <f>Schedule!DT74</f>
        <v>0</v>
      </c>
      <c r="DI72" s="178"/>
      <c r="DJ72" s="176" t="str">
        <f>Schedule!DU74</f>
        <v>0</v>
      </c>
      <c r="DK72" s="176" t="str">
        <f>Schedule!DV74</f>
        <v>0</v>
      </c>
      <c r="DL72" s="176" t="str">
        <f>Schedule!DW74</f>
        <v>0</v>
      </c>
      <c r="DM72" s="176" t="str">
        <f>Schedule!DX74</f>
        <v>0</v>
      </c>
      <c r="DN72" s="176" t="str">
        <f>Schedule!DY74</f>
        <v>0</v>
      </c>
      <c r="DO72" s="176" t="str">
        <f>Schedule!DZ74</f>
        <v>0</v>
      </c>
      <c r="DP72" s="176" t="str">
        <f>Schedule!EA74</f>
        <v>0</v>
      </c>
      <c r="DQ72" s="176" t="str">
        <f>Schedule!EB74</f>
        <v>0</v>
      </c>
      <c r="DR72" s="176" t="str">
        <f>Schedule!EC74</f>
        <v>0</v>
      </c>
      <c r="DS72" s="178"/>
      <c r="DT72" s="176" t="str">
        <f>Schedule!ED74</f>
        <v>0</v>
      </c>
      <c r="DU72" s="176" t="str">
        <f>Schedule!EE74</f>
        <v>0</v>
      </c>
      <c r="DV72" s="176" t="str">
        <f>Schedule!EF74</f>
        <v>0</v>
      </c>
      <c r="DW72" s="176" t="str">
        <f>Schedule!EG74</f>
        <v>0</v>
      </c>
      <c r="DX72" s="176" t="str">
        <f>Schedule!EH74</f>
        <v>0</v>
      </c>
      <c r="DY72" s="176" t="str">
        <f>Schedule!EI74</f>
        <v>0</v>
      </c>
      <c r="DZ72" s="176" t="str">
        <f>Schedule!EJ74</f>
        <v>0</v>
      </c>
      <c r="EA72" s="176" t="str">
        <f>Schedule!EK74</f>
        <v>0</v>
      </c>
      <c r="EB72" s="176" t="str">
        <f>Schedule!EL74</f>
        <v>0</v>
      </c>
      <c r="EC72" s="178"/>
      <c r="ED72" s="176" t="str">
        <f>Schedule!EM74</f>
        <v>0</v>
      </c>
      <c r="EE72" s="176" t="str">
        <f>Schedule!EN74</f>
        <v>0</v>
      </c>
      <c r="EF72" s="176" t="str">
        <f>Schedule!EO74</f>
        <v>0</v>
      </c>
      <c r="EG72" s="176" t="str">
        <f>Schedule!EP74</f>
        <v>0</v>
      </c>
      <c r="EH72" s="176" t="str">
        <f>Schedule!EQ74</f>
        <v>0</v>
      </c>
      <c r="EI72" s="176" t="str">
        <f>Schedule!ER74</f>
        <v>0</v>
      </c>
      <c r="EJ72" s="176" t="str">
        <f>Schedule!ES74</f>
        <v>0</v>
      </c>
      <c r="EK72" s="176" t="str">
        <f>Schedule!ET74</f>
        <v>0</v>
      </c>
      <c r="EL72" s="176" t="str">
        <f>Schedule!EU74</f>
        <v>0</v>
      </c>
      <c r="EM72" s="178"/>
      <c r="EN72" s="176" t="str">
        <f>Schedule!EV74</f>
        <v>0</v>
      </c>
      <c r="EO72" s="176" t="str">
        <f>Schedule!EW74</f>
        <v>0</v>
      </c>
      <c r="EP72" s="176" t="str">
        <f>Schedule!EX74</f>
        <v>0</v>
      </c>
      <c r="EQ72" s="176" t="str">
        <f>Schedule!EY74</f>
        <v>0</v>
      </c>
      <c r="ER72" s="176" t="str">
        <f>Schedule!EZ74</f>
        <v>0</v>
      </c>
      <c r="ES72" s="176" t="str">
        <f>Schedule!FA74</f>
        <v>0</v>
      </c>
      <c r="ET72" s="176" t="str">
        <f>Schedule!FB74</f>
        <v>0</v>
      </c>
      <c r="EU72" s="176" t="str">
        <f>Schedule!FC74</f>
        <v>0</v>
      </c>
      <c r="EV72" s="176" t="str">
        <f>Schedule!FD74</f>
        <v>0</v>
      </c>
      <c r="EW72" s="178"/>
      <c r="EX72" s="176" t="str">
        <f>Schedule!FE74</f>
        <v>0</v>
      </c>
      <c r="EY72" s="176" t="str">
        <f>Schedule!FF74</f>
        <v>0</v>
      </c>
      <c r="EZ72" s="176" t="str">
        <f>Schedule!FG74</f>
        <v>0</v>
      </c>
      <c r="FA72" s="176" t="str">
        <f>Schedule!FH74</f>
        <v>0</v>
      </c>
      <c r="FB72" s="176" t="str">
        <f>Schedule!FI74</f>
        <v>0</v>
      </c>
      <c r="FC72" s="176" t="str">
        <f>Schedule!FJ74</f>
        <v>0</v>
      </c>
      <c r="FD72" s="176" t="str">
        <f>Schedule!FK74</f>
        <v>0</v>
      </c>
      <c r="FE72" s="176" t="str">
        <f>Schedule!FL74</f>
        <v>0</v>
      </c>
      <c r="FF72" s="176" t="str">
        <f>Schedule!FM74</f>
        <v>0</v>
      </c>
      <c r="FG72" s="178"/>
      <c r="FH72" s="176" t="str">
        <f>Schedule!FN74</f>
        <v>0</v>
      </c>
      <c r="FI72" s="176" t="str">
        <f>Schedule!FO74</f>
        <v>0</v>
      </c>
      <c r="FJ72" s="176" t="str">
        <f>Schedule!FP74</f>
        <v>0</v>
      </c>
      <c r="FK72" s="176" t="str">
        <f>Schedule!FQ74</f>
        <v>0</v>
      </c>
      <c r="FL72" s="176" t="str">
        <f>Schedule!FR74</f>
        <v>0</v>
      </c>
      <c r="FM72" s="176" t="str">
        <f>Schedule!FS74</f>
        <v>0</v>
      </c>
      <c r="FN72" s="176" t="str">
        <f>Schedule!FT74</f>
        <v>0</v>
      </c>
      <c r="FO72" s="176" t="str">
        <f>Schedule!FU74</f>
        <v>0</v>
      </c>
      <c r="FP72" s="176" t="str">
        <f>Schedule!FV74</f>
        <v>0</v>
      </c>
      <c r="FQ72" s="178"/>
      <c r="FR72" s="176" t="str">
        <f>Schedule!FW74</f>
        <v>0</v>
      </c>
      <c r="FS72" s="176" t="str">
        <f>Schedule!FX74</f>
        <v>0</v>
      </c>
      <c r="FT72" s="176" t="str">
        <f>Schedule!FY74</f>
        <v>0</v>
      </c>
      <c r="FU72" s="176" t="str">
        <f>Schedule!FZ74</f>
        <v>0</v>
      </c>
      <c r="FV72" s="176" t="str">
        <f>Schedule!GA74</f>
        <v>0</v>
      </c>
      <c r="FW72" s="176" t="str">
        <f>Schedule!GB74</f>
        <v>0</v>
      </c>
      <c r="FX72" s="176" t="str">
        <f>Schedule!GC74</f>
        <v>0</v>
      </c>
      <c r="FY72" s="176" t="str">
        <f>Schedule!GD74</f>
        <v>0</v>
      </c>
      <c r="FZ72" s="176" t="str">
        <f>Schedule!GE74</f>
        <v>0</v>
      </c>
      <c r="GA72" s="178"/>
      <c r="GB72" s="176" t="str">
        <f>Schedule!GF74</f>
        <v>0</v>
      </c>
      <c r="GC72" s="176" t="str">
        <f>Schedule!GG74</f>
        <v>0</v>
      </c>
      <c r="GD72" s="176" t="str">
        <f>Schedule!GH74</f>
        <v>0</v>
      </c>
      <c r="GE72" s="176" t="str">
        <f>Schedule!GI74</f>
        <v>0</v>
      </c>
      <c r="GF72" s="176" t="str">
        <f>Schedule!GJ74</f>
        <v>0</v>
      </c>
      <c r="GG72" s="176" t="str">
        <f>Schedule!GK74</f>
        <v>0</v>
      </c>
      <c r="GH72" s="176" t="str">
        <f>Schedule!GL74</f>
        <v>0</v>
      </c>
      <c r="GI72" s="176" t="str">
        <f>Schedule!GM74</f>
        <v>0</v>
      </c>
      <c r="GJ72" s="176" t="str">
        <f>Schedule!GN74</f>
        <v>0</v>
      </c>
      <c r="GK72" s="178"/>
      <c r="GL72" s="176" t="str">
        <f>Schedule!GO74</f>
        <v>0</v>
      </c>
      <c r="GM72" s="176" t="str">
        <f>Schedule!GP74</f>
        <v>0</v>
      </c>
      <c r="GN72" s="176" t="str">
        <f>Schedule!GQ74</f>
        <v>0</v>
      </c>
      <c r="GO72" s="176" t="str">
        <f>Schedule!GR74</f>
        <v>0</v>
      </c>
      <c r="GP72" s="176" t="str">
        <f>Schedule!GS74</f>
        <v>0</v>
      </c>
      <c r="GQ72" s="176" t="str">
        <f>Schedule!GT74</f>
        <v>0</v>
      </c>
      <c r="GR72" s="176" t="str">
        <f>Schedule!GU74</f>
        <v>0</v>
      </c>
      <c r="GS72" s="176" t="str">
        <f>Schedule!GV74</f>
        <v>0</v>
      </c>
      <c r="GT72" s="176" t="str">
        <f>Schedule!GW74</f>
        <v>0</v>
      </c>
    </row>
    <row r="73" spans="1:203" ht="18" customHeight="1">
      <c r="B73" s="269"/>
      <c r="C73" s="159">
        <f>Schedule!C75</f>
        <v>0</v>
      </c>
      <c r="D73" s="176" t="str">
        <f>Schedule!Z75</f>
        <v>0</v>
      </c>
      <c r="E73" s="176" t="str">
        <f>Schedule!AA75</f>
        <v>0</v>
      </c>
      <c r="F73" s="176" t="str">
        <f>Schedule!AB75</f>
        <v>0</v>
      </c>
      <c r="G73" s="176" t="str">
        <f>Schedule!AC75</f>
        <v>0</v>
      </c>
      <c r="H73" s="176" t="str">
        <f>Schedule!AD75</f>
        <v>0</v>
      </c>
      <c r="I73" s="176" t="str">
        <f>Schedule!AE75</f>
        <v>0</v>
      </c>
      <c r="J73" s="176" t="str">
        <f>Schedule!AF75</f>
        <v>0</v>
      </c>
      <c r="K73" s="181" t="str">
        <f>Schedule!AG75</f>
        <v>0</v>
      </c>
      <c r="L73" s="181" t="str">
        <f>Schedule!AH75</f>
        <v>0</v>
      </c>
      <c r="M73" s="178"/>
      <c r="N73" s="183" t="str">
        <f>Schedule!AI75</f>
        <v>0</v>
      </c>
      <c r="O73" s="176" t="str">
        <f>Schedule!AJ75</f>
        <v>0</v>
      </c>
      <c r="P73" s="176" t="str">
        <f>Schedule!AK75</f>
        <v>0</v>
      </c>
      <c r="Q73" s="176" t="str">
        <f>Schedule!AL75</f>
        <v>0</v>
      </c>
      <c r="R73" s="176" t="str">
        <f>Schedule!AM75</f>
        <v>0</v>
      </c>
      <c r="S73" s="176" t="str">
        <f>Schedule!AN75</f>
        <v>0</v>
      </c>
      <c r="T73" s="176" t="str">
        <f>Schedule!AO75</f>
        <v>0</v>
      </c>
      <c r="U73" s="176" t="str">
        <f>Schedule!AP75</f>
        <v>0</v>
      </c>
      <c r="V73" s="176" t="str">
        <f>Schedule!AQ75</f>
        <v>0</v>
      </c>
      <c r="W73" s="178"/>
      <c r="X73" s="176" t="str">
        <f>Schedule!AR75</f>
        <v>0</v>
      </c>
      <c r="Y73" s="176" t="str">
        <f>Schedule!AS75</f>
        <v>0</v>
      </c>
      <c r="Z73" s="176" t="str">
        <f>Schedule!AT75</f>
        <v>0</v>
      </c>
      <c r="AA73" s="176" t="str">
        <f>Schedule!AU75</f>
        <v>0</v>
      </c>
      <c r="AB73" s="176" t="str">
        <f>Schedule!AV75</f>
        <v>0</v>
      </c>
      <c r="AC73" s="176" t="str">
        <f>Schedule!AW75</f>
        <v>0</v>
      </c>
      <c r="AD73" s="176" t="str">
        <f>Schedule!AX75</f>
        <v>0</v>
      </c>
      <c r="AE73" s="176" t="str">
        <f>Schedule!AY75</f>
        <v>0</v>
      </c>
      <c r="AF73" s="176" t="str">
        <f>Schedule!AZ75</f>
        <v>0</v>
      </c>
      <c r="AG73" s="178"/>
      <c r="AH73" s="176" t="str">
        <f>Schedule!BA75</f>
        <v>0</v>
      </c>
      <c r="AI73" s="176" t="str">
        <f>Schedule!BB75</f>
        <v>0</v>
      </c>
      <c r="AJ73" s="176" t="str">
        <f>Schedule!BC75</f>
        <v>0</v>
      </c>
      <c r="AK73" s="176" t="str">
        <f>Schedule!BD75</f>
        <v>0</v>
      </c>
      <c r="AL73" s="176" t="str">
        <f>Schedule!BE75</f>
        <v>0</v>
      </c>
      <c r="AM73" s="176" t="str">
        <f>Schedule!BF75</f>
        <v>0</v>
      </c>
      <c r="AN73" s="176" t="str">
        <f>Schedule!BG75</f>
        <v>0</v>
      </c>
      <c r="AO73" s="176" t="str">
        <f>Schedule!BH75</f>
        <v>0</v>
      </c>
      <c r="AP73" s="176" t="str">
        <f>Schedule!BI75</f>
        <v>0</v>
      </c>
      <c r="AQ73" s="178"/>
      <c r="AR73" s="176" t="str">
        <f>Schedule!BJ75</f>
        <v>0</v>
      </c>
      <c r="AS73" s="176" t="str">
        <f>Schedule!BK75</f>
        <v>0</v>
      </c>
      <c r="AT73" s="176" t="str">
        <f>Schedule!BL75</f>
        <v>0</v>
      </c>
      <c r="AU73" s="176" t="str">
        <f>Schedule!BM75</f>
        <v>0</v>
      </c>
      <c r="AV73" s="176" t="str">
        <f>Schedule!BN75</f>
        <v>0</v>
      </c>
      <c r="AW73" s="176" t="str">
        <f>Schedule!BO75</f>
        <v>0</v>
      </c>
      <c r="AX73" s="176" t="str">
        <f>Schedule!BP75</f>
        <v>0</v>
      </c>
      <c r="AY73" s="176" t="str">
        <f>Schedule!BQ75</f>
        <v>0</v>
      </c>
      <c r="AZ73" s="176" t="str">
        <f>Schedule!BR75</f>
        <v>0</v>
      </c>
      <c r="BA73" s="178"/>
      <c r="BB73" s="176" t="str">
        <f>Schedule!BS75</f>
        <v>0</v>
      </c>
      <c r="BC73" s="176" t="str">
        <f>Schedule!BT75</f>
        <v>0</v>
      </c>
      <c r="BD73" s="176" t="str">
        <f>Schedule!BU75</f>
        <v>0</v>
      </c>
      <c r="BE73" s="176" t="str">
        <f>Schedule!BV75</f>
        <v>0</v>
      </c>
      <c r="BF73" s="176" t="str">
        <f>Schedule!BW75</f>
        <v>0</v>
      </c>
      <c r="BG73" s="176" t="str">
        <f>Schedule!BX75</f>
        <v>0</v>
      </c>
      <c r="BH73" s="176" t="str">
        <f>Schedule!BY75</f>
        <v>0</v>
      </c>
      <c r="BI73" s="176" t="str">
        <f>Schedule!BZ75</f>
        <v>0</v>
      </c>
      <c r="BJ73" s="176" t="str">
        <f>Schedule!CA75</f>
        <v>0</v>
      </c>
      <c r="BK73" s="178"/>
      <c r="BL73" s="176" t="str">
        <f>Schedule!CB75</f>
        <v>0</v>
      </c>
      <c r="BM73" s="176" t="str">
        <f>Schedule!CC75</f>
        <v>0</v>
      </c>
      <c r="BN73" s="176" t="str">
        <f>Schedule!CD75</f>
        <v>0</v>
      </c>
      <c r="BO73" s="176" t="str">
        <f>Schedule!CE75</f>
        <v>0</v>
      </c>
      <c r="BP73" s="176" t="str">
        <f>Schedule!CF75</f>
        <v>0</v>
      </c>
      <c r="BQ73" s="176" t="str">
        <f>Schedule!CG75</f>
        <v>0</v>
      </c>
      <c r="BR73" s="176" t="str">
        <f>Schedule!CH75</f>
        <v>0</v>
      </c>
      <c r="BS73" s="176" t="str">
        <f>Schedule!CI75</f>
        <v>0</v>
      </c>
      <c r="BT73" s="176" t="str">
        <f>Schedule!CJ75</f>
        <v>0</v>
      </c>
      <c r="BU73" s="178"/>
      <c r="BV73" s="176" t="str">
        <f>Schedule!CK75</f>
        <v>0</v>
      </c>
      <c r="BW73" s="176" t="str">
        <f>Schedule!CL75</f>
        <v>0</v>
      </c>
      <c r="BX73" s="176" t="str">
        <f>Schedule!CM75</f>
        <v>0</v>
      </c>
      <c r="BY73" s="176" t="str">
        <f>Schedule!CN75</f>
        <v>0</v>
      </c>
      <c r="BZ73" s="176" t="str">
        <f>Schedule!CO75</f>
        <v>0</v>
      </c>
      <c r="CA73" s="176" t="str">
        <f>Schedule!CP75</f>
        <v>0</v>
      </c>
      <c r="CB73" s="176" t="str">
        <f>Schedule!CQ75</f>
        <v>0</v>
      </c>
      <c r="CC73" s="176" t="str">
        <f>Schedule!CR75</f>
        <v>0</v>
      </c>
      <c r="CD73" s="176" t="str">
        <f>Schedule!CS75</f>
        <v>0</v>
      </c>
      <c r="CE73" s="178"/>
      <c r="CF73" s="176" t="str">
        <f>Schedule!CT75</f>
        <v>0</v>
      </c>
      <c r="CG73" s="176" t="str">
        <f>Schedule!CU75</f>
        <v>0</v>
      </c>
      <c r="CH73" s="176" t="str">
        <f>Schedule!CV75</f>
        <v>0</v>
      </c>
      <c r="CI73" s="176" t="str">
        <f>Schedule!CW75</f>
        <v>0</v>
      </c>
      <c r="CJ73" s="176" t="str">
        <f>Schedule!CX75</f>
        <v>0</v>
      </c>
      <c r="CK73" s="176" t="str">
        <f>Schedule!CY75</f>
        <v>0</v>
      </c>
      <c r="CL73" s="176" t="str">
        <f>Schedule!CZ75</f>
        <v>0</v>
      </c>
      <c r="CM73" s="176" t="str">
        <f>Schedule!DA75</f>
        <v>0</v>
      </c>
      <c r="CN73" s="176" t="str">
        <f>Schedule!DB75</f>
        <v>0</v>
      </c>
      <c r="CO73" s="178"/>
      <c r="CP73" s="176" t="str">
        <f>Schedule!DC75</f>
        <v>0</v>
      </c>
      <c r="CQ73" s="176" t="str">
        <f>Schedule!DD75</f>
        <v>0</v>
      </c>
      <c r="CR73" s="176" t="str">
        <f>Schedule!DE75</f>
        <v>0</v>
      </c>
      <c r="CS73" s="176" t="str">
        <f>Schedule!DF75</f>
        <v>0</v>
      </c>
      <c r="CT73" s="176" t="str">
        <f>Schedule!DG75</f>
        <v>0</v>
      </c>
      <c r="CU73" s="176" t="str">
        <f>Schedule!DH75</f>
        <v>0</v>
      </c>
      <c r="CV73" s="176" t="str">
        <f>Schedule!DI75</f>
        <v>0</v>
      </c>
      <c r="CW73" s="176" t="str">
        <f>Schedule!DJ75</f>
        <v>0</v>
      </c>
      <c r="CX73" s="176" t="str">
        <f>Schedule!DK75</f>
        <v>0</v>
      </c>
      <c r="CY73" s="178"/>
      <c r="CZ73" s="176" t="str">
        <f>Schedule!DL75</f>
        <v>0</v>
      </c>
      <c r="DA73" s="176" t="str">
        <f>Schedule!DM75</f>
        <v>0</v>
      </c>
      <c r="DB73" s="176" t="str">
        <f>Schedule!DN75</f>
        <v>0</v>
      </c>
      <c r="DC73" s="176" t="str">
        <f>Schedule!DO75</f>
        <v>0</v>
      </c>
      <c r="DD73" s="176" t="str">
        <f>Schedule!DP75</f>
        <v>0</v>
      </c>
      <c r="DE73" s="176" t="str">
        <f>Schedule!DQ75</f>
        <v>0</v>
      </c>
      <c r="DF73" s="176" t="str">
        <f>Schedule!DR75</f>
        <v>0</v>
      </c>
      <c r="DG73" s="176" t="str">
        <f>Schedule!DS75</f>
        <v>0</v>
      </c>
      <c r="DH73" s="176" t="str">
        <f>Schedule!DT75</f>
        <v>0</v>
      </c>
      <c r="DI73" s="178"/>
      <c r="DJ73" s="176" t="str">
        <f>Schedule!DU75</f>
        <v>0</v>
      </c>
      <c r="DK73" s="176" t="str">
        <f>Schedule!DV75</f>
        <v>0</v>
      </c>
      <c r="DL73" s="176" t="str">
        <f>Schedule!DW75</f>
        <v>0</v>
      </c>
      <c r="DM73" s="176" t="str">
        <f>Schedule!DX75</f>
        <v>0</v>
      </c>
      <c r="DN73" s="176" t="str">
        <f>Schedule!DY75</f>
        <v>0</v>
      </c>
      <c r="DO73" s="176" t="str">
        <f>Schedule!DZ75</f>
        <v>0</v>
      </c>
      <c r="DP73" s="176" t="str">
        <f>Schedule!EA75</f>
        <v>0</v>
      </c>
      <c r="DQ73" s="176" t="str">
        <f>Schedule!EB75</f>
        <v>0</v>
      </c>
      <c r="DR73" s="176" t="str">
        <f>Schedule!EC75</f>
        <v>0</v>
      </c>
      <c r="DS73" s="178"/>
      <c r="DT73" s="176" t="str">
        <f>Schedule!ED75</f>
        <v>0</v>
      </c>
      <c r="DU73" s="176" t="str">
        <f>Schedule!EE75</f>
        <v>0</v>
      </c>
      <c r="DV73" s="176" t="str">
        <f>Schedule!EF75</f>
        <v>0</v>
      </c>
      <c r="DW73" s="176" t="str">
        <f>Schedule!EG75</f>
        <v>0</v>
      </c>
      <c r="DX73" s="176" t="str">
        <f>Schedule!EH75</f>
        <v>0</v>
      </c>
      <c r="DY73" s="176" t="str">
        <f>Schedule!EI75</f>
        <v>0</v>
      </c>
      <c r="DZ73" s="176" t="str">
        <f>Schedule!EJ75</f>
        <v>0</v>
      </c>
      <c r="EA73" s="176" t="str">
        <f>Schedule!EK75</f>
        <v>0</v>
      </c>
      <c r="EB73" s="176" t="str">
        <f>Schedule!EL75</f>
        <v>0</v>
      </c>
      <c r="EC73" s="178"/>
      <c r="ED73" s="176" t="str">
        <f>Schedule!EM75</f>
        <v>0</v>
      </c>
      <c r="EE73" s="176" t="str">
        <f>Schedule!EN75</f>
        <v>0</v>
      </c>
      <c r="EF73" s="176" t="str">
        <f>Schedule!EO75</f>
        <v>0</v>
      </c>
      <c r="EG73" s="176" t="str">
        <f>Schedule!EP75</f>
        <v>0</v>
      </c>
      <c r="EH73" s="176" t="str">
        <f>Schedule!EQ75</f>
        <v>0</v>
      </c>
      <c r="EI73" s="176" t="str">
        <f>Schedule!ER75</f>
        <v>0</v>
      </c>
      <c r="EJ73" s="176" t="str">
        <f>Schedule!ES75</f>
        <v>0</v>
      </c>
      <c r="EK73" s="176" t="str">
        <f>Schedule!ET75</f>
        <v>0</v>
      </c>
      <c r="EL73" s="176" t="str">
        <f>Schedule!EU75</f>
        <v>0</v>
      </c>
      <c r="EM73" s="178"/>
      <c r="EN73" s="176" t="str">
        <f>Schedule!EV75</f>
        <v>0</v>
      </c>
      <c r="EO73" s="176" t="str">
        <f>Schedule!EW75</f>
        <v>0</v>
      </c>
      <c r="EP73" s="176" t="str">
        <f>Schedule!EX75</f>
        <v>0</v>
      </c>
      <c r="EQ73" s="176" t="str">
        <f>Schedule!EY75</f>
        <v>0</v>
      </c>
      <c r="ER73" s="176" t="str">
        <f>Schedule!EZ75</f>
        <v>0</v>
      </c>
      <c r="ES73" s="176" t="str">
        <f>Schedule!FA75</f>
        <v>0</v>
      </c>
      <c r="ET73" s="176" t="str">
        <f>Schedule!FB75</f>
        <v>0</v>
      </c>
      <c r="EU73" s="176" t="str">
        <f>Schedule!FC75</f>
        <v>0</v>
      </c>
      <c r="EV73" s="176" t="str">
        <f>Schedule!FD75</f>
        <v>0</v>
      </c>
      <c r="EW73" s="178"/>
      <c r="EX73" s="176" t="str">
        <f>Schedule!FE75</f>
        <v>0</v>
      </c>
      <c r="EY73" s="176" t="str">
        <f>Schedule!FF75</f>
        <v>0</v>
      </c>
      <c r="EZ73" s="176" t="str">
        <f>Schedule!FG75</f>
        <v>0</v>
      </c>
      <c r="FA73" s="176" t="str">
        <f>Schedule!FH75</f>
        <v>0</v>
      </c>
      <c r="FB73" s="176" t="str">
        <f>Schedule!FI75</f>
        <v>0</v>
      </c>
      <c r="FC73" s="176" t="str">
        <f>Schedule!FJ75</f>
        <v>0</v>
      </c>
      <c r="FD73" s="176" t="str">
        <f>Schedule!FK75</f>
        <v>0</v>
      </c>
      <c r="FE73" s="176" t="str">
        <f>Schedule!FL75</f>
        <v>0</v>
      </c>
      <c r="FF73" s="176" t="str">
        <f>Schedule!FM75</f>
        <v>0</v>
      </c>
      <c r="FG73" s="178"/>
      <c r="FH73" s="176" t="str">
        <f>Schedule!FN75</f>
        <v>0</v>
      </c>
      <c r="FI73" s="176" t="str">
        <f>Schedule!FO75</f>
        <v>0</v>
      </c>
      <c r="FJ73" s="176" t="str">
        <f>Schedule!FP75</f>
        <v>0</v>
      </c>
      <c r="FK73" s="176" t="str">
        <f>Schedule!FQ75</f>
        <v>0</v>
      </c>
      <c r="FL73" s="176" t="str">
        <f>Schedule!FR75</f>
        <v>0</v>
      </c>
      <c r="FM73" s="176" t="str">
        <f>Schedule!FS75</f>
        <v>0</v>
      </c>
      <c r="FN73" s="176" t="str">
        <f>Schedule!FT75</f>
        <v>0</v>
      </c>
      <c r="FO73" s="176" t="str">
        <f>Schedule!FU75</f>
        <v>0</v>
      </c>
      <c r="FP73" s="176" t="str">
        <f>Schedule!FV75</f>
        <v>0</v>
      </c>
      <c r="FQ73" s="178"/>
      <c r="FR73" s="176" t="str">
        <f>Schedule!FW75</f>
        <v>0</v>
      </c>
      <c r="FS73" s="176" t="str">
        <f>Schedule!FX75</f>
        <v>0</v>
      </c>
      <c r="FT73" s="176" t="str">
        <f>Schedule!FY75</f>
        <v>0</v>
      </c>
      <c r="FU73" s="176" t="str">
        <f>Schedule!FZ75</f>
        <v>0</v>
      </c>
      <c r="FV73" s="176" t="str">
        <f>Schedule!GA75</f>
        <v>0</v>
      </c>
      <c r="FW73" s="176" t="str">
        <f>Schedule!GB75</f>
        <v>0</v>
      </c>
      <c r="FX73" s="176" t="str">
        <f>Schedule!GC75</f>
        <v>0</v>
      </c>
      <c r="FY73" s="176" t="str">
        <f>Schedule!GD75</f>
        <v>0</v>
      </c>
      <c r="FZ73" s="176" t="str">
        <f>Schedule!GE75</f>
        <v>0</v>
      </c>
      <c r="GA73" s="178"/>
      <c r="GB73" s="176" t="str">
        <f>Schedule!GF75</f>
        <v>0</v>
      </c>
      <c r="GC73" s="176" t="str">
        <f>Schedule!GG75</f>
        <v>0</v>
      </c>
      <c r="GD73" s="176" t="str">
        <f>Schedule!GH75</f>
        <v>0</v>
      </c>
      <c r="GE73" s="176" t="str">
        <f>Schedule!GI75</f>
        <v>0</v>
      </c>
      <c r="GF73" s="176" t="str">
        <f>Schedule!GJ75</f>
        <v>0</v>
      </c>
      <c r="GG73" s="176" t="str">
        <f>Schedule!GK75</f>
        <v>0</v>
      </c>
      <c r="GH73" s="176" t="str">
        <f>Schedule!GL75</f>
        <v>0</v>
      </c>
      <c r="GI73" s="176" t="str">
        <f>Schedule!GM75</f>
        <v>0</v>
      </c>
      <c r="GJ73" s="176" t="str">
        <f>Schedule!GN75</f>
        <v>0</v>
      </c>
      <c r="GK73" s="178"/>
      <c r="GL73" s="176" t="str">
        <f>Schedule!GO75</f>
        <v>0</v>
      </c>
      <c r="GM73" s="176" t="str">
        <f>Schedule!GP75</f>
        <v>0</v>
      </c>
      <c r="GN73" s="176" t="str">
        <f>Schedule!GQ75</f>
        <v>0</v>
      </c>
      <c r="GO73" s="176" t="str">
        <f>Schedule!GR75</f>
        <v>0</v>
      </c>
      <c r="GP73" s="176" t="str">
        <f>Schedule!GS75</f>
        <v>0</v>
      </c>
      <c r="GQ73" s="176" t="str">
        <f>Schedule!GT75</f>
        <v>0</v>
      </c>
      <c r="GR73" s="176" t="str">
        <f>Schedule!GU75</f>
        <v>0</v>
      </c>
      <c r="GS73" s="176" t="str">
        <f>Schedule!GV75</f>
        <v>0</v>
      </c>
      <c r="GT73" s="176" t="str">
        <f>Schedule!GW75</f>
        <v>0</v>
      </c>
    </row>
    <row r="74" spans="1:203" ht="18" customHeight="1">
      <c r="B74" s="269"/>
      <c r="C74" s="159">
        <f>Schedule!C76</f>
        <v>0</v>
      </c>
      <c r="D74" s="176" t="str">
        <f>Schedule!Z76</f>
        <v>0</v>
      </c>
      <c r="E74" s="176" t="str">
        <f>Schedule!AA76</f>
        <v>0</v>
      </c>
      <c r="F74" s="176" t="str">
        <f>Schedule!AB76</f>
        <v>0</v>
      </c>
      <c r="G74" s="176" t="str">
        <f>Schedule!AC76</f>
        <v>0</v>
      </c>
      <c r="H74" s="176" t="str">
        <f>Schedule!AD76</f>
        <v>0</v>
      </c>
      <c r="I74" s="176" t="str">
        <f>Schedule!AE76</f>
        <v>0</v>
      </c>
      <c r="J74" s="176" t="str">
        <f>Schedule!AF76</f>
        <v>0</v>
      </c>
      <c r="K74" s="181" t="str">
        <f>Schedule!AG76</f>
        <v>0</v>
      </c>
      <c r="L74" s="181" t="str">
        <f>Schedule!AH76</f>
        <v>0</v>
      </c>
      <c r="M74" s="178"/>
      <c r="N74" s="183" t="str">
        <f>Schedule!AI76</f>
        <v>0</v>
      </c>
      <c r="O74" s="176" t="str">
        <f>Schedule!AJ76</f>
        <v>0</v>
      </c>
      <c r="P74" s="176" t="str">
        <f>Schedule!AK76</f>
        <v>0</v>
      </c>
      <c r="Q74" s="176" t="str">
        <f>Schedule!AL76</f>
        <v>0</v>
      </c>
      <c r="R74" s="176" t="str">
        <f>Schedule!AM76</f>
        <v>0</v>
      </c>
      <c r="S74" s="176" t="str">
        <f>Schedule!AN76</f>
        <v>0</v>
      </c>
      <c r="T74" s="176" t="str">
        <f>Schedule!AO76</f>
        <v>0</v>
      </c>
      <c r="U74" s="176" t="str">
        <f>Schedule!AP76</f>
        <v>0</v>
      </c>
      <c r="V74" s="176" t="str">
        <f>Schedule!AQ76</f>
        <v>0</v>
      </c>
      <c r="W74" s="178"/>
      <c r="X74" s="176" t="str">
        <f>Schedule!AR76</f>
        <v>0</v>
      </c>
      <c r="Y74" s="176" t="str">
        <f>Schedule!AS76</f>
        <v>0</v>
      </c>
      <c r="Z74" s="176" t="str">
        <f>Schedule!AT76</f>
        <v>0</v>
      </c>
      <c r="AA74" s="176" t="str">
        <f>Schedule!AU76</f>
        <v>0</v>
      </c>
      <c r="AB74" s="176" t="str">
        <f>Schedule!AV76</f>
        <v>0</v>
      </c>
      <c r="AC74" s="176" t="str">
        <f>Schedule!AW76</f>
        <v>0</v>
      </c>
      <c r="AD74" s="176" t="str">
        <f>Schedule!AX76</f>
        <v>0</v>
      </c>
      <c r="AE74" s="176" t="str">
        <f>Schedule!AY76</f>
        <v>0</v>
      </c>
      <c r="AF74" s="176" t="str">
        <f>Schedule!AZ76</f>
        <v>0</v>
      </c>
      <c r="AG74" s="178"/>
      <c r="AH74" s="176" t="str">
        <f>Schedule!BA76</f>
        <v>0</v>
      </c>
      <c r="AI74" s="176" t="str">
        <f>Schedule!BB76</f>
        <v>0</v>
      </c>
      <c r="AJ74" s="176" t="str">
        <f>Schedule!BC76</f>
        <v>0</v>
      </c>
      <c r="AK74" s="176" t="str">
        <f>Schedule!BD76</f>
        <v>0</v>
      </c>
      <c r="AL74" s="176" t="str">
        <f>Schedule!BE76</f>
        <v>0</v>
      </c>
      <c r="AM74" s="176" t="str">
        <f>Schedule!BF76</f>
        <v>0</v>
      </c>
      <c r="AN74" s="176" t="str">
        <f>Schedule!BG76</f>
        <v>0</v>
      </c>
      <c r="AO74" s="176" t="str">
        <f>Schedule!BH76</f>
        <v>0</v>
      </c>
      <c r="AP74" s="176" t="str">
        <f>Schedule!BI76</f>
        <v>0</v>
      </c>
      <c r="AQ74" s="178"/>
      <c r="AR74" s="176" t="str">
        <f>Schedule!BJ76</f>
        <v>0</v>
      </c>
      <c r="AS74" s="176" t="str">
        <f>Schedule!BK76</f>
        <v>0</v>
      </c>
      <c r="AT74" s="176" t="str">
        <f>Schedule!BL76</f>
        <v>0</v>
      </c>
      <c r="AU74" s="176" t="str">
        <f>Schedule!BM76</f>
        <v>0</v>
      </c>
      <c r="AV74" s="176" t="str">
        <f>Schedule!BN76</f>
        <v>0</v>
      </c>
      <c r="AW74" s="176" t="str">
        <f>Schedule!BO76</f>
        <v>0</v>
      </c>
      <c r="AX74" s="176" t="str">
        <f>Schedule!BP76</f>
        <v>0</v>
      </c>
      <c r="AY74" s="176" t="str">
        <f>Schedule!BQ76</f>
        <v>0</v>
      </c>
      <c r="AZ74" s="176" t="str">
        <f>Schedule!BR76</f>
        <v>0</v>
      </c>
      <c r="BA74" s="178"/>
      <c r="BB74" s="176" t="str">
        <f>Schedule!BS76</f>
        <v>0</v>
      </c>
      <c r="BC74" s="176" t="str">
        <f>Schedule!BT76</f>
        <v>0</v>
      </c>
      <c r="BD74" s="176" t="str">
        <f>Schedule!BU76</f>
        <v>0</v>
      </c>
      <c r="BE74" s="176" t="str">
        <f>Schedule!BV76</f>
        <v>0</v>
      </c>
      <c r="BF74" s="176" t="str">
        <f>Schedule!BW76</f>
        <v>0</v>
      </c>
      <c r="BG74" s="176" t="str">
        <f>Schedule!BX76</f>
        <v>0</v>
      </c>
      <c r="BH74" s="176" t="str">
        <f>Schedule!BY76</f>
        <v>0</v>
      </c>
      <c r="BI74" s="176" t="str">
        <f>Schedule!BZ76</f>
        <v>0</v>
      </c>
      <c r="BJ74" s="176" t="str">
        <f>Schedule!CA76</f>
        <v>0</v>
      </c>
      <c r="BK74" s="178"/>
      <c r="BL74" s="176" t="str">
        <f>Schedule!CB76</f>
        <v>0</v>
      </c>
      <c r="BM74" s="176" t="str">
        <f>Schedule!CC76</f>
        <v>0</v>
      </c>
      <c r="BN74" s="176" t="str">
        <f>Schedule!CD76</f>
        <v>0</v>
      </c>
      <c r="BO74" s="176" t="str">
        <f>Schedule!CE76</f>
        <v>0</v>
      </c>
      <c r="BP74" s="176" t="str">
        <f>Schedule!CF76</f>
        <v>0</v>
      </c>
      <c r="BQ74" s="176" t="str">
        <f>Schedule!CG76</f>
        <v>0</v>
      </c>
      <c r="BR74" s="176" t="str">
        <f>Schedule!CH76</f>
        <v>0</v>
      </c>
      <c r="BS74" s="176" t="str">
        <f>Schedule!CI76</f>
        <v>0</v>
      </c>
      <c r="BT74" s="176" t="str">
        <f>Schedule!CJ76</f>
        <v>0</v>
      </c>
      <c r="BU74" s="178"/>
      <c r="BV74" s="176" t="str">
        <f>Schedule!CK76</f>
        <v>0</v>
      </c>
      <c r="BW74" s="176" t="str">
        <f>Schedule!CL76</f>
        <v>0</v>
      </c>
      <c r="BX74" s="176" t="str">
        <f>Schedule!CM76</f>
        <v>0</v>
      </c>
      <c r="BY74" s="176" t="str">
        <f>Schedule!CN76</f>
        <v>0</v>
      </c>
      <c r="BZ74" s="176" t="str">
        <f>Schedule!CO76</f>
        <v>0</v>
      </c>
      <c r="CA74" s="176" t="str">
        <f>Schedule!CP76</f>
        <v>0</v>
      </c>
      <c r="CB74" s="176" t="str">
        <f>Schedule!CQ76</f>
        <v>0</v>
      </c>
      <c r="CC74" s="176" t="str">
        <f>Schedule!CR76</f>
        <v>0</v>
      </c>
      <c r="CD74" s="176" t="str">
        <f>Schedule!CS76</f>
        <v>0</v>
      </c>
      <c r="CE74" s="178"/>
      <c r="CF74" s="176" t="str">
        <f>Schedule!CT76</f>
        <v>0</v>
      </c>
      <c r="CG74" s="176" t="str">
        <f>Schedule!CU76</f>
        <v>0</v>
      </c>
      <c r="CH74" s="176" t="str">
        <f>Schedule!CV76</f>
        <v>0</v>
      </c>
      <c r="CI74" s="176" t="str">
        <f>Schedule!CW76</f>
        <v>0</v>
      </c>
      <c r="CJ74" s="176" t="str">
        <f>Schedule!CX76</f>
        <v>0</v>
      </c>
      <c r="CK74" s="176" t="str">
        <f>Schedule!CY76</f>
        <v>0</v>
      </c>
      <c r="CL74" s="176" t="str">
        <f>Schedule!CZ76</f>
        <v>0</v>
      </c>
      <c r="CM74" s="176" t="str">
        <f>Schedule!DA76</f>
        <v>0</v>
      </c>
      <c r="CN74" s="176" t="str">
        <f>Schedule!DB76</f>
        <v>0</v>
      </c>
      <c r="CO74" s="178"/>
      <c r="CP74" s="176" t="str">
        <f>Schedule!DC76</f>
        <v>0</v>
      </c>
      <c r="CQ74" s="176" t="str">
        <f>Schedule!DD76</f>
        <v>0</v>
      </c>
      <c r="CR74" s="176" t="str">
        <f>Schedule!DE76</f>
        <v>0</v>
      </c>
      <c r="CS74" s="176" t="str">
        <f>Schedule!DF76</f>
        <v>0</v>
      </c>
      <c r="CT74" s="176" t="str">
        <f>Schedule!DG76</f>
        <v>0</v>
      </c>
      <c r="CU74" s="176" t="str">
        <f>Schedule!DH76</f>
        <v>0</v>
      </c>
      <c r="CV74" s="176" t="str">
        <f>Schedule!DI76</f>
        <v>0</v>
      </c>
      <c r="CW74" s="176" t="str">
        <f>Schedule!DJ76</f>
        <v>0</v>
      </c>
      <c r="CX74" s="176" t="str">
        <f>Schedule!DK76</f>
        <v>0</v>
      </c>
      <c r="CY74" s="178"/>
      <c r="CZ74" s="176" t="str">
        <f>Schedule!DL76</f>
        <v>0</v>
      </c>
      <c r="DA74" s="176" t="str">
        <f>Schedule!DM76</f>
        <v>0</v>
      </c>
      <c r="DB74" s="176" t="str">
        <f>Schedule!DN76</f>
        <v>0</v>
      </c>
      <c r="DC74" s="176" t="str">
        <f>Schedule!DO76</f>
        <v>0</v>
      </c>
      <c r="DD74" s="176" t="str">
        <f>Schedule!DP76</f>
        <v>0</v>
      </c>
      <c r="DE74" s="176" t="str">
        <f>Schedule!DQ76</f>
        <v>0</v>
      </c>
      <c r="DF74" s="176" t="str">
        <f>Schedule!DR76</f>
        <v>0</v>
      </c>
      <c r="DG74" s="176" t="str">
        <f>Schedule!DS76</f>
        <v>0</v>
      </c>
      <c r="DH74" s="176" t="str">
        <f>Schedule!DT76</f>
        <v>0</v>
      </c>
      <c r="DI74" s="178"/>
      <c r="DJ74" s="176" t="str">
        <f>Schedule!DU76</f>
        <v>0</v>
      </c>
      <c r="DK74" s="176" t="str">
        <f>Schedule!DV76</f>
        <v>0</v>
      </c>
      <c r="DL74" s="176" t="str">
        <f>Schedule!DW76</f>
        <v>0</v>
      </c>
      <c r="DM74" s="176" t="str">
        <f>Schedule!DX76</f>
        <v>0</v>
      </c>
      <c r="DN74" s="176" t="str">
        <f>Schedule!DY76</f>
        <v>0</v>
      </c>
      <c r="DO74" s="176" t="str">
        <f>Schedule!DZ76</f>
        <v>0</v>
      </c>
      <c r="DP74" s="176" t="str">
        <f>Schedule!EA76</f>
        <v>0</v>
      </c>
      <c r="DQ74" s="176" t="str">
        <f>Schedule!EB76</f>
        <v>0</v>
      </c>
      <c r="DR74" s="176" t="str">
        <f>Schedule!EC76</f>
        <v>0</v>
      </c>
      <c r="DS74" s="178"/>
      <c r="DT74" s="176" t="str">
        <f>Schedule!ED76</f>
        <v>0</v>
      </c>
      <c r="DU74" s="176" t="str">
        <f>Schedule!EE76</f>
        <v>0</v>
      </c>
      <c r="DV74" s="176" t="str">
        <f>Schedule!EF76</f>
        <v>0</v>
      </c>
      <c r="DW74" s="176" t="str">
        <f>Schedule!EG76</f>
        <v>0</v>
      </c>
      <c r="DX74" s="176" t="str">
        <f>Schedule!EH76</f>
        <v>0</v>
      </c>
      <c r="DY74" s="176" t="str">
        <f>Schedule!EI76</f>
        <v>0</v>
      </c>
      <c r="DZ74" s="176" t="str">
        <f>Schedule!EJ76</f>
        <v>0</v>
      </c>
      <c r="EA74" s="176" t="str">
        <f>Schedule!EK76</f>
        <v>0</v>
      </c>
      <c r="EB74" s="176" t="str">
        <f>Schedule!EL76</f>
        <v>0</v>
      </c>
      <c r="EC74" s="178"/>
      <c r="ED74" s="176" t="str">
        <f>Schedule!EM76</f>
        <v>0</v>
      </c>
      <c r="EE74" s="176" t="str">
        <f>Schedule!EN76</f>
        <v>0</v>
      </c>
      <c r="EF74" s="176" t="str">
        <f>Schedule!EO76</f>
        <v>0</v>
      </c>
      <c r="EG74" s="176" t="str">
        <f>Schedule!EP76</f>
        <v>0</v>
      </c>
      <c r="EH74" s="176" t="str">
        <f>Schedule!EQ76</f>
        <v>0</v>
      </c>
      <c r="EI74" s="176" t="str">
        <f>Schedule!ER76</f>
        <v>0</v>
      </c>
      <c r="EJ74" s="176" t="str">
        <f>Schedule!ES76</f>
        <v>0</v>
      </c>
      <c r="EK74" s="176" t="str">
        <f>Schedule!ET76</f>
        <v>0</v>
      </c>
      <c r="EL74" s="176" t="str">
        <f>Schedule!EU76</f>
        <v>0</v>
      </c>
      <c r="EM74" s="178"/>
      <c r="EN74" s="176" t="str">
        <f>Schedule!EV76</f>
        <v>0</v>
      </c>
      <c r="EO74" s="176" t="str">
        <f>Schedule!EW76</f>
        <v>0</v>
      </c>
      <c r="EP74" s="176" t="str">
        <f>Schedule!EX76</f>
        <v>0</v>
      </c>
      <c r="EQ74" s="176" t="str">
        <f>Schedule!EY76</f>
        <v>0</v>
      </c>
      <c r="ER74" s="176" t="str">
        <f>Schedule!EZ76</f>
        <v>0</v>
      </c>
      <c r="ES74" s="176" t="str">
        <f>Schedule!FA76</f>
        <v>0</v>
      </c>
      <c r="ET74" s="176" t="str">
        <f>Schedule!FB76</f>
        <v>0</v>
      </c>
      <c r="EU74" s="176" t="str">
        <f>Schedule!FC76</f>
        <v>0</v>
      </c>
      <c r="EV74" s="176" t="str">
        <f>Schedule!FD76</f>
        <v>0</v>
      </c>
      <c r="EW74" s="178"/>
      <c r="EX74" s="176" t="str">
        <f>Schedule!FE76</f>
        <v>0</v>
      </c>
      <c r="EY74" s="176" t="str">
        <f>Schedule!FF76</f>
        <v>0</v>
      </c>
      <c r="EZ74" s="176" t="str">
        <f>Schedule!FG76</f>
        <v>0</v>
      </c>
      <c r="FA74" s="176" t="str">
        <f>Schedule!FH76</f>
        <v>0</v>
      </c>
      <c r="FB74" s="176" t="str">
        <f>Schedule!FI76</f>
        <v>0</v>
      </c>
      <c r="FC74" s="176" t="str">
        <f>Schedule!FJ76</f>
        <v>0</v>
      </c>
      <c r="FD74" s="176" t="str">
        <f>Schedule!FK76</f>
        <v>0</v>
      </c>
      <c r="FE74" s="176" t="str">
        <f>Schedule!FL76</f>
        <v>0</v>
      </c>
      <c r="FF74" s="176" t="str">
        <f>Schedule!FM76</f>
        <v>0</v>
      </c>
      <c r="FG74" s="178"/>
      <c r="FH74" s="176" t="str">
        <f>Schedule!FN76</f>
        <v>0</v>
      </c>
      <c r="FI74" s="176" t="str">
        <f>Schedule!FO76</f>
        <v>0</v>
      </c>
      <c r="FJ74" s="176" t="str">
        <f>Schedule!FP76</f>
        <v>0</v>
      </c>
      <c r="FK74" s="176" t="str">
        <f>Schedule!FQ76</f>
        <v>0</v>
      </c>
      <c r="FL74" s="176" t="str">
        <f>Schedule!FR76</f>
        <v>0</v>
      </c>
      <c r="FM74" s="176" t="str">
        <f>Schedule!FS76</f>
        <v>0</v>
      </c>
      <c r="FN74" s="176" t="str">
        <f>Schedule!FT76</f>
        <v>0</v>
      </c>
      <c r="FO74" s="176" t="str">
        <f>Schedule!FU76</f>
        <v>0</v>
      </c>
      <c r="FP74" s="176" t="str">
        <f>Schedule!FV76</f>
        <v>0</v>
      </c>
      <c r="FQ74" s="178"/>
      <c r="FR74" s="176" t="str">
        <f>Schedule!FW76</f>
        <v>0</v>
      </c>
      <c r="FS74" s="176" t="str">
        <f>Schedule!FX76</f>
        <v>0</v>
      </c>
      <c r="FT74" s="176" t="str">
        <f>Schedule!FY76</f>
        <v>0</v>
      </c>
      <c r="FU74" s="176" t="str">
        <f>Schedule!FZ76</f>
        <v>0</v>
      </c>
      <c r="FV74" s="176" t="str">
        <f>Schedule!GA76</f>
        <v>0</v>
      </c>
      <c r="FW74" s="176" t="str">
        <f>Schedule!GB76</f>
        <v>0</v>
      </c>
      <c r="FX74" s="176" t="str">
        <f>Schedule!GC76</f>
        <v>0</v>
      </c>
      <c r="FY74" s="176" t="str">
        <f>Schedule!GD76</f>
        <v>0</v>
      </c>
      <c r="FZ74" s="176" t="str">
        <f>Schedule!GE76</f>
        <v>0</v>
      </c>
      <c r="GA74" s="178"/>
      <c r="GB74" s="176" t="str">
        <f>Schedule!GF76</f>
        <v>0</v>
      </c>
      <c r="GC74" s="176" t="str">
        <f>Schedule!GG76</f>
        <v>0</v>
      </c>
      <c r="GD74" s="176" t="str">
        <f>Schedule!GH76</f>
        <v>0</v>
      </c>
      <c r="GE74" s="176" t="str">
        <f>Schedule!GI76</f>
        <v>0</v>
      </c>
      <c r="GF74" s="176" t="str">
        <f>Schedule!GJ76</f>
        <v>0</v>
      </c>
      <c r="GG74" s="176" t="str">
        <f>Schedule!GK76</f>
        <v>0</v>
      </c>
      <c r="GH74" s="176" t="str">
        <f>Schedule!GL76</f>
        <v>0</v>
      </c>
      <c r="GI74" s="176" t="str">
        <f>Schedule!GM76</f>
        <v>0</v>
      </c>
      <c r="GJ74" s="176" t="str">
        <f>Schedule!GN76</f>
        <v>0</v>
      </c>
      <c r="GK74" s="178"/>
      <c r="GL74" s="176" t="str">
        <f>Schedule!GO76</f>
        <v>0</v>
      </c>
      <c r="GM74" s="176" t="str">
        <f>Schedule!GP76</f>
        <v>0</v>
      </c>
      <c r="GN74" s="176" t="str">
        <f>Schedule!GQ76</f>
        <v>0</v>
      </c>
      <c r="GO74" s="176" t="str">
        <f>Schedule!GR76</f>
        <v>0</v>
      </c>
      <c r="GP74" s="176" t="str">
        <f>Schedule!GS76</f>
        <v>0</v>
      </c>
      <c r="GQ74" s="176" t="str">
        <f>Schedule!GT76</f>
        <v>0</v>
      </c>
      <c r="GR74" s="176" t="str">
        <f>Schedule!GU76</f>
        <v>0</v>
      </c>
      <c r="GS74" s="176" t="str">
        <f>Schedule!GV76</f>
        <v>0</v>
      </c>
      <c r="GT74" s="176" t="str">
        <f>Schedule!GW76</f>
        <v>0</v>
      </c>
    </row>
    <row r="75" spans="1:203" ht="18" customHeight="1">
      <c r="B75" s="269"/>
      <c r="C75" s="159">
        <f>Schedule!C77</f>
        <v>0</v>
      </c>
      <c r="D75" s="176" t="str">
        <f>Schedule!Z77</f>
        <v>0</v>
      </c>
      <c r="E75" s="176" t="str">
        <f>Schedule!AA77</f>
        <v>0</v>
      </c>
      <c r="F75" s="176" t="str">
        <f>Schedule!AB77</f>
        <v>0</v>
      </c>
      <c r="G75" s="176" t="str">
        <f>Schedule!AC77</f>
        <v>0</v>
      </c>
      <c r="H75" s="176" t="str">
        <f>Schedule!AD77</f>
        <v>0</v>
      </c>
      <c r="I75" s="176" t="str">
        <f>Schedule!AE77</f>
        <v>0</v>
      </c>
      <c r="J75" s="176" t="str">
        <f>Schedule!AF77</f>
        <v>0</v>
      </c>
      <c r="K75" s="181" t="str">
        <f>Schedule!AG77</f>
        <v>0</v>
      </c>
      <c r="L75" s="181" t="str">
        <f>Schedule!AH77</f>
        <v>0</v>
      </c>
      <c r="M75" s="178"/>
      <c r="N75" s="183" t="str">
        <f>Schedule!AI77</f>
        <v>0</v>
      </c>
      <c r="O75" s="176" t="str">
        <f>Schedule!AJ77</f>
        <v>0</v>
      </c>
      <c r="P75" s="176" t="str">
        <f>Schedule!AK77</f>
        <v>0</v>
      </c>
      <c r="Q75" s="176" t="str">
        <f>Schedule!AL77</f>
        <v>0</v>
      </c>
      <c r="R75" s="176" t="str">
        <f>Schedule!AM77</f>
        <v>0</v>
      </c>
      <c r="S75" s="176" t="str">
        <f>Schedule!AN77</f>
        <v>0</v>
      </c>
      <c r="T75" s="176" t="str">
        <f>Schedule!AO77</f>
        <v>0</v>
      </c>
      <c r="U75" s="176" t="str">
        <f>Schedule!AP77</f>
        <v>0</v>
      </c>
      <c r="V75" s="176" t="str">
        <f>Schedule!AQ77</f>
        <v>0</v>
      </c>
      <c r="W75" s="178"/>
      <c r="X75" s="176" t="str">
        <f>Schedule!AR77</f>
        <v>0</v>
      </c>
      <c r="Y75" s="176" t="str">
        <f>Schedule!AS77</f>
        <v>0</v>
      </c>
      <c r="Z75" s="176" t="str">
        <f>Schedule!AT77</f>
        <v>0</v>
      </c>
      <c r="AA75" s="176" t="str">
        <f>Schedule!AU77</f>
        <v>0</v>
      </c>
      <c r="AB75" s="176" t="str">
        <f>Schedule!AV77</f>
        <v>0</v>
      </c>
      <c r="AC75" s="176" t="str">
        <f>Schedule!AW77</f>
        <v>0</v>
      </c>
      <c r="AD75" s="176" t="str">
        <f>Schedule!AX77</f>
        <v>0</v>
      </c>
      <c r="AE75" s="176" t="str">
        <f>Schedule!AY77</f>
        <v>0</v>
      </c>
      <c r="AF75" s="176" t="str">
        <f>Schedule!AZ77</f>
        <v>0</v>
      </c>
      <c r="AG75" s="178"/>
      <c r="AH75" s="176" t="str">
        <f>Schedule!BA77</f>
        <v>0</v>
      </c>
      <c r="AI75" s="176" t="str">
        <f>Schedule!BB77</f>
        <v>0</v>
      </c>
      <c r="AJ75" s="176" t="str">
        <f>Schedule!BC77</f>
        <v>0</v>
      </c>
      <c r="AK75" s="176" t="str">
        <f>Schedule!BD77</f>
        <v>0</v>
      </c>
      <c r="AL75" s="176" t="str">
        <f>Schedule!BE77</f>
        <v>0</v>
      </c>
      <c r="AM75" s="176" t="str">
        <f>Schedule!BF77</f>
        <v>0</v>
      </c>
      <c r="AN75" s="176" t="str">
        <f>Schedule!BG77</f>
        <v>0</v>
      </c>
      <c r="AO75" s="176" t="str">
        <f>Schedule!BH77</f>
        <v>0</v>
      </c>
      <c r="AP75" s="176" t="str">
        <f>Schedule!BI77</f>
        <v>0</v>
      </c>
      <c r="AQ75" s="178"/>
      <c r="AR75" s="176" t="str">
        <f>Schedule!BJ77</f>
        <v>0</v>
      </c>
      <c r="AS75" s="176" t="str">
        <f>Schedule!BK77</f>
        <v>0</v>
      </c>
      <c r="AT75" s="176" t="str">
        <f>Schedule!BL77</f>
        <v>0</v>
      </c>
      <c r="AU75" s="176" t="str">
        <f>Schedule!BM77</f>
        <v>0</v>
      </c>
      <c r="AV75" s="176" t="str">
        <f>Schedule!BN77</f>
        <v>0</v>
      </c>
      <c r="AW75" s="176" t="str">
        <f>Schedule!BO77</f>
        <v>0</v>
      </c>
      <c r="AX75" s="176" t="str">
        <f>Schedule!BP77</f>
        <v>0</v>
      </c>
      <c r="AY75" s="176" t="str">
        <f>Schedule!BQ77</f>
        <v>0</v>
      </c>
      <c r="AZ75" s="176" t="str">
        <f>Schedule!BR77</f>
        <v>0</v>
      </c>
      <c r="BA75" s="178"/>
      <c r="BB75" s="176" t="str">
        <f>Schedule!BS77</f>
        <v>0</v>
      </c>
      <c r="BC75" s="176" t="str">
        <f>Schedule!BT77</f>
        <v>0</v>
      </c>
      <c r="BD75" s="176" t="str">
        <f>Schedule!BU77</f>
        <v>0</v>
      </c>
      <c r="BE75" s="176" t="str">
        <f>Schedule!BV77</f>
        <v>0</v>
      </c>
      <c r="BF75" s="176" t="str">
        <f>Schedule!BW77</f>
        <v>0</v>
      </c>
      <c r="BG75" s="176" t="str">
        <f>Schedule!BX77</f>
        <v>0</v>
      </c>
      <c r="BH75" s="176" t="str">
        <f>Schedule!BY77</f>
        <v>0</v>
      </c>
      <c r="BI75" s="176" t="str">
        <f>Schedule!BZ77</f>
        <v>0</v>
      </c>
      <c r="BJ75" s="176" t="str">
        <f>Schedule!CA77</f>
        <v>0</v>
      </c>
      <c r="BK75" s="178"/>
      <c r="BL75" s="176" t="str">
        <f>Schedule!CB77</f>
        <v>0</v>
      </c>
      <c r="BM75" s="176" t="str">
        <f>Schedule!CC77</f>
        <v>0</v>
      </c>
      <c r="BN75" s="176" t="str">
        <f>Schedule!CD77</f>
        <v>0</v>
      </c>
      <c r="BO75" s="176" t="str">
        <f>Schedule!CE77</f>
        <v>0</v>
      </c>
      <c r="BP75" s="176" t="str">
        <f>Schedule!CF77</f>
        <v>0</v>
      </c>
      <c r="BQ75" s="176" t="str">
        <f>Schedule!CG77</f>
        <v>0</v>
      </c>
      <c r="BR75" s="176" t="str">
        <f>Schedule!CH77</f>
        <v>0</v>
      </c>
      <c r="BS75" s="176" t="str">
        <f>Schedule!CI77</f>
        <v>0</v>
      </c>
      <c r="BT75" s="176" t="str">
        <f>Schedule!CJ77</f>
        <v>0</v>
      </c>
      <c r="BU75" s="178"/>
      <c r="BV75" s="176" t="str">
        <f>Schedule!CK77</f>
        <v>0</v>
      </c>
      <c r="BW75" s="176" t="str">
        <f>Schedule!CL77</f>
        <v>0</v>
      </c>
      <c r="BX75" s="176" t="str">
        <f>Schedule!CM77</f>
        <v>0</v>
      </c>
      <c r="BY75" s="176" t="str">
        <f>Schedule!CN77</f>
        <v>0</v>
      </c>
      <c r="BZ75" s="176" t="str">
        <f>Schedule!CO77</f>
        <v>0</v>
      </c>
      <c r="CA75" s="176" t="str">
        <f>Schedule!CP77</f>
        <v>0</v>
      </c>
      <c r="CB75" s="176" t="str">
        <f>Schedule!CQ77</f>
        <v>0</v>
      </c>
      <c r="CC75" s="176" t="str">
        <f>Schedule!CR77</f>
        <v>0</v>
      </c>
      <c r="CD75" s="176" t="str">
        <f>Schedule!CS77</f>
        <v>0</v>
      </c>
      <c r="CE75" s="178"/>
      <c r="CF75" s="176" t="str">
        <f>Schedule!CT77</f>
        <v>0</v>
      </c>
      <c r="CG75" s="176" t="str">
        <f>Schedule!CU77</f>
        <v>0</v>
      </c>
      <c r="CH75" s="176" t="str">
        <f>Schedule!CV77</f>
        <v>0</v>
      </c>
      <c r="CI75" s="176" t="str">
        <f>Schedule!CW77</f>
        <v>0</v>
      </c>
      <c r="CJ75" s="176" t="str">
        <f>Schedule!CX77</f>
        <v>0</v>
      </c>
      <c r="CK75" s="176" t="str">
        <f>Schedule!CY77</f>
        <v>0</v>
      </c>
      <c r="CL75" s="176" t="str">
        <f>Schedule!CZ77</f>
        <v>0</v>
      </c>
      <c r="CM75" s="176" t="str">
        <f>Schedule!DA77</f>
        <v>0</v>
      </c>
      <c r="CN75" s="176" t="str">
        <f>Schedule!DB77</f>
        <v>0</v>
      </c>
      <c r="CO75" s="178"/>
      <c r="CP75" s="176" t="str">
        <f>Schedule!DC77</f>
        <v>0</v>
      </c>
      <c r="CQ75" s="176" t="str">
        <f>Schedule!DD77</f>
        <v>0</v>
      </c>
      <c r="CR75" s="176" t="str">
        <f>Schedule!DE77</f>
        <v>0</v>
      </c>
      <c r="CS75" s="176" t="str">
        <f>Schedule!DF77</f>
        <v>0</v>
      </c>
      <c r="CT75" s="176" t="str">
        <f>Schedule!DG77</f>
        <v>0</v>
      </c>
      <c r="CU75" s="176" t="str">
        <f>Schedule!DH77</f>
        <v>0</v>
      </c>
      <c r="CV75" s="176" t="str">
        <f>Schedule!DI77</f>
        <v>0</v>
      </c>
      <c r="CW75" s="176" t="str">
        <f>Schedule!DJ77</f>
        <v>0</v>
      </c>
      <c r="CX75" s="176" t="str">
        <f>Schedule!DK77</f>
        <v>0</v>
      </c>
      <c r="CY75" s="178"/>
      <c r="CZ75" s="176" t="str">
        <f>Schedule!DL77</f>
        <v>0</v>
      </c>
      <c r="DA75" s="176" t="str">
        <f>Schedule!DM77</f>
        <v>0</v>
      </c>
      <c r="DB75" s="176" t="str">
        <f>Schedule!DN77</f>
        <v>0</v>
      </c>
      <c r="DC75" s="176" t="str">
        <f>Schedule!DO77</f>
        <v>0</v>
      </c>
      <c r="DD75" s="176" t="str">
        <f>Schedule!DP77</f>
        <v>0</v>
      </c>
      <c r="DE75" s="176" t="str">
        <f>Schedule!DQ77</f>
        <v>0</v>
      </c>
      <c r="DF75" s="176" t="str">
        <f>Schedule!DR77</f>
        <v>0</v>
      </c>
      <c r="DG75" s="176" t="str">
        <f>Schedule!DS77</f>
        <v>0</v>
      </c>
      <c r="DH75" s="176" t="str">
        <f>Schedule!DT77</f>
        <v>0</v>
      </c>
      <c r="DI75" s="178"/>
      <c r="DJ75" s="176" t="str">
        <f>Schedule!DU77</f>
        <v>0</v>
      </c>
      <c r="DK75" s="176" t="str">
        <f>Schedule!DV77</f>
        <v>0</v>
      </c>
      <c r="DL75" s="176" t="str">
        <f>Schedule!DW77</f>
        <v>0</v>
      </c>
      <c r="DM75" s="176" t="str">
        <f>Schedule!DX77</f>
        <v>0</v>
      </c>
      <c r="DN75" s="176" t="str">
        <f>Schedule!DY77</f>
        <v>0</v>
      </c>
      <c r="DO75" s="176" t="str">
        <f>Schedule!DZ77</f>
        <v>0</v>
      </c>
      <c r="DP75" s="176" t="str">
        <f>Schedule!EA77</f>
        <v>0</v>
      </c>
      <c r="DQ75" s="176" t="str">
        <f>Schedule!EB77</f>
        <v>0</v>
      </c>
      <c r="DR75" s="176" t="str">
        <f>Schedule!EC77</f>
        <v>0</v>
      </c>
      <c r="DS75" s="178"/>
      <c r="DT75" s="176" t="str">
        <f>Schedule!ED77</f>
        <v>0</v>
      </c>
      <c r="DU75" s="176" t="str">
        <f>Schedule!EE77</f>
        <v>0</v>
      </c>
      <c r="DV75" s="176" t="str">
        <f>Schedule!EF77</f>
        <v>0</v>
      </c>
      <c r="DW75" s="176" t="str">
        <f>Schedule!EG77</f>
        <v>0</v>
      </c>
      <c r="DX75" s="176" t="str">
        <f>Schedule!EH77</f>
        <v>0</v>
      </c>
      <c r="DY75" s="176" t="str">
        <f>Schedule!EI77</f>
        <v>0</v>
      </c>
      <c r="DZ75" s="176" t="str">
        <f>Schedule!EJ77</f>
        <v>0</v>
      </c>
      <c r="EA75" s="176" t="str">
        <f>Schedule!EK77</f>
        <v>0</v>
      </c>
      <c r="EB75" s="176" t="str">
        <f>Schedule!EL77</f>
        <v>0</v>
      </c>
      <c r="EC75" s="178"/>
      <c r="ED75" s="176" t="str">
        <f>Schedule!EM77</f>
        <v>0</v>
      </c>
      <c r="EE75" s="176" t="str">
        <f>Schedule!EN77</f>
        <v>0</v>
      </c>
      <c r="EF75" s="176" t="str">
        <f>Schedule!EO77</f>
        <v>0</v>
      </c>
      <c r="EG75" s="176" t="str">
        <f>Schedule!EP77</f>
        <v>0</v>
      </c>
      <c r="EH75" s="176" t="str">
        <f>Schedule!EQ77</f>
        <v>0</v>
      </c>
      <c r="EI75" s="176" t="str">
        <f>Schedule!ER77</f>
        <v>0</v>
      </c>
      <c r="EJ75" s="176" t="str">
        <f>Schedule!ES77</f>
        <v>0</v>
      </c>
      <c r="EK75" s="176" t="str">
        <f>Schedule!ET77</f>
        <v>0</v>
      </c>
      <c r="EL75" s="176" t="str">
        <f>Schedule!EU77</f>
        <v>0</v>
      </c>
      <c r="EM75" s="178"/>
      <c r="EN75" s="176" t="str">
        <f>Schedule!EV77</f>
        <v>0</v>
      </c>
      <c r="EO75" s="176" t="str">
        <f>Schedule!EW77</f>
        <v>0</v>
      </c>
      <c r="EP75" s="176" t="str">
        <f>Schedule!EX77</f>
        <v>0</v>
      </c>
      <c r="EQ75" s="176" t="str">
        <f>Schedule!EY77</f>
        <v>0</v>
      </c>
      <c r="ER75" s="176" t="str">
        <f>Schedule!EZ77</f>
        <v>0</v>
      </c>
      <c r="ES75" s="176" t="str">
        <f>Schedule!FA77</f>
        <v>0</v>
      </c>
      <c r="ET75" s="176" t="str">
        <f>Schedule!FB77</f>
        <v>0</v>
      </c>
      <c r="EU75" s="176" t="str">
        <f>Schedule!FC77</f>
        <v>0</v>
      </c>
      <c r="EV75" s="176" t="str">
        <f>Schedule!FD77</f>
        <v>0</v>
      </c>
      <c r="EW75" s="178"/>
      <c r="EX75" s="176" t="str">
        <f>Schedule!FE77</f>
        <v>0</v>
      </c>
      <c r="EY75" s="176" t="str">
        <f>Schedule!FF77</f>
        <v>0</v>
      </c>
      <c r="EZ75" s="176" t="str">
        <f>Schedule!FG77</f>
        <v>0</v>
      </c>
      <c r="FA75" s="176" t="str">
        <f>Schedule!FH77</f>
        <v>0</v>
      </c>
      <c r="FB75" s="176" t="str">
        <f>Schedule!FI77</f>
        <v>0</v>
      </c>
      <c r="FC75" s="176" t="str">
        <f>Schedule!FJ77</f>
        <v>0</v>
      </c>
      <c r="FD75" s="176" t="str">
        <f>Schedule!FK77</f>
        <v>0</v>
      </c>
      <c r="FE75" s="176" t="str">
        <f>Schedule!FL77</f>
        <v>0</v>
      </c>
      <c r="FF75" s="176" t="str">
        <f>Schedule!FM77</f>
        <v>0</v>
      </c>
      <c r="FG75" s="178"/>
      <c r="FH75" s="176" t="str">
        <f>Schedule!FN77</f>
        <v>0</v>
      </c>
      <c r="FI75" s="176" t="str">
        <f>Schedule!FO77</f>
        <v>0</v>
      </c>
      <c r="FJ75" s="176" t="str">
        <f>Schedule!FP77</f>
        <v>0</v>
      </c>
      <c r="FK75" s="176" t="str">
        <f>Schedule!FQ77</f>
        <v>0</v>
      </c>
      <c r="FL75" s="176" t="str">
        <f>Schedule!FR77</f>
        <v>0</v>
      </c>
      <c r="FM75" s="176" t="str">
        <f>Schedule!FS77</f>
        <v>0</v>
      </c>
      <c r="FN75" s="176" t="str">
        <f>Schedule!FT77</f>
        <v>0</v>
      </c>
      <c r="FO75" s="176" t="str">
        <f>Schedule!FU77</f>
        <v>0</v>
      </c>
      <c r="FP75" s="176" t="str">
        <f>Schedule!FV77</f>
        <v>0</v>
      </c>
      <c r="FQ75" s="178"/>
      <c r="FR75" s="176" t="str">
        <f>Schedule!FW77</f>
        <v>0</v>
      </c>
      <c r="FS75" s="176" t="str">
        <f>Schedule!FX77</f>
        <v>0</v>
      </c>
      <c r="FT75" s="176" t="str">
        <f>Schedule!FY77</f>
        <v>0</v>
      </c>
      <c r="FU75" s="176" t="str">
        <f>Schedule!FZ77</f>
        <v>0</v>
      </c>
      <c r="FV75" s="176" t="str">
        <f>Schedule!GA77</f>
        <v>0</v>
      </c>
      <c r="FW75" s="176" t="str">
        <f>Schedule!GB77</f>
        <v>0</v>
      </c>
      <c r="FX75" s="176" t="str">
        <f>Schedule!GC77</f>
        <v>0</v>
      </c>
      <c r="FY75" s="176" t="str">
        <f>Schedule!GD77</f>
        <v>0</v>
      </c>
      <c r="FZ75" s="176" t="str">
        <f>Schedule!GE77</f>
        <v>0</v>
      </c>
      <c r="GA75" s="178"/>
      <c r="GB75" s="176" t="str">
        <f>Schedule!GF77</f>
        <v>0</v>
      </c>
      <c r="GC75" s="176" t="str">
        <f>Schedule!GG77</f>
        <v>0</v>
      </c>
      <c r="GD75" s="176" t="str">
        <f>Schedule!GH77</f>
        <v>0</v>
      </c>
      <c r="GE75" s="176" t="str">
        <f>Schedule!GI77</f>
        <v>0</v>
      </c>
      <c r="GF75" s="176" t="str">
        <f>Schedule!GJ77</f>
        <v>0</v>
      </c>
      <c r="GG75" s="176" t="str">
        <f>Schedule!GK77</f>
        <v>0</v>
      </c>
      <c r="GH75" s="176" t="str">
        <f>Schedule!GL77</f>
        <v>0</v>
      </c>
      <c r="GI75" s="176" t="str">
        <f>Schedule!GM77</f>
        <v>0</v>
      </c>
      <c r="GJ75" s="176" t="str">
        <f>Schedule!GN77</f>
        <v>0</v>
      </c>
      <c r="GK75" s="178"/>
      <c r="GL75" s="176" t="str">
        <f>Schedule!GO77</f>
        <v>0</v>
      </c>
      <c r="GM75" s="176" t="str">
        <f>Schedule!GP77</f>
        <v>0</v>
      </c>
      <c r="GN75" s="176" t="str">
        <f>Schedule!GQ77</f>
        <v>0</v>
      </c>
      <c r="GO75" s="176" t="str">
        <f>Schedule!GR77</f>
        <v>0</v>
      </c>
      <c r="GP75" s="176" t="str">
        <f>Schedule!GS77</f>
        <v>0</v>
      </c>
      <c r="GQ75" s="176" t="str">
        <f>Schedule!GT77</f>
        <v>0</v>
      </c>
      <c r="GR75" s="176" t="str">
        <f>Schedule!GU77</f>
        <v>0</v>
      </c>
      <c r="GS75" s="176" t="str">
        <f>Schedule!GV77</f>
        <v>0</v>
      </c>
      <c r="GT75" s="176" t="str">
        <f>Schedule!GW77</f>
        <v>0</v>
      </c>
    </row>
    <row r="76" spans="1:203" ht="18" customHeight="1">
      <c r="B76" s="269"/>
      <c r="C76" s="159">
        <f>Schedule!C78</f>
        <v>0</v>
      </c>
      <c r="D76" s="176" t="str">
        <f>Schedule!Z78</f>
        <v>0</v>
      </c>
      <c r="E76" s="176" t="str">
        <f>Schedule!AA78</f>
        <v>0</v>
      </c>
      <c r="F76" s="176" t="str">
        <f>Schedule!AB78</f>
        <v>0</v>
      </c>
      <c r="G76" s="176" t="str">
        <f>Schedule!AC78</f>
        <v>0</v>
      </c>
      <c r="H76" s="176" t="str">
        <f>Schedule!AD78</f>
        <v>0</v>
      </c>
      <c r="I76" s="176" t="str">
        <f>Schedule!AE78</f>
        <v>0</v>
      </c>
      <c r="J76" s="176" t="str">
        <f>Schedule!AF78</f>
        <v>0</v>
      </c>
      <c r="K76" s="181" t="str">
        <f>Schedule!AG78</f>
        <v>0</v>
      </c>
      <c r="L76" s="181" t="str">
        <f>Schedule!AH78</f>
        <v>0</v>
      </c>
      <c r="M76" s="178"/>
      <c r="N76" s="183" t="str">
        <f>Schedule!AI78</f>
        <v>0</v>
      </c>
      <c r="O76" s="176" t="str">
        <f>Schedule!AJ78</f>
        <v>0</v>
      </c>
      <c r="P76" s="176" t="str">
        <f>Schedule!AK78</f>
        <v>0</v>
      </c>
      <c r="Q76" s="176" t="str">
        <f>Schedule!AL78</f>
        <v>0</v>
      </c>
      <c r="R76" s="176" t="str">
        <f>Schedule!AM78</f>
        <v>0</v>
      </c>
      <c r="S76" s="176" t="str">
        <f>Schedule!AN78</f>
        <v>0</v>
      </c>
      <c r="T76" s="176" t="str">
        <f>Schedule!AO78</f>
        <v>0</v>
      </c>
      <c r="U76" s="176" t="str">
        <f>Schedule!AP78</f>
        <v>0</v>
      </c>
      <c r="V76" s="176" t="str">
        <f>Schedule!AQ78</f>
        <v>0</v>
      </c>
      <c r="W76" s="178"/>
      <c r="X76" s="176" t="str">
        <f>Schedule!AR78</f>
        <v>0</v>
      </c>
      <c r="Y76" s="176" t="str">
        <f>Schedule!AS78</f>
        <v>0</v>
      </c>
      <c r="Z76" s="176" t="str">
        <f>Schedule!AT78</f>
        <v>0</v>
      </c>
      <c r="AA76" s="176" t="str">
        <f>Schedule!AU78</f>
        <v>0</v>
      </c>
      <c r="AB76" s="176" t="str">
        <f>Schedule!AV78</f>
        <v>0</v>
      </c>
      <c r="AC76" s="176" t="str">
        <f>Schedule!AW78</f>
        <v>0</v>
      </c>
      <c r="AD76" s="176" t="str">
        <f>Schedule!AX78</f>
        <v>0</v>
      </c>
      <c r="AE76" s="176" t="str">
        <f>Schedule!AY78</f>
        <v>0</v>
      </c>
      <c r="AF76" s="176" t="str">
        <f>Schedule!AZ78</f>
        <v>0</v>
      </c>
      <c r="AG76" s="178"/>
      <c r="AH76" s="176" t="str">
        <f>Schedule!BA78</f>
        <v>0</v>
      </c>
      <c r="AI76" s="176" t="str">
        <f>Schedule!BB78</f>
        <v>0</v>
      </c>
      <c r="AJ76" s="176" t="str">
        <f>Schedule!BC78</f>
        <v>0</v>
      </c>
      <c r="AK76" s="176" t="str">
        <f>Schedule!BD78</f>
        <v>0</v>
      </c>
      <c r="AL76" s="176" t="str">
        <f>Schedule!BE78</f>
        <v>0</v>
      </c>
      <c r="AM76" s="176" t="str">
        <f>Schedule!BF78</f>
        <v>0</v>
      </c>
      <c r="AN76" s="176" t="str">
        <f>Schedule!BG78</f>
        <v>0</v>
      </c>
      <c r="AO76" s="176" t="str">
        <f>Schedule!BH78</f>
        <v>0</v>
      </c>
      <c r="AP76" s="176" t="str">
        <f>Schedule!BI78</f>
        <v>0</v>
      </c>
      <c r="AQ76" s="178"/>
      <c r="AR76" s="176" t="str">
        <f>Schedule!BJ78</f>
        <v>0</v>
      </c>
      <c r="AS76" s="176" t="str">
        <f>Schedule!BK78</f>
        <v>0</v>
      </c>
      <c r="AT76" s="176" t="str">
        <f>Schedule!BL78</f>
        <v>0</v>
      </c>
      <c r="AU76" s="176" t="str">
        <f>Schedule!BM78</f>
        <v>0</v>
      </c>
      <c r="AV76" s="176" t="str">
        <f>Schedule!BN78</f>
        <v>0</v>
      </c>
      <c r="AW76" s="176" t="str">
        <f>Schedule!BO78</f>
        <v>0</v>
      </c>
      <c r="AX76" s="176" t="str">
        <f>Schedule!BP78</f>
        <v>0</v>
      </c>
      <c r="AY76" s="176" t="str">
        <f>Schedule!BQ78</f>
        <v>0</v>
      </c>
      <c r="AZ76" s="176" t="str">
        <f>Schedule!BR78</f>
        <v>0</v>
      </c>
      <c r="BA76" s="178"/>
      <c r="BB76" s="176" t="str">
        <f>Schedule!BS78</f>
        <v>0</v>
      </c>
      <c r="BC76" s="176" t="str">
        <f>Schedule!BT78</f>
        <v>0</v>
      </c>
      <c r="BD76" s="176" t="str">
        <f>Schedule!BU78</f>
        <v>0</v>
      </c>
      <c r="BE76" s="176" t="str">
        <f>Schedule!BV78</f>
        <v>0</v>
      </c>
      <c r="BF76" s="176" t="str">
        <f>Schedule!BW78</f>
        <v>0</v>
      </c>
      <c r="BG76" s="176" t="str">
        <f>Schedule!BX78</f>
        <v>0</v>
      </c>
      <c r="BH76" s="176" t="str">
        <f>Schedule!BY78</f>
        <v>0</v>
      </c>
      <c r="BI76" s="176" t="str">
        <f>Schedule!BZ78</f>
        <v>0</v>
      </c>
      <c r="BJ76" s="176" t="str">
        <f>Schedule!CA78</f>
        <v>0</v>
      </c>
      <c r="BK76" s="178"/>
      <c r="BL76" s="176" t="str">
        <f>Schedule!CB78</f>
        <v>0</v>
      </c>
      <c r="BM76" s="176" t="str">
        <f>Schedule!CC78</f>
        <v>0</v>
      </c>
      <c r="BN76" s="176" t="str">
        <f>Schedule!CD78</f>
        <v>0</v>
      </c>
      <c r="BO76" s="176" t="str">
        <f>Schedule!CE78</f>
        <v>0</v>
      </c>
      <c r="BP76" s="176" t="str">
        <f>Schedule!CF78</f>
        <v>0</v>
      </c>
      <c r="BQ76" s="176" t="str">
        <f>Schedule!CG78</f>
        <v>0</v>
      </c>
      <c r="BR76" s="176" t="str">
        <f>Schedule!CH78</f>
        <v>0</v>
      </c>
      <c r="BS76" s="176" t="str">
        <f>Schedule!CI78</f>
        <v>0</v>
      </c>
      <c r="BT76" s="176" t="str">
        <f>Schedule!CJ78</f>
        <v>0</v>
      </c>
      <c r="BU76" s="178"/>
      <c r="BV76" s="176" t="str">
        <f>Schedule!CK78</f>
        <v>0</v>
      </c>
      <c r="BW76" s="176" t="str">
        <f>Schedule!CL78</f>
        <v>0</v>
      </c>
      <c r="BX76" s="176" t="str">
        <f>Schedule!CM78</f>
        <v>0</v>
      </c>
      <c r="BY76" s="176" t="str">
        <f>Schedule!CN78</f>
        <v>0</v>
      </c>
      <c r="BZ76" s="176" t="str">
        <f>Schedule!CO78</f>
        <v>0</v>
      </c>
      <c r="CA76" s="176" t="str">
        <f>Schedule!CP78</f>
        <v>0</v>
      </c>
      <c r="CB76" s="176" t="str">
        <f>Schedule!CQ78</f>
        <v>0</v>
      </c>
      <c r="CC76" s="176" t="str">
        <f>Schedule!CR78</f>
        <v>0</v>
      </c>
      <c r="CD76" s="176" t="str">
        <f>Schedule!CS78</f>
        <v>0</v>
      </c>
      <c r="CE76" s="178"/>
      <c r="CF76" s="176" t="str">
        <f>Schedule!CT78</f>
        <v>0</v>
      </c>
      <c r="CG76" s="176" t="str">
        <f>Schedule!CU78</f>
        <v>0</v>
      </c>
      <c r="CH76" s="176" t="str">
        <f>Schedule!CV78</f>
        <v>0</v>
      </c>
      <c r="CI76" s="176" t="str">
        <f>Schedule!CW78</f>
        <v>0</v>
      </c>
      <c r="CJ76" s="176" t="str">
        <f>Schedule!CX78</f>
        <v>0</v>
      </c>
      <c r="CK76" s="176" t="str">
        <f>Schedule!CY78</f>
        <v>0</v>
      </c>
      <c r="CL76" s="176" t="str">
        <f>Schedule!CZ78</f>
        <v>0</v>
      </c>
      <c r="CM76" s="176" t="str">
        <f>Schedule!DA78</f>
        <v>0</v>
      </c>
      <c r="CN76" s="176" t="str">
        <f>Schedule!DB78</f>
        <v>0</v>
      </c>
      <c r="CO76" s="178"/>
      <c r="CP76" s="176" t="str">
        <f>Schedule!DC78</f>
        <v>0</v>
      </c>
      <c r="CQ76" s="176" t="str">
        <f>Schedule!DD78</f>
        <v>0</v>
      </c>
      <c r="CR76" s="176" t="str">
        <f>Schedule!DE78</f>
        <v>0</v>
      </c>
      <c r="CS76" s="176" t="str">
        <f>Schedule!DF78</f>
        <v>0</v>
      </c>
      <c r="CT76" s="176" t="str">
        <f>Schedule!DG78</f>
        <v>0</v>
      </c>
      <c r="CU76" s="176" t="str">
        <f>Schedule!DH78</f>
        <v>0</v>
      </c>
      <c r="CV76" s="176" t="str">
        <f>Schedule!DI78</f>
        <v>0</v>
      </c>
      <c r="CW76" s="176" t="str">
        <f>Schedule!DJ78</f>
        <v>0</v>
      </c>
      <c r="CX76" s="176" t="str">
        <f>Schedule!DK78</f>
        <v>0</v>
      </c>
      <c r="CY76" s="178"/>
      <c r="CZ76" s="176" t="str">
        <f>Schedule!DL78</f>
        <v>0</v>
      </c>
      <c r="DA76" s="176" t="str">
        <f>Schedule!DM78</f>
        <v>0</v>
      </c>
      <c r="DB76" s="176" t="str">
        <f>Schedule!DN78</f>
        <v>0</v>
      </c>
      <c r="DC76" s="176" t="str">
        <f>Schedule!DO78</f>
        <v>0</v>
      </c>
      <c r="DD76" s="176" t="str">
        <f>Schedule!DP78</f>
        <v>0</v>
      </c>
      <c r="DE76" s="176" t="str">
        <f>Schedule!DQ78</f>
        <v>0</v>
      </c>
      <c r="DF76" s="176" t="str">
        <f>Schedule!DR78</f>
        <v>0</v>
      </c>
      <c r="DG76" s="176" t="str">
        <f>Schedule!DS78</f>
        <v>0</v>
      </c>
      <c r="DH76" s="176" t="str">
        <f>Schedule!DT78</f>
        <v>0</v>
      </c>
      <c r="DI76" s="178"/>
      <c r="DJ76" s="176" t="str">
        <f>Schedule!DU78</f>
        <v>0</v>
      </c>
      <c r="DK76" s="176" t="str">
        <f>Schedule!DV78</f>
        <v>0</v>
      </c>
      <c r="DL76" s="176" t="str">
        <f>Schedule!DW78</f>
        <v>0</v>
      </c>
      <c r="DM76" s="176" t="str">
        <f>Schedule!DX78</f>
        <v>0</v>
      </c>
      <c r="DN76" s="176" t="str">
        <f>Schedule!DY78</f>
        <v>0</v>
      </c>
      <c r="DO76" s="176" t="str">
        <f>Schedule!DZ78</f>
        <v>0</v>
      </c>
      <c r="DP76" s="176" t="str">
        <f>Schedule!EA78</f>
        <v>0</v>
      </c>
      <c r="DQ76" s="176" t="str">
        <f>Schedule!EB78</f>
        <v>0</v>
      </c>
      <c r="DR76" s="176" t="str">
        <f>Schedule!EC78</f>
        <v>0</v>
      </c>
      <c r="DS76" s="178"/>
      <c r="DT76" s="176" t="str">
        <f>Schedule!ED78</f>
        <v>0</v>
      </c>
      <c r="DU76" s="176" t="str">
        <f>Schedule!EE78</f>
        <v>0</v>
      </c>
      <c r="DV76" s="176" t="str">
        <f>Schedule!EF78</f>
        <v>0</v>
      </c>
      <c r="DW76" s="176" t="str">
        <f>Schedule!EG78</f>
        <v>0</v>
      </c>
      <c r="DX76" s="176" t="str">
        <f>Schedule!EH78</f>
        <v>0</v>
      </c>
      <c r="DY76" s="176" t="str">
        <f>Schedule!EI78</f>
        <v>0</v>
      </c>
      <c r="DZ76" s="176" t="str">
        <f>Schedule!EJ78</f>
        <v>0</v>
      </c>
      <c r="EA76" s="176" t="str">
        <f>Schedule!EK78</f>
        <v>0</v>
      </c>
      <c r="EB76" s="176" t="str">
        <f>Schedule!EL78</f>
        <v>0</v>
      </c>
      <c r="EC76" s="178"/>
      <c r="ED76" s="176" t="str">
        <f>Schedule!EM78</f>
        <v>0</v>
      </c>
      <c r="EE76" s="176" t="str">
        <f>Schedule!EN78</f>
        <v>0</v>
      </c>
      <c r="EF76" s="176" t="str">
        <f>Schedule!EO78</f>
        <v>0</v>
      </c>
      <c r="EG76" s="176" t="str">
        <f>Schedule!EP78</f>
        <v>0</v>
      </c>
      <c r="EH76" s="176" t="str">
        <f>Schedule!EQ78</f>
        <v>0</v>
      </c>
      <c r="EI76" s="176" t="str">
        <f>Schedule!ER78</f>
        <v>0</v>
      </c>
      <c r="EJ76" s="176" t="str">
        <f>Schedule!ES78</f>
        <v>0</v>
      </c>
      <c r="EK76" s="176" t="str">
        <f>Schedule!ET78</f>
        <v>0</v>
      </c>
      <c r="EL76" s="176" t="str">
        <f>Schedule!EU78</f>
        <v>0</v>
      </c>
      <c r="EM76" s="178"/>
      <c r="EN76" s="176" t="str">
        <f>Schedule!EV78</f>
        <v>0</v>
      </c>
      <c r="EO76" s="176" t="str">
        <f>Schedule!EW78</f>
        <v>0</v>
      </c>
      <c r="EP76" s="176" t="str">
        <f>Schedule!EX78</f>
        <v>0</v>
      </c>
      <c r="EQ76" s="176" t="str">
        <f>Schedule!EY78</f>
        <v>0</v>
      </c>
      <c r="ER76" s="176" t="str">
        <f>Schedule!EZ78</f>
        <v>0</v>
      </c>
      <c r="ES76" s="176" t="str">
        <f>Schedule!FA78</f>
        <v>0</v>
      </c>
      <c r="ET76" s="176" t="str">
        <f>Schedule!FB78</f>
        <v>0</v>
      </c>
      <c r="EU76" s="176" t="str">
        <f>Schedule!FC78</f>
        <v>0</v>
      </c>
      <c r="EV76" s="176" t="str">
        <f>Schedule!FD78</f>
        <v>0</v>
      </c>
      <c r="EW76" s="178"/>
      <c r="EX76" s="176" t="str">
        <f>Schedule!FE78</f>
        <v>0</v>
      </c>
      <c r="EY76" s="176" t="str">
        <f>Schedule!FF78</f>
        <v>0</v>
      </c>
      <c r="EZ76" s="176" t="str">
        <f>Schedule!FG78</f>
        <v>0</v>
      </c>
      <c r="FA76" s="176" t="str">
        <f>Schedule!FH78</f>
        <v>0</v>
      </c>
      <c r="FB76" s="176" t="str">
        <f>Schedule!FI78</f>
        <v>0</v>
      </c>
      <c r="FC76" s="176" t="str">
        <f>Schedule!FJ78</f>
        <v>0</v>
      </c>
      <c r="FD76" s="176" t="str">
        <f>Schedule!FK78</f>
        <v>0</v>
      </c>
      <c r="FE76" s="176" t="str">
        <f>Schedule!FL78</f>
        <v>0</v>
      </c>
      <c r="FF76" s="176" t="str">
        <f>Schedule!FM78</f>
        <v>0</v>
      </c>
      <c r="FG76" s="178"/>
      <c r="FH76" s="176" t="str">
        <f>Schedule!FN78</f>
        <v>0</v>
      </c>
      <c r="FI76" s="176" t="str">
        <f>Schedule!FO78</f>
        <v>0</v>
      </c>
      <c r="FJ76" s="176" t="str">
        <f>Schedule!FP78</f>
        <v>0</v>
      </c>
      <c r="FK76" s="176" t="str">
        <f>Schedule!FQ78</f>
        <v>0</v>
      </c>
      <c r="FL76" s="176" t="str">
        <f>Schedule!FR78</f>
        <v>0</v>
      </c>
      <c r="FM76" s="176" t="str">
        <f>Schedule!FS78</f>
        <v>0</v>
      </c>
      <c r="FN76" s="176" t="str">
        <f>Schedule!FT78</f>
        <v>0</v>
      </c>
      <c r="FO76" s="176" t="str">
        <f>Schedule!FU78</f>
        <v>0</v>
      </c>
      <c r="FP76" s="176" t="str">
        <f>Schedule!FV78</f>
        <v>0</v>
      </c>
      <c r="FQ76" s="178"/>
      <c r="FR76" s="176" t="str">
        <f>Schedule!FW78</f>
        <v>0</v>
      </c>
      <c r="FS76" s="176" t="str">
        <f>Schedule!FX78</f>
        <v>0</v>
      </c>
      <c r="FT76" s="176" t="str">
        <f>Schedule!FY78</f>
        <v>0</v>
      </c>
      <c r="FU76" s="176" t="str">
        <f>Schedule!FZ78</f>
        <v>0</v>
      </c>
      <c r="FV76" s="176" t="str">
        <f>Schedule!GA78</f>
        <v>0</v>
      </c>
      <c r="FW76" s="176" t="str">
        <f>Schedule!GB78</f>
        <v>0</v>
      </c>
      <c r="FX76" s="176" t="str">
        <f>Schedule!GC78</f>
        <v>0</v>
      </c>
      <c r="FY76" s="176" t="str">
        <f>Schedule!GD78</f>
        <v>0</v>
      </c>
      <c r="FZ76" s="176" t="str">
        <f>Schedule!GE78</f>
        <v>0</v>
      </c>
      <c r="GA76" s="178"/>
      <c r="GB76" s="176" t="str">
        <f>Schedule!GF78</f>
        <v>0</v>
      </c>
      <c r="GC76" s="176" t="str">
        <f>Schedule!GG78</f>
        <v>0</v>
      </c>
      <c r="GD76" s="176" t="str">
        <f>Schedule!GH78</f>
        <v>0</v>
      </c>
      <c r="GE76" s="176" t="str">
        <f>Schedule!GI78</f>
        <v>0</v>
      </c>
      <c r="GF76" s="176" t="str">
        <f>Schedule!GJ78</f>
        <v>0</v>
      </c>
      <c r="GG76" s="176" t="str">
        <f>Schedule!GK78</f>
        <v>0</v>
      </c>
      <c r="GH76" s="176" t="str">
        <f>Schedule!GL78</f>
        <v>0</v>
      </c>
      <c r="GI76" s="176" t="str">
        <f>Schedule!GM78</f>
        <v>0</v>
      </c>
      <c r="GJ76" s="176" t="str">
        <f>Schedule!GN78</f>
        <v>0</v>
      </c>
      <c r="GK76" s="178"/>
      <c r="GL76" s="176" t="str">
        <f>Schedule!GO78</f>
        <v>0</v>
      </c>
      <c r="GM76" s="176" t="str">
        <f>Schedule!GP78</f>
        <v>0</v>
      </c>
      <c r="GN76" s="176" t="str">
        <f>Schedule!GQ78</f>
        <v>0</v>
      </c>
      <c r="GO76" s="176" t="str">
        <f>Schedule!GR78</f>
        <v>0</v>
      </c>
      <c r="GP76" s="176" t="str">
        <f>Schedule!GS78</f>
        <v>0</v>
      </c>
      <c r="GQ76" s="176" t="str">
        <f>Schedule!GT78</f>
        <v>0</v>
      </c>
      <c r="GR76" s="176" t="str">
        <f>Schedule!GU78</f>
        <v>0</v>
      </c>
      <c r="GS76" s="176" t="str">
        <f>Schedule!GV78</f>
        <v>0</v>
      </c>
      <c r="GT76" s="176" t="str">
        <f>Schedule!GW78</f>
        <v>0</v>
      </c>
    </row>
    <row r="77" spans="1:203" ht="18" customHeight="1">
      <c r="B77" s="269"/>
      <c r="C77" s="159">
        <f>Schedule!C79</f>
        <v>0</v>
      </c>
      <c r="D77" s="176" t="str">
        <f>Schedule!Z79</f>
        <v>0</v>
      </c>
      <c r="E77" s="176" t="str">
        <f>Schedule!AA79</f>
        <v>0</v>
      </c>
      <c r="F77" s="176" t="str">
        <f>Schedule!AB79</f>
        <v>0</v>
      </c>
      <c r="G77" s="176" t="str">
        <f>Schedule!AC79</f>
        <v>0</v>
      </c>
      <c r="H77" s="176" t="str">
        <f>Schedule!AD79</f>
        <v>0</v>
      </c>
      <c r="I77" s="176" t="str">
        <f>Schedule!AE79</f>
        <v>0</v>
      </c>
      <c r="J77" s="176" t="str">
        <f>Schedule!AF79</f>
        <v>0</v>
      </c>
      <c r="K77" s="181" t="str">
        <f>Schedule!AG79</f>
        <v>0</v>
      </c>
      <c r="L77" s="181" t="str">
        <f>Schedule!AH79</f>
        <v>0</v>
      </c>
      <c r="M77" s="178"/>
      <c r="N77" s="183" t="str">
        <f>Schedule!AI79</f>
        <v>0</v>
      </c>
      <c r="O77" s="176" t="str">
        <f>Schedule!AJ79</f>
        <v>0</v>
      </c>
      <c r="P77" s="176" t="str">
        <f>Schedule!AK79</f>
        <v>0</v>
      </c>
      <c r="Q77" s="176" t="str">
        <f>Schedule!AL79</f>
        <v>0</v>
      </c>
      <c r="R77" s="176" t="str">
        <f>Schedule!AM79</f>
        <v>0</v>
      </c>
      <c r="S77" s="176" t="str">
        <f>Schedule!AN79</f>
        <v>0</v>
      </c>
      <c r="T77" s="176" t="str">
        <f>Schedule!AO79</f>
        <v>0</v>
      </c>
      <c r="U77" s="176" t="str">
        <f>Schedule!AP79</f>
        <v>0</v>
      </c>
      <c r="V77" s="176" t="str">
        <f>Schedule!AQ79</f>
        <v>0</v>
      </c>
      <c r="W77" s="178"/>
      <c r="X77" s="176" t="str">
        <f>Schedule!AR79</f>
        <v>0</v>
      </c>
      <c r="Y77" s="176" t="str">
        <f>Schedule!AS79</f>
        <v>0</v>
      </c>
      <c r="Z77" s="176" t="str">
        <f>Schedule!AT79</f>
        <v>0</v>
      </c>
      <c r="AA77" s="176" t="str">
        <f>Schedule!AU79</f>
        <v>0</v>
      </c>
      <c r="AB77" s="176" t="str">
        <f>Schedule!AV79</f>
        <v>0</v>
      </c>
      <c r="AC77" s="176" t="str">
        <f>Schedule!AW79</f>
        <v>0</v>
      </c>
      <c r="AD77" s="176" t="str">
        <f>Schedule!AX79</f>
        <v>0</v>
      </c>
      <c r="AE77" s="176" t="str">
        <f>Schedule!AY79</f>
        <v>0</v>
      </c>
      <c r="AF77" s="176" t="str">
        <f>Schedule!AZ79</f>
        <v>0</v>
      </c>
      <c r="AG77" s="178"/>
      <c r="AH77" s="176" t="str">
        <f>Schedule!BA79</f>
        <v>0</v>
      </c>
      <c r="AI77" s="176" t="str">
        <f>Schedule!BB79</f>
        <v>0</v>
      </c>
      <c r="AJ77" s="176" t="str">
        <f>Schedule!BC79</f>
        <v>0</v>
      </c>
      <c r="AK77" s="176" t="str">
        <f>Schedule!BD79</f>
        <v>0</v>
      </c>
      <c r="AL77" s="176" t="str">
        <f>Schedule!BE79</f>
        <v>0</v>
      </c>
      <c r="AM77" s="176" t="str">
        <f>Schedule!BF79</f>
        <v>0</v>
      </c>
      <c r="AN77" s="176" t="str">
        <f>Schedule!BG79</f>
        <v>0</v>
      </c>
      <c r="AO77" s="176" t="str">
        <f>Schedule!BH79</f>
        <v>0</v>
      </c>
      <c r="AP77" s="176" t="str">
        <f>Schedule!BI79</f>
        <v>0</v>
      </c>
      <c r="AQ77" s="178"/>
      <c r="AR77" s="176" t="str">
        <f>Schedule!BJ79</f>
        <v>0</v>
      </c>
      <c r="AS77" s="176" t="str">
        <f>Schedule!BK79</f>
        <v>0</v>
      </c>
      <c r="AT77" s="176" t="str">
        <f>Schedule!BL79</f>
        <v>0</v>
      </c>
      <c r="AU77" s="176" t="str">
        <f>Schedule!BM79</f>
        <v>0</v>
      </c>
      <c r="AV77" s="176" t="str">
        <f>Schedule!BN79</f>
        <v>0</v>
      </c>
      <c r="AW77" s="176" t="str">
        <f>Schedule!BO79</f>
        <v>0</v>
      </c>
      <c r="AX77" s="176" t="str">
        <f>Schedule!BP79</f>
        <v>0</v>
      </c>
      <c r="AY77" s="176" t="str">
        <f>Schedule!BQ79</f>
        <v>0</v>
      </c>
      <c r="AZ77" s="176" t="str">
        <f>Schedule!BR79</f>
        <v>0</v>
      </c>
      <c r="BA77" s="178"/>
      <c r="BB77" s="176" t="str">
        <f>Schedule!BS79</f>
        <v>0</v>
      </c>
      <c r="BC77" s="176" t="str">
        <f>Schedule!BT79</f>
        <v>0</v>
      </c>
      <c r="BD77" s="176" t="str">
        <f>Schedule!BU79</f>
        <v>0</v>
      </c>
      <c r="BE77" s="176" t="str">
        <f>Schedule!BV79</f>
        <v>0</v>
      </c>
      <c r="BF77" s="176" t="str">
        <f>Schedule!BW79</f>
        <v>0</v>
      </c>
      <c r="BG77" s="176" t="str">
        <f>Schedule!BX79</f>
        <v>0</v>
      </c>
      <c r="BH77" s="176" t="str">
        <f>Schedule!BY79</f>
        <v>0</v>
      </c>
      <c r="BI77" s="176" t="str">
        <f>Schedule!BZ79</f>
        <v>0</v>
      </c>
      <c r="BJ77" s="176" t="str">
        <f>Schedule!CA79</f>
        <v>0</v>
      </c>
      <c r="BK77" s="178"/>
      <c r="BL77" s="176" t="str">
        <f>Schedule!CB79</f>
        <v>0</v>
      </c>
      <c r="BM77" s="176" t="str">
        <f>Schedule!CC79</f>
        <v>0</v>
      </c>
      <c r="BN77" s="176" t="str">
        <f>Schedule!CD79</f>
        <v>0</v>
      </c>
      <c r="BO77" s="176" t="str">
        <f>Schedule!CE79</f>
        <v>0</v>
      </c>
      <c r="BP77" s="176" t="str">
        <f>Schedule!CF79</f>
        <v>0</v>
      </c>
      <c r="BQ77" s="176" t="str">
        <f>Schedule!CG79</f>
        <v>0</v>
      </c>
      <c r="BR77" s="176" t="str">
        <f>Schedule!CH79</f>
        <v>0</v>
      </c>
      <c r="BS77" s="176" t="str">
        <f>Schedule!CI79</f>
        <v>0</v>
      </c>
      <c r="BT77" s="176" t="str">
        <f>Schedule!CJ79</f>
        <v>0</v>
      </c>
      <c r="BU77" s="178"/>
      <c r="BV77" s="176" t="str">
        <f>Schedule!CK79</f>
        <v>0</v>
      </c>
      <c r="BW77" s="176" t="str">
        <f>Schedule!CL79</f>
        <v>0</v>
      </c>
      <c r="BX77" s="176" t="str">
        <f>Schedule!CM79</f>
        <v>0</v>
      </c>
      <c r="BY77" s="176" t="str">
        <f>Schedule!CN79</f>
        <v>0</v>
      </c>
      <c r="BZ77" s="176" t="str">
        <f>Schedule!CO79</f>
        <v>0</v>
      </c>
      <c r="CA77" s="176" t="str">
        <f>Schedule!CP79</f>
        <v>0</v>
      </c>
      <c r="CB77" s="176" t="str">
        <f>Schedule!CQ79</f>
        <v>0</v>
      </c>
      <c r="CC77" s="176" t="str">
        <f>Schedule!CR79</f>
        <v>0</v>
      </c>
      <c r="CD77" s="176" t="str">
        <f>Schedule!CS79</f>
        <v>0</v>
      </c>
      <c r="CE77" s="178"/>
      <c r="CF77" s="176" t="str">
        <f>Schedule!CT79</f>
        <v>0</v>
      </c>
      <c r="CG77" s="176" t="str">
        <f>Schedule!CU79</f>
        <v>0</v>
      </c>
      <c r="CH77" s="176" t="str">
        <f>Schedule!CV79</f>
        <v>0</v>
      </c>
      <c r="CI77" s="176" t="str">
        <f>Schedule!CW79</f>
        <v>0</v>
      </c>
      <c r="CJ77" s="176" t="str">
        <f>Schedule!CX79</f>
        <v>0</v>
      </c>
      <c r="CK77" s="176" t="str">
        <f>Schedule!CY79</f>
        <v>0</v>
      </c>
      <c r="CL77" s="176" t="str">
        <f>Schedule!CZ79</f>
        <v>0</v>
      </c>
      <c r="CM77" s="176" t="str">
        <f>Schedule!DA79</f>
        <v>0</v>
      </c>
      <c r="CN77" s="176" t="str">
        <f>Schedule!DB79</f>
        <v>0</v>
      </c>
      <c r="CO77" s="178"/>
      <c r="CP77" s="176" t="str">
        <f>Schedule!DC79</f>
        <v>0</v>
      </c>
      <c r="CQ77" s="176" t="str">
        <f>Schedule!DD79</f>
        <v>0</v>
      </c>
      <c r="CR77" s="176" t="str">
        <f>Schedule!DE79</f>
        <v>0</v>
      </c>
      <c r="CS77" s="176" t="str">
        <f>Schedule!DF79</f>
        <v>0</v>
      </c>
      <c r="CT77" s="176" t="str">
        <f>Schedule!DG79</f>
        <v>0</v>
      </c>
      <c r="CU77" s="176" t="str">
        <f>Schedule!DH79</f>
        <v>0</v>
      </c>
      <c r="CV77" s="176" t="str">
        <f>Schedule!DI79</f>
        <v>0</v>
      </c>
      <c r="CW77" s="176" t="str">
        <f>Schedule!DJ79</f>
        <v>0</v>
      </c>
      <c r="CX77" s="176" t="str">
        <f>Schedule!DK79</f>
        <v>0</v>
      </c>
      <c r="CY77" s="178"/>
      <c r="CZ77" s="176" t="str">
        <f>Schedule!DL79</f>
        <v>0</v>
      </c>
      <c r="DA77" s="176" t="str">
        <f>Schedule!DM79</f>
        <v>0</v>
      </c>
      <c r="DB77" s="176" t="str">
        <f>Schedule!DN79</f>
        <v>0</v>
      </c>
      <c r="DC77" s="176" t="str">
        <f>Schedule!DO79</f>
        <v>0</v>
      </c>
      <c r="DD77" s="176" t="str">
        <f>Schedule!DP79</f>
        <v>0</v>
      </c>
      <c r="DE77" s="176" t="str">
        <f>Schedule!DQ79</f>
        <v>0</v>
      </c>
      <c r="DF77" s="176" t="str">
        <f>Schedule!DR79</f>
        <v>0</v>
      </c>
      <c r="DG77" s="176" t="str">
        <f>Schedule!DS79</f>
        <v>0</v>
      </c>
      <c r="DH77" s="176" t="str">
        <f>Schedule!DT79</f>
        <v>0</v>
      </c>
      <c r="DI77" s="178"/>
      <c r="DJ77" s="176" t="str">
        <f>Schedule!DU79</f>
        <v>0</v>
      </c>
      <c r="DK77" s="176" t="str">
        <f>Schedule!DV79</f>
        <v>0</v>
      </c>
      <c r="DL77" s="176" t="str">
        <f>Schedule!DW79</f>
        <v>0</v>
      </c>
      <c r="DM77" s="176" t="str">
        <f>Schedule!DX79</f>
        <v>0</v>
      </c>
      <c r="DN77" s="176" t="str">
        <f>Schedule!DY79</f>
        <v>0</v>
      </c>
      <c r="DO77" s="176" t="str">
        <f>Schedule!DZ79</f>
        <v>0</v>
      </c>
      <c r="DP77" s="176" t="str">
        <f>Schedule!EA79</f>
        <v>0</v>
      </c>
      <c r="DQ77" s="176" t="str">
        <f>Schedule!EB79</f>
        <v>0</v>
      </c>
      <c r="DR77" s="176" t="str">
        <f>Schedule!EC79</f>
        <v>0</v>
      </c>
      <c r="DS77" s="178"/>
      <c r="DT77" s="176" t="str">
        <f>Schedule!ED79</f>
        <v>0</v>
      </c>
      <c r="DU77" s="176" t="str">
        <f>Schedule!EE79</f>
        <v>0</v>
      </c>
      <c r="DV77" s="176" t="str">
        <f>Schedule!EF79</f>
        <v>0</v>
      </c>
      <c r="DW77" s="176" t="str">
        <f>Schedule!EG79</f>
        <v>0</v>
      </c>
      <c r="DX77" s="176" t="str">
        <f>Schedule!EH79</f>
        <v>0</v>
      </c>
      <c r="DY77" s="176" t="str">
        <f>Schedule!EI79</f>
        <v>0</v>
      </c>
      <c r="DZ77" s="176" t="str">
        <f>Schedule!EJ79</f>
        <v>0</v>
      </c>
      <c r="EA77" s="176" t="str">
        <f>Schedule!EK79</f>
        <v>0</v>
      </c>
      <c r="EB77" s="176" t="str">
        <f>Schedule!EL79</f>
        <v>0</v>
      </c>
      <c r="EC77" s="178"/>
      <c r="ED77" s="176" t="str">
        <f>Schedule!EM79</f>
        <v>0</v>
      </c>
      <c r="EE77" s="176" t="str">
        <f>Schedule!EN79</f>
        <v>0</v>
      </c>
      <c r="EF77" s="176" t="str">
        <f>Schedule!EO79</f>
        <v>0</v>
      </c>
      <c r="EG77" s="176" t="str">
        <f>Schedule!EP79</f>
        <v>0</v>
      </c>
      <c r="EH77" s="176" t="str">
        <f>Schedule!EQ79</f>
        <v>0</v>
      </c>
      <c r="EI77" s="176" t="str">
        <f>Schedule!ER79</f>
        <v>0</v>
      </c>
      <c r="EJ77" s="176" t="str">
        <f>Schedule!ES79</f>
        <v>0</v>
      </c>
      <c r="EK77" s="176" t="str">
        <f>Schedule!ET79</f>
        <v>0</v>
      </c>
      <c r="EL77" s="176" t="str">
        <f>Schedule!EU79</f>
        <v>0</v>
      </c>
      <c r="EM77" s="178"/>
      <c r="EN77" s="176" t="str">
        <f>Schedule!EV79</f>
        <v>0</v>
      </c>
      <c r="EO77" s="176" t="str">
        <f>Schedule!EW79</f>
        <v>0</v>
      </c>
      <c r="EP77" s="176" t="str">
        <f>Schedule!EX79</f>
        <v>0</v>
      </c>
      <c r="EQ77" s="176" t="str">
        <f>Schedule!EY79</f>
        <v>0</v>
      </c>
      <c r="ER77" s="176" t="str">
        <f>Schedule!EZ79</f>
        <v>0</v>
      </c>
      <c r="ES77" s="176" t="str">
        <f>Schedule!FA79</f>
        <v>0</v>
      </c>
      <c r="ET77" s="176" t="str">
        <f>Schedule!FB79</f>
        <v>0</v>
      </c>
      <c r="EU77" s="176" t="str">
        <f>Schedule!FC79</f>
        <v>0</v>
      </c>
      <c r="EV77" s="176" t="str">
        <f>Schedule!FD79</f>
        <v>0</v>
      </c>
      <c r="EW77" s="178"/>
      <c r="EX77" s="176" t="str">
        <f>Schedule!FE79</f>
        <v>0</v>
      </c>
      <c r="EY77" s="176" t="str">
        <f>Schedule!FF79</f>
        <v>0</v>
      </c>
      <c r="EZ77" s="176" t="str">
        <f>Schedule!FG79</f>
        <v>0</v>
      </c>
      <c r="FA77" s="176" t="str">
        <f>Schedule!FH79</f>
        <v>0</v>
      </c>
      <c r="FB77" s="176" t="str">
        <f>Schedule!FI79</f>
        <v>0</v>
      </c>
      <c r="FC77" s="176" t="str">
        <f>Schedule!FJ79</f>
        <v>0</v>
      </c>
      <c r="FD77" s="176" t="str">
        <f>Schedule!FK79</f>
        <v>0</v>
      </c>
      <c r="FE77" s="176" t="str">
        <f>Schedule!FL79</f>
        <v>0</v>
      </c>
      <c r="FF77" s="176" t="str">
        <f>Schedule!FM79</f>
        <v>0</v>
      </c>
      <c r="FG77" s="178"/>
      <c r="FH77" s="176" t="str">
        <f>Schedule!FN79</f>
        <v>0</v>
      </c>
      <c r="FI77" s="176" t="str">
        <f>Schedule!FO79</f>
        <v>0</v>
      </c>
      <c r="FJ77" s="176" t="str">
        <f>Schedule!FP79</f>
        <v>0</v>
      </c>
      <c r="FK77" s="176" t="str">
        <f>Schedule!FQ79</f>
        <v>0</v>
      </c>
      <c r="FL77" s="176" t="str">
        <f>Schedule!FR79</f>
        <v>0</v>
      </c>
      <c r="FM77" s="176" t="str">
        <f>Schedule!FS79</f>
        <v>0</v>
      </c>
      <c r="FN77" s="176" t="str">
        <f>Schedule!FT79</f>
        <v>0</v>
      </c>
      <c r="FO77" s="176" t="str">
        <f>Schedule!FU79</f>
        <v>0</v>
      </c>
      <c r="FP77" s="176" t="str">
        <f>Schedule!FV79</f>
        <v>0</v>
      </c>
      <c r="FQ77" s="178"/>
      <c r="FR77" s="176" t="str">
        <f>Schedule!FW79</f>
        <v>0</v>
      </c>
      <c r="FS77" s="176" t="str">
        <f>Schedule!FX79</f>
        <v>0</v>
      </c>
      <c r="FT77" s="176" t="str">
        <f>Schedule!FY79</f>
        <v>0</v>
      </c>
      <c r="FU77" s="176" t="str">
        <f>Schedule!FZ79</f>
        <v>0</v>
      </c>
      <c r="FV77" s="176" t="str">
        <f>Schedule!GA79</f>
        <v>0</v>
      </c>
      <c r="FW77" s="176" t="str">
        <f>Schedule!GB79</f>
        <v>0</v>
      </c>
      <c r="FX77" s="176" t="str">
        <f>Schedule!GC79</f>
        <v>0</v>
      </c>
      <c r="FY77" s="176" t="str">
        <f>Schedule!GD79</f>
        <v>0</v>
      </c>
      <c r="FZ77" s="176" t="str">
        <f>Schedule!GE79</f>
        <v>0</v>
      </c>
      <c r="GA77" s="178"/>
      <c r="GB77" s="176" t="str">
        <f>Schedule!GF79</f>
        <v>0</v>
      </c>
      <c r="GC77" s="176" t="str">
        <f>Schedule!GG79</f>
        <v>0</v>
      </c>
      <c r="GD77" s="176" t="str">
        <f>Schedule!GH79</f>
        <v>0</v>
      </c>
      <c r="GE77" s="176" t="str">
        <f>Schedule!GI79</f>
        <v>0</v>
      </c>
      <c r="GF77" s="176" t="str">
        <f>Schedule!GJ79</f>
        <v>0</v>
      </c>
      <c r="GG77" s="176" t="str">
        <f>Schedule!GK79</f>
        <v>0</v>
      </c>
      <c r="GH77" s="176" t="str">
        <f>Schedule!GL79</f>
        <v>0</v>
      </c>
      <c r="GI77" s="176" t="str">
        <f>Schedule!GM79</f>
        <v>0</v>
      </c>
      <c r="GJ77" s="176" t="str">
        <f>Schedule!GN79</f>
        <v>0</v>
      </c>
      <c r="GK77" s="178"/>
      <c r="GL77" s="176" t="str">
        <f>Schedule!GO79</f>
        <v>0</v>
      </c>
      <c r="GM77" s="176" t="str">
        <f>Schedule!GP79</f>
        <v>0</v>
      </c>
      <c r="GN77" s="176" t="str">
        <f>Schedule!GQ79</f>
        <v>0</v>
      </c>
      <c r="GO77" s="176" t="str">
        <f>Schedule!GR79</f>
        <v>0</v>
      </c>
      <c r="GP77" s="176" t="str">
        <f>Schedule!GS79</f>
        <v>0</v>
      </c>
      <c r="GQ77" s="176" t="str">
        <f>Schedule!GT79</f>
        <v>0</v>
      </c>
      <c r="GR77" s="176" t="str">
        <f>Schedule!GU79</f>
        <v>0</v>
      </c>
      <c r="GS77" s="176" t="str">
        <f>Schedule!GV79</f>
        <v>0</v>
      </c>
      <c r="GT77" s="176" t="str">
        <f>Schedule!GW79</f>
        <v>0</v>
      </c>
    </row>
    <row r="78" spans="1:203" ht="18" customHeight="1">
      <c r="B78" s="270"/>
      <c r="C78" s="159">
        <f>Schedule!C80</f>
        <v>0</v>
      </c>
      <c r="D78" s="176" t="str">
        <f>Schedule!Z80</f>
        <v>0</v>
      </c>
      <c r="E78" s="176" t="str">
        <f>Schedule!AA80</f>
        <v>0</v>
      </c>
      <c r="F78" s="176" t="str">
        <f>Schedule!AB80</f>
        <v>0</v>
      </c>
      <c r="G78" s="176" t="str">
        <f>Schedule!AC80</f>
        <v>0</v>
      </c>
      <c r="H78" s="176" t="str">
        <f>Schedule!AD80</f>
        <v>0</v>
      </c>
      <c r="I78" s="176" t="str">
        <f>Schedule!AE80</f>
        <v>0</v>
      </c>
      <c r="J78" s="176" t="str">
        <f>Schedule!AF80</f>
        <v>0</v>
      </c>
      <c r="K78" s="181" t="str">
        <f>Schedule!AG80</f>
        <v>0</v>
      </c>
      <c r="L78" s="181" t="str">
        <f>Schedule!AH80</f>
        <v>0</v>
      </c>
      <c r="M78" s="178"/>
      <c r="N78" s="183" t="str">
        <f>Schedule!AI80</f>
        <v>0</v>
      </c>
      <c r="O78" s="176" t="str">
        <f>Schedule!AJ80</f>
        <v>0</v>
      </c>
      <c r="P78" s="176" t="str">
        <f>Schedule!AK80</f>
        <v>0</v>
      </c>
      <c r="Q78" s="176" t="str">
        <f>Schedule!AL80</f>
        <v>0</v>
      </c>
      <c r="R78" s="176" t="str">
        <f>Schedule!AM80</f>
        <v>0</v>
      </c>
      <c r="S78" s="176" t="str">
        <f>Schedule!AN80</f>
        <v>0</v>
      </c>
      <c r="T78" s="176" t="str">
        <f>Schedule!AO80</f>
        <v>0</v>
      </c>
      <c r="U78" s="176" t="str">
        <f>Schedule!AP80</f>
        <v>0</v>
      </c>
      <c r="V78" s="176" t="str">
        <f>Schedule!AQ80</f>
        <v>0</v>
      </c>
      <c r="W78" s="178"/>
      <c r="X78" s="176" t="str">
        <f>Schedule!AR80</f>
        <v>0</v>
      </c>
      <c r="Y78" s="176" t="str">
        <f>Schedule!AS80</f>
        <v>0</v>
      </c>
      <c r="Z78" s="176" t="str">
        <f>Schedule!AT80</f>
        <v>0</v>
      </c>
      <c r="AA78" s="176" t="str">
        <f>Schedule!AU80</f>
        <v>0</v>
      </c>
      <c r="AB78" s="176" t="str">
        <f>Schedule!AV80</f>
        <v>0</v>
      </c>
      <c r="AC78" s="176" t="str">
        <f>Schedule!AW80</f>
        <v>0</v>
      </c>
      <c r="AD78" s="176" t="str">
        <f>Schedule!AX80</f>
        <v>0</v>
      </c>
      <c r="AE78" s="176" t="str">
        <f>Schedule!AY80</f>
        <v>0</v>
      </c>
      <c r="AF78" s="176" t="str">
        <f>Schedule!AZ80</f>
        <v>0</v>
      </c>
      <c r="AG78" s="178"/>
      <c r="AH78" s="176" t="str">
        <f>Schedule!BA80</f>
        <v>0</v>
      </c>
      <c r="AI78" s="176" t="str">
        <f>Schedule!BB80</f>
        <v>0</v>
      </c>
      <c r="AJ78" s="176" t="str">
        <f>Schedule!BC80</f>
        <v>0</v>
      </c>
      <c r="AK78" s="176" t="str">
        <f>Schedule!BD80</f>
        <v>0</v>
      </c>
      <c r="AL78" s="176" t="str">
        <f>Schedule!BE80</f>
        <v>0</v>
      </c>
      <c r="AM78" s="176" t="str">
        <f>Schedule!BF80</f>
        <v>0</v>
      </c>
      <c r="AN78" s="176" t="str">
        <f>Schedule!BG80</f>
        <v>0</v>
      </c>
      <c r="AO78" s="176" t="str">
        <f>Schedule!BH80</f>
        <v>0</v>
      </c>
      <c r="AP78" s="176" t="str">
        <f>Schedule!BI80</f>
        <v>0</v>
      </c>
      <c r="AQ78" s="178"/>
      <c r="AR78" s="176" t="str">
        <f>Schedule!BJ80</f>
        <v>0</v>
      </c>
      <c r="AS78" s="176" t="str">
        <f>Schedule!BK80</f>
        <v>0</v>
      </c>
      <c r="AT78" s="176" t="str">
        <f>Schedule!BL80</f>
        <v>0</v>
      </c>
      <c r="AU78" s="176" t="str">
        <f>Schedule!BM80</f>
        <v>0</v>
      </c>
      <c r="AV78" s="176" t="str">
        <f>Schedule!BN80</f>
        <v>0</v>
      </c>
      <c r="AW78" s="176" t="str">
        <f>Schedule!BO80</f>
        <v>0</v>
      </c>
      <c r="AX78" s="176" t="str">
        <f>Schedule!BP80</f>
        <v>0</v>
      </c>
      <c r="AY78" s="176" t="str">
        <f>Schedule!BQ80</f>
        <v>0</v>
      </c>
      <c r="AZ78" s="176" t="str">
        <f>Schedule!BR80</f>
        <v>0</v>
      </c>
      <c r="BA78" s="178"/>
      <c r="BB78" s="176" t="str">
        <f>Schedule!BS80</f>
        <v>0</v>
      </c>
      <c r="BC78" s="176" t="str">
        <f>Schedule!BT80</f>
        <v>0</v>
      </c>
      <c r="BD78" s="176" t="str">
        <f>Schedule!BU80</f>
        <v>0</v>
      </c>
      <c r="BE78" s="176" t="str">
        <f>Schedule!BV80</f>
        <v>0</v>
      </c>
      <c r="BF78" s="176" t="str">
        <f>Schedule!BW80</f>
        <v>0</v>
      </c>
      <c r="BG78" s="176" t="str">
        <f>Schedule!BX80</f>
        <v>0</v>
      </c>
      <c r="BH78" s="176" t="str">
        <f>Schedule!BY80</f>
        <v>0</v>
      </c>
      <c r="BI78" s="176" t="str">
        <f>Schedule!BZ80</f>
        <v>0</v>
      </c>
      <c r="BJ78" s="176" t="str">
        <f>Schedule!CA80</f>
        <v>0</v>
      </c>
      <c r="BK78" s="178"/>
      <c r="BL78" s="176" t="str">
        <f>Schedule!CB80</f>
        <v>0</v>
      </c>
      <c r="BM78" s="176" t="str">
        <f>Schedule!CC80</f>
        <v>0</v>
      </c>
      <c r="BN78" s="176" t="str">
        <f>Schedule!CD80</f>
        <v>0</v>
      </c>
      <c r="BO78" s="176" t="str">
        <f>Schedule!CE80</f>
        <v>0</v>
      </c>
      <c r="BP78" s="176" t="str">
        <f>Schedule!CF80</f>
        <v>0</v>
      </c>
      <c r="BQ78" s="176" t="str">
        <f>Schedule!CG80</f>
        <v>0</v>
      </c>
      <c r="BR78" s="176" t="str">
        <f>Schedule!CH80</f>
        <v>0</v>
      </c>
      <c r="BS78" s="176" t="str">
        <f>Schedule!CI80</f>
        <v>0</v>
      </c>
      <c r="BT78" s="176" t="str">
        <f>Schedule!CJ80</f>
        <v>0</v>
      </c>
      <c r="BU78" s="178"/>
      <c r="BV78" s="176" t="str">
        <f>Schedule!CK80</f>
        <v>0</v>
      </c>
      <c r="BW78" s="176" t="str">
        <f>Schedule!CL80</f>
        <v>0</v>
      </c>
      <c r="BX78" s="176" t="str">
        <f>Schedule!CM80</f>
        <v>0</v>
      </c>
      <c r="BY78" s="176" t="str">
        <f>Schedule!CN80</f>
        <v>0</v>
      </c>
      <c r="BZ78" s="176" t="str">
        <f>Schedule!CO80</f>
        <v>0</v>
      </c>
      <c r="CA78" s="176" t="str">
        <f>Schedule!CP80</f>
        <v>0</v>
      </c>
      <c r="CB78" s="176" t="str">
        <f>Schedule!CQ80</f>
        <v>0</v>
      </c>
      <c r="CC78" s="176" t="str">
        <f>Schedule!CR80</f>
        <v>0</v>
      </c>
      <c r="CD78" s="176" t="str">
        <f>Schedule!CS80</f>
        <v>0</v>
      </c>
      <c r="CE78" s="178"/>
      <c r="CF78" s="176" t="str">
        <f>Schedule!CT80</f>
        <v>0</v>
      </c>
      <c r="CG78" s="176" t="str">
        <f>Schedule!CU80</f>
        <v>0</v>
      </c>
      <c r="CH78" s="176" t="str">
        <f>Schedule!CV80</f>
        <v>0</v>
      </c>
      <c r="CI78" s="176" t="str">
        <f>Schedule!CW80</f>
        <v>0</v>
      </c>
      <c r="CJ78" s="176" t="str">
        <f>Schedule!CX80</f>
        <v>0</v>
      </c>
      <c r="CK78" s="176" t="str">
        <f>Schedule!CY80</f>
        <v>0</v>
      </c>
      <c r="CL78" s="176" t="str">
        <f>Schedule!CZ80</f>
        <v>0</v>
      </c>
      <c r="CM78" s="176" t="str">
        <f>Schedule!DA80</f>
        <v>0</v>
      </c>
      <c r="CN78" s="176" t="str">
        <f>Schedule!DB80</f>
        <v>0</v>
      </c>
      <c r="CO78" s="178"/>
      <c r="CP78" s="176" t="str">
        <f>Schedule!DC80</f>
        <v>0</v>
      </c>
      <c r="CQ78" s="176" t="str">
        <f>Schedule!DD80</f>
        <v>0</v>
      </c>
      <c r="CR78" s="176" t="str">
        <f>Schedule!DE80</f>
        <v>0</v>
      </c>
      <c r="CS78" s="176" t="str">
        <f>Schedule!DF80</f>
        <v>0</v>
      </c>
      <c r="CT78" s="176" t="str">
        <f>Schedule!DG80</f>
        <v>0</v>
      </c>
      <c r="CU78" s="176" t="str">
        <f>Schedule!DH80</f>
        <v>0</v>
      </c>
      <c r="CV78" s="176" t="str">
        <f>Schedule!DI80</f>
        <v>0</v>
      </c>
      <c r="CW78" s="176" t="str">
        <f>Schedule!DJ80</f>
        <v>0</v>
      </c>
      <c r="CX78" s="176" t="str">
        <f>Schedule!DK80</f>
        <v>0</v>
      </c>
      <c r="CY78" s="178"/>
      <c r="CZ78" s="176" t="str">
        <f>Schedule!DL80</f>
        <v>0</v>
      </c>
      <c r="DA78" s="176" t="str">
        <f>Schedule!DM80</f>
        <v>0</v>
      </c>
      <c r="DB78" s="176" t="str">
        <f>Schedule!DN80</f>
        <v>0</v>
      </c>
      <c r="DC78" s="176" t="str">
        <f>Schedule!DO80</f>
        <v>0</v>
      </c>
      <c r="DD78" s="176" t="str">
        <f>Schedule!DP80</f>
        <v>0</v>
      </c>
      <c r="DE78" s="176" t="str">
        <f>Schedule!DQ80</f>
        <v>0</v>
      </c>
      <c r="DF78" s="176" t="str">
        <f>Schedule!DR80</f>
        <v>0</v>
      </c>
      <c r="DG78" s="176" t="str">
        <f>Schedule!DS80</f>
        <v>0</v>
      </c>
      <c r="DH78" s="176" t="str">
        <f>Schedule!DT80</f>
        <v>0</v>
      </c>
      <c r="DI78" s="178"/>
      <c r="DJ78" s="176" t="str">
        <f>Schedule!DU80</f>
        <v>0</v>
      </c>
      <c r="DK78" s="176" t="str">
        <f>Schedule!DV80</f>
        <v>0</v>
      </c>
      <c r="DL78" s="176" t="str">
        <f>Schedule!DW80</f>
        <v>0</v>
      </c>
      <c r="DM78" s="176" t="str">
        <f>Schedule!DX80</f>
        <v>0</v>
      </c>
      <c r="DN78" s="176" t="str">
        <f>Schedule!DY80</f>
        <v>0</v>
      </c>
      <c r="DO78" s="176" t="str">
        <f>Schedule!DZ80</f>
        <v>0</v>
      </c>
      <c r="DP78" s="176" t="str">
        <f>Schedule!EA80</f>
        <v>0</v>
      </c>
      <c r="DQ78" s="176" t="str">
        <f>Schedule!EB80</f>
        <v>0</v>
      </c>
      <c r="DR78" s="176" t="str">
        <f>Schedule!EC80</f>
        <v>0</v>
      </c>
      <c r="DS78" s="178"/>
      <c r="DT78" s="176" t="str">
        <f>Schedule!ED80</f>
        <v>0</v>
      </c>
      <c r="DU78" s="176" t="str">
        <f>Schedule!EE80</f>
        <v>0</v>
      </c>
      <c r="DV78" s="176" t="str">
        <f>Schedule!EF80</f>
        <v>0</v>
      </c>
      <c r="DW78" s="176" t="str">
        <f>Schedule!EG80</f>
        <v>0</v>
      </c>
      <c r="DX78" s="176" t="str">
        <f>Schedule!EH80</f>
        <v>0</v>
      </c>
      <c r="DY78" s="176" t="str">
        <f>Schedule!EI80</f>
        <v>0</v>
      </c>
      <c r="DZ78" s="176" t="str">
        <f>Schedule!EJ80</f>
        <v>0</v>
      </c>
      <c r="EA78" s="176" t="str">
        <f>Schedule!EK80</f>
        <v>0</v>
      </c>
      <c r="EB78" s="176" t="str">
        <f>Schedule!EL80</f>
        <v>0</v>
      </c>
      <c r="EC78" s="178"/>
      <c r="ED78" s="176" t="str">
        <f>Schedule!EM80</f>
        <v>0</v>
      </c>
      <c r="EE78" s="176" t="str">
        <f>Schedule!EN80</f>
        <v>0</v>
      </c>
      <c r="EF78" s="176" t="str">
        <f>Schedule!EO80</f>
        <v>0</v>
      </c>
      <c r="EG78" s="176" t="str">
        <f>Schedule!EP80</f>
        <v>0</v>
      </c>
      <c r="EH78" s="176" t="str">
        <f>Schedule!EQ80</f>
        <v>0</v>
      </c>
      <c r="EI78" s="176" t="str">
        <f>Schedule!ER80</f>
        <v>0</v>
      </c>
      <c r="EJ78" s="176" t="str">
        <f>Schedule!ES80</f>
        <v>0</v>
      </c>
      <c r="EK78" s="176" t="str">
        <f>Schedule!ET80</f>
        <v>0</v>
      </c>
      <c r="EL78" s="176" t="str">
        <f>Schedule!EU80</f>
        <v>0</v>
      </c>
      <c r="EM78" s="178"/>
      <c r="EN78" s="176" t="str">
        <f>Schedule!EV80</f>
        <v>0</v>
      </c>
      <c r="EO78" s="176" t="str">
        <f>Schedule!EW80</f>
        <v>0</v>
      </c>
      <c r="EP78" s="176" t="str">
        <f>Schedule!EX80</f>
        <v>0</v>
      </c>
      <c r="EQ78" s="176" t="str">
        <f>Schedule!EY80</f>
        <v>0</v>
      </c>
      <c r="ER78" s="176" t="str">
        <f>Schedule!EZ80</f>
        <v>0</v>
      </c>
      <c r="ES78" s="176" t="str">
        <f>Schedule!FA80</f>
        <v>0</v>
      </c>
      <c r="ET78" s="176" t="str">
        <f>Schedule!FB80</f>
        <v>0</v>
      </c>
      <c r="EU78" s="176" t="str">
        <f>Schedule!FC80</f>
        <v>0</v>
      </c>
      <c r="EV78" s="176" t="str">
        <f>Schedule!FD80</f>
        <v>0</v>
      </c>
      <c r="EW78" s="178"/>
      <c r="EX78" s="176" t="str">
        <f>Schedule!FE80</f>
        <v>0</v>
      </c>
      <c r="EY78" s="176" t="str">
        <f>Schedule!FF80</f>
        <v>0</v>
      </c>
      <c r="EZ78" s="176" t="str">
        <f>Schedule!FG80</f>
        <v>0</v>
      </c>
      <c r="FA78" s="176" t="str">
        <f>Schedule!FH80</f>
        <v>0</v>
      </c>
      <c r="FB78" s="176" t="str">
        <f>Schedule!FI80</f>
        <v>0</v>
      </c>
      <c r="FC78" s="176" t="str">
        <f>Schedule!FJ80</f>
        <v>0</v>
      </c>
      <c r="FD78" s="176" t="str">
        <f>Schedule!FK80</f>
        <v>0</v>
      </c>
      <c r="FE78" s="176" t="str">
        <f>Schedule!FL80</f>
        <v>0</v>
      </c>
      <c r="FF78" s="176" t="str">
        <f>Schedule!FM80</f>
        <v>0</v>
      </c>
      <c r="FG78" s="178"/>
      <c r="FH78" s="176" t="str">
        <f>Schedule!FN80</f>
        <v>0</v>
      </c>
      <c r="FI78" s="176" t="str">
        <f>Schedule!FO80</f>
        <v>0</v>
      </c>
      <c r="FJ78" s="176" t="str">
        <f>Schedule!FP80</f>
        <v>0</v>
      </c>
      <c r="FK78" s="176" t="str">
        <f>Schedule!FQ80</f>
        <v>0</v>
      </c>
      <c r="FL78" s="176" t="str">
        <f>Schedule!FR80</f>
        <v>0</v>
      </c>
      <c r="FM78" s="176" t="str">
        <f>Schedule!FS80</f>
        <v>0</v>
      </c>
      <c r="FN78" s="176" t="str">
        <f>Schedule!FT80</f>
        <v>0</v>
      </c>
      <c r="FO78" s="176" t="str">
        <f>Schedule!FU80</f>
        <v>0</v>
      </c>
      <c r="FP78" s="176" t="str">
        <f>Schedule!FV80</f>
        <v>0</v>
      </c>
      <c r="FQ78" s="178"/>
      <c r="FR78" s="176" t="str">
        <f>Schedule!FW80</f>
        <v>0</v>
      </c>
      <c r="FS78" s="176" t="str">
        <f>Schedule!FX80</f>
        <v>0</v>
      </c>
      <c r="FT78" s="176" t="str">
        <f>Schedule!FY80</f>
        <v>0</v>
      </c>
      <c r="FU78" s="176" t="str">
        <f>Schedule!FZ80</f>
        <v>0</v>
      </c>
      <c r="FV78" s="176" t="str">
        <f>Schedule!GA80</f>
        <v>0</v>
      </c>
      <c r="FW78" s="176" t="str">
        <f>Schedule!GB80</f>
        <v>0</v>
      </c>
      <c r="FX78" s="176" t="str">
        <f>Schedule!GC80</f>
        <v>0</v>
      </c>
      <c r="FY78" s="176" t="str">
        <f>Schedule!GD80</f>
        <v>0</v>
      </c>
      <c r="FZ78" s="176" t="str">
        <f>Schedule!GE80</f>
        <v>0</v>
      </c>
      <c r="GA78" s="178"/>
      <c r="GB78" s="176" t="str">
        <f>Schedule!GF80</f>
        <v>0</v>
      </c>
      <c r="GC78" s="176" t="str">
        <f>Schedule!GG80</f>
        <v>0</v>
      </c>
      <c r="GD78" s="176" t="str">
        <f>Schedule!GH80</f>
        <v>0</v>
      </c>
      <c r="GE78" s="176" t="str">
        <f>Schedule!GI80</f>
        <v>0</v>
      </c>
      <c r="GF78" s="176" t="str">
        <f>Schedule!GJ80</f>
        <v>0</v>
      </c>
      <c r="GG78" s="176" t="str">
        <f>Schedule!GK80</f>
        <v>0</v>
      </c>
      <c r="GH78" s="176" t="str">
        <f>Schedule!GL80</f>
        <v>0</v>
      </c>
      <c r="GI78" s="176" t="str">
        <f>Schedule!GM80</f>
        <v>0</v>
      </c>
      <c r="GJ78" s="176" t="str">
        <f>Schedule!GN80</f>
        <v>0</v>
      </c>
      <c r="GK78" s="178"/>
      <c r="GL78" s="176" t="str">
        <f>Schedule!GO80</f>
        <v>0</v>
      </c>
      <c r="GM78" s="176" t="str">
        <f>Schedule!GP80</f>
        <v>0</v>
      </c>
      <c r="GN78" s="176" t="str">
        <f>Schedule!GQ80</f>
        <v>0</v>
      </c>
      <c r="GO78" s="176" t="str">
        <f>Schedule!GR80</f>
        <v>0</v>
      </c>
      <c r="GP78" s="176" t="str">
        <f>Schedule!GS80</f>
        <v>0</v>
      </c>
      <c r="GQ78" s="176" t="str">
        <f>Schedule!GT80</f>
        <v>0</v>
      </c>
      <c r="GR78" s="176" t="str">
        <f>Schedule!GU80</f>
        <v>0</v>
      </c>
      <c r="GS78" s="176" t="str">
        <f>Schedule!GV80</f>
        <v>0</v>
      </c>
      <c r="GT78" s="176" t="str">
        <f>Schedule!GW80</f>
        <v>0</v>
      </c>
    </row>
    <row r="79" spans="1:203">
      <c r="D79" s="166"/>
      <c r="E79" s="166"/>
      <c r="F79" s="166"/>
      <c r="G79" s="166"/>
      <c r="H79" s="166"/>
      <c r="I79" s="166"/>
      <c r="J79" s="166"/>
      <c r="K79" s="166"/>
      <c r="L79" s="166"/>
      <c r="M79" s="185"/>
      <c r="N79" s="166"/>
      <c r="O79" s="166"/>
      <c r="P79" s="166"/>
      <c r="Q79" s="166"/>
      <c r="R79" s="166"/>
      <c r="S79" s="166"/>
      <c r="T79" s="166"/>
      <c r="U79" s="166"/>
      <c r="V79" s="166"/>
      <c r="W79" s="185"/>
      <c r="X79" s="166"/>
      <c r="Y79" s="166"/>
      <c r="Z79" s="166"/>
      <c r="AA79" s="166"/>
      <c r="AB79" s="166"/>
      <c r="AC79" s="166"/>
      <c r="AD79" s="166"/>
      <c r="AE79" s="166"/>
      <c r="AF79" s="166"/>
      <c r="AG79" s="185"/>
      <c r="AH79" s="166"/>
      <c r="AI79" s="166"/>
      <c r="AJ79" s="166"/>
      <c r="AK79" s="166"/>
      <c r="AL79" s="166"/>
      <c r="AM79" s="166"/>
      <c r="AN79" s="166"/>
      <c r="AO79" s="166"/>
      <c r="AP79" s="166"/>
      <c r="AQ79" s="185"/>
      <c r="AR79" s="166"/>
      <c r="AS79" s="166"/>
      <c r="AT79" s="166"/>
      <c r="AU79" s="166"/>
      <c r="AV79" s="166"/>
      <c r="AW79" s="166"/>
      <c r="AX79" s="166"/>
      <c r="AY79" s="166"/>
      <c r="AZ79" s="166"/>
      <c r="BA79" s="185"/>
      <c r="BB79" s="166"/>
      <c r="BC79" s="166"/>
      <c r="BD79" s="166"/>
      <c r="BE79" s="166"/>
      <c r="BF79" s="166"/>
      <c r="BG79" s="166"/>
      <c r="BH79" s="166"/>
      <c r="BI79" s="166"/>
      <c r="BJ79" s="166"/>
      <c r="BK79" s="185"/>
      <c r="BL79" s="166"/>
      <c r="BM79" s="166"/>
      <c r="BN79" s="166"/>
      <c r="BO79" s="166"/>
      <c r="BP79" s="166"/>
      <c r="BQ79" s="166"/>
      <c r="BR79" s="166"/>
      <c r="BS79" s="166"/>
      <c r="BT79" s="166"/>
      <c r="BU79" s="185"/>
      <c r="BV79" s="166"/>
      <c r="BW79" s="166"/>
      <c r="BX79" s="166"/>
      <c r="BY79" s="166"/>
      <c r="BZ79" s="166"/>
      <c r="CA79" s="166"/>
      <c r="CB79" s="166"/>
      <c r="CC79" s="166"/>
      <c r="CD79" s="166"/>
      <c r="CE79" s="185"/>
      <c r="CF79" s="166"/>
      <c r="CG79" s="166"/>
      <c r="CH79" s="166"/>
      <c r="CI79" s="166"/>
      <c r="CJ79" s="166"/>
      <c r="CK79" s="166"/>
      <c r="CL79" s="166"/>
      <c r="CM79" s="166"/>
      <c r="CN79" s="166"/>
      <c r="CO79" s="185"/>
      <c r="CP79" s="166"/>
      <c r="CQ79" s="166"/>
      <c r="CR79" s="166"/>
      <c r="CS79" s="166"/>
      <c r="CT79" s="166"/>
      <c r="CU79" s="166"/>
      <c r="CV79" s="166"/>
      <c r="CW79" s="166"/>
      <c r="CX79" s="166"/>
      <c r="CY79" s="185"/>
      <c r="CZ79" s="166"/>
      <c r="DA79" s="166"/>
      <c r="DB79" s="166"/>
      <c r="DC79" s="166"/>
      <c r="DD79" s="166"/>
      <c r="DE79" s="166"/>
      <c r="DF79" s="166"/>
      <c r="DG79" s="166"/>
      <c r="DH79" s="166"/>
      <c r="DI79" s="185"/>
      <c r="DJ79" s="166"/>
      <c r="DK79" s="166"/>
      <c r="DL79" s="166"/>
      <c r="DM79" s="166"/>
      <c r="DN79" s="166"/>
      <c r="DO79" s="166"/>
      <c r="DP79" s="166"/>
      <c r="DQ79" s="166"/>
      <c r="DR79" s="166"/>
      <c r="DS79" s="185"/>
      <c r="DT79" s="166"/>
      <c r="DU79" s="166"/>
      <c r="DV79" s="166"/>
      <c r="DW79" s="166"/>
      <c r="DX79" s="166"/>
      <c r="DY79" s="166"/>
      <c r="DZ79" s="166"/>
      <c r="EA79" s="166"/>
      <c r="EB79" s="166"/>
      <c r="EC79" s="185"/>
      <c r="ED79" s="166"/>
      <c r="EE79" s="166"/>
      <c r="EF79" s="166"/>
      <c r="EG79" s="166"/>
      <c r="EH79" s="166"/>
      <c r="EI79" s="166"/>
      <c r="EJ79" s="166"/>
      <c r="EK79" s="166"/>
      <c r="EL79" s="166"/>
      <c r="EM79" s="185"/>
      <c r="EN79" s="166"/>
      <c r="EO79" s="166"/>
      <c r="EP79" s="166"/>
      <c r="EQ79" s="166"/>
      <c r="ER79" s="166"/>
      <c r="ES79" s="166"/>
      <c r="ET79" s="166"/>
      <c r="EU79" s="166"/>
      <c r="EV79" s="166"/>
      <c r="EW79" s="185"/>
      <c r="EX79" s="166"/>
      <c r="EY79" s="166"/>
      <c r="EZ79" s="166"/>
      <c r="FA79" s="166"/>
      <c r="FB79" s="166"/>
      <c r="FC79" s="166"/>
      <c r="FD79" s="166"/>
      <c r="FE79" s="166"/>
      <c r="FF79" s="166"/>
      <c r="FG79" s="185"/>
      <c r="FH79" s="166"/>
      <c r="FI79" s="166"/>
      <c r="FJ79" s="166"/>
      <c r="FK79" s="166"/>
      <c r="FL79" s="166"/>
      <c r="FM79" s="166"/>
      <c r="FN79" s="166"/>
      <c r="FO79" s="166"/>
      <c r="FP79" s="166"/>
      <c r="FQ79" s="185"/>
      <c r="FR79" s="166"/>
      <c r="FS79" s="166"/>
      <c r="FT79" s="166"/>
      <c r="FU79" s="166"/>
      <c r="FV79" s="166"/>
      <c r="FW79" s="166"/>
      <c r="FX79" s="166"/>
      <c r="FY79" s="166"/>
      <c r="FZ79" s="166"/>
      <c r="GA79" s="185"/>
      <c r="GB79" s="166"/>
      <c r="GC79" s="166"/>
      <c r="GD79" s="166"/>
      <c r="GE79" s="166"/>
      <c r="GF79" s="166"/>
      <c r="GG79" s="166"/>
      <c r="GH79" s="166"/>
      <c r="GI79" s="166"/>
      <c r="GJ79" s="166"/>
      <c r="GK79" s="185"/>
      <c r="GL79" s="166"/>
      <c r="GM79" s="166"/>
      <c r="GN79" s="166"/>
      <c r="GO79" s="166"/>
      <c r="GP79" s="166"/>
      <c r="GQ79" s="166"/>
      <c r="GR79" s="166"/>
      <c r="GS79" s="166"/>
      <c r="GT79" s="166"/>
    </row>
    <row r="80" spans="1:203" ht="15" thickBot="1"/>
    <row r="81" spans="1:203" ht="18.600000000000001" thickBot="1">
      <c r="C81" s="167"/>
      <c r="D81" s="254" t="e" vm="2">
        <f>D2</f>
        <v>#VALUE!</v>
      </c>
      <c r="E81" s="255"/>
      <c r="F81" s="255"/>
      <c r="G81" s="255"/>
      <c r="H81" s="255"/>
      <c r="I81" s="255"/>
      <c r="J81" s="255"/>
      <c r="K81" s="255"/>
      <c r="L81" s="256"/>
      <c r="M81" s="187"/>
      <c r="N81" s="254">
        <f>N2</f>
        <v>0</v>
      </c>
      <c r="O81" s="255"/>
      <c r="P81" s="255"/>
      <c r="Q81" s="255"/>
      <c r="R81" s="255"/>
      <c r="S81" s="255"/>
      <c r="T81" s="255"/>
      <c r="U81" s="255"/>
      <c r="V81" s="256"/>
      <c r="W81" s="187"/>
      <c r="X81" s="254">
        <f>X2</f>
        <v>0</v>
      </c>
      <c r="Y81" s="255"/>
      <c r="Z81" s="255"/>
      <c r="AA81" s="255"/>
      <c r="AB81" s="255"/>
      <c r="AC81" s="255"/>
      <c r="AD81" s="255"/>
      <c r="AE81" s="255"/>
      <c r="AF81" s="256"/>
      <c r="AG81" s="187"/>
      <c r="AH81" s="254">
        <f>AH2</f>
        <v>0</v>
      </c>
      <c r="AI81" s="255"/>
      <c r="AJ81" s="255"/>
      <c r="AK81" s="255"/>
      <c r="AL81" s="255"/>
      <c r="AM81" s="255"/>
      <c r="AN81" s="255"/>
      <c r="AO81" s="255"/>
      <c r="AP81" s="256"/>
      <c r="AQ81" s="187"/>
      <c r="AR81" s="254">
        <f>AR2</f>
        <v>0</v>
      </c>
      <c r="AS81" s="255"/>
      <c r="AT81" s="255"/>
      <c r="AU81" s="255"/>
      <c r="AV81" s="255"/>
      <c r="AW81" s="255"/>
      <c r="AX81" s="255"/>
      <c r="AY81" s="255"/>
      <c r="AZ81" s="256"/>
      <c r="BA81" s="187"/>
      <c r="BB81" s="254">
        <f>BB2</f>
        <v>0</v>
      </c>
      <c r="BC81" s="255"/>
      <c r="BD81" s="255"/>
      <c r="BE81" s="255"/>
      <c r="BF81" s="255"/>
      <c r="BG81" s="255"/>
      <c r="BH81" s="255"/>
      <c r="BI81" s="255"/>
      <c r="BJ81" s="256"/>
      <c r="BK81" s="187"/>
      <c r="BL81" s="254">
        <f>BL2</f>
        <v>0</v>
      </c>
      <c r="BM81" s="255"/>
      <c r="BN81" s="255"/>
      <c r="BO81" s="255"/>
      <c r="BP81" s="255"/>
      <c r="BQ81" s="255"/>
      <c r="BR81" s="255"/>
      <c r="BS81" s="255"/>
      <c r="BT81" s="256"/>
      <c r="BU81" s="187"/>
      <c r="BV81" s="254">
        <f>BV2</f>
        <v>0</v>
      </c>
      <c r="BW81" s="255"/>
      <c r="BX81" s="255"/>
      <c r="BY81" s="255"/>
      <c r="BZ81" s="255"/>
      <c r="CA81" s="255"/>
      <c r="CB81" s="255"/>
      <c r="CC81" s="255"/>
      <c r="CD81" s="256"/>
      <c r="CE81" s="187"/>
      <c r="CF81" s="254">
        <f>CF2</f>
        <v>0</v>
      </c>
      <c r="CG81" s="255"/>
      <c r="CH81" s="255"/>
      <c r="CI81" s="255"/>
      <c r="CJ81" s="255"/>
      <c r="CK81" s="255"/>
      <c r="CL81" s="255"/>
      <c r="CM81" s="255"/>
      <c r="CN81" s="256"/>
      <c r="CO81" s="187"/>
      <c r="CP81" s="254">
        <f>CP2</f>
        <v>0</v>
      </c>
      <c r="CQ81" s="255"/>
      <c r="CR81" s="255"/>
      <c r="CS81" s="255"/>
      <c r="CT81" s="255"/>
      <c r="CU81" s="255"/>
      <c r="CV81" s="255"/>
      <c r="CW81" s="255"/>
      <c r="CX81" s="255"/>
      <c r="CY81" s="257"/>
      <c r="CZ81" s="254">
        <f>CZ2</f>
        <v>0</v>
      </c>
      <c r="DA81" s="255"/>
      <c r="DB81" s="255"/>
      <c r="DC81" s="255"/>
      <c r="DD81" s="255"/>
      <c r="DE81" s="255"/>
      <c r="DF81" s="255"/>
      <c r="DG81" s="255"/>
      <c r="DH81" s="256"/>
      <c r="DI81" s="187"/>
      <c r="DJ81" s="254">
        <f>DJ2</f>
        <v>0</v>
      </c>
      <c r="DK81" s="255"/>
      <c r="DL81" s="255"/>
      <c r="DM81" s="255"/>
      <c r="DN81" s="255"/>
      <c r="DO81" s="255"/>
      <c r="DP81" s="255"/>
      <c r="DQ81" s="255"/>
      <c r="DR81" s="256"/>
      <c r="DS81" s="187"/>
      <c r="DT81" s="254">
        <f>DT2</f>
        <v>0</v>
      </c>
      <c r="DU81" s="255"/>
      <c r="DV81" s="255"/>
      <c r="DW81" s="255"/>
      <c r="DX81" s="255"/>
      <c r="DY81" s="255"/>
      <c r="DZ81" s="255"/>
      <c r="EA81" s="255"/>
      <c r="EB81" s="256"/>
      <c r="EC81" s="187"/>
      <c r="ED81" s="254">
        <f>ED2</f>
        <v>0</v>
      </c>
      <c r="EE81" s="255"/>
      <c r="EF81" s="255"/>
      <c r="EG81" s="255"/>
      <c r="EH81" s="255"/>
      <c r="EI81" s="255"/>
      <c r="EJ81" s="255"/>
      <c r="EK81" s="255"/>
      <c r="EL81" s="256"/>
      <c r="EM81" s="187"/>
      <c r="EN81" s="254">
        <f>EN2</f>
        <v>0</v>
      </c>
      <c r="EO81" s="255"/>
      <c r="EP81" s="255"/>
      <c r="EQ81" s="255"/>
      <c r="ER81" s="255"/>
      <c r="ES81" s="255"/>
      <c r="ET81" s="255"/>
      <c r="EU81" s="255"/>
      <c r="EV81" s="256"/>
      <c r="EW81" s="187"/>
      <c r="EX81" s="254">
        <f>EX2</f>
        <v>0</v>
      </c>
      <c r="EY81" s="255"/>
      <c r="EZ81" s="255"/>
      <c r="FA81" s="255"/>
      <c r="FB81" s="255"/>
      <c r="FC81" s="255"/>
      <c r="FD81" s="255"/>
      <c r="FE81" s="255"/>
      <c r="FF81" s="256"/>
      <c r="FG81" s="187"/>
      <c r="FH81" s="254">
        <f>FH2</f>
        <v>0</v>
      </c>
      <c r="FI81" s="255"/>
      <c r="FJ81" s="255"/>
      <c r="FK81" s="255"/>
      <c r="FL81" s="255"/>
      <c r="FM81" s="255"/>
      <c r="FN81" s="255"/>
      <c r="FO81" s="255"/>
      <c r="FP81" s="256"/>
      <c r="FQ81" s="187"/>
      <c r="FR81" s="254">
        <f>FR2</f>
        <v>0</v>
      </c>
      <c r="FS81" s="255"/>
      <c r="FT81" s="255"/>
      <c r="FU81" s="255"/>
      <c r="FV81" s="255"/>
      <c r="FW81" s="255"/>
      <c r="FX81" s="255"/>
      <c r="FY81" s="255"/>
      <c r="FZ81" s="256"/>
      <c r="GA81" s="187"/>
      <c r="GB81" s="254">
        <f>GB2</f>
        <v>0</v>
      </c>
      <c r="GC81" s="255"/>
      <c r="GD81" s="255"/>
      <c r="GE81" s="255"/>
      <c r="GF81" s="255"/>
      <c r="GG81" s="255"/>
      <c r="GH81" s="255"/>
      <c r="GI81" s="255"/>
      <c r="GJ81" s="256"/>
      <c r="GK81" s="187"/>
      <c r="GL81" s="267">
        <f>GL2</f>
        <v>0</v>
      </c>
      <c r="GM81" s="260"/>
      <c r="GN81" s="260"/>
      <c r="GO81" s="260"/>
      <c r="GP81" s="260"/>
      <c r="GQ81" s="260"/>
      <c r="GR81" s="260"/>
      <c r="GS81" s="260"/>
      <c r="GT81" s="260"/>
      <c r="GU81" s="168"/>
    </row>
    <row r="82" spans="1:203" ht="18.600000000000001" thickBot="1">
      <c r="B82" s="188" t="s">
        <v>55</v>
      </c>
      <c r="C82" s="189" t="s">
        <v>64</v>
      </c>
      <c r="D82" s="173" t="s">
        <v>56</v>
      </c>
      <c r="E82" s="173" t="s">
        <v>57</v>
      </c>
      <c r="F82" s="173" t="s">
        <v>58</v>
      </c>
      <c r="G82" s="173" t="s">
        <v>59</v>
      </c>
      <c r="H82" s="173" t="s">
        <v>28</v>
      </c>
      <c r="I82" s="173" t="s">
        <v>29</v>
      </c>
      <c r="J82" s="173" t="s">
        <v>60</v>
      </c>
      <c r="K82" s="174" t="s">
        <v>31</v>
      </c>
      <c r="L82" s="174" t="s">
        <v>32</v>
      </c>
      <c r="M82" s="186"/>
      <c r="N82" s="173" t="s">
        <v>56</v>
      </c>
      <c r="O82" s="173" t="s">
        <v>57</v>
      </c>
      <c r="P82" s="173" t="s">
        <v>58</v>
      </c>
      <c r="Q82" s="173" t="s">
        <v>59</v>
      </c>
      <c r="R82" s="173" t="s">
        <v>28</v>
      </c>
      <c r="S82" s="173" t="s">
        <v>29</v>
      </c>
      <c r="T82" s="173" t="s">
        <v>60</v>
      </c>
      <c r="U82" s="174" t="s">
        <v>31</v>
      </c>
      <c r="V82" s="174" t="s">
        <v>32</v>
      </c>
      <c r="W82" s="186"/>
      <c r="X82" s="173" t="s">
        <v>56</v>
      </c>
      <c r="Y82" s="173" t="s">
        <v>57</v>
      </c>
      <c r="Z82" s="173" t="s">
        <v>58</v>
      </c>
      <c r="AA82" s="173" t="s">
        <v>59</v>
      </c>
      <c r="AB82" s="173" t="s">
        <v>28</v>
      </c>
      <c r="AC82" s="173" t="s">
        <v>29</v>
      </c>
      <c r="AD82" s="173" t="s">
        <v>60</v>
      </c>
      <c r="AE82" s="174" t="s">
        <v>31</v>
      </c>
      <c r="AF82" s="174" t="s">
        <v>32</v>
      </c>
      <c r="AG82" s="186"/>
      <c r="AH82" s="173" t="s">
        <v>56</v>
      </c>
      <c r="AI82" s="173" t="s">
        <v>57</v>
      </c>
      <c r="AJ82" s="173" t="s">
        <v>58</v>
      </c>
      <c r="AK82" s="173" t="s">
        <v>59</v>
      </c>
      <c r="AL82" s="173" t="s">
        <v>28</v>
      </c>
      <c r="AM82" s="173" t="s">
        <v>29</v>
      </c>
      <c r="AN82" s="173" t="s">
        <v>60</v>
      </c>
      <c r="AO82" s="174" t="s">
        <v>31</v>
      </c>
      <c r="AP82" s="174" t="s">
        <v>32</v>
      </c>
      <c r="AQ82" s="186"/>
      <c r="AR82" s="173" t="s">
        <v>56</v>
      </c>
      <c r="AS82" s="173" t="s">
        <v>57</v>
      </c>
      <c r="AT82" s="173" t="s">
        <v>58</v>
      </c>
      <c r="AU82" s="173" t="s">
        <v>59</v>
      </c>
      <c r="AV82" s="173" t="s">
        <v>28</v>
      </c>
      <c r="AW82" s="173" t="s">
        <v>29</v>
      </c>
      <c r="AX82" s="173" t="s">
        <v>60</v>
      </c>
      <c r="AY82" s="174" t="s">
        <v>31</v>
      </c>
      <c r="AZ82" s="174" t="s">
        <v>32</v>
      </c>
      <c r="BA82" s="186"/>
      <c r="BB82" s="173" t="s">
        <v>56</v>
      </c>
      <c r="BC82" s="173" t="s">
        <v>57</v>
      </c>
      <c r="BD82" s="173" t="s">
        <v>58</v>
      </c>
      <c r="BE82" s="173" t="s">
        <v>59</v>
      </c>
      <c r="BF82" s="173" t="s">
        <v>28</v>
      </c>
      <c r="BG82" s="173" t="s">
        <v>29</v>
      </c>
      <c r="BH82" s="173" t="s">
        <v>60</v>
      </c>
      <c r="BI82" s="174" t="s">
        <v>31</v>
      </c>
      <c r="BJ82" s="174" t="s">
        <v>32</v>
      </c>
      <c r="BK82" s="186"/>
      <c r="BL82" s="173" t="s">
        <v>56</v>
      </c>
      <c r="BM82" s="173" t="s">
        <v>57</v>
      </c>
      <c r="BN82" s="173" t="s">
        <v>58</v>
      </c>
      <c r="BO82" s="173" t="s">
        <v>59</v>
      </c>
      <c r="BP82" s="173" t="s">
        <v>28</v>
      </c>
      <c r="BQ82" s="173" t="s">
        <v>29</v>
      </c>
      <c r="BR82" s="173" t="s">
        <v>60</v>
      </c>
      <c r="BS82" s="174" t="s">
        <v>31</v>
      </c>
      <c r="BT82" s="174" t="s">
        <v>32</v>
      </c>
      <c r="BU82" s="186"/>
      <c r="BV82" s="173" t="s">
        <v>56</v>
      </c>
      <c r="BW82" s="173" t="s">
        <v>57</v>
      </c>
      <c r="BX82" s="173" t="s">
        <v>58</v>
      </c>
      <c r="BY82" s="173" t="s">
        <v>59</v>
      </c>
      <c r="BZ82" s="173" t="s">
        <v>28</v>
      </c>
      <c r="CA82" s="173" t="s">
        <v>29</v>
      </c>
      <c r="CB82" s="173" t="s">
        <v>60</v>
      </c>
      <c r="CC82" s="174" t="s">
        <v>31</v>
      </c>
      <c r="CD82" s="174" t="s">
        <v>32</v>
      </c>
      <c r="CE82" s="186"/>
      <c r="CF82" s="173" t="s">
        <v>56</v>
      </c>
      <c r="CG82" s="173" t="s">
        <v>57</v>
      </c>
      <c r="CH82" s="173" t="s">
        <v>58</v>
      </c>
      <c r="CI82" s="173" t="s">
        <v>59</v>
      </c>
      <c r="CJ82" s="173" t="s">
        <v>28</v>
      </c>
      <c r="CK82" s="173" t="s">
        <v>29</v>
      </c>
      <c r="CL82" s="173" t="s">
        <v>60</v>
      </c>
      <c r="CM82" s="174" t="s">
        <v>31</v>
      </c>
      <c r="CN82" s="174" t="s">
        <v>32</v>
      </c>
      <c r="CO82" s="186"/>
      <c r="CP82" s="173" t="s">
        <v>56</v>
      </c>
      <c r="CQ82" s="173" t="s">
        <v>57</v>
      </c>
      <c r="CR82" s="173" t="s">
        <v>58</v>
      </c>
      <c r="CS82" s="173" t="s">
        <v>59</v>
      </c>
      <c r="CT82" s="173" t="s">
        <v>28</v>
      </c>
      <c r="CU82" s="173" t="s">
        <v>29</v>
      </c>
      <c r="CV82" s="173" t="s">
        <v>60</v>
      </c>
      <c r="CW82" s="174" t="s">
        <v>31</v>
      </c>
      <c r="CX82" s="174" t="s">
        <v>32</v>
      </c>
      <c r="CY82" s="186"/>
      <c r="CZ82" s="173" t="s">
        <v>56</v>
      </c>
      <c r="DA82" s="173" t="s">
        <v>57</v>
      </c>
      <c r="DB82" s="173" t="s">
        <v>58</v>
      </c>
      <c r="DC82" s="173" t="s">
        <v>59</v>
      </c>
      <c r="DD82" s="173" t="s">
        <v>28</v>
      </c>
      <c r="DE82" s="173" t="s">
        <v>29</v>
      </c>
      <c r="DF82" s="173" t="s">
        <v>60</v>
      </c>
      <c r="DG82" s="174" t="s">
        <v>31</v>
      </c>
      <c r="DH82" s="174" t="s">
        <v>32</v>
      </c>
      <c r="DI82" s="186"/>
      <c r="DJ82" s="173" t="s">
        <v>56</v>
      </c>
      <c r="DK82" s="173" t="s">
        <v>57</v>
      </c>
      <c r="DL82" s="173" t="s">
        <v>58</v>
      </c>
      <c r="DM82" s="173" t="s">
        <v>59</v>
      </c>
      <c r="DN82" s="173" t="s">
        <v>28</v>
      </c>
      <c r="DO82" s="173" t="s">
        <v>29</v>
      </c>
      <c r="DP82" s="173" t="s">
        <v>60</v>
      </c>
      <c r="DQ82" s="174" t="s">
        <v>31</v>
      </c>
      <c r="DR82" s="174" t="s">
        <v>32</v>
      </c>
      <c r="DS82" s="186"/>
      <c r="DT82" s="173" t="s">
        <v>56</v>
      </c>
      <c r="DU82" s="173" t="s">
        <v>57</v>
      </c>
      <c r="DV82" s="173" t="s">
        <v>58</v>
      </c>
      <c r="DW82" s="173" t="s">
        <v>59</v>
      </c>
      <c r="DX82" s="173" t="s">
        <v>28</v>
      </c>
      <c r="DY82" s="173" t="s">
        <v>29</v>
      </c>
      <c r="DZ82" s="173" t="s">
        <v>60</v>
      </c>
      <c r="EA82" s="174" t="s">
        <v>31</v>
      </c>
      <c r="EB82" s="174" t="s">
        <v>32</v>
      </c>
      <c r="EC82" s="186"/>
      <c r="ED82" s="173" t="s">
        <v>56</v>
      </c>
      <c r="EE82" s="173" t="s">
        <v>57</v>
      </c>
      <c r="EF82" s="173" t="s">
        <v>58</v>
      </c>
      <c r="EG82" s="173" t="s">
        <v>59</v>
      </c>
      <c r="EH82" s="173" t="s">
        <v>28</v>
      </c>
      <c r="EI82" s="173" t="s">
        <v>29</v>
      </c>
      <c r="EJ82" s="173" t="s">
        <v>60</v>
      </c>
      <c r="EK82" s="174" t="s">
        <v>31</v>
      </c>
      <c r="EL82" s="174" t="s">
        <v>32</v>
      </c>
      <c r="EM82" s="186"/>
      <c r="EN82" s="173" t="s">
        <v>56</v>
      </c>
      <c r="EO82" s="173" t="s">
        <v>57</v>
      </c>
      <c r="EP82" s="173" t="s">
        <v>58</v>
      </c>
      <c r="EQ82" s="173" t="s">
        <v>59</v>
      </c>
      <c r="ER82" s="173" t="s">
        <v>28</v>
      </c>
      <c r="ES82" s="173" t="s">
        <v>29</v>
      </c>
      <c r="ET82" s="173" t="s">
        <v>60</v>
      </c>
      <c r="EU82" s="174" t="s">
        <v>31</v>
      </c>
      <c r="EV82" s="174" t="s">
        <v>32</v>
      </c>
      <c r="EW82" s="186"/>
      <c r="EX82" s="173" t="s">
        <v>56</v>
      </c>
      <c r="EY82" s="173" t="s">
        <v>57</v>
      </c>
      <c r="EZ82" s="173" t="s">
        <v>58</v>
      </c>
      <c r="FA82" s="173" t="s">
        <v>59</v>
      </c>
      <c r="FB82" s="173" t="s">
        <v>28</v>
      </c>
      <c r="FC82" s="173" t="s">
        <v>29</v>
      </c>
      <c r="FD82" s="173" t="s">
        <v>60</v>
      </c>
      <c r="FE82" s="174" t="s">
        <v>31</v>
      </c>
      <c r="FF82" s="174" t="s">
        <v>32</v>
      </c>
      <c r="FG82" s="186"/>
      <c r="FH82" s="173" t="s">
        <v>56</v>
      </c>
      <c r="FI82" s="173" t="s">
        <v>57</v>
      </c>
      <c r="FJ82" s="173" t="s">
        <v>58</v>
      </c>
      <c r="FK82" s="173" t="s">
        <v>59</v>
      </c>
      <c r="FL82" s="173" t="s">
        <v>28</v>
      </c>
      <c r="FM82" s="173" t="s">
        <v>29</v>
      </c>
      <c r="FN82" s="173" t="s">
        <v>60</v>
      </c>
      <c r="FO82" s="174" t="s">
        <v>31</v>
      </c>
      <c r="FP82" s="174" t="s">
        <v>32</v>
      </c>
      <c r="FQ82" s="186"/>
      <c r="FR82" s="173" t="s">
        <v>56</v>
      </c>
      <c r="FS82" s="173" t="s">
        <v>57</v>
      </c>
      <c r="FT82" s="173" t="s">
        <v>58</v>
      </c>
      <c r="FU82" s="173" t="s">
        <v>59</v>
      </c>
      <c r="FV82" s="173" t="s">
        <v>28</v>
      </c>
      <c r="FW82" s="173" t="s">
        <v>29</v>
      </c>
      <c r="FX82" s="173" t="s">
        <v>60</v>
      </c>
      <c r="FY82" s="174" t="s">
        <v>31</v>
      </c>
      <c r="FZ82" s="174" t="s">
        <v>32</v>
      </c>
      <c r="GA82" s="186"/>
      <c r="GB82" s="173" t="s">
        <v>56</v>
      </c>
      <c r="GC82" s="173" t="s">
        <v>57</v>
      </c>
      <c r="GD82" s="173" t="s">
        <v>58</v>
      </c>
      <c r="GE82" s="173" t="s">
        <v>59</v>
      </c>
      <c r="GF82" s="173" t="s">
        <v>28</v>
      </c>
      <c r="GG82" s="173" t="s">
        <v>29</v>
      </c>
      <c r="GH82" s="173" t="s">
        <v>60</v>
      </c>
      <c r="GI82" s="174" t="s">
        <v>31</v>
      </c>
      <c r="GJ82" s="174" t="s">
        <v>32</v>
      </c>
      <c r="GK82" s="186"/>
      <c r="GL82" s="173" t="s">
        <v>56</v>
      </c>
      <c r="GM82" s="173" t="s">
        <v>57</v>
      </c>
      <c r="GN82" s="173" t="s">
        <v>58</v>
      </c>
      <c r="GO82" s="173" t="s">
        <v>59</v>
      </c>
      <c r="GP82" s="173" t="s">
        <v>28</v>
      </c>
      <c r="GQ82" s="173" t="s">
        <v>29</v>
      </c>
      <c r="GR82" s="173" t="s">
        <v>60</v>
      </c>
      <c r="GS82" s="174" t="s">
        <v>31</v>
      </c>
      <c r="GT82" s="174" t="s">
        <v>32</v>
      </c>
    </row>
    <row r="83" spans="1:203" hidden="1">
      <c r="B83" s="274" t="s">
        <v>61</v>
      </c>
      <c r="C83" s="165" t="s">
        <v>45</v>
      </c>
      <c r="D83" s="166">
        <f>SUM(D4:D33)</f>
        <v>0</v>
      </c>
      <c r="E83" s="166">
        <f t="shared" ref="E83:K83" si="0">SUM(E4:E33)</f>
        <v>0</v>
      </c>
      <c r="F83" s="166">
        <f t="shared" si="0"/>
        <v>0</v>
      </c>
      <c r="G83" s="166">
        <f t="shared" si="0"/>
        <v>0</v>
      </c>
      <c r="H83" s="166">
        <f t="shared" si="0"/>
        <v>0</v>
      </c>
      <c r="I83" s="166">
        <f t="shared" si="0"/>
        <v>0</v>
      </c>
      <c r="J83" s="166">
        <f t="shared" si="0"/>
        <v>0</v>
      </c>
      <c r="K83" s="166">
        <f t="shared" si="0"/>
        <v>0</v>
      </c>
      <c r="L83" s="166">
        <f t="shared" ref="L83" si="1">SUM(L4:L33)</f>
        <v>0</v>
      </c>
      <c r="M83" s="207"/>
      <c r="N83" s="166">
        <f>SUM(N4:N33)</f>
        <v>0</v>
      </c>
      <c r="O83" s="166">
        <f t="shared" ref="O83:V83" si="2">SUM(O4:O33)</f>
        <v>0</v>
      </c>
      <c r="P83" s="166">
        <f t="shared" si="2"/>
        <v>0</v>
      </c>
      <c r="Q83" s="166">
        <f t="shared" si="2"/>
        <v>0</v>
      </c>
      <c r="R83" s="166">
        <f t="shared" si="2"/>
        <v>0</v>
      </c>
      <c r="S83" s="166">
        <f t="shared" si="2"/>
        <v>0</v>
      </c>
      <c r="T83" s="166">
        <f t="shared" si="2"/>
        <v>0</v>
      </c>
      <c r="U83" s="166">
        <f t="shared" si="2"/>
        <v>0</v>
      </c>
      <c r="V83" s="166">
        <f t="shared" si="2"/>
        <v>0</v>
      </c>
      <c r="W83" s="207"/>
      <c r="X83" s="166">
        <f>SUM(X4:X33)</f>
        <v>0</v>
      </c>
      <c r="Y83" s="166">
        <f t="shared" ref="Y83:AF83" si="3">SUM(Y4:Y33)</f>
        <v>0</v>
      </c>
      <c r="Z83" s="166">
        <f t="shared" si="3"/>
        <v>0</v>
      </c>
      <c r="AA83" s="166">
        <f t="shared" si="3"/>
        <v>0</v>
      </c>
      <c r="AB83" s="166">
        <f t="shared" si="3"/>
        <v>0</v>
      </c>
      <c r="AC83" s="166">
        <f t="shared" si="3"/>
        <v>0</v>
      </c>
      <c r="AD83" s="166">
        <f t="shared" si="3"/>
        <v>0</v>
      </c>
      <c r="AE83" s="166">
        <f t="shared" si="3"/>
        <v>0</v>
      </c>
      <c r="AF83" s="166">
        <f t="shared" si="3"/>
        <v>0</v>
      </c>
      <c r="AG83" s="207"/>
      <c r="AH83" s="166">
        <f>SUM(AH4:AH33)</f>
        <v>0</v>
      </c>
      <c r="AI83" s="166">
        <f t="shared" ref="AI83:AP83" si="4">SUM(AI4:AI33)</f>
        <v>0</v>
      </c>
      <c r="AJ83" s="166">
        <f t="shared" si="4"/>
        <v>0</v>
      </c>
      <c r="AK83" s="166">
        <f t="shared" si="4"/>
        <v>0</v>
      </c>
      <c r="AL83" s="166">
        <f t="shared" si="4"/>
        <v>0</v>
      </c>
      <c r="AM83" s="166">
        <f t="shared" si="4"/>
        <v>0</v>
      </c>
      <c r="AN83" s="166">
        <f t="shared" si="4"/>
        <v>0</v>
      </c>
      <c r="AO83" s="166">
        <f t="shared" si="4"/>
        <v>0</v>
      </c>
      <c r="AP83" s="166">
        <f t="shared" si="4"/>
        <v>0</v>
      </c>
      <c r="AQ83" s="207"/>
      <c r="AR83" s="166">
        <f>SUM(AR4:AR33)</f>
        <v>0</v>
      </c>
      <c r="AS83" s="166">
        <f t="shared" ref="AS83:AZ83" si="5">SUM(AS4:AS33)</f>
        <v>0</v>
      </c>
      <c r="AT83" s="166">
        <f t="shared" si="5"/>
        <v>0</v>
      </c>
      <c r="AU83" s="166">
        <f t="shared" si="5"/>
        <v>0</v>
      </c>
      <c r="AV83" s="166">
        <f t="shared" si="5"/>
        <v>0</v>
      </c>
      <c r="AW83" s="166">
        <f t="shared" si="5"/>
        <v>0</v>
      </c>
      <c r="AX83" s="166">
        <f t="shared" si="5"/>
        <v>0</v>
      </c>
      <c r="AY83" s="166">
        <f t="shared" si="5"/>
        <v>0</v>
      </c>
      <c r="AZ83" s="166">
        <f t="shared" si="5"/>
        <v>0</v>
      </c>
      <c r="BA83" s="207"/>
      <c r="BB83" s="166">
        <f>SUM(BB4:BB33)</f>
        <v>0</v>
      </c>
      <c r="BC83" s="166">
        <f t="shared" ref="BC83:BJ83" si="6">SUM(BC4:BC33)</f>
        <v>0</v>
      </c>
      <c r="BD83" s="166">
        <f t="shared" si="6"/>
        <v>0</v>
      </c>
      <c r="BE83" s="166">
        <f t="shared" si="6"/>
        <v>0</v>
      </c>
      <c r="BF83" s="166">
        <f t="shared" si="6"/>
        <v>0</v>
      </c>
      <c r="BG83" s="166">
        <f t="shared" si="6"/>
        <v>0</v>
      </c>
      <c r="BH83" s="166">
        <f t="shared" si="6"/>
        <v>0</v>
      </c>
      <c r="BI83" s="166">
        <f t="shared" si="6"/>
        <v>0</v>
      </c>
      <c r="BJ83" s="166">
        <f t="shared" si="6"/>
        <v>0</v>
      </c>
      <c r="BK83" s="207"/>
      <c r="BL83" s="166">
        <f>SUM(BL4:BL33)</f>
        <v>0</v>
      </c>
      <c r="BM83" s="166">
        <f t="shared" ref="BM83:BT83" si="7">SUM(BM4:BM33)</f>
        <v>0</v>
      </c>
      <c r="BN83" s="166">
        <f t="shared" si="7"/>
        <v>0</v>
      </c>
      <c r="BO83" s="166">
        <f t="shared" si="7"/>
        <v>0</v>
      </c>
      <c r="BP83" s="166">
        <f t="shared" si="7"/>
        <v>0</v>
      </c>
      <c r="BQ83" s="166">
        <f t="shared" si="7"/>
        <v>0</v>
      </c>
      <c r="BR83" s="166">
        <f t="shared" si="7"/>
        <v>0</v>
      </c>
      <c r="BS83" s="166">
        <f t="shared" si="7"/>
        <v>0</v>
      </c>
      <c r="BT83" s="166">
        <f t="shared" si="7"/>
        <v>0</v>
      </c>
      <c r="BU83" s="207"/>
      <c r="BV83" s="166">
        <f>SUM(BV4:BV33)</f>
        <v>0</v>
      </c>
      <c r="BW83" s="166">
        <f t="shared" ref="BW83:CD83" si="8">SUM(BW4:BW33)</f>
        <v>0</v>
      </c>
      <c r="BX83" s="166">
        <f t="shared" si="8"/>
        <v>0</v>
      </c>
      <c r="BY83" s="166">
        <f t="shared" si="8"/>
        <v>0</v>
      </c>
      <c r="BZ83" s="166">
        <f t="shared" si="8"/>
        <v>0</v>
      </c>
      <c r="CA83" s="166">
        <f t="shared" si="8"/>
        <v>0</v>
      </c>
      <c r="CB83" s="166">
        <f t="shared" si="8"/>
        <v>0</v>
      </c>
      <c r="CC83" s="166">
        <f t="shared" si="8"/>
        <v>0</v>
      </c>
      <c r="CD83" s="166">
        <f t="shared" si="8"/>
        <v>0</v>
      </c>
      <c r="CE83" s="207"/>
      <c r="CF83" s="166">
        <f>SUM(CF4:CF33)</f>
        <v>0</v>
      </c>
      <c r="CG83" s="166">
        <f t="shared" ref="CG83:CN83" si="9">SUM(CG4:CG33)</f>
        <v>0</v>
      </c>
      <c r="CH83" s="166">
        <f t="shared" si="9"/>
        <v>0</v>
      </c>
      <c r="CI83" s="166">
        <f t="shared" si="9"/>
        <v>0</v>
      </c>
      <c r="CJ83" s="166">
        <f t="shared" si="9"/>
        <v>0</v>
      </c>
      <c r="CK83" s="166">
        <f t="shared" si="9"/>
        <v>0</v>
      </c>
      <c r="CL83" s="166">
        <f t="shared" si="9"/>
        <v>0</v>
      </c>
      <c r="CM83" s="166">
        <f t="shared" si="9"/>
        <v>0</v>
      </c>
      <c r="CN83" s="166">
        <f t="shared" si="9"/>
        <v>0</v>
      </c>
      <c r="CO83" s="207"/>
      <c r="CP83" s="166">
        <f>SUM(CP4:CP33)</f>
        <v>0</v>
      </c>
      <c r="CQ83" s="166">
        <f t="shared" ref="CQ83:CX83" si="10">SUM(CQ4:CQ33)</f>
        <v>0</v>
      </c>
      <c r="CR83" s="166">
        <f t="shared" si="10"/>
        <v>0</v>
      </c>
      <c r="CS83" s="166">
        <f t="shared" si="10"/>
        <v>0</v>
      </c>
      <c r="CT83" s="166">
        <f t="shared" si="10"/>
        <v>0</v>
      </c>
      <c r="CU83" s="166">
        <f t="shared" si="10"/>
        <v>0</v>
      </c>
      <c r="CV83" s="166">
        <f t="shared" si="10"/>
        <v>0</v>
      </c>
      <c r="CW83" s="166">
        <f t="shared" si="10"/>
        <v>0</v>
      </c>
      <c r="CX83" s="166">
        <f t="shared" si="10"/>
        <v>0</v>
      </c>
      <c r="CY83" s="207"/>
      <c r="CZ83" s="166">
        <f>SUM(CZ4:CZ33)</f>
        <v>0</v>
      </c>
      <c r="DA83" s="166">
        <f t="shared" ref="DA83:DH83" si="11">SUM(DA4:DA33)</f>
        <v>0</v>
      </c>
      <c r="DB83" s="166">
        <f t="shared" si="11"/>
        <v>0</v>
      </c>
      <c r="DC83" s="166">
        <f t="shared" si="11"/>
        <v>0</v>
      </c>
      <c r="DD83" s="166">
        <f t="shared" si="11"/>
        <v>0</v>
      </c>
      <c r="DE83" s="166">
        <f t="shared" si="11"/>
        <v>0</v>
      </c>
      <c r="DF83" s="166">
        <f t="shared" si="11"/>
        <v>0</v>
      </c>
      <c r="DG83" s="166">
        <f t="shared" si="11"/>
        <v>0</v>
      </c>
      <c r="DH83" s="166">
        <f t="shared" si="11"/>
        <v>0</v>
      </c>
      <c r="DI83" s="207"/>
      <c r="DJ83" s="166">
        <f>SUM(DJ4:DJ33)</f>
        <v>0</v>
      </c>
      <c r="DK83" s="166">
        <f t="shared" ref="DK83:DR83" si="12">SUM(DK4:DK33)</f>
        <v>0</v>
      </c>
      <c r="DL83" s="166">
        <f t="shared" si="12"/>
        <v>0</v>
      </c>
      <c r="DM83" s="166">
        <f t="shared" si="12"/>
        <v>0</v>
      </c>
      <c r="DN83" s="166">
        <f t="shared" si="12"/>
        <v>0</v>
      </c>
      <c r="DO83" s="166">
        <f t="shared" si="12"/>
        <v>0</v>
      </c>
      <c r="DP83" s="166">
        <f t="shared" si="12"/>
        <v>0</v>
      </c>
      <c r="DQ83" s="166">
        <f t="shared" si="12"/>
        <v>0</v>
      </c>
      <c r="DR83" s="166">
        <f t="shared" si="12"/>
        <v>0</v>
      </c>
      <c r="DS83" s="207"/>
      <c r="DT83" s="166">
        <f>SUM(DT4:DT33)</f>
        <v>0</v>
      </c>
      <c r="DU83" s="166">
        <f t="shared" ref="DU83:EB83" si="13">SUM(DU4:DU33)</f>
        <v>0</v>
      </c>
      <c r="DV83" s="166">
        <f t="shared" si="13"/>
        <v>0</v>
      </c>
      <c r="DW83" s="166">
        <f t="shared" si="13"/>
        <v>0</v>
      </c>
      <c r="DX83" s="166">
        <f t="shared" si="13"/>
        <v>0</v>
      </c>
      <c r="DY83" s="166">
        <f t="shared" si="13"/>
        <v>0</v>
      </c>
      <c r="DZ83" s="166">
        <f t="shared" si="13"/>
        <v>0</v>
      </c>
      <c r="EA83" s="166">
        <f t="shared" si="13"/>
        <v>0</v>
      </c>
      <c r="EB83" s="166">
        <f t="shared" si="13"/>
        <v>0</v>
      </c>
      <c r="EC83" s="207"/>
      <c r="ED83" s="166">
        <f>SUM(ED4:ED33)</f>
        <v>0</v>
      </c>
      <c r="EE83" s="166">
        <f t="shared" ref="EE83:EL83" si="14">SUM(EE4:EE33)</f>
        <v>0</v>
      </c>
      <c r="EF83" s="166">
        <f t="shared" si="14"/>
        <v>0</v>
      </c>
      <c r="EG83" s="166">
        <f t="shared" si="14"/>
        <v>0</v>
      </c>
      <c r="EH83" s="166">
        <f t="shared" si="14"/>
        <v>0</v>
      </c>
      <c r="EI83" s="166">
        <f t="shared" si="14"/>
        <v>0</v>
      </c>
      <c r="EJ83" s="166">
        <f t="shared" si="14"/>
        <v>0</v>
      </c>
      <c r="EK83" s="166">
        <f t="shared" si="14"/>
        <v>0</v>
      </c>
      <c r="EL83" s="166">
        <f t="shared" si="14"/>
        <v>0</v>
      </c>
      <c r="EM83" s="207"/>
      <c r="EN83" s="166">
        <f>SUM(EN4:EN33)</f>
        <v>0</v>
      </c>
      <c r="EO83" s="166">
        <f t="shared" ref="EO83:EV83" si="15">SUM(EO4:EO33)</f>
        <v>0</v>
      </c>
      <c r="EP83" s="166">
        <f t="shared" si="15"/>
        <v>0</v>
      </c>
      <c r="EQ83" s="166">
        <f t="shared" si="15"/>
        <v>0</v>
      </c>
      <c r="ER83" s="166">
        <f t="shared" si="15"/>
        <v>0</v>
      </c>
      <c r="ES83" s="166">
        <f t="shared" si="15"/>
        <v>0</v>
      </c>
      <c r="ET83" s="166">
        <f t="shared" si="15"/>
        <v>0</v>
      </c>
      <c r="EU83" s="166">
        <f t="shared" si="15"/>
        <v>0</v>
      </c>
      <c r="EV83" s="166">
        <f t="shared" si="15"/>
        <v>0</v>
      </c>
      <c r="EW83" s="207"/>
      <c r="EX83" s="166">
        <f>SUM(EX4:EX33)</f>
        <v>0</v>
      </c>
      <c r="EY83" s="166">
        <f t="shared" ref="EY83:FF83" si="16">SUM(EY4:EY33)</f>
        <v>0</v>
      </c>
      <c r="EZ83" s="166">
        <f t="shared" si="16"/>
        <v>0</v>
      </c>
      <c r="FA83" s="166">
        <f t="shared" si="16"/>
        <v>0</v>
      </c>
      <c r="FB83" s="166">
        <f t="shared" si="16"/>
        <v>0</v>
      </c>
      <c r="FC83" s="166">
        <f t="shared" si="16"/>
        <v>0</v>
      </c>
      <c r="FD83" s="166">
        <f t="shared" si="16"/>
        <v>0</v>
      </c>
      <c r="FE83" s="166">
        <f t="shared" si="16"/>
        <v>0</v>
      </c>
      <c r="FF83" s="166">
        <f t="shared" si="16"/>
        <v>0</v>
      </c>
      <c r="FG83" s="207"/>
      <c r="FH83" s="166">
        <f>SUM(FH4:FH33)</f>
        <v>0</v>
      </c>
      <c r="FI83" s="166">
        <f t="shared" ref="FI83:FP83" si="17">SUM(FI4:FI33)</f>
        <v>0</v>
      </c>
      <c r="FJ83" s="166">
        <f t="shared" si="17"/>
        <v>0</v>
      </c>
      <c r="FK83" s="166">
        <f t="shared" si="17"/>
        <v>0</v>
      </c>
      <c r="FL83" s="166">
        <f t="shared" si="17"/>
        <v>0</v>
      </c>
      <c r="FM83" s="166">
        <f t="shared" si="17"/>
        <v>0</v>
      </c>
      <c r="FN83" s="166">
        <f t="shared" si="17"/>
        <v>0</v>
      </c>
      <c r="FO83" s="166">
        <f t="shared" si="17"/>
        <v>0</v>
      </c>
      <c r="FP83" s="166">
        <f t="shared" si="17"/>
        <v>0</v>
      </c>
      <c r="FQ83" s="207"/>
      <c r="FR83" s="166">
        <f>SUM(FR4:FR33)</f>
        <v>0</v>
      </c>
      <c r="FS83" s="166">
        <f t="shared" ref="FS83:FZ83" si="18">SUM(FS4:FS33)</f>
        <v>0</v>
      </c>
      <c r="FT83" s="166">
        <f t="shared" si="18"/>
        <v>0</v>
      </c>
      <c r="FU83" s="166">
        <f t="shared" si="18"/>
        <v>0</v>
      </c>
      <c r="FV83" s="166">
        <f t="shared" si="18"/>
        <v>0</v>
      </c>
      <c r="FW83" s="166">
        <f t="shared" si="18"/>
        <v>0</v>
      </c>
      <c r="FX83" s="166">
        <f t="shared" si="18"/>
        <v>0</v>
      </c>
      <c r="FY83" s="166">
        <f t="shared" si="18"/>
        <v>0</v>
      </c>
      <c r="FZ83" s="166">
        <f t="shared" si="18"/>
        <v>0</v>
      </c>
      <c r="GA83" s="207"/>
      <c r="GB83" s="166">
        <f>SUM(GB4:GB33)</f>
        <v>0</v>
      </c>
      <c r="GC83" s="166">
        <f t="shared" ref="GC83:GJ83" si="19">SUM(GC4:GC33)</f>
        <v>0</v>
      </c>
      <c r="GD83" s="166">
        <f t="shared" si="19"/>
        <v>0</v>
      </c>
      <c r="GE83" s="166">
        <f t="shared" si="19"/>
        <v>0</v>
      </c>
      <c r="GF83" s="166">
        <f t="shared" si="19"/>
        <v>0</v>
      </c>
      <c r="GG83" s="166">
        <f t="shared" si="19"/>
        <v>0</v>
      </c>
      <c r="GH83" s="166">
        <f t="shared" si="19"/>
        <v>0</v>
      </c>
      <c r="GI83" s="166">
        <f t="shared" si="19"/>
        <v>0</v>
      </c>
      <c r="GJ83" s="166">
        <f t="shared" si="19"/>
        <v>0</v>
      </c>
      <c r="GK83" s="207"/>
      <c r="GL83" s="166">
        <f>SUM(GL4:GL33)</f>
        <v>0</v>
      </c>
      <c r="GM83" s="166">
        <f t="shared" ref="GM83:GT83" si="20">SUM(GM4:GM33)</f>
        <v>0</v>
      </c>
      <c r="GN83" s="166">
        <f t="shared" si="20"/>
        <v>0</v>
      </c>
      <c r="GO83" s="166">
        <f t="shared" si="20"/>
        <v>0</v>
      </c>
      <c r="GP83" s="166">
        <f t="shared" si="20"/>
        <v>0</v>
      </c>
      <c r="GQ83" s="166">
        <f t="shared" si="20"/>
        <v>0</v>
      </c>
      <c r="GR83" s="166">
        <f t="shared" si="20"/>
        <v>0</v>
      </c>
      <c r="GS83" s="166">
        <f t="shared" si="20"/>
        <v>0</v>
      </c>
      <c r="GT83" s="166">
        <f t="shared" si="20"/>
        <v>0</v>
      </c>
    </row>
    <row r="84" spans="1:203">
      <c r="B84" s="275"/>
      <c r="C84" s="165" t="s">
        <v>46</v>
      </c>
      <c r="D84" s="166">
        <f t="shared" ref="D84:I84" si="21">D83</f>
        <v>0</v>
      </c>
      <c r="E84" s="166">
        <f t="shared" si="21"/>
        <v>0</v>
      </c>
      <c r="F84" s="166">
        <f t="shared" si="21"/>
        <v>0</v>
      </c>
      <c r="G84" s="166">
        <f t="shared" si="21"/>
        <v>0</v>
      </c>
      <c r="H84" s="166">
        <f t="shared" si="21"/>
        <v>0</v>
      </c>
      <c r="I84" s="166">
        <f t="shared" si="21"/>
        <v>0</v>
      </c>
      <c r="J84" s="166">
        <f t="shared" ref="J84:K84" si="22">J83</f>
        <v>0</v>
      </c>
      <c r="K84" s="166">
        <f t="shared" si="22"/>
        <v>0</v>
      </c>
      <c r="L84" s="166">
        <f>L83</f>
        <v>0</v>
      </c>
      <c r="M84" s="207"/>
      <c r="N84" s="166">
        <f t="shared" ref="N84:S84" si="23">N83</f>
        <v>0</v>
      </c>
      <c r="O84" s="166">
        <f t="shared" si="23"/>
        <v>0</v>
      </c>
      <c r="P84" s="166">
        <f t="shared" si="23"/>
        <v>0</v>
      </c>
      <c r="Q84" s="166">
        <f t="shared" si="23"/>
        <v>0</v>
      </c>
      <c r="R84" s="166">
        <f t="shared" si="23"/>
        <v>0</v>
      </c>
      <c r="S84" s="166">
        <f t="shared" si="23"/>
        <v>0</v>
      </c>
      <c r="T84" s="166">
        <f t="shared" ref="T84:U84" si="24">T83</f>
        <v>0</v>
      </c>
      <c r="U84" s="166">
        <f t="shared" si="24"/>
        <v>0</v>
      </c>
      <c r="V84" s="166">
        <f>V83</f>
        <v>0</v>
      </c>
      <c r="W84" s="207"/>
      <c r="X84" s="166">
        <f t="shared" ref="X84:AC84" si="25">X83</f>
        <v>0</v>
      </c>
      <c r="Y84" s="166">
        <f t="shared" si="25"/>
        <v>0</v>
      </c>
      <c r="Z84" s="166">
        <f t="shared" si="25"/>
        <v>0</v>
      </c>
      <c r="AA84" s="166">
        <f t="shared" si="25"/>
        <v>0</v>
      </c>
      <c r="AB84" s="166">
        <f t="shared" si="25"/>
        <v>0</v>
      </c>
      <c r="AC84" s="166">
        <f t="shared" si="25"/>
        <v>0</v>
      </c>
      <c r="AD84" s="166">
        <f t="shared" ref="AD84:AE84" si="26">AD83</f>
        <v>0</v>
      </c>
      <c r="AE84" s="166">
        <f t="shared" si="26"/>
        <v>0</v>
      </c>
      <c r="AF84" s="166">
        <f>AF83</f>
        <v>0</v>
      </c>
      <c r="AG84" s="207"/>
      <c r="AH84" s="166">
        <f t="shared" ref="AH84:AM84" si="27">AH83</f>
        <v>0</v>
      </c>
      <c r="AI84" s="166">
        <f t="shared" si="27"/>
        <v>0</v>
      </c>
      <c r="AJ84" s="166">
        <f t="shared" si="27"/>
        <v>0</v>
      </c>
      <c r="AK84" s="166">
        <f t="shared" si="27"/>
        <v>0</v>
      </c>
      <c r="AL84" s="166">
        <f t="shared" si="27"/>
        <v>0</v>
      </c>
      <c r="AM84" s="166">
        <f t="shared" si="27"/>
        <v>0</v>
      </c>
      <c r="AN84" s="166">
        <f t="shared" ref="AN84:AO84" si="28">AN83</f>
        <v>0</v>
      </c>
      <c r="AO84" s="166">
        <f t="shared" si="28"/>
        <v>0</v>
      </c>
      <c r="AP84" s="166">
        <f>AP83</f>
        <v>0</v>
      </c>
      <c r="AQ84" s="207"/>
      <c r="AR84" s="166">
        <f t="shared" ref="AR84:AW84" si="29">AR83</f>
        <v>0</v>
      </c>
      <c r="AS84" s="166">
        <f t="shared" si="29"/>
        <v>0</v>
      </c>
      <c r="AT84" s="166">
        <f t="shared" si="29"/>
        <v>0</v>
      </c>
      <c r="AU84" s="166">
        <f t="shared" si="29"/>
        <v>0</v>
      </c>
      <c r="AV84" s="166">
        <f t="shared" si="29"/>
        <v>0</v>
      </c>
      <c r="AW84" s="166">
        <f t="shared" si="29"/>
        <v>0</v>
      </c>
      <c r="AX84" s="166">
        <f t="shared" ref="AX84:AY84" si="30">AX83</f>
        <v>0</v>
      </c>
      <c r="AY84" s="166">
        <f t="shared" si="30"/>
        <v>0</v>
      </c>
      <c r="AZ84" s="166">
        <f>AZ83</f>
        <v>0</v>
      </c>
      <c r="BA84" s="207"/>
      <c r="BB84" s="166">
        <f t="shared" ref="BB84:BG84" si="31">BB83</f>
        <v>0</v>
      </c>
      <c r="BC84" s="166">
        <f t="shared" si="31"/>
        <v>0</v>
      </c>
      <c r="BD84" s="166">
        <f t="shared" si="31"/>
        <v>0</v>
      </c>
      <c r="BE84" s="166">
        <f t="shared" si="31"/>
        <v>0</v>
      </c>
      <c r="BF84" s="166">
        <f t="shared" si="31"/>
        <v>0</v>
      </c>
      <c r="BG84" s="166">
        <f t="shared" si="31"/>
        <v>0</v>
      </c>
      <c r="BH84" s="166">
        <f t="shared" ref="BH84:BI84" si="32">BH83</f>
        <v>0</v>
      </c>
      <c r="BI84" s="166">
        <f t="shared" si="32"/>
        <v>0</v>
      </c>
      <c r="BJ84" s="166">
        <f>BJ83</f>
        <v>0</v>
      </c>
      <c r="BK84" s="207"/>
      <c r="BL84" s="166">
        <f t="shared" ref="BL84:BQ84" si="33">BL83</f>
        <v>0</v>
      </c>
      <c r="BM84" s="166">
        <f t="shared" si="33"/>
        <v>0</v>
      </c>
      <c r="BN84" s="166">
        <f t="shared" si="33"/>
        <v>0</v>
      </c>
      <c r="BO84" s="166">
        <f t="shared" si="33"/>
        <v>0</v>
      </c>
      <c r="BP84" s="166">
        <f t="shared" si="33"/>
        <v>0</v>
      </c>
      <c r="BQ84" s="166">
        <f t="shared" si="33"/>
        <v>0</v>
      </c>
      <c r="BR84" s="166">
        <f t="shared" ref="BR84:BS84" si="34">BR83</f>
        <v>0</v>
      </c>
      <c r="BS84" s="166">
        <f t="shared" si="34"/>
        <v>0</v>
      </c>
      <c r="BT84" s="166">
        <f>BT83</f>
        <v>0</v>
      </c>
      <c r="BU84" s="207"/>
      <c r="BV84" s="166">
        <f t="shared" ref="BV84:CA84" si="35">BV83</f>
        <v>0</v>
      </c>
      <c r="BW84" s="166">
        <f t="shared" si="35"/>
        <v>0</v>
      </c>
      <c r="BX84" s="166">
        <f t="shared" si="35"/>
        <v>0</v>
      </c>
      <c r="BY84" s="166">
        <f t="shared" si="35"/>
        <v>0</v>
      </c>
      <c r="BZ84" s="166">
        <f t="shared" si="35"/>
        <v>0</v>
      </c>
      <c r="CA84" s="166">
        <f t="shared" si="35"/>
        <v>0</v>
      </c>
      <c r="CB84" s="166">
        <f t="shared" ref="CB84:CC84" si="36">CB83</f>
        <v>0</v>
      </c>
      <c r="CC84" s="166">
        <f t="shared" si="36"/>
        <v>0</v>
      </c>
      <c r="CD84" s="166">
        <f>CD83</f>
        <v>0</v>
      </c>
      <c r="CE84" s="207"/>
      <c r="CF84" s="166">
        <f t="shared" ref="CF84:CK84" si="37">CF83</f>
        <v>0</v>
      </c>
      <c r="CG84" s="166">
        <f t="shared" si="37"/>
        <v>0</v>
      </c>
      <c r="CH84" s="166">
        <f t="shared" si="37"/>
        <v>0</v>
      </c>
      <c r="CI84" s="166">
        <f t="shared" si="37"/>
        <v>0</v>
      </c>
      <c r="CJ84" s="166">
        <f t="shared" si="37"/>
        <v>0</v>
      </c>
      <c r="CK84" s="166">
        <f t="shared" si="37"/>
        <v>0</v>
      </c>
      <c r="CL84" s="166">
        <f t="shared" ref="CL84:CM84" si="38">CL83</f>
        <v>0</v>
      </c>
      <c r="CM84" s="166">
        <f t="shared" si="38"/>
        <v>0</v>
      </c>
      <c r="CN84" s="166">
        <f>CN83</f>
        <v>0</v>
      </c>
      <c r="CO84" s="207"/>
      <c r="CP84" s="166">
        <f t="shared" ref="CP84:CU84" si="39">CP83</f>
        <v>0</v>
      </c>
      <c r="CQ84" s="166">
        <f t="shared" si="39"/>
        <v>0</v>
      </c>
      <c r="CR84" s="166">
        <f t="shared" si="39"/>
        <v>0</v>
      </c>
      <c r="CS84" s="166">
        <f t="shared" si="39"/>
        <v>0</v>
      </c>
      <c r="CT84" s="166">
        <f t="shared" si="39"/>
        <v>0</v>
      </c>
      <c r="CU84" s="166">
        <f t="shared" si="39"/>
        <v>0</v>
      </c>
      <c r="CV84" s="166">
        <f t="shared" ref="CV84:CW84" si="40">CV83</f>
        <v>0</v>
      </c>
      <c r="CW84" s="166">
        <f t="shared" si="40"/>
        <v>0</v>
      </c>
      <c r="CX84" s="166">
        <f>CX83</f>
        <v>0</v>
      </c>
      <c r="CY84" s="207"/>
      <c r="CZ84" s="166">
        <f t="shared" ref="CZ84:DE84" si="41">CZ83</f>
        <v>0</v>
      </c>
      <c r="DA84" s="166">
        <f t="shared" si="41"/>
        <v>0</v>
      </c>
      <c r="DB84" s="166">
        <f t="shared" si="41"/>
        <v>0</v>
      </c>
      <c r="DC84" s="166">
        <f t="shared" si="41"/>
        <v>0</v>
      </c>
      <c r="DD84" s="166">
        <f t="shared" si="41"/>
        <v>0</v>
      </c>
      <c r="DE84" s="166">
        <f t="shared" si="41"/>
        <v>0</v>
      </c>
      <c r="DF84" s="166">
        <f t="shared" ref="DF84:DG84" si="42">DF83</f>
        <v>0</v>
      </c>
      <c r="DG84" s="166">
        <f t="shared" si="42"/>
        <v>0</v>
      </c>
      <c r="DH84" s="166">
        <f>DH83</f>
        <v>0</v>
      </c>
      <c r="DI84" s="207"/>
      <c r="DJ84" s="166">
        <f t="shared" ref="DJ84:DO84" si="43">DJ83</f>
        <v>0</v>
      </c>
      <c r="DK84" s="166">
        <f t="shared" si="43"/>
        <v>0</v>
      </c>
      <c r="DL84" s="166">
        <f t="shared" si="43"/>
        <v>0</v>
      </c>
      <c r="DM84" s="166">
        <f t="shared" si="43"/>
        <v>0</v>
      </c>
      <c r="DN84" s="166">
        <f t="shared" si="43"/>
        <v>0</v>
      </c>
      <c r="DO84" s="166">
        <f t="shared" si="43"/>
        <v>0</v>
      </c>
      <c r="DP84" s="166">
        <f t="shared" ref="DP84:DQ84" si="44">DP83</f>
        <v>0</v>
      </c>
      <c r="DQ84" s="166">
        <f t="shared" si="44"/>
        <v>0</v>
      </c>
      <c r="DR84" s="166">
        <f>DR83</f>
        <v>0</v>
      </c>
      <c r="DS84" s="207"/>
      <c r="DT84" s="166">
        <f t="shared" ref="DT84:DY84" si="45">DT83</f>
        <v>0</v>
      </c>
      <c r="DU84" s="166">
        <f t="shared" si="45"/>
        <v>0</v>
      </c>
      <c r="DV84" s="166">
        <f t="shared" si="45"/>
        <v>0</v>
      </c>
      <c r="DW84" s="166">
        <f t="shared" si="45"/>
        <v>0</v>
      </c>
      <c r="DX84" s="166">
        <f t="shared" si="45"/>
        <v>0</v>
      </c>
      <c r="DY84" s="166">
        <f t="shared" si="45"/>
        <v>0</v>
      </c>
      <c r="DZ84" s="166">
        <f t="shared" ref="DZ84:EA84" si="46">DZ83</f>
        <v>0</v>
      </c>
      <c r="EA84" s="166">
        <f t="shared" si="46"/>
        <v>0</v>
      </c>
      <c r="EB84" s="166">
        <f>EB83</f>
        <v>0</v>
      </c>
      <c r="EC84" s="207"/>
      <c r="ED84" s="166">
        <f t="shared" ref="ED84:EI84" si="47">ED83</f>
        <v>0</v>
      </c>
      <c r="EE84" s="166">
        <f t="shared" si="47"/>
        <v>0</v>
      </c>
      <c r="EF84" s="166">
        <f t="shared" si="47"/>
        <v>0</v>
      </c>
      <c r="EG84" s="166">
        <f t="shared" si="47"/>
        <v>0</v>
      </c>
      <c r="EH84" s="166">
        <f t="shared" si="47"/>
        <v>0</v>
      </c>
      <c r="EI84" s="166">
        <f t="shared" si="47"/>
        <v>0</v>
      </c>
      <c r="EJ84" s="166">
        <f t="shared" ref="EJ84:EK84" si="48">EJ83</f>
        <v>0</v>
      </c>
      <c r="EK84" s="166">
        <f t="shared" si="48"/>
        <v>0</v>
      </c>
      <c r="EL84" s="166">
        <f>EL83</f>
        <v>0</v>
      </c>
      <c r="EM84" s="207"/>
      <c r="EN84" s="166">
        <f t="shared" ref="EN84:ES84" si="49">EN83</f>
        <v>0</v>
      </c>
      <c r="EO84" s="166">
        <f t="shared" si="49"/>
        <v>0</v>
      </c>
      <c r="EP84" s="166">
        <f t="shared" si="49"/>
        <v>0</v>
      </c>
      <c r="EQ84" s="166">
        <f t="shared" si="49"/>
        <v>0</v>
      </c>
      <c r="ER84" s="166">
        <f t="shared" si="49"/>
        <v>0</v>
      </c>
      <c r="ES84" s="166">
        <f t="shared" si="49"/>
        <v>0</v>
      </c>
      <c r="ET84" s="166">
        <f t="shared" ref="ET84:EU84" si="50">ET83</f>
        <v>0</v>
      </c>
      <c r="EU84" s="166">
        <f t="shared" si="50"/>
        <v>0</v>
      </c>
      <c r="EV84" s="166">
        <f>EV83</f>
        <v>0</v>
      </c>
      <c r="EW84" s="207"/>
      <c r="EX84" s="166">
        <f t="shared" ref="EX84:FC84" si="51">EX83</f>
        <v>0</v>
      </c>
      <c r="EY84" s="166">
        <f t="shared" si="51"/>
        <v>0</v>
      </c>
      <c r="EZ84" s="166">
        <f t="shared" si="51"/>
        <v>0</v>
      </c>
      <c r="FA84" s="166">
        <f t="shared" si="51"/>
        <v>0</v>
      </c>
      <c r="FB84" s="166">
        <f t="shared" si="51"/>
        <v>0</v>
      </c>
      <c r="FC84" s="166">
        <f t="shared" si="51"/>
        <v>0</v>
      </c>
      <c r="FD84" s="166">
        <f t="shared" ref="FD84:FE84" si="52">FD83</f>
        <v>0</v>
      </c>
      <c r="FE84" s="166">
        <f t="shared" si="52"/>
        <v>0</v>
      </c>
      <c r="FF84" s="166">
        <f>FF83</f>
        <v>0</v>
      </c>
      <c r="FG84" s="207"/>
      <c r="FH84" s="166">
        <f t="shared" ref="FH84:FM84" si="53">FH83</f>
        <v>0</v>
      </c>
      <c r="FI84" s="166">
        <f t="shared" si="53"/>
        <v>0</v>
      </c>
      <c r="FJ84" s="166">
        <f t="shared" si="53"/>
        <v>0</v>
      </c>
      <c r="FK84" s="166">
        <f t="shared" si="53"/>
        <v>0</v>
      </c>
      <c r="FL84" s="166">
        <f t="shared" si="53"/>
        <v>0</v>
      </c>
      <c r="FM84" s="166">
        <f t="shared" si="53"/>
        <v>0</v>
      </c>
      <c r="FN84" s="166">
        <f t="shared" ref="FN84:FO84" si="54">FN83</f>
        <v>0</v>
      </c>
      <c r="FO84" s="166">
        <f t="shared" si="54"/>
        <v>0</v>
      </c>
      <c r="FP84" s="166">
        <f>FP83</f>
        <v>0</v>
      </c>
      <c r="FQ84" s="207"/>
      <c r="FR84" s="166">
        <f t="shared" ref="FR84:FW84" si="55">FR83</f>
        <v>0</v>
      </c>
      <c r="FS84" s="166">
        <f t="shared" si="55"/>
        <v>0</v>
      </c>
      <c r="FT84" s="166">
        <f t="shared" si="55"/>
        <v>0</v>
      </c>
      <c r="FU84" s="166">
        <f t="shared" si="55"/>
        <v>0</v>
      </c>
      <c r="FV84" s="166">
        <f t="shared" si="55"/>
        <v>0</v>
      </c>
      <c r="FW84" s="166">
        <f t="shared" si="55"/>
        <v>0</v>
      </c>
      <c r="FX84" s="166">
        <f t="shared" ref="FX84:FY84" si="56">FX83</f>
        <v>0</v>
      </c>
      <c r="FY84" s="166">
        <f t="shared" si="56"/>
        <v>0</v>
      </c>
      <c r="FZ84" s="166">
        <f>FZ83</f>
        <v>0</v>
      </c>
      <c r="GA84" s="207"/>
      <c r="GB84" s="166">
        <f t="shared" ref="GB84:GG84" si="57">GB83</f>
        <v>0</v>
      </c>
      <c r="GC84" s="166">
        <f t="shared" si="57"/>
        <v>0</v>
      </c>
      <c r="GD84" s="166">
        <f t="shared" si="57"/>
        <v>0</v>
      </c>
      <c r="GE84" s="166">
        <f t="shared" si="57"/>
        <v>0</v>
      </c>
      <c r="GF84" s="166">
        <f t="shared" si="57"/>
        <v>0</v>
      </c>
      <c r="GG84" s="166">
        <f t="shared" si="57"/>
        <v>0</v>
      </c>
      <c r="GH84" s="166">
        <f t="shared" ref="GH84:GI84" si="58">GH83</f>
        <v>0</v>
      </c>
      <c r="GI84" s="166">
        <f t="shared" si="58"/>
        <v>0</v>
      </c>
      <c r="GJ84" s="166">
        <f>GJ83</f>
        <v>0</v>
      </c>
      <c r="GK84" s="207"/>
      <c r="GL84" s="166">
        <f t="shared" ref="GL84:GQ84" si="59">GL83</f>
        <v>0</v>
      </c>
      <c r="GM84" s="166">
        <f t="shared" si="59"/>
        <v>0</v>
      </c>
      <c r="GN84" s="166">
        <f t="shared" si="59"/>
        <v>0</v>
      </c>
      <c r="GO84" s="166">
        <f t="shared" si="59"/>
        <v>0</v>
      </c>
      <c r="GP84" s="166">
        <f t="shared" si="59"/>
        <v>0</v>
      </c>
      <c r="GQ84" s="166">
        <f t="shared" si="59"/>
        <v>0</v>
      </c>
      <c r="GR84" s="166">
        <f t="shared" ref="GR84:GS84" si="60">GR83</f>
        <v>0</v>
      </c>
      <c r="GS84" s="166">
        <f t="shared" si="60"/>
        <v>0</v>
      </c>
      <c r="GT84" s="166">
        <f>GT83</f>
        <v>0</v>
      </c>
    </row>
    <row r="85" spans="1:203" ht="5.65" customHeight="1">
      <c r="A85" s="167"/>
      <c r="B85" s="170"/>
      <c r="C85" s="171"/>
      <c r="D85" s="178"/>
      <c r="E85" s="178"/>
      <c r="F85" s="178"/>
      <c r="G85" s="178"/>
      <c r="H85" s="178"/>
      <c r="I85" s="178"/>
      <c r="J85" s="178"/>
      <c r="K85" s="179"/>
      <c r="L85" s="179"/>
      <c r="M85" s="178"/>
      <c r="N85" s="178"/>
      <c r="O85" s="178"/>
      <c r="P85" s="178"/>
      <c r="Q85" s="178"/>
      <c r="R85" s="178"/>
      <c r="S85" s="178"/>
      <c r="T85" s="178"/>
      <c r="U85" s="179"/>
      <c r="V85" s="179"/>
      <c r="W85" s="178"/>
      <c r="X85" s="178"/>
      <c r="Y85" s="178"/>
      <c r="Z85" s="178"/>
      <c r="AA85" s="178"/>
      <c r="AB85" s="178"/>
      <c r="AC85" s="178"/>
      <c r="AD85" s="178"/>
      <c r="AE85" s="179"/>
      <c r="AF85" s="179"/>
      <c r="AG85" s="178"/>
      <c r="AH85" s="178"/>
      <c r="AI85" s="178"/>
      <c r="AJ85" s="178"/>
      <c r="AK85" s="178"/>
      <c r="AL85" s="178"/>
      <c r="AM85" s="178"/>
      <c r="AN85" s="178"/>
      <c r="AO85" s="179"/>
      <c r="AP85" s="179"/>
      <c r="AQ85" s="178"/>
      <c r="AR85" s="178"/>
      <c r="AS85" s="178"/>
      <c r="AT85" s="178"/>
      <c r="AU85" s="178"/>
      <c r="AV85" s="178"/>
      <c r="AW85" s="178"/>
      <c r="AX85" s="178"/>
      <c r="AY85" s="179"/>
      <c r="AZ85" s="179"/>
      <c r="BA85" s="178"/>
      <c r="BB85" s="178"/>
      <c r="BC85" s="178"/>
      <c r="BD85" s="178"/>
      <c r="BE85" s="178"/>
      <c r="BF85" s="178"/>
      <c r="BG85" s="178"/>
      <c r="BH85" s="178"/>
      <c r="BI85" s="179"/>
      <c r="BJ85" s="179"/>
      <c r="BK85" s="178"/>
      <c r="BL85" s="178"/>
      <c r="BM85" s="178"/>
      <c r="BN85" s="178"/>
      <c r="BO85" s="178"/>
      <c r="BP85" s="178"/>
      <c r="BQ85" s="178"/>
      <c r="BR85" s="178"/>
      <c r="BS85" s="179"/>
      <c r="BT85" s="179"/>
      <c r="BU85" s="178"/>
      <c r="BV85" s="178"/>
      <c r="BW85" s="178"/>
      <c r="BX85" s="178"/>
      <c r="BY85" s="178"/>
      <c r="BZ85" s="178"/>
      <c r="CA85" s="178"/>
      <c r="CB85" s="178"/>
      <c r="CC85" s="179"/>
      <c r="CD85" s="179"/>
      <c r="CE85" s="178"/>
      <c r="CF85" s="178"/>
      <c r="CG85" s="178"/>
      <c r="CH85" s="178"/>
      <c r="CI85" s="178"/>
      <c r="CJ85" s="178"/>
      <c r="CK85" s="178"/>
      <c r="CL85" s="178"/>
      <c r="CM85" s="179"/>
      <c r="CN85" s="179"/>
      <c r="CO85" s="178"/>
      <c r="CP85" s="178"/>
      <c r="CQ85" s="178"/>
      <c r="CR85" s="178"/>
      <c r="CS85" s="178"/>
      <c r="CT85" s="178"/>
      <c r="CU85" s="178"/>
      <c r="CV85" s="178"/>
      <c r="CW85" s="179"/>
      <c r="CX85" s="179"/>
      <c r="CY85" s="178"/>
      <c r="CZ85" s="178"/>
      <c r="DA85" s="178"/>
      <c r="DB85" s="178"/>
      <c r="DC85" s="178"/>
      <c r="DD85" s="178"/>
      <c r="DE85" s="178"/>
      <c r="DF85" s="178"/>
      <c r="DG85" s="179"/>
      <c r="DH85" s="179"/>
      <c r="DI85" s="178"/>
      <c r="DJ85" s="178"/>
      <c r="DK85" s="178"/>
      <c r="DL85" s="178"/>
      <c r="DM85" s="178"/>
      <c r="DN85" s="178"/>
      <c r="DO85" s="178"/>
      <c r="DP85" s="178"/>
      <c r="DQ85" s="179"/>
      <c r="DR85" s="179"/>
      <c r="DS85" s="178"/>
      <c r="DT85" s="178"/>
      <c r="DU85" s="178"/>
      <c r="DV85" s="178"/>
      <c r="DW85" s="178"/>
      <c r="DX85" s="178"/>
      <c r="DY85" s="178"/>
      <c r="DZ85" s="178"/>
      <c r="EA85" s="179"/>
      <c r="EB85" s="179"/>
      <c r="EC85" s="178"/>
      <c r="ED85" s="178"/>
      <c r="EE85" s="178"/>
      <c r="EF85" s="178"/>
      <c r="EG85" s="178"/>
      <c r="EH85" s="178"/>
      <c r="EI85" s="178"/>
      <c r="EJ85" s="178"/>
      <c r="EK85" s="179"/>
      <c r="EL85" s="179"/>
      <c r="EM85" s="178"/>
      <c r="EN85" s="178"/>
      <c r="EO85" s="178"/>
      <c r="EP85" s="178"/>
      <c r="EQ85" s="178"/>
      <c r="ER85" s="178"/>
      <c r="ES85" s="178"/>
      <c r="ET85" s="178"/>
      <c r="EU85" s="179"/>
      <c r="EV85" s="179"/>
      <c r="EW85" s="178"/>
      <c r="EX85" s="178"/>
      <c r="EY85" s="178"/>
      <c r="EZ85" s="178"/>
      <c r="FA85" s="178"/>
      <c r="FB85" s="178"/>
      <c r="FC85" s="178"/>
      <c r="FD85" s="178"/>
      <c r="FE85" s="179"/>
      <c r="FF85" s="179"/>
      <c r="FG85" s="178"/>
      <c r="FH85" s="178"/>
      <c r="FI85" s="178"/>
      <c r="FJ85" s="178"/>
      <c r="FK85" s="178"/>
      <c r="FL85" s="178"/>
      <c r="FM85" s="178"/>
      <c r="FN85" s="178"/>
      <c r="FO85" s="179"/>
      <c r="FP85" s="179"/>
      <c r="FQ85" s="178"/>
      <c r="FR85" s="178"/>
      <c r="FS85" s="178"/>
      <c r="FT85" s="178"/>
      <c r="FU85" s="178"/>
      <c r="FV85" s="178"/>
      <c r="FW85" s="178"/>
      <c r="FX85" s="178"/>
      <c r="FY85" s="179"/>
      <c r="FZ85" s="179"/>
      <c r="GA85" s="178"/>
      <c r="GB85" s="178"/>
      <c r="GC85" s="178"/>
      <c r="GD85" s="178"/>
      <c r="GE85" s="178"/>
      <c r="GF85" s="178"/>
      <c r="GG85" s="178"/>
      <c r="GH85" s="178"/>
      <c r="GI85" s="179"/>
      <c r="GJ85" s="179"/>
      <c r="GK85" s="178"/>
      <c r="GL85" s="178"/>
      <c r="GM85" s="178"/>
      <c r="GN85" s="178"/>
      <c r="GO85" s="178"/>
      <c r="GP85" s="178"/>
      <c r="GQ85" s="178"/>
      <c r="GR85" s="178"/>
      <c r="GS85" s="179"/>
      <c r="GT85" s="179"/>
      <c r="GU85" s="168"/>
    </row>
    <row r="86" spans="1:203" hidden="1">
      <c r="B86" s="274" t="s">
        <v>62</v>
      </c>
      <c r="C86" s="165" t="s">
        <v>45</v>
      </c>
      <c r="D86" s="166">
        <f>SUM(D35:D64)</f>
        <v>0</v>
      </c>
      <c r="E86" s="166">
        <f t="shared" ref="E86:M86" si="61">SUM(E35:E64)</f>
        <v>0</v>
      </c>
      <c r="F86" s="166">
        <f t="shared" si="61"/>
        <v>0</v>
      </c>
      <c r="G86" s="166">
        <f t="shared" si="61"/>
        <v>0</v>
      </c>
      <c r="H86" s="166">
        <f t="shared" si="61"/>
        <v>0</v>
      </c>
      <c r="I86" s="166">
        <f t="shared" si="61"/>
        <v>0</v>
      </c>
      <c r="J86" s="166">
        <f t="shared" si="61"/>
        <v>0</v>
      </c>
      <c r="K86" s="166">
        <f t="shared" si="61"/>
        <v>0</v>
      </c>
      <c r="L86" s="166">
        <f>SUM(L35:L64)</f>
        <v>0</v>
      </c>
      <c r="M86" s="166">
        <f t="shared" si="61"/>
        <v>0</v>
      </c>
      <c r="N86" s="166">
        <f>SUM(N35:N64)</f>
        <v>0</v>
      </c>
      <c r="O86" s="166">
        <f t="shared" ref="O86:U86" si="62">SUM(O35:O64)</f>
        <v>0</v>
      </c>
      <c r="P86" s="166">
        <f t="shared" si="62"/>
        <v>0</v>
      </c>
      <c r="Q86" s="166">
        <f t="shared" si="62"/>
        <v>0</v>
      </c>
      <c r="R86" s="166">
        <f t="shared" si="62"/>
        <v>0</v>
      </c>
      <c r="S86" s="166">
        <f t="shared" si="62"/>
        <v>0</v>
      </c>
      <c r="T86" s="166">
        <f t="shared" si="62"/>
        <v>0</v>
      </c>
      <c r="U86" s="166">
        <f t="shared" si="62"/>
        <v>0</v>
      </c>
      <c r="V86" s="166">
        <f>SUM(V35:V64)</f>
        <v>0</v>
      </c>
      <c r="W86" s="207"/>
      <c r="X86" s="166">
        <f>SUM(X35:X64)</f>
        <v>0</v>
      </c>
      <c r="Y86" s="166">
        <f t="shared" ref="Y86:AE86" si="63">SUM(Y35:Y64)</f>
        <v>0</v>
      </c>
      <c r="Z86" s="166">
        <f t="shared" si="63"/>
        <v>0</v>
      </c>
      <c r="AA86" s="166">
        <f t="shared" si="63"/>
        <v>0</v>
      </c>
      <c r="AB86" s="166">
        <f t="shared" si="63"/>
        <v>0</v>
      </c>
      <c r="AC86" s="166">
        <f t="shared" si="63"/>
        <v>0</v>
      </c>
      <c r="AD86" s="166">
        <f t="shared" si="63"/>
        <v>0</v>
      </c>
      <c r="AE86" s="166">
        <f t="shared" si="63"/>
        <v>0</v>
      </c>
      <c r="AF86" s="166">
        <f>SUM(AF35:AF64)</f>
        <v>0</v>
      </c>
      <c r="AG86" s="207"/>
      <c r="AH86" s="166">
        <f>SUM(AH35:AH64)</f>
        <v>0</v>
      </c>
      <c r="AI86" s="166">
        <f t="shared" ref="AI86:AO86" si="64">SUM(AI35:AI64)</f>
        <v>0</v>
      </c>
      <c r="AJ86" s="166">
        <f t="shared" si="64"/>
        <v>0</v>
      </c>
      <c r="AK86" s="166">
        <f t="shared" si="64"/>
        <v>0</v>
      </c>
      <c r="AL86" s="166">
        <f t="shared" si="64"/>
        <v>0</v>
      </c>
      <c r="AM86" s="166">
        <f t="shared" si="64"/>
        <v>0</v>
      </c>
      <c r="AN86" s="166">
        <f t="shared" si="64"/>
        <v>0</v>
      </c>
      <c r="AO86" s="166">
        <f t="shared" si="64"/>
        <v>0</v>
      </c>
      <c r="AP86" s="166">
        <f>SUM(AP35:AP64)</f>
        <v>0</v>
      </c>
      <c r="AQ86" s="207"/>
      <c r="AR86" s="166">
        <f>SUM(AR35:AR64)</f>
        <v>0</v>
      </c>
      <c r="AS86" s="166">
        <f t="shared" ref="AS86:AY86" si="65">SUM(AS35:AS64)</f>
        <v>0</v>
      </c>
      <c r="AT86" s="166">
        <f t="shared" si="65"/>
        <v>0</v>
      </c>
      <c r="AU86" s="166">
        <f t="shared" si="65"/>
        <v>0</v>
      </c>
      <c r="AV86" s="166">
        <f t="shared" si="65"/>
        <v>0</v>
      </c>
      <c r="AW86" s="166">
        <f t="shared" si="65"/>
        <v>0</v>
      </c>
      <c r="AX86" s="166">
        <f t="shared" si="65"/>
        <v>0</v>
      </c>
      <c r="AY86" s="166">
        <f t="shared" si="65"/>
        <v>0</v>
      </c>
      <c r="AZ86" s="166">
        <f>SUM(AZ35:AZ64)</f>
        <v>0</v>
      </c>
      <c r="BA86" s="207"/>
      <c r="BB86" s="166">
        <f>SUM(BB35:BB64)</f>
        <v>0</v>
      </c>
      <c r="BC86" s="166">
        <f t="shared" ref="BC86:BI86" si="66">SUM(BC35:BC64)</f>
        <v>0</v>
      </c>
      <c r="BD86" s="166">
        <f t="shared" si="66"/>
        <v>0</v>
      </c>
      <c r="BE86" s="166">
        <f t="shared" si="66"/>
        <v>0</v>
      </c>
      <c r="BF86" s="166">
        <f t="shared" si="66"/>
        <v>0</v>
      </c>
      <c r="BG86" s="166">
        <f t="shared" si="66"/>
        <v>0</v>
      </c>
      <c r="BH86" s="166">
        <f t="shared" si="66"/>
        <v>0</v>
      </c>
      <c r="BI86" s="166">
        <f t="shared" si="66"/>
        <v>0</v>
      </c>
      <c r="BJ86" s="166">
        <f>SUM(BJ35:BJ64)</f>
        <v>0</v>
      </c>
      <c r="BK86" s="207"/>
      <c r="BL86" s="166">
        <f>SUM(BL35:BL64)</f>
        <v>0</v>
      </c>
      <c r="BM86" s="166">
        <f t="shared" ref="BM86:BS86" si="67">SUM(BM35:BM64)</f>
        <v>0</v>
      </c>
      <c r="BN86" s="166">
        <f t="shared" si="67"/>
        <v>0</v>
      </c>
      <c r="BO86" s="166">
        <f t="shared" si="67"/>
        <v>0</v>
      </c>
      <c r="BP86" s="166">
        <f t="shared" si="67"/>
        <v>0</v>
      </c>
      <c r="BQ86" s="166">
        <f t="shared" si="67"/>
        <v>0</v>
      </c>
      <c r="BR86" s="166">
        <f t="shared" si="67"/>
        <v>0</v>
      </c>
      <c r="BS86" s="166">
        <f t="shared" si="67"/>
        <v>0</v>
      </c>
      <c r="BT86" s="166">
        <f>SUM(BT35:BT64)</f>
        <v>0</v>
      </c>
      <c r="BU86" s="207"/>
      <c r="BV86" s="166">
        <f>SUM(BV35:BV64)</f>
        <v>0</v>
      </c>
      <c r="BW86" s="166">
        <f t="shared" ref="BW86:CC86" si="68">SUM(BW35:BW64)</f>
        <v>0</v>
      </c>
      <c r="BX86" s="166">
        <f t="shared" si="68"/>
        <v>0</v>
      </c>
      <c r="BY86" s="166">
        <f t="shared" si="68"/>
        <v>0</v>
      </c>
      <c r="BZ86" s="166">
        <f t="shared" si="68"/>
        <v>0</v>
      </c>
      <c r="CA86" s="166">
        <f t="shared" si="68"/>
        <v>0</v>
      </c>
      <c r="CB86" s="166">
        <f t="shared" si="68"/>
        <v>0</v>
      </c>
      <c r="CC86" s="166">
        <f t="shared" si="68"/>
        <v>0</v>
      </c>
      <c r="CD86" s="166">
        <f>SUM(CD35:CD64)</f>
        <v>0</v>
      </c>
      <c r="CE86" s="207"/>
      <c r="CF86" s="166">
        <f>SUM(CF35:CF64)</f>
        <v>0</v>
      </c>
      <c r="CG86" s="166">
        <f t="shared" ref="CG86:CM86" si="69">SUM(CG35:CG64)</f>
        <v>0</v>
      </c>
      <c r="CH86" s="166">
        <f t="shared" si="69"/>
        <v>0</v>
      </c>
      <c r="CI86" s="166">
        <f t="shared" si="69"/>
        <v>0</v>
      </c>
      <c r="CJ86" s="166">
        <f t="shared" si="69"/>
        <v>0</v>
      </c>
      <c r="CK86" s="166">
        <f t="shared" si="69"/>
        <v>0</v>
      </c>
      <c r="CL86" s="166">
        <f t="shared" si="69"/>
        <v>0</v>
      </c>
      <c r="CM86" s="166">
        <f t="shared" si="69"/>
        <v>0</v>
      </c>
      <c r="CN86" s="166">
        <f>SUM(CN35:CN64)</f>
        <v>0</v>
      </c>
      <c r="CO86" s="207"/>
      <c r="CP86" s="166">
        <f>SUM(CP35:CP64)</f>
        <v>0</v>
      </c>
      <c r="CQ86" s="166">
        <f t="shared" ref="CQ86:CW86" si="70">SUM(CQ35:CQ64)</f>
        <v>0</v>
      </c>
      <c r="CR86" s="166">
        <f t="shared" si="70"/>
        <v>0</v>
      </c>
      <c r="CS86" s="166">
        <f t="shared" si="70"/>
        <v>0</v>
      </c>
      <c r="CT86" s="166">
        <f t="shared" si="70"/>
        <v>0</v>
      </c>
      <c r="CU86" s="166">
        <f t="shared" si="70"/>
        <v>0</v>
      </c>
      <c r="CV86" s="166">
        <f t="shared" si="70"/>
        <v>0</v>
      </c>
      <c r="CW86" s="166">
        <f t="shared" si="70"/>
        <v>0</v>
      </c>
      <c r="CX86" s="166">
        <f>SUM(CX35:CX64)</f>
        <v>0</v>
      </c>
      <c r="CY86" s="207"/>
      <c r="CZ86" s="166">
        <f>SUM(CZ35:CZ64)</f>
        <v>0</v>
      </c>
      <c r="DA86" s="166">
        <f t="shared" ref="DA86:DG86" si="71">SUM(DA35:DA64)</f>
        <v>0</v>
      </c>
      <c r="DB86" s="166">
        <f t="shared" si="71"/>
        <v>0</v>
      </c>
      <c r="DC86" s="166">
        <f t="shared" si="71"/>
        <v>0</v>
      </c>
      <c r="DD86" s="166">
        <f t="shared" si="71"/>
        <v>0</v>
      </c>
      <c r="DE86" s="166">
        <f t="shared" si="71"/>
        <v>0</v>
      </c>
      <c r="DF86" s="166">
        <f t="shared" si="71"/>
        <v>0</v>
      </c>
      <c r="DG86" s="166">
        <f t="shared" si="71"/>
        <v>0</v>
      </c>
      <c r="DH86" s="166">
        <f>SUM(DH35:DH64)</f>
        <v>0</v>
      </c>
      <c r="DI86" s="207"/>
      <c r="DJ86" s="166">
        <f>SUM(DJ35:DJ64)</f>
        <v>0</v>
      </c>
      <c r="DK86" s="166">
        <f t="shared" ref="DK86:DQ86" si="72">SUM(DK35:DK64)</f>
        <v>0</v>
      </c>
      <c r="DL86" s="166">
        <f t="shared" si="72"/>
        <v>0</v>
      </c>
      <c r="DM86" s="166">
        <f t="shared" si="72"/>
        <v>0</v>
      </c>
      <c r="DN86" s="166">
        <f t="shared" si="72"/>
        <v>0</v>
      </c>
      <c r="DO86" s="166">
        <f t="shared" si="72"/>
        <v>0</v>
      </c>
      <c r="DP86" s="166">
        <f t="shared" si="72"/>
        <v>0</v>
      </c>
      <c r="DQ86" s="166">
        <f t="shared" si="72"/>
        <v>0</v>
      </c>
      <c r="DR86" s="166">
        <f>SUM(DR35:DR64)</f>
        <v>0</v>
      </c>
      <c r="DS86" s="207"/>
      <c r="DT86" s="166">
        <f>SUM(DT35:DT64)</f>
        <v>0</v>
      </c>
      <c r="DU86" s="166">
        <f t="shared" ref="DU86:EA86" si="73">SUM(DU35:DU64)</f>
        <v>0</v>
      </c>
      <c r="DV86" s="166">
        <f t="shared" si="73"/>
        <v>0</v>
      </c>
      <c r="DW86" s="166">
        <f t="shared" si="73"/>
        <v>0</v>
      </c>
      <c r="DX86" s="166">
        <f t="shared" si="73"/>
        <v>0</v>
      </c>
      <c r="DY86" s="166">
        <f t="shared" si="73"/>
        <v>0</v>
      </c>
      <c r="DZ86" s="166">
        <f t="shared" si="73"/>
        <v>0</v>
      </c>
      <c r="EA86" s="166">
        <f t="shared" si="73"/>
        <v>0</v>
      </c>
      <c r="EB86" s="166">
        <f>SUM(EB35:EB64)</f>
        <v>0</v>
      </c>
      <c r="EC86" s="207"/>
      <c r="ED86" s="166">
        <f>SUM(ED35:ED64)</f>
        <v>0</v>
      </c>
      <c r="EE86" s="166">
        <f t="shared" ref="EE86:EK86" si="74">SUM(EE35:EE64)</f>
        <v>0</v>
      </c>
      <c r="EF86" s="166">
        <f t="shared" si="74"/>
        <v>0</v>
      </c>
      <c r="EG86" s="166">
        <f t="shared" si="74"/>
        <v>0</v>
      </c>
      <c r="EH86" s="166">
        <f t="shared" si="74"/>
        <v>0</v>
      </c>
      <c r="EI86" s="166">
        <f t="shared" si="74"/>
        <v>0</v>
      </c>
      <c r="EJ86" s="166">
        <f t="shared" si="74"/>
        <v>0</v>
      </c>
      <c r="EK86" s="166">
        <f t="shared" si="74"/>
        <v>0</v>
      </c>
      <c r="EL86" s="166">
        <f>SUM(EL35:EL64)</f>
        <v>0</v>
      </c>
      <c r="EM86" s="207"/>
      <c r="EN86" s="166">
        <f>SUM(EN35:EN64)</f>
        <v>0</v>
      </c>
      <c r="EO86" s="166">
        <f t="shared" ref="EO86:EU86" si="75">SUM(EO35:EO64)</f>
        <v>0</v>
      </c>
      <c r="EP86" s="166">
        <f t="shared" si="75"/>
        <v>0</v>
      </c>
      <c r="EQ86" s="166">
        <f t="shared" si="75"/>
        <v>0</v>
      </c>
      <c r="ER86" s="166">
        <f t="shared" si="75"/>
        <v>0</v>
      </c>
      <c r="ES86" s="166">
        <f t="shared" si="75"/>
        <v>0</v>
      </c>
      <c r="ET86" s="166">
        <f t="shared" si="75"/>
        <v>0</v>
      </c>
      <c r="EU86" s="166">
        <f t="shared" si="75"/>
        <v>0</v>
      </c>
      <c r="EV86" s="166">
        <f>SUM(EV35:EV64)</f>
        <v>0</v>
      </c>
      <c r="EW86" s="207"/>
      <c r="EX86" s="166">
        <f>SUM(EX35:EX64)</f>
        <v>0</v>
      </c>
      <c r="EY86" s="166">
        <f t="shared" ref="EY86:FE86" si="76">SUM(EY35:EY64)</f>
        <v>0</v>
      </c>
      <c r="EZ86" s="166">
        <f t="shared" si="76"/>
        <v>0</v>
      </c>
      <c r="FA86" s="166">
        <f t="shared" si="76"/>
        <v>0</v>
      </c>
      <c r="FB86" s="166">
        <f t="shared" si="76"/>
        <v>0</v>
      </c>
      <c r="FC86" s="166">
        <f t="shared" si="76"/>
        <v>0</v>
      </c>
      <c r="FD86" s="166">
        <f t="shared" si="76"/>
        <v>0</v>
      </c>
      <c r="FE86" s="166">
        <f t="shared" si="76"/>
        <v>0</v>
      </c>
      <c r="FF86" s="166">
        <f>SUM(FF35:FF64)</f>
        <v>0</v>
      </c>
      <c r="FG86" s="207"/>
      <c r="FH86" s="166">
        <f>SUM(FH35:FH64)</f>
        <v>0</v>
      </c>
      <c r="FI86" s="166">
        <f t="shared" ref="FI86:FO86" si="77">SUM(FI35:FI64)</f>
        <v>0</v>
      </c>
      <c r="FJ86" s="166">
        <f t="shared" si="77"/>
        <v>0</v>
      </c>
      <c r="FK86" s="166">
        <f t="shared" si="77"/>
        <v>0</v>
      </c>
      <c r="FL86" s="166">
        <f t="shared" si="77"/>
        <v>0</v>
      </c>
      <c r="FM86" s="166">
        <f t="shared" si="77"/>
        <v>0</v>
      </c>
      <c r="FN86" s="166">
        <f t="shared" si="77"/>
        <v>0</v>
      </c>
      <c r="FO86" s="166">
        <f t="shared" si="77"/>
        <v>0</v>
      </c>
      <c r="FP86" s="166">
        <f>SUM(FP35:FP64)</f>
        <v>0</v>
      </c>
      <c r="FQ86" s="207"/>
      <c r="FR86" s="166">
        <f>SUM(FR35:FR64)</f>
        <v>0</v>
      </c>
      <c r="FS86" s="166">
        <f t="shared" ref="FS86:FY86" si="78">SUM(FS35:FS64)</f>
        <v>0</v>
      </c>
      <c r="FT86" s="166">
        <f t="shared" si="78"/>
        <v>0</v>
      </c>
      <c r="FU86" s="166">
        <f t="shared" si="78"/>
        <v>0</v>
      </c>
      <c r="FV86" s="166">
        <f t="shared" si="78"/>
        <v>0</v>
      </c>
      <c r="FW86" s="166">
        <f t="shared" si="78"/>
        <v>0</v>
      </c>
      <c r="FX86" s="166">
        <f t="shared" si="78"/>
        <v>0</v>
      </c>
      <c r="FY86" s="166">
        <f t="shared" si="78"/>
        <v>0</v>
      </c>
      <c r="FZ86" s="166">
        <f>SUM(FZ35:FZ64)</f>
        <v>0</v>
      </c>
      <c r="GA86" s="207"/>
      <c r="GB86" s="166">
        <f>SUM(GB35:GB64)</f>
        <v>0</v>
      </c>
      <c r="GC86" s="166">
        <f t="shared" ref="GC86:GI86" si="79">SUM(GC35:GC64)</f>
        <v>0</v>
      </c>
      <c r="GD86" s="166">
        <f t="shared" si="79"/>
        <v>0</v>
      </c>
      <c r="GE86" s="166">
        <f t="shared" si="79"/>
        <v>0</v>
      </c>
      <c r="GF86" s="166">
        <f t="shared" si="79"/>
        <v>0</v>
      </c>
      <c r="GG86" s="166">
        <f t="shared" si="79"/>
        <v>0</v>
      </c>
      <c r="GH86" s="166">
        <f t="shared" si="79"/>
        <v>0</v>
      </c>
      <c r="GI86" s="166">
        <f t="shared" si="79"/>
        <v>0</v>
      </c>
      <c r="GJ86" s="166">
        <f>SUM(GJ35:GJ64)</f>
        <v>0</v>
      </c>
      <c r="GK86" s="207"/>
      <c r="GL86" s="166">
        <f>SUM(GL35:GL64)</f>
        <v>0</v>
      </c>
      <c r="GM86" s="166">
        <f t="shared" ref="GM86:GS86" si="80">SUM(GM35:GM64)</f>
        <v>0</v>
      </c>
      <c r="GN86" s="166">
        <f t="shared" si="80"/>
        <v>0</v>
      </c>
      <c r="GO86" s="166">
        <f t="shared" si="80"/>
        <v>0</v>
      </c>
      <c r="GP86" s="166">
        <f t="shared" si="80"/>
        <v>0</v>
      </c>
      <c r="GQ86" s="166">
        <f t="shared" si="80"/>
        <v>0</v>
      </c>
      <c r="GR86" s="166">
        <f t="shared" si="80"/>
        <v>0</v>
      </c>
      <c r="GS86" s="166">
        <f t="shared" si="80"/>
        <v>0</v>
      </c>
      <c r="GT86" s="166">
        <f>SUM(GT35:GT64)</f>
        <v>0</v>
      </c>
    </row>
    <row r="87" spans="1:203">
      <c r="B87" s="275"/>
      <c r="C87" s="165" t="s">
        <v>46</v>
      </c>
      <c r="D87" s="166">
        <f t="shared" ref="D87:I87" si="81">D86</f>
        <v>0</v>
      </c>
      <c r="E87" s="166">
        <f t="shared" si="81"/>
        <v>0</v>
      </c>
      <c r="F87" s="166">
        <f t="shared" si="81"/>
        <v>0</v>
      </c>
      <c r="G87" s="166">
        <f t="shared" si="81"/>
        <v>0</v>
      </c>
      <c r="H87" s="166">
        <f t="shared" si="81"/>
        <v>0</v>
      </c>
      <c r="I87" s="166">
        <f t="shared" si="81"/>
        <v>0</v>
      </c>
      <c r="J87" s="166">
        <f t="shared" ref="J87:K87" si="82">J86</f>
        <v>0</v>
      </c>
      <c r="K87" s="166">
        <f t="shared" si="82"/>
        <v>0</v>
      </c>
      <c r="L87" s="166">
        <f>L86</f>
        <v>0</v>
      </c>
      <c r="M87" s="207"/>
      <c r="N87" s="166">
        <f t="shared" ref="N87:S87" si="83">N86</f>
        <v>0</v>
      </c>
      <c r="O87" s="166">
        <f t="shared" si="83"/>
        <v>0</v>
      </c>
      <c r="P87" s="166">
        <f t="shared" si="83"/>
        <v>0</v>
      </c>
      <c r="Q87" s="166">
        <f t="shared" si="83"/>
        <v>0</v>
      </c>
      <c r="R87" s="166">
        <f t="shared" si="83"/>
        <v>0</v>
      </c>
      <c r="S87" s="166">
        <f t="shared" si="83"/>
        <v>0</v>
      </c>
      <c r="T87" s="166">
        <f t="shared" ref="T87:U87" si="84">T86</f>
        <v>0</v>
      </c>
      <c r="U87" s="166">
        <f t="shared" si="84"/>
        <v>0</v>
      </c>
      <c r="V87" s="166">
        <f>V86</f>
        <v>0</v>
      </c>
      <c r="W87" s="207"/>
      <c r="X87" s="166">
        <f t="shared" ref="X87:AC87" si="85">X86</f>
        <v>0</v>
      </c>
      <c r="Y87" s="166">
        <f t="shared" si="85"/>
        <v>0</v>
      </c>
      <c r="Z87" s="166">
        <f t="shared" si="85"/>
        <v>0</v>
      </c>
      <c r="AA87" s="166">
        <f t="shared" si="85"/>
        <v>0</v>
      </c>
      <c r="AB87" s="166">
        <f t="shared" si="85"/>
        <v>0</v>
      </c>
      <c r="AC87" s="166">
        <f t="shared" si="85"/>
        <v>0</v>
      </c>
      <c r="AD87" s="166">
        <f t="shared" ref="AD87:AE87" si="86">AD86</f>
        <v>0</v>
      </c>
      <c r="AE87" s="166">
        <f t="shared" si="86"/>
        <v>0</v>
      </c>
      <c r="AF87" s="166">
        <f>AF86</f>
        <v>0</v>
      </c>
      <c r="AG87" s="207"/>
      <c r="AH87" s="166">
        <f t="shared" ref="AH87:AM87" si="87">AH86</f>
        <v>0</v>
      </c>
      <c r="AI87" s="166">
        <f t="shared" si="87"/>
        <v>0</v>
      </c>
      <c r="AJ87" s="166">
        <f t="shared" si="87"/>
        <v>0</v>
      </c>
      <c r="AK87" s="166">
        <f t="shared" si="87"/>
        <v>0</v>
      </c>
      <c r="AL87" s="166">
        <f t="shared" si="87"/>
        <v>0</v>
      </c>
      <c r="AM87" s="166">
        <f t="shared" si="87"/>
        <v>0</v>
      </c>
      <c r="AN87" s="166">
        <f t="shared" ref="AN87:AO87" si="88">AN86</f>
        <v>0</v>
      </c>
      <c r="AO87" s="166">
        <f t="shared" si="88"/>
        <v>0</v>
      </c>
      <c r="AP87" s="166">
        <f>AP86</f>
        <v>0</v>
      </c>
      <c r="AQ87" s="207"/>
      <c r="AR87" s="166">
        <f t="shared" ref="AR87:AW87" si="89">AR86</f>
        <v>0</v>
      </c>
      <c r="AS87" s="166">
        <f t="shared" si="89"/>
        <v>0</v>
      </c>
      <c r="AT87" s="166">
        <f t="shared" si="89"/>
        <v>0</v>
      </c>
      <c r="AU87" s="166">
        <f t="shared" si="89"/>
        <v>0</v>
      </c>
      <c r="AV87" s="166">
        <f t="shared" si="89"/>
        <v>0</v>
      </c>
      <c r="AW87" s="166">
        <f t="shared" si="89"/>
        <v>0</v>
      </c>
      <c r="AX87" s="166">
        <f t="shared" ref="AX87:AY87" si="90">AX86</f>
        <v>0</v>
      </c>
      <c r="AY87" s="166">
        <f t="shared" si="90"/>
        <v>0</v>
      </c>
      <c r="AZ87" s="166">
        <f>AZ86</f>
        <v>0</v>
      </c>
      <c r="BA87" s="207"/>
      <c r="BB87" s="166">
        <f t="shared" ref="BB87:BG87" si="91">BB86</f>
        <v>0</v>
      </c>
      <c r="BC87" s="166">
        <f t="shared" si="91"/>
        <v>0</v>
      </c>
      <c r="BD87" s="166">
        <f t="shared" si="91"/>
        <v>0</v>
      </c>
      <c r="BE87" s="166">
        <f t="shared" si="91"/>
        <v>0</v>
      </c>
      <c r="BF87" s="166">
        <f t="shared" si="91"/>
        <v>0</v>
      </c>
      <c r="BG87" s="166">
        <f t="shared" si="91"/>
        <v>0</v>
      </c>
      <c r="BH87" s="166">
        <f t="shared" ref="BH87:BI87" si="92">BH86</f>
        <v>0</v>
      </c>
      <c r="BI87" s="166">
        <f t="shared" si="92"/>
        <v>0</v>
      </c>
      <c r="BJ87" s="166">
        <f>BJ86</f>
        <v>0</v>
      </c>
      <c r="BK87" s="207"/>
      <c r="BL87" s="166">
        <f t="shared" ref="BL87:BQ87" si="93">BL86</f>
        <v>0</v>
      </c>
      <c r="BM87" s="166">
        <f t="shared" si="93"/>
        <v>0</v>
      </c>
      <c r="BN87" s="166">
        <f t="shared" si="93"/>
        <v>0</v>
      </c>
      <c r="BO87" s="166">
        <f t="shared" si="93"/>
        <v>0</v>
      </c>
      <c r="BP87" s="166">
        <f t="shared" si="93"/>
        <v>0</v>
      </c>
      <c r="BQ87" s="166">
        <f t="shared" si="93"/>
        <v>0</v>
      </c>
      <c r="BR87" s="166">
        <f t="shared" ref="BR87:BS87" si="94">BR86</f>
        <v>0</v>
      </c>
      <c r="BS87" s="166">
        <f t="shared" si="94"/>
        <v>0</v>
      </c>
      <c r="BT87" s="166">
        <f>BT86</f>
        <v>0</v>
      </c>
      <c r="BU87" s="207"/>
      <c r="BV87" s="166">
        <f t="shared" ref="BV87:CA87" si="95">BV86</f>
        <v>0</v>
      </c>
      <c r="BW87" s="166">
        <f t="shared" si="95"/>
        <v>0</v>
      </c>
      <c r="BX87" s="166">
        <f t="shared" si="95"/>
        <v>0</v>
      </c>
      <c r="BY87" s="166">
        <f t="shared" si="95"/>
        <v>0</v>
      </c>
      <c r="BZ87" s="166">
        <f t="shared" si="95"/>
        <v>0</v>
      </c>
      <c r="CA87" s="166">
        <f t="shared" si="95"/>
        <v>0</v>
      </c>
      <c r="CB87" s="166">
        <f t="shared" ref="CB87:CC87" si="96">CB86</f>
        <v>0</v>
      </c>
      <c r="CC87" s="166">
        <f t="shared" si="96"/>
        <v>0</v>
      </c>
      <c r="CD87" s="166">
        <f>CD86</f>
        <v>0</v>
      </c>
      <c r="CE87" s="207"/>
      <c r="CF87" s="166">
        <f t="shared" ref="CF87:CK87" si="97">CF86</f>
        <v>0</v>
      </c>
      <c r="CG87" s="166">
        <f t="shared" si="97"/>
        <v>0</v>
      </c>
      <c r="CH87" s="166">
        <f t="shared" si="97"/>
        <v>0</v>
      </c>
      <c r="CI87" s="166">
        <f t="shared" si="97"/>
        <v>0</v>
      </c>
      <c r="CJ87" s="166">
        <f t="shared" si="97"/>
        <v>0</v>
      </c>
      <c r="CK87" s="166">
        <f t="shared" si="97"/>
        <v>0</v>
      </c>
      <c r="CL87" s="166">
        <f t="shared" ref="CL87:CM87" si="98">CL86</f>
        <v>0</v>
      </c>
      <c r="CM87" s="166">
        <f t="shared" si="98"/>
        <v>0</v>
      </c>
      <c r="CN87" s="166">
        <f>CN86</f>
        <v>0</v>
      </c>
      <c r="CO87" s="207"/>
      <c r="CP87" s="166">
        <f t="shared" ref="CP87:CU87" si="99">CP86</f>
        <v>0</v>
      </c>
      <c r="CQ87" s="166">
        <f t="shared" si="99"/>
        <v>0</v>
      </c>
      <c r="CR87" s="166">
        <f t="shared" si="99"/>
        <v>0</v>
      </c>
      <c r="CS87" s="166">
        <f t="shared" si="99"/>
        <v>0</v>
      </c>
      <c r="CT87" s="166">
        <f t="shared" si="99"/>
        <v>0</v>
      </c>
      <c r="CU87" s="166">
        <f t="shared" si="99"/>
        <v>0</v>
      </c>
      <c r="CV87" s="166">
        <f t="shared" ref="CV87:CW87" si="100">CV86</f>
        <v>0</v>
      </c>
      <c r="CW87" s="166">
        <f t="shared" si="100"/>
        <v>0</v>
      </c>
      <c r="CX87" s="166">
        <f>CX86</f>
        <v>0</v>
      </c>
      <c r="CY87" s="207"/>
      <c r="CZ87" s="166">
        <f t="shared" ref="CZ87:DE87" si="101">CZ86</f>
        <v>0</v>
      </c>
      <c r="DA87" s="166">
        <f t="shared" si="101"/>
        <v>0</v>
      </c>
      <c r="DB87" s="166">
        <f t="shared" si="101"/>
        <v>0</v>
      </c>
      <c r="DC87" s="166">
        <f t="shared" si="101"/>
        <v>0</v>
      </c>
      <c r="DD87" s="166">
        <f t="shared" si="101"/>
        <v>0</v>
      </c>
      <c r="DE87" s="166">
        <f t="shared" si="101"/>
        <v>0</v>
      </c>
      <c r="DF87" s="166">
        <f t="shared" ref="DF87:DG87" si="102">DF86</f>
        <v>0</v>
      </c>
      <c r="DG87" s="166">
        <f t="shared" si="102"/>
        <v>0</v>
      </c>
      <c r="DH87" s="166">
        <f>DH86</f>
        <v>0</v>
      </c>
      <c r="DI87" s="207"/>
      <c r="DJ87" s="166">
        <f t="shared" ref="DJ87:DO87" si="103">DJ86</f>
        <v>0</v>
      </c>
      <c r="DK87" s="166">
        <f t="shared" si="103"/>
        <v>0</v>
      </c>
      <c r="DL87" s="166">
        <f t="shared" si="103"/>
        <v>0</v>
      </c>
      <c r="DM87" s="166">
        <f t="shared" si="103"/>
        <v>0</v>
      </c>
      <c r="DN87" s="166">
        <f t="shared" si="103"/>
        <v>0</v>
      </c>
      <c r="DO87" s="166">
        <f t="shared" si="103"/>
        <v>0</v>
      </c>
      <c r="DP87" s="166">
        <f t="shared" ref="DP87:DQ87" si="104">DP86</f>
        <v>0</v>
      </c>
      <c r="DQ87" s="166">
        <f t="shared" si="104"/>
        <v>0</v>
      </c>
      <c r="DR87" s="166">
        <f>DR86</f>
        <v>0</v>
      </c>
      <c r="DS87" s="207"/>
      <c r="DT87" s="166">
        <f t="shared" ref="DT87:DY87" si="105">DT86</f>
        <v>0</v>
      </c>
      <c r="DU87" s="166">
        <f t="shared" si="105"/>
        <v>0</v>
      </c>
      <c r="DV87" s="166">
        <f t="shared" si="105"/>
        <v>0</v>
      </c>
      <c r="DW87" s="166">
        <f t="shared" si="105"/>
        <v>0</v>
      </c>
      <c r="DX87" s="166">
        <f t="shared" si="105"/>
        <v>0</v>
      </c>
      <c r="DY87" s="166">
        <f t="shared" si="105"/>
        <v>0</v>
      </c>
      <c r="DZ87" s="166">
        <f t="shared" ref="DZ87:EA87" si="106">DZ86</f>
        <v>0</v>
      </c>
      <c r="EA87" s="166">
        <f t="shared" si="106"/>
        <v>0</v>
      </c>
      <c r="EB87" s="166">
        <f>EB86</f>
        <v>0</v>
      </c>
      <c r="EC87" s="207"/>
      <c r="ED87" s="166">
        <f t="shared" ref="ED87:EI87" si="107">ED86</f>
        <v>0</v>
      </c>
      <c r="EE87" s="166">
        <f t="shared" si="107"/>
        <v>0</v>
      </c>
      <c r="EF87" s="166">
        <f t="shared" si="107"/>
        <v>0</v>
      </c>
      <c r="EG87" s="166">
        <f t="shared" si="107"/>
        <v>0</v>
      </c>
      <c r="EH87" s="166">
        <f t="shared" si="107"/>
        <v>0</v>
      </c>
      <c r="EI87" s="166">
        <f t="shared" si="107"/>
        <v>0</v>
      </c>
      <c r="EJ87" s="166">
        <f t="shared" ref="EJ87:EK87" si="108">EJ86</f>
        <v>0</v>
      </c>
      <c r="EK87" s="166">
        <f t="shared" si="108"/>
        <v>0</v>
      </c>
      <c r="EL87" s="166">
        <f>EL86</f>
        <v>0</v>
      </c>
      <c r="EM87" s="207"/>
      <c r="EN87" s="166">
        <f t="shared" ref="EN87:ES87" si="109">EN86</f>
        <v>0</v>
      </c>
      <c r="EO87" s="166">
        <f t="shared" si="109"/>
        <v>0</v>
      </c>
      <c r="EP87" s="166">
        <f t="shared" si="109"/>
        <v>0</v>
      </c>
      <c r="EQ87" s="166">
        <f t="shared" si="109"/>
        <v>0</v>
      </c>
      <c r="ER87" s="166">
        <f t="shared" si="109"/>
        <v>0</v>
      </c>
      <c r="ES87" s="166">
        <f t="shared" si="109"/>
        <v>0</v>
      </c>
      <c r="ET87" s="166">
        <f t="shared" ref="ET87:EU87" si="110">ET86</f>
        <v>0</v>
      </c>
      <c r="EU87" s="166">
        <f t="shared" si="110"/>
        <v>0</v>
      </c>
      <c r="EV87" s="166">
        <f>EV86</f>
        <v>0</v>
      </c>
      <c r="EW87" s="207"/>
      <c r="EX87" s="166">
        <f t="shared" ref="EX87:FC87" si="111">EX86</f>
        <v>0</v>
      </c>
      <c r="EY87" s="166">
        <f t="shared" si="111"/>
        <v>0</v>
      </c>
      <c r="EZ87" s="166">
        <f t="shared" si="111"/>
        <v>0</v>
      </c>
      <c r="FA87" s="166">
        <f t="shared" si="111"/>
        <v>0</v>
      </c>
      <c r="FB87" s="166">
        <f t="shared" si="111"/>
        <v>0</v>
      </c>
      <c r="FC87" s="166">
        <f t="shared" si="111"/>
        <v>0</v>
      </c>
      <c r="FD87" s="166">
        <f t="shared" ref="FD87:FE87" si="112">FD86</f>
        <v>0</v>
      </c>
      <c r="FE87" s="166">
        <f t="shared" si="112"/>
        <v>0</v>
      </c>
      <c r="FF87" s="166">
        <f>FF86</f>
        <v>0</v>
      </c>
      <c r="FG87" s="207"/>
      <c r="FH87" s="166">
        <f t="shared" ref="FH87:FM87" si="113">FH86</f>
        <v>0</v>
      </c>
      <c r="FI87" s="166">
        <f t="shared" si="113"/>
        <v>0</v>
      </c>
      <c r="FJ87" s="166">
        <f t="shared" si="113"/>
        <v>0</v>
      </c>
      <c r="FK87" s="166">
        <f t="shared" si="113"/>
        <v>0</v>
      </c>
      <c r="FL87" s="166">
        <f t="shared" si="113"/>
        <v>0</v>
      </c>
      <c r="FM87" s="166">
        <f t="shared" si="113"/>
        <v>0</v>
      </c>
      <c r="FN87" s="166">
        <f t="shared" ref="FN87:FO87" si="114">FN86</f>
        <v>0</v>
      </c>
      <c r="FO87" s="166">
        <f t="shared" si="114"/>
        <v>0</v>
      </c>
      <c r="FP87" s="166">
        <f>FP86</f>
        <v>0</v>
      </c>
      <c r="FQ87" s="207"/>
      <c r="FR87" s="166">
        <f t="shared" ref="FR87:FW87" si="115">FR86</f>
        <v>0</v>
      </c>
      <c r="FS87" s="166">
        <f t="shared" si="115"/>
        <v>0</v>
      </c>
      <c r="FT87" s="166">
        <f t="shared" si="115"/>
        <v>0</v>
      </c>
      <c r="FU87" s="166">
        <f t="shared" si="115"/>
        <v>0</v>
      </c>
      <c r="FV87" s="166">
        <f t="shared" si="115"/>
        <v>0</v>
      </c>
      <c r="FW87" s="166">
        <f t="shared" si="115"/>
        <v>0</v>
      </c>
      <c r="FX87" s="166">
        <f t="shared" ref="FX87:FY87" si="116">FX86</f>
        <v>0</v>
      </c>
      <c r="FY87" s="166">
        <f t="shared" si="116"/>
        <v>0</v>
      </c>
      <c r="FZ87" s="166">
        <f>FZ86</f>
        <v>0</v>
      </c>
      <c r="GA87" s="207"/>
      <c r="GB87" s="166">
        <f t="shared" ref="GB87:GG87" si="117">GB86</f>
        <v>0</v>
      </c>
      <c r="GC87" s="166">
        <f t="shared" si="117"/>
        <v>0</v>
      </c>
      <c r="GD87" s="166">
        <f t="shared" si="117"/>
        <v>0</v>
      </c>
      <c r="GE87" s="166">
        <f t="shared" si="117"/>
        <v>0</v>
      </c>
      <c r="GF87" s="166">
        <f t="shared" si="117"/>
        <v>0</v>
      </c>
      <c r="GG87" s="166">
        <f t="shared" si="117"/>
        <v>0</v>
      </c>
      <c r="GH87" s="166">
        <f t="shared" ref="GH87:GI87" si="118">GH86</f>
        <v>0</v>
      </c>
      <c r="GI87" s="166">
        <f t="shared" si="118"/>
        <v>0</v>
      </c>
      <c r="GJ87" s="166">
        <f>GJ86</f>
        <v>0</v>
      </c>
      <c r="GK87" s="207"/>
      <c r="GL87" s="166">
        <f t="shared" ref="GL87:GQ87" si="119">GL86</f>
        <v>0</v>
      </c>
      <c r="GM87" s="166">
        <f t="shared" si="119"/>
        <v>0</v>
      </c>
      <c r="GN87" s="166">
        <f t="shared" si="119"/>
        <v>0</v>
      </c>
      <c r="GO87" s="166">
        <f t="shared" si="119"/>
        <v>0</v>
      </c>
      <c r="GP87" s="166">
        <f t="shared" si="119"/>
        <v>0</v>
      </c>
      <c r="GQ87" s="166">
        <f t="shared" si="119"/>
        <v>0</v>
      </c>
      <c r="GR87" s="166">
        <f t="shared" ref="GR87:GS87" si="120">GR86</f>
        <v>0</v>
      </c>
      <c r="GS87" s="166">
        <f t="shared" si="120"/>
        <v>0</v>
      </c>
      <c r="GT87" s="166">
        <f>GT86</f>
        <v>0</v>
      </c>
    </row>
    <row r="88" spans="1:203" ht="5.65" customHeight="1">
      <c r="A88" s="167"/>
      <c r="B88" s="170"/>
      <c r="C88" s="171"/>
      <c r="D88" s="178"/>
      <c r="E88" s="178"/>
      <c r="F88" s="178"/>
      <c r="G88" s="178"/>
      <c r="H88" s="178"/>
      <c r="I88" s="178"/>
      <c r="J88" s="178"/>
      <c r="K88" s="179"/>
      <c r="L88" s="179"/>
      <c r="M88" s="178"/>
      <c r="N88" s="178"/>
      <c r="O88" s="178"/>
      <c r="P88" s="178"/>
      <c r="Q88" s="178"/>
      <c r="R88" s="178"/>
      <c r="S88" s="178"/>
      <c r="T88" s="178"/>
      <c r="U88" s="179"/>
      <c r="V88" s="179"/>
      <c r="W88" s="178"/>
      <c r="X88" s="178"/>
      <c r="Y88" s="178"/>
      <c r="Z88" s="178"/>
      <c r="AA88" s="178"/>
      <c r="AB88" s="178"/>
      <c r="AC88" s="178"/>
      <c r="AD88" s="178"/>
      <c r="AE88" s="179"/>
      <c r="AF88" s="179"/>
      <c r="AG88" s="178"/>
      <c r="AH88" s="178"/>
      <c r="AI88" s="178"/>
      <c r="AJ88" s="178"/>
      <c r="AK88" s="178"/>
      <c r="AL88" s="178"/>
      <c r="AM88" s="178"/>
      <c r="AN88" s="178"/>
      <c r="AO88" s="179"/>
      <c r="AP88" s="179"/>
      <c r="AQ88" s="178"/>
      <c r="AR88" s="178"/>
      <c r="AS88" s="178"/>
      <c r="AT88" s="178"/>
      <c r="AU88" s="178"/>
      <c r="AV88" s="178"/>
      <c r="AW88" s="178"/>
      <c r="AX88" s="178"/>
      <c r="AY88" s="179"/>
      <c r="AZ88" s="179"/>
      <c r="BA88" s="178"/>
      <c r="BB88" s="178"/>
      <c r="BC88" s="178"/>
      <c r="BD88" s="178"/>
      <c r="BE88" s="178"/>
      <c r="BF88" s="178"/>
      <c r="BG88" s="178"/>
      <c r="BH88" s="178"/>
      <c r="BI88" s="179"/>
      <c r="BJ88" s="179"/>
      <c r="BK88" s="178"/>
      <c r="BL88" s="178"/>
      <c r="BM88" s="178"/>
      <c r="BN88" s="178"/>
      <c r="BO88" s="178"/>
      <c r="BP88" s="178"/>
      <c r="BQ88" s="178"/>
      <c r="BR88" s="178"/>
      <c r="BS88" s="179"/>
      <c r="BT88" s="179"/>
      <c r="BU88" s="178"/>
      <c r="BV88" s="178"/>
      <c r="BW88" s="178"/>
      <c r="BX88" s="178"/>
      <c r="BY88" s="178"/>
      <c r="BZ88" s="178"/>
      <c r="CA88" s="178"/>
      <c r="CB88" s="178"/>
      <c r="CC88" s="179"/>
      <c r="CD88" s="179"/>
      <c r="CE88" s="178"/>
      <c r="CF88" s="178"/>
      <c r="CG88" s="178"/>
      <c r="CH88" s="178"/>
      <c r="CI88" s="178"/>
      <c r="CJ88" s="178"/>
      <c r="CK88" s="178"/>
      <c r="CL88" s="178"/>
      <c r="CM88" s="179"/>
      <c r="CN88" s="179"/>
      <c r="CO88" s="178"/>
      <c r="CP88" s="178"/>
      <c r="CQ88" s="178"/>
      <c r="CR88" s="178"/>
      <c r="CS88" s="178"/>
      <c r="CT88" s="178"/>
      <c r="CU88" s="178"/>
      <c r="CV88" s="178"/>
      <c r="CW88" s="179"/>
      <c r="CX88" s="179"/>
      <c r="CY88" s="178"/>
      <c r="CZ88" s="178"/>
      <c r="DA88" s="178"/>
      <c r="DB88" s="178"/>
      <c r="DC88" s="178"/>
      <c r="DD88" s="178"/>
      <c r="DE88" s="178"/>
      <c r="DF88" s="178"/>
      <c r="DG88" s="179"/>
      <c r="DH88" s="179"/>
      <c r="DI88" s="178"/>
      <c r="DJ88" s="178"/>
      <c r="DK88" s="178"/>
      <c r="DL88" s="178"/>
      <c r="DM88" s="178"/>
      <c r="DN88" s="178"/>
      <c r="DO88" s="178"/>
      <c r="DP88" s="178"/>
      <c r="DQ88" s="179"/>
      <c r="DR88" s="179"/>
      <c r="DS88" s="178"/>
      <c r="DT88" s="178"/>
      <c r="DU88" s="178"/>
      <c r="DV88" s="178"/>
      <c r="DW88" s="178"/>
      <c r="DX88" s="178"/>
      <c r="DY88" s="178"/>
      <c r="DZ88" s="178"/>
      <c r="EA88" s="179"/>
      <c r="EB88" s="179"/>
      <c r="EC88" s="178"/>
      <c r="ED88" s="178"/>
      <c r="EE88" s="178"/>
      <c r="EF88" s="178"/>
      <c r="EG88" s="178"/>
      <c r="EH88" s="178"/>
      <c r="EI88" s="178"/>
      <c r="EJ88" s="178"/>
      <c r="EK88" s="179"/>
      <c r="EL88" s="179"/>
      <c r="EM88" s="178"/>
      <c r="EN88" s="178"/>
      <c r="EO88" s="178"/>
      <c r="EP88" s="178"/>
      <c r="EQ88" s="178"/>
      <c r="ER88" s="178"/>
      <c r="ES88" s="178"/>
      <c r="ET88" s="178"/>
      <c r="EU88" s="179"/>
      <c r="EV88" s="179"/>
      <c r="EW88" s="178"/>
      <c r="EX88" s="178"/>
      <c r="EY88" s="178"/>
      <c r="EZ88" s="178"/>
      <c r="FA88" s="178"/>
      <c r="FB88" s="178"/>
      <c r="FC88" s="178"/>
      <c r="FD88" s="178"/>
      <c r="FE88" s="179"/>
      <c r="FF88" s="179"/>
      <c r="FG88" s="178"/>
      <c r="FH88" s="178"/>
      <c r="FI88" s="178"/>
      <c r="FJ88" s="178"/>
      <c r="FK88" s="178"/>
      <c r="FL88" s="178"/>
      <c r="FM88" s="178"/>
      <c r="FN88" s="178"/>
      <c r="FO88" s="179"/>
      <c r="FP88" s="179"/>
      <c r="FQ88" s="178"/>
      <c r="FR88" s="178"/>
      <c r="FS88" s="178"/>
      <c r="FT88" s="178"/>
      <c r="FU88" s="178"/>
      <c r="FV88" s="178"/>
      <c r="FW88" s="178"/>
      <c r="FX88" s="178"/>
      <c r="FY88" s="179"/>
      <c r="FZ88" s="179"/>
      <c r="GA88" s="178"/>
      <c r="GB88" s="178"/>
      <c r="GC88" s="178"/>
      <c r="GD88" s="178"/>
      <c r="GE88" s="178"/>
      <c r="GF88" s="178"/>
      <c r="GG88" s="178"/>
      <c r="GH88" s="178"/>
      <c r="GI88" s="179"/>
      <c r="GJ88" s="179"/>
      <c r="GK88" s="178"/>
      <c r="GL88" s="178"/>
      <c r="GM88" s="178"/>
      <c r="GN88" s="178"/>
      <c r="GO88" s="178"/>
      <c r="GP88" s="178"/>
      <c r="GQ88" s="178"/>
      <c r="GR88" s="178"/>
      <c r="GS88" s="179"/>
      <c r="GT88" s="179"/>
      <c r="GU88" s="168"/>
    </row>
    <row r="89" spans="1:203" hidden="1">
      <c r="B89" s="274" t="s">
        <v>63</v>
      </c>
      <c r="C89" s="165" t="s">
        <v>45</v>
      </c>
      <c r="D89" s="166">
        <f>SUM(D66:D78)</f>
        <v>0</v>
      </c>
      <c r="E89" s="166">
        <f t="shared" ref="E89:K89" si="121">SUM(E66:E78)</f>
        <v>0</v>
      </c>
      <c r="F89" s="166">
        <f t="shared" si="121"/>
        <v>0</v>
      </c>
      <c r="G89" s="166">
        <f t="shared" si="121"/>
        <v>0</v>
      </c>
      <c r="H89" s="166">
        <f t="shared" si="121"/>
        <v>0</v>
      </c>
      <c r="I89" s="166">
        <f t="shared" si="121"/>
        <v>0</v>
      </c>
      <c r="J89" s="166">
        <f t="shared" si="121"/>
        <v>0</v>
      </c>
      <c r="K89" s="166">
        <f t="shared" si="121"/>
        <v>0</v>
      </c>
      <c r="L89" s="166">
        <f t="shared" ref="L89" si="122">SUM(L66:L78)</f>
        <v>0</v>
      </c>
      <c r="M89" s="166">
        <f>SUM(D89:H89)</f>
        <v>0</v>
      </c>
      <c r="N89" s="166">
        <f>SUM(N66:N78)</f>
        <v>0</v>
      </c>
      <c r="O89" s="166">
        <f t="shared" ref="O89:U89" si="123">SUM(O66:O78)</f>
        <v>0</v>
      </c>
      <c r="P89" s="166">
        <f t="shared" si="123"/>
        <v>0</v>
      </c>
      <c r="Q89" s="166">
        <f t="shared" si="123"/>
        <v>0</v>
      </c>
      <c r="R89" s="166">
        <f t="shared" si="123"/>
        <v>0</v>
      </c>
      <c r="S89" s="166">
        <f t="shared" si="123"/>
        <v>0</v>
      </c>
      <c r="T89" s="166">
        <f t="shared" si="123"/>
        <v>0</v>
      </c>
      <c r="U89" s="166">
        <f t="shared" si="123"/>
        <v>0</v>
      </c>
      <c r="V89" s="166">
        <f t="shared" ref="V89" si="124">SUM(V66:V78)</f>
        <v>0</v>
      </c>
      <c r="W89" s="207"/>
      <c r="X89" s="166">
        <f>SUM(X66:X78)</f>
        <v>0</v>
      </c>
      <c r="Y89" s="166">
        <f t="shared" ref="Y89:AE89" si="125">SUM(Y66:Y78)</f>
        <v>0</v>
      </c>
      <c r="Z89" s="166">
        <f t="shared" si="125"/>
        <v>0</v>
      </c>
      <c r="AA89" s="166">
        <f t="shared" si="125"/>
        <v>0</v>
      </c>
      <c r="AB89" s="166">
        <f t="shared" si="125"/>
        <v>0</v>
      </c>
      <c r="AC89" s="166">
        <f t="shared" si="125"/>
        <v>0</v>
      </c>
      <c r="AD89" s="166">
        <f t="shared" si="125"/>
        <v>0</v>
      </c>
      <c r="AE89" s="166">
        <f t="shared" si="125"/>
        <v>0</v>
      </c>
      <c r="AF89" s="166">
        <f t="shared" ref="AF89" si="126">SUM(AF66:AF78)</f>
        <v>0</v>
      </c>
      <c r="AG89" s="207"/>
      <c r="AH89" s="166">
        <f>SUM(AH66:AH78)</f>
        <v>0</v>
      </c>
      <c r="AI89" s="166">
        <f t="shared" ref="AI89:AO89" si="127">SUM(AI66:AI78)</f>
        <v>0</v>
      </c>
      <c r="AJ89" s="166">
        <f t="shared" si="127"/>
        <v>0</v>
      </c>
      <c r="AK89" s="166">
        <f t="shared" si="127"/>
        <v>0</v>
      </c>
      <c r="AL89" s="166">
        <f t="shared" si="127"/>
        <v>0</v>
      </c>
      <c r="AM89" s="166">
        <f t="shared" si="127"/>
        <v>0</v>
      </c>
      <c r="AN89" s="166">
        <f t="shared" si="127"/>
        <v>0</v>
      </c>
      <c r="AO89" s="166">
        <f t="shared" si="127"/>
        <v>0</v>
      </c>
      <c r="AP89" s="166">
        <f t="shared" ref="AP89" si="128">SUM(AP66:AP78)</f>
        <v>0</v>
      </c>
      <c r="AQ89" s="207"/>
      <c r="AR89" s="166">
        <f>SUM(AR66:AR78)</f>
        <v>0</v>
      </c>
      <c r="AS89" s="166">
        <f t="shared" ref="AS89:AY89" si="129">SUM(AS66:AS78)</f>
        <v>0</v>
      </c>
      <c r="AT89" s="166">
        <f t="shared" si="129"/>
        <v>0</v>
      </c>
      <c r="AU89" s="166">
        <f t="shared" si="129"/>
        <v>0</v>
      </c>
      <c r="AV89" s="166">
        <f t="shared" si="129"/>
        <v>0</v>
      </c>
      <c r="AW89" s="166">
        <f t="shared" si="129"/>
        <v>0</v>
      </c>
      <c r="AX89" s="166">
        <f t="shared" si="129"/>
        <v>0</v>
      </c>
      <c r="AY89" s="166">
        <f t="shared" si="129"/>
        <v>0</v>
      </c>
      <c r="AZ89" s="166">
        <f t="shared" ref="AZ89" si="130">SUM(AZ66:AZ78)</f>
        <v>0</v>
      </c>
      <c r="BA89" s="207"/>
      <c r="BB89" s="166">
        <f>SUM(BB66:BB78)</f>
        <v>0</v>
      </c>
      <c r="BC89" s="166">
        <f t="shared" ref="BC89:BI89" si="131">SUM(BC66:BC78)</f>
        <v>0</v>
      </c>
      <c r="BD89" s="166">
        <f t="shared" si="131"/>
        <v>0</v>
      </c>
      <c r="BE89" s="166">
        <f t="shared" si="131"/>
        <v>0</v>
      </c>
      <c r="BF89" s="166">
        <f t="shared" si="131"/>
        <v>0</v>
      </c>
      <c r="BG89" s="166">
        <f t="shared" si="131"/>
        <v>0</v>
      </c>
      <c r="BH89" s="166">
        <f t="shared" si="131"/>
        <v>0</v>
      </c>
      <c r="BI89" s="166">
        <f t="shared" si="131"/>
        <v>0</v>
      </c>
      <c r="BJ89" s="166">
        <f t="shared" ref="BJ89" si="132">SUM(BJ66:BJ78)</f>
        <v>0</v>
      </c>
      <c r="BK89" s="207"/>
      <c r="BL89" s="166">
        <f>SUM(BL66:BL78)</f>
        <v>0</v>
      </c>
      <c r="BM89" s="166">
        <f t="shared" ref="BM89:BS89" si="133">SUM(BM66:BM78)</f>
        <v>0</v>
      </c>
      <c r="BN89" s="166">
        <f t="shared" si="133"/>
        <v>0</v>
      </c>
      <c r="BO89" s="166">
        <f t="shared" si="133"/>
        <v>0</v>
      </c>
      <c r="BP89" s="166">
        <f t="shared" si="133"/>
        <v>0</v>
      </c>
      <c r="BQ89" s="166">
        <f t="shared" si="133"/>
        <v>0</v>
      </c>
      <c r="BR89" s="166">
        <f t="shared" si="133"/>
        <v>0</v>
      </c>
      <c r="BS89" s="166">
        <f t="shared" si="133"/>
        <v>0</v>
      </c>
      <c r="BT89" s="166">
        <f t="shared" ref="BT89" si="134">SUM(BT66:BT78)</f>
        <v>0</v>
      </c>
      <c r="BU89" s="207"/>
      <c r="BV89" s="166">
        <f>SUM(BV66:BV78)</f>
        <v>0</v>
      </c>
      <c r="BW89" s="166">
        <f t="shared" ref="BW89:CC89" si="135">SUM(BW66:BW78)</f>
        <v>0</v>
      </c>
      <c r="BX89" s="166">
        <f t="shared" si="135"/>
        <v>0</v>
      </c>
      <c r="BY89" s="166">
        <f t="shared" si="135"/>
        <v>0</v>
      </c>
      <c r="BZ89" s="166">
        <f t="shared" si="135"/>
        <v>0</v>
      </c>
      <c r="CA89" s="166">
        <f t="shared" si="135"/>
        <v>0</v>
      </c>
      <c r="CB89" s="166">
        <f t="shared" si="135"/>
        <v>0</v>
      </c>
      <c r="CC89" s="166">
        <f t="shared" si="135"/>
        <v>0</v>
      </c>
      <c r="CD89" s="166">
        <f t="shared" ref="CD89" si="136">SUM(CD66:CD78)</f>
        <v>0</v>
      </c>
      <c r="CE89" s="207"/>
      <c r="CF89" s="166">
        <f>SUM(CF66:CF78)</f>
        <v>0</v>
      </c>
      <c r="CG89" s="166">
        <f t="shared" ref="CG89:CM89" si="137">SUM(CG66:CG78)</f>
        <v>0</v>
      </c>
      <c r="CH89" s="166">
        <f t="shared" si="137"/>
        <v>0</v>
      </c>
      <c r="CI89" s="166">
        <f t="shared" si="137"/>
        <v>0</v>
      </c>
      <c r="CJ89" s="166">
        <f t="shared" si="137"/>
        <v>0</v>
      </c>
      <c r="CK89" s="166">
        <f t="shared" si="137"/>
        <v>0</v>
      </c>
      <c r="CL89" s="166">
        <f t="shared" si="137"/>
        <v>0</v>
      </c>
      <c r="CM89" s="166">
        <f t="shared" si="137"/>
        <v>0</v>
      </c>
      <c r="CN89" s="166">
        <f t="shared" ref="CN89" si="138">SUM(CN66:CN78)</f>
        <v>0</v>
      </c>
      <c r="CO89" s="207"/>
      <c r="CP89" s="166">
        <f>SUM(CP66:CP78)</f>
        <v>0</v>
      </c>
      <c r="CQ89" s="166">
        <f t="shared" ref="CQ89:CW89" si="139">SUM(CQ66:CQ78)</f>
        <v>0</v>
      </c>
      <c r="CR89" s="166">
        <f t="shared" si="139"/>
        <v>0</v>
      </c>
      <c r="CS89" s="166">
        <f t="shared" si="139"/>
        <v>0</v>
      </c>
      <c r="CT89" s="166">
        <f t="shared" si="139"/>
        <v>0</v>
      </c>
      <c r="CU89" s="166">
        <f t="shared" si="139"/>
        <v>0</v>
      </c>
      <c r="CV89" s="166">
        <f t="shared" si="139"/>
        <v>0</v>
      </c>
      <c r="CW89" s="166">
        <f t="shared" si="139"/>
        <v>0</v>
      </c>
      <c r="CX89" s="166">
        <f t="shared" ref="CX89" si="140">SUM(CX66:CX78)</f>
        <v>0</v>
      </c>
      <c r="CY89" s="207"/>
      <c r="CZ89" s="166">
        <f>SUM(CZ66:CZ78)</f>
        <v>0</v>
      </c>
      <c r="DA89" s="166">
        <f t="shared" ref="DA89:DG89" si="141">SUM(DA66:DA78)</f>
        <v>0</v>
      </c>
      <c r="DB89" s="166">
        <f t="shared" si="141"/>
        <v>0</v>
      </c>
      <c r="DC89" s="166">
        <f t="shared" si="141"/>
        <v>0</v>
      </c>
      <c r="DD89" s="166">
        <f t="shared" si="141"/>
        <v>0</v>
      </c>
      <c r="DE89" s="166">
        <f t="shared" si="141"/>
        <v>0</v>
      </c>
      <c r="DF89" s="166">
        <f t="shared" si="141"/>
        <v>0</v>
      </c>
      <c r="DG89" s="166">
        <f t="shared" si="141"/>
        <v>0</v>
      </c>
      <c r="DH89" s="166">
        <f t="shared" ref="DH89" si="142">SUM(DH66:DH78)</f>
        <v>0</v>
      </c>
      <c r="DI89" s="207"/>
      <c r="DJ89" s="166">
        <f>SUM(DJ66:DJ78)</f>
        <v>0</v>
      </c>
      <c r="DK89" s="166">
        <f t="shared" ref="DK89:DQ89" si="143">SUM(DK66:DK78)</f>
        <v>0</v>
      </c>
      <c r="DL89" s="166">
        <f t="shared" si="143"/>
        <v>0</v>
      </c>
      <c r="DM89" s="166">
        <f t="shared" si="143"/>
        <v>0</v>
      </c>
      <c r="DN89" s="166">
        <f t="shared" si="143"/>
        <v>0</v>
      </c>
      <c r="DO89" s="166">
        <f t="shared" si="143"/>
        <v>0</v>
      </c>
      <c r="DP89" s="166">
        <f t="shared" si="143"/>
        <v>0</v>
      </c>
      <c r="DQ89" s="166">
        <f t="shared" si="143"/>
        <v>0</v>
      </c>
      <c r="DR89" s="166">
        <f t="shared" ref="DR89" si="144">SUM(DR66:DR78)</f>
        <v>0</v>
      </c>
      <c r="DS89" s="207"/>
      <c r="DT89" s="166">
        <f>SUM(DT66:DT78)</f>
        <v>0</v>
      </c>
      <c r="DU89" s="166">
        <f t="shared" ref="DU89:EA89" si="145">SUM(DU66:DU78)</f>
        <v>0</v>
      </c>
      <c r="DV89" s="166">
        <f t="shared" si="145"/>
        <v>0</v>
      </c>
      <c r="DW89" s="166">
        <f t="shared" si="145"/>
        <v>0</v>
      </c>
      <c r="DX89" s="166">
        <f t="shared" si="145"/>
        <v>0</v>
      </c>
      <c r="DY89" s="166">
        <f t="shared" si="145"/>
        <v>0</v>
      </c>
      <c r="DZ89" s="166">
        <f t="shared" si="145"/>
        <v>0</v>
      </c>
      <c r="EA89" s="166">
        <f t="shared" si="145"/>
        <v>0</v>
      </c>
      <c r="EB89" s="166">
        <f t="shared" ref="EB89" si="146">SUM(EB66:EB78)</f>
        <v>0</v>
      </c>
      <c r="EC89" s="207"/>
      <c r="ED89" s="166">
        <f>SUM(ED66:ED78)</f>
        <v>0</v>
      </c>
      <c r="EE89" s="166">
        <f t="shared" ref="EE89:EK89" si="147">SUM(EE66:EE78)</f>
        <v>0</v>
      </c>
      <c r="EF89" s="166">
        <f t="shared" si="147"/>
        <v>0</v>
      </c>
      <c r="EG89" s="166">
        <f t="shared" si="147"/>
        <v>0</v>
      </c>
      <c r="EH89" s="166">
        <f t="shared" si="147"/>
        <v>0</v>
      </c>
      <c r="EI89" s="166">
        <f t="shared" si="147"/>
        <v>0</v>
      </c>
      <c r="EJ89" s="166">
        <f t="shared" si="147"/>
        <v>0</v>
      </c>
      <c r="EK89" s="166">
        <f t="shared" si="147"/>
        <v>0</v>
      </c>
      <c r="EL89" s="166">
        <f t="shared" ref="EL89" si="148">SUM(EL66:EL78)</f>
        <v>0</v>
      </c>
      <c r="EM89" s="207"/>
      <c r="EN89" s="166">
        <f>SUM(EN66:EN78)</f>
        <v>0</v>
      </c>
      <c r="EO89" s="166">
        <f t="shared" ref="EO89:EU89" si="149">SUM(EO66:EO78)</f>
        <v>0</v>
      </c>
      <c r="EP89" s="166">
        <f t="shared" si="149"/>
        <v>0</v>
      </c>
      <c r="EQ89" s="166">
        <f t="shared" si="149"/>
        <v>0</v>
      </c>
      <c r="ER89" s="166">
        <f t="shared" si="149"/>
        <v>0</v>
      </c>
      <c r="ES89" s="166">
        <f t="shared" si="149"/>
        <v>0</v>
      </c>
      <c r="ET89" s="166">
        <f t="shared" si="149"/>
        <v>0</v>
      </c>
      <c r="EU89" s="166">
        <f t="shared" si="149"/>
        <v>0</v>
      </c>
      <c r="EV89" s="166">
        <f t="shared" ref="EV89" si="150">SUM(EV66:EV78)</f>
        <v>0</v>
      </c>
      <c r="EW89" s="207"/>
      <c r="EX89" s="166">
        <f>SUM(EX66:EX78)</f>
        <v>0</v>
      </c>
      <c r="EY89" s="166">
        <f t="shared" ref="EY89:FE89" si="151">SUM(EY66:EY78)</f>
        <v>0</v>
      </c>
      <c r="EZ89" s="166">
        <f t="shared" si="151"/>
        <v>0</v>
      </c>
      <c r="FA89" s="166">
        <f t="shared" si="151"/>
        <v>0</v>
      </c>
      <c r="FB89" s="166">
        <f t="shared" si="151"/>
        <v>0</v>
      </c>
      <c r="FC89" s="166">
        <f t="shared" si="151"/>
        <v>0</v>
      </c>
      <c r="FD89" s="166">
        <f t="shared" si="151"/>
        <v>0</v>
      </c>
      <c r="FE89" s="166">
        <f t="shared" si="151"/>
        <v>0</v>
      </c>
      <c r="FF89" s="166">
        <f t="shared" ref="FF89" si="152">SUM(FF66:FF78)</f>
        <v>0</v>
      </c>
      <c r="FG89" s="207"/>
      <c r="FH89" s="166">
        <f>SUM(FH66:FH78)</f>
        <v>0</v>
      </c>
      <c r="FI89" s="166">
        <f t="shared" ref="FI89:FO89" si="153">SUM(FI66:FI78)</f>
        <v>0</v>
      </c>
      <c r="FJ89" s="166">
        <f t="shared" si="153"/>
        <v>0</v>
      </c>
      <c r="FK89" s="166">
        <f t="shared" si="153"/>
        <v>0</v>
      </c>
      <c r="FL89" s="166">
        <f t="shared" si="153"/>
        <v>0</v>
      </c>
      <c r="FM89" s="166">
        <f t="shared" si="153"/>
        <v>0</v>
      </c>
      <c r="FN89" s="166">
        <f t="shared" si="153"/>
        <v>0</v>
      </c>
      <c r="FO89" s="166">
        <f t="shared" si="153"/>
        <v>0</v>
      </c>
      <c r="FP89" s="166">
        <f t="shared" ref="FP89" si="154">SUM(FP66:FP78)</f>
        <v>0</v>
      </c>
      <c r="FQ89" s="207"/>
      <c r="FR89" s="166">
        <f>SUM(FR66:FR78)</f>
        <v>0</v>
      </c>
      <c r="FS89" s="166">
        <f t="shared" ref="FS89:FY89" si="155">SUM(FS66:FS78)</f>
        <v>0</v>
      </c>
      <c r="FT89" s="166">
        <f t="shared" si="155"/>
        <v>0</v>
      </c>
      <c r="FU89" s="166">
        <f t="shared" si="155"/>
        <v>0</v>
      </c>
      <c r="FV89" s="166">
        <f t="shared" si="155"/>
        <v>0</v>
      </c>
      <c r="FW89" s="166">
        <f t="shared" si="155"/>
        <v>0</v>
      </c>
      <c r="FX89" s="166">
        <f t="shared" si="155"/>
        <v>0</v>
      </c>
      <c r="FY89" s="166">
        <f t="shared" si="155"/>
        <v>0</v>
      </c>
      <c r="FZ89" s="166">
        <f t="shared" ref="FZ89" si="156">SUM(FZ66:FZ78)</f>
        <v>0</v>
      </c>
      <c r="GA89" s="207"/>
      <c r="GB89" s="166">
        <f>SUM(GB66:GB78)</f>
        <v>0</v>
      </c>
      <c r="GC89" s="166">
        <f t="shared" ref="GC89:GI89" si="157">SUM(GC66:GC78)</f>
        <v>0</v>
      </c>
      <c r="GD89" s="166">
        <f t="shared" si="157"/>
        <v>0</v>
      </c>
      <c r="GE89" s="166">
        <f t="shared" si="157"/>
        <v>0</v>
      </c>
      <c r="GF89" s="166">
        <f t="shared" si="157"/>
        <v>0</v>
      </c>
      <c r="GG89" s="166">
        <f t="shared" si="157"/>
        <v>0</v>
      </c>
      <c r="GH89" s="166">
        <f t="shared" si="157"/>
        <v>0</v>
      </c>
      <c r="GI89" s="166">
        <f t="shared" si="157"/>
        <v>0</v>
      </c>
      <c r="GJ89" s="166">
        <f t="shared" ref="GJ89" si="158">SUM(GJ66:GJ78)</f>
        <v>0</v>
      </c>
      <c r="GK89" s="207"/>
      <c r="GL89" s="166">
        <f>SUM(GL66:GL78)</f>
        <v>0</v>
      </c>
      <c r="GM89" s="166">
        <f t="shared" ref="GM89:GS89" si="159">SUM(GM66:GM78)</f>
        <v>0</v>
      </c>
      <c r="GN89" s="166">
        <f t="shared" si="159"/>
        <v>0</v>
      </c>
      <c r="GO89" s="166">
        <f t="shared" si="159"/>
        <v>0</v>
      </c>
      <c r="GP89" s="166">
        <f t="shared" si="159"/>
        <v>0</v>
      </c>
      <c r="GQ89" s="166">
        <f t="shared" si="159"/>
        <v>0</v>
      </c>
      <c r="GR89" s="166">
        <f t="shared" si="159"/>
        <v>0</v>
      </c>
      <c r="GS89" s="166">
        <f t="shared" si="159"/>
        <v>0</v>
      </c>
      <c r="GT89" s="166">
        <f t="shared" ref="GT89" si="160">SUM(GT66:GT78)</f>
        <v>0</v>
      </c>
    </row>
    <row r="90" spans="1:203">
      <c r="B90" s="275"/>
      <c r="C90" s="165" t="s">
        <v>46</v>
      </c>
      <c r="D90" s="166">
        <f t="shared" ref="D90:I90" si="161">D89</f>
        <v>0</v>
      </c>
      <c r="E90" s="166">
        <f t="shared" si="161"/>
        <v>0</v>
      </c>
      <c r="F90" s="166">
        <f t="shared" si="161"/>
        <v>0</v>
      </c>
      <c r="G90" s="166">
        <f t="shared" si="161"/>
        <v>0</v>
      </c>
      <c r="H90" s="166">
        <f t="shared" si="161"/>
        <v>0</v>
      </c>
      <c r="I90" s="166">
        <f t="shared" si="161"/>
        <v>0</v>
      </c>
      <c r="J90" s="166">
        <f t="shared" ref="J90:K90" si="162">J89</f>
        <v>0</v>
      </c>
      <c r="K90" s="166">
        <f t="shared" si="162"/>
        <v>0</v>
      </c>
      <c r="L90" s="166">
        <f>L89</f>
        <v>0</v>
      </c>
      <c r="M90" s="207"/>
      <c r="N90" s="166">
        <f t="shared" ref="N90:S90" si="163">N89</f>
        <v>0</v>
      </c>
      <c r="O90" s="166">
        <f t="shared" si="163"/>
        <v>0</v>
      </c>
      <c r="P90" s="166">
        <f t="shared" si="163"/>
        <v>0</v>
      </c>
      <c r="Q90" s="166">
        <f t="shared" si="163"/>
        <v>0</v>
      </c>
      <c r="R90" s="166">
        <f t="shared" si="163"/>
        <v>0</v>
      </c>
      <c r="S90" s="166">
        <f t="shared" si="163"/>
        <v>0</v>
      </c>
      <c r="T90" s="166">
        <f t="shared" ref="T90:U90" si="164">T89</f>
        <v>0</v>
      </c>
      <c r="U90" s="166">
        <f t="shared" si="164"/>
        <v>0</v>
      </c>
      <c r="V90" s="166">
        <f>V89</f>
        <v>0</v>
      </c>
      <c r="W90" s="207"/>
      <c r="X90" s="166">
        <f t="shared" ref="X90:AC90" si="165">X89</f>
        <v>0</v>
      </c>
      <c r="Y90" s="166">
        <f t="shared" si="165"/>
        <v>0</v>
      </c>
      <c r="Z90" s="166">
        <f t="shared" si="165"/>
        <v>0</v>
      </c>
      <c r="AA90" s="166">
        <f t="shared" si="165"/>
        <v>0</v>
      </c>
      <c r="AB90" s="166">
        <f t="shared" si="165"/>
        <v>0</v>
      </c>
      <c r="AC90" s="166">
        <f t="shared" si="165"/>
        <v>0</v>
      </c>
      <c r="AD90" s="166">
        <f t="shared" ref="AD90:AE90" si="166">AD89</f>
        <v>0</v>
      </c>
      <c r="AE90" s="166">
        <f t="shared" si="166"/>
        <v>0</v>
      </c>
      <c r="AF90" s="166">
        <f>AF89</f>
        <v>0</v>
      </c>
      <c r="AG90" s="207"/>
      <c r="AH90" s="166">
        <f t="shared" ref="AH90:AM90" si="167">AH89</f>
        <v>0</v>
      </c>
      <c r="AI90" s="166">
        <f t="shared" si="167"/>
        <v>0</v>
      </c>
      <c r="AJ90" s="166">
        <f t="shared" si="167"/>
        <v>0</v>
      </c>
      <c r="AK90" s="166">
        <f t="shared" si="167"/>
        <v>0</v>
      </c>
      <c r="AL90" s="166">
        <f t="shared" si="167"/>
        <v>0</v>
      </c>
      <c r="AM90" s="166">
        <f t="shared" si="167"/>
        <v>0</v>
      </c>
      <c r="AN90" s="166">
        <f t="shared" ref="AN90:AO90" si="168">AN89</f>
        <v>0</v>
      </c>
      <c r="AO90" s="166">
        <f t="shared" si="168"/>
        <v>0</v>
      </c>
      <c r="AP90" s="166">
        <f>AP89</f>
        <v>0</v>
      </c>
      <c r="AQ90" s="207"/>
      <c r="AR90" s="166">
        <f t="shared" ref="AR90:AW90" si="169">AR89</f>
        <v>0</v>
      </c>
      <c r="AS90" s="166">
        <f t="shared" si="169"/>
        <v>0</v>
      </c>
      <c r="AT90" s="166">
        <f t="shared" si="169"/>
        <v>0</v>
      </c>
      <c r="AU90" s="166">
        <f t="shared" si="169"/>
        <v>0</v>
      </c>
      <c r="AV90" s="166">
        <f t="shared" si="169"/>
        <v>0</v>
      </c>
      <c r="AW90" s="166">
        <f t="shared" si="169"/>
        <v>0</v>
      </c>
      <c r="AX90" s="166">
        <f t="shared" ref="AX90:AY90" si="170">AX89</f>
        <v>0</v>
      </c>
      <c r="AY90" s="166">
        <f t="shared" si="170"/>
        <v>0</v>
      </c>
      <c r="AZ90" s="166">
        <f>AZ89</f>
        <v>0</v>
      </c>
      <c r="BA90" s="207"/>
      <c r="BB90" s="166">
        <f t="shared" ref="BB90:BG90" si="171">BB89</f>
        <v>0</v>
      </c>
      <c r="BC90" s="166">
        <f t="shared" si="171"/>
        <v>0</v>
      </c>
      <c r="BD90" s="166">
        <f t="shared" si="171"/>
        <v>0</v>
      </c>
      <c r="BE90" s="166">
        <f t="shared" si="171"/>
        <v>0</v>
      </c>
      <c r="BF90" s="166">
        <f t="shared" si="171"/>
        <v>0</v>
      </c>
      <c r="BG90" s="166">
        <f t="shared" si="171"/>
        <v>0</v>
      </c>
      <c r="BH90" s="166">
        <f t="shared" ref="BH90:BI90" si="172">BH89</f>
        <v>0</v>
      </c>
      <c r="BI90" s="166">
        <f t="shared" si="172"/>
        <v>0</v>
      </c>
      <c r="BJ90" s="166">
        <f>BJ89</f>
        <v>0</v>
      </c>
      <c r="BK90" s="207"/>
      <c r="BL90" s="166">
        <f t="shared" ref="BL90:BQ90" si="173">BL89</f>
        <v>0</v>
      </c>
      <c r="BM90" s="166">
        <f t="shared" si="173"/>
        <v>0</v>
      </c>
      <c r="BN90" s="166">
        <f t="shared" si="173"/>
        <v>0</v>
      </c>
      <c r="BO90" s="166">
        <f t="shared" si="173"/>
        <v>0</v>
      </c>
      <c r="BP90" s="166">
        <f t="shared" si="173"/>
        <v>0</v>
      </c>
      <c r="BQ90" s="166">
        <f t="shared" si="173"/>
        <v>0</v>
      </c>
      <c r="BR90" s="166">
        <f t="shared" ref="BR90:BS90" si="174">BR89</f>
        <v>0</v>
      </c>
      <c r="BS90" s="166">
        <f t="shared" si="174"/>
        <v>0</v>
      </c>
      <c r="BT90" s="166">
        <f>BT89</f>
        <v>0</v>
      </c>
      <c r="BU90" s="207"/>
      <c r="BV90" s="166">
        <f t="shared" ref="BV90:CA90" si="175">BV89</f>
        <v>0</v>
      </c>
      <c r="BW90" s="166">
        <f t="shared" si="175"/>
        <v>0</v>
      </c>
      <c r="BX90" s="166">
        <f t="shared" si="175"/>
        <v>0</v>
      </c>
      <c r="BY90" s="166">
        <f t="shared" si="175"/>
        <v>0</v>
      </c>
      <c r="BZ90" s="166">
        <f t="shared" si="175"/>
        <v>0</v>
      </c>
      <c r="CA90" s="166">
        <f t="shared" si="175"/>
        <v>0</v>
      </c>
      <c r="CB90" s="166">
        <f t="shared" ref="CB90:CC90" si="176">CB89</f>
        <v>0</v>
      </c>
      <c r="CC90" s="166">
        <f t="shared" si="176"/>
        <v>0</v>
      </c>
      <c r="CD90" s="166">
        <f>CD89</f>
        <v>0</v>
      </c>
      <c r="CE90" s="207"/>
      <c r="CF90" s="166">
        <f t="shared" ref="CF90:CK90" si="177">CF89</f>
        <v>0</v>
      </c>
      <c r="CG90" s="166">
        <f t="shared" si="177"/>
        <v>0</v>
      </c>
      <c r="CH90" s="166">
        <f t="shared" si="177"/>
        <v>0</v>
      </c>
      <c r="CI90" s="166">
        <f t="shared" si="177"/>
        <v>0</v>
      </c>
      <c r="CJ90" s="166">
        <f t="shared" si="177"/>
        <v>0</v>
      </c>
      <c r="CK90" s="166">
        <f t="shared" si="177"/>
        <v>0</v>
      </c>
      <c r="CL90" s="166">
        <f t="shared" ref="CL90:CM90" si="178">CL89</f>
        <v>0</v>
      </c>
      <c r="CM90" s="166">
        <f t="shared" si="178"/>
        <v>0</v>
      </c>
      <c r="CN90" s="166">
        <f>CN89</f>
        <v>0</v>
      </c>
      <c r="CO90" s="207"/>
      <c r="CP90" s="166">
        <f t="shared" ref="CP90:CU90" si="179">CP89</f>
        <v>0</v>
      </c>
      <c r="CQ90" s="166">
        <f t="shared" si="179"/>
        <v>0</v>
      </c>
      <c r="CR90" s="166">
        <f t="shared" si="179"/>
        <v>0</v>
      </c>
      <c r="CS90" s="166">
        <f t="shared" si="179"/>
        <v>0</v>
      </c>
      <c r="CT90" s="166">
        <f t="shared" si="179"/>
        <v>0</v>
      </c>
      <c r="CU90" s="166">
        <f t="shared" si="179"/>
        <v>0</v>
      </c>
      <c r="CV90" s="166">
        <f t="shared" ref="CV90:CW90" si="180">CV89</f>
        <v>0</v>
      </c>
      <c r="CW90" s="166">
        <f t="shared" si="180"/>
        <v>0</v>
      </c>
      <c r="CX90" s="166">
        <f>CX89</f>
        <v>0</v>
      </c>
      <c r="CY90" s="207"/>
      <c r="CZ90" s="166">
        <f t="shared" ref="CZ90:DE90" si="181">CZ89</f>
        <v>0</v>
      </c>
      <c r="DA90" s="166">
        <f t="shared" si="181"/>
        <v>0</v>
      </c>
      <c r="DB90" s="166">
        <f t="shared" si="181"/>
        <v>0</v>
      </c>
      <c r="DC90" s="166">
        <f t="shared" si="181"/>
        <v>0</v>
      </c>
      <c r="DD90" s="166">
        <f t="shared" si="181"/>
        <v>0</v>
      </c>
      <c r="DE90" s="166">
        <f t="shared" si="181"/>
        <v>0</v>
      </c>
      <c r="DF90" s="166">
        <f t="shared" ref="DF90:DG90" si="182">DF89</f>
        <v>0</v>
      </c>
      <c r="DG90" s="166">
        <f t="shared" si="182"/>
        <v>0</v>
      </c>
      <c r="DH90" s="166">
        <f>DH89</f>
        <v>0</v>
      </c>
      <c r="DI90" s="207"/>
      <c r="DJ90" s="166">
        <f t="shared" ref="DJ90:DO90" si="183">DJ89</f>
        <v>0</v>
      </c>
      <c r="DK90" s="166">
        <f t="shared" si="183"/>
        <v>0</v>
      </c>
      <c r="DL90" s="166">
        <f t="shared" si="183"/>
        <v>0</v>
      </c>
      <c r="DM90" s="166">
        <f t="shared" si="183"/>
        <v>0</v>
      </c>
      <c r="DN90" s="166">
        <f t="shared" si="183"/>
        <v>0</v>
      </c>
      <c r="DO90" s="166">
        <f t="shared" si="183"/>
        <v>0</v>
      </c>
      <c r="DP90" s="166">
        <f t="shared" ref="DP90:DQ90" si="184">DP89</f>
        <v>0</v>
      </c>
      <c r="DQ90" s="166">
        <f t="shared" si="184"/>
        <v>0</v>
      </c>
      <c r="DR90" s="166">
        <f>DR89</f>
        <v>0</v>
      </c>
      <c r="DS90" s="207"/>
      <c r="DT90" s="166">
        <f t="shared" ref="DT90:DY90" si="185">DT89</f>
        <v>0</v>
      </c>
      <c r="DU90" s="166">
        <f t="shared" si="185"/>
        <v>0</v>
      </c>
      <c r="DV90" s="166">
        <f t="shared" si="185"/>
        <v>0</v>
      </c>
      <c r="DW90" s="166">
        <f t="shared" si="185"/>
        <v>0</v>
      </c>
      <c r="DX90" s="166">
        <f t="shared" si="185"/>
        <v>0</v>
      </c>
      <c r="DY90" s="166">
        <f t="shared" si="185"/>
        <v>0</v>
      </c>
      <c r="DZ90" s="166">
        <f t="shared" ref="DZ90:EA90" si="186">DZ89</f>
        <v>0</v>
      </c>
      <c r="EA90" s="166">
        <f t="shared" si="186"/>
        <v>0</v>
      </c>
      <c r="EB90" s="166">
        <f>EB89</f>
        <v>0</v>
      </c>
      <c r="EC90" s="207"/>
      <c r="ED90" s="166">
        <f t="shared" ref="ED90:EI90" si="187">ED89</f>
        <v>0</v>
      </c>
      <c r="EE90" s="166">
        <f t="shared" si="187"/>
        <v>0</v>
      </c>
      <c r="EF90" s="166">
        <f t="shared" si="187"/>
        <v>0</v>
      </c>
      <c r="EG90" s="166">
        <f t="shared" si="187"/>
        <v>0</v>
      </c>
      <c r="EH90" s="166">
        <f t="shared" si="187"/>
        <v>0</v>
      </c>
      <c r="EI90" s="166">
        <f t="shared" si="187"/>
        <v>0</v>
      </c>
      <c r="EJ90" s="166">
        <f t="shared" ref="EJ90:EK90" si="188">EJ89</f>
        <v>0</v>
      </c>
      <c r="EK90" s="166">
        <f t="shared" si="188"/>
        <v>0</v>
      </c>
      <c r="EL90" s="166">
        <f>EL89</f>
        <v>0</v>
      </c>
      <c r="EM90" s="207"/>
      <c r="EN90" s="166">
        <f t="shared" ref="EN90:ES90" si="189">EN89</f>
        <v>0</v>
      </c>
      <c r="EO90" s="166">
        <f t="shared" si="189"/>
        <v>0</v>
      </c>
      <c r="EP90" s="166">
        <f t="shared" si="189"/>
        <v>0</v>
      </c>
      <c r="EQ90" s="166">
        <f t="shared" si="189"/>
        <v>0</v>
      </c>
      <c r="ER90" s="166">
        <f t="shared" si="189"/>
        <v>0</v>
      </c>
      <c r="ES90" s="166">
        <f t="shared" si="189"/>
        <v>0</v>
      </c>
      <c r="ET90" s="166">
        <f t="shared" ref="ET90:EU90" si="190">ET89</f>
        <v>0</v>
      </c>
      <c r="EU90" s="166">
        <f t="shared" si="190"/>
        <v>0</v>
      </c>
      <c r="EV90" s="166">
        <f>EV89</f>
        <v>0</v>
      </c>
      <c r="EW90" s="207"/>
      <c r="EX90" s="166">
        <f t="shared" ref="EX90:FC90" si="191">EX89</f>
        <v>0</v>
      </c>
      <c r="EY90" s="166">
        <f t="shared" si="191"/>
        <v>0</v>
      </c>
      <c r="EZ90" s="166">
        <f t="shared" si="191"/>
        <v>0</v>
      </c>
      <c r="FA90" s="166">
        <f t="shared" si="191"/>
        <v>0</v>
      </c>
      <c r="FB90" s="166">
        <f t="shared" si="191"/>
        <v>0</v>
      </c>
      <c r="FC90" s="166">
        <f t="shared" si="191"/>
        <v>0</v>
      </c>
      <c r="FD90" s="166">
        <f t="shared" ref="FD90:FE90" si="192">FD89</f>
        <v>0</v>
      </c>
      <c r="FE90" s="166">
        <f t="shared" si="192"/>
        <v>0</v>
      </c>
      <c r="FF90" s="166">
        <f>FF89</f>
        <v>0</v>
      </c>
      <c r="FG90" s="207"/>
      <c r="FH90" s="166">
        <f t="shared" ref="FH90:FM90" si="193">FH89</f>
        <v>0</v>
      </c>
      <c r="FI90" s="166">
        <f t="shared" si="193"/>
        <v>0</v>
      </c>
      <c r="FJ90" s="166">
        <f t="shared" si="193"/>
        <v>0</v>
      </c>
      <c r="FK90" s="166">
        <f t="shared" si="193"/>
        <v>0</v>
      </c>
      <c r="FL90" s="166">
        <f t="shared" si="193"/>
        <v>0</v>
      </c>
      <c r="FM90" s="166">
        <f t="shared" si="193"/>
        <v>0</v>
      </c>
      <c r="FN90" s="166">
        <f t="shared" ref="FN90:FO90" si="194">FN89</f>
        <v>0</v>
      </c>
      <c r="FO90" s="166">
        <f t="shared" si="194"/>
        <v>0</v>
      </c>
      <c r="FP90" s="166">
        <f>FP89</f>
        <v>0</v>
      </c>
      <c r="FQ90" s="207"/>
      <c r="FR90" s="166">
        <f t="shared" ref="FR90:FW90" si="195">FR89</f>
        <v>0</v>
      </c>
      <c r="FS90" s="166">
        <f t="shared" si="195"/>
        <v>0</v>
      </c>
      <c r="FT90" s="166">
        <f t="shared" si="195"/>
        <v>0</v>
      </c>
      <c r="FU90" s="166">
        <f t="shared" si="195"/>
        <v>0</v>
      </c>
      <c r="FV90" s="166">
        <f t="shared" si="195"/>
        <v>0</v>
      </c>
      <c r="FW90" s="166">
        <f t="shared" si="195"/>
        <v>0</v>
      </c>
      <c r="FX90" s="166">
        <f t="shared" ref="FX90:FY90" si="196">FX89</f>
        <v>0</v>
      </c>
      <c r="FY90" s="166">
        <f t="shared" si="196"/>
        <v>0</v>
      </c>
      <c r="FZ90" s="166">
        <f>FZ89</f>
        <v>0</v>
      </c>
      <c r="GA90" s="207"/>
      <c r="GB90" s="166">
        <f t="shared" ref="GB90:GG90" si="197">GB89</f>
        <v>0</v>
      </c>
      <c r="GC90" s="166">
        <f t="shared" si="197"/>
        <v>0</v>
      </c>
      <c r="GD90" s="166">
        <f t="shared" si="197"/>
        <v>0</v>
      </c>
      <c r="GE90" s="166">
        <f t="shared" si="197"/>
        <v>0</v>
      </c>
      <c r="GF90" s="166">
        <f t="shared" si="197"/>
        <v>0</v>
      </c>
      <c r="GG90" s="166">
        <f t="shared" si="197"/>
        <v>0</v>
      </c>
      <c r="GH90" s="166">
        <f t="shared" ref="GH90:GI90" si="198">GH89</f>
        <v>0</v>
      </c>
      <c r="GI90" s="166">
        <f t="shared" si="198"/>
        <v>0</v>
      </c>
      <c r="GJ90" s="166">
        <f>GJ89</f>
        <v>0</v>
      </c>
      <c r="GK90" s="207"/>
      <c r="GL90" s="166">
        <f t="shared" ref="GL90:GQ90" si="199">GL89</f>
        <v>0</v>
      </c>
      <c r="GM90" s="166">
        <f t="shared" si="199"/>
        <v>0</v>
      </c>
      <c r="GN90" s="166">
        <f t="shared" si="199"/>
        <v>0</v>
      </c>
      <c r="GO90" s="166">
        <f t="shared" si="199"/>
        <v>0</v>
      </c>
      <c r="GP90" s="166">
        <f t="shared" si="199"/>
        <v>0</v>
      </c>
      <c r="GQ90" s="166">
        <f t="shared" si="199"/>
        <v>0</v>
      </c>
      <c r="GR90" s="166">
        <f t="shared" ref="GR90:GS90" si="200">GR89</f>
        <v>0</v>
      </c>
      <c r="GS90" s="166">
        <f t="shared" si="200"/>
        <v>0</v>
      </c>
      <c r="GT90" s="166">
        <f>GT89</f>
        <v>0</v>
      </c>
    </row>
    <row r="92" spans="1:203" ht="15" thickBot="1"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</row>
    <row r="93" spans="1:203" ht="18.600000000000001" thickBot="1">
      <c r="B93" s="188" t="s">
        <v>55</v>
      </c>
      <c r="C93" s="232" t="s">
        <v>65</v>
      </c>
      <c r="D93" s="264" t="s">
        <v>66</v>
      </c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  <c r="AA93" s="265"/>
      <c r="AB93" s="265"/>
      <c r="AC93" s="265"/>
      <c r="AD93" s="265"/>
      <c r="AE93" s="266"/>
      <c r="AF93" s="240"/>
      <c r="AG93" s="168"/>
    </row>
    <row r="94" spans="1:203">
      <c r="B94" s="228" t="str">
        <f>$B$83</f>
        <v>NSW</v>
      </c>
      <c r="C94" s="229" t="str">
        <f>IF(D94="","",$D$81)</f>
        <v/>
      </c>
      <c r="D94" s="225" t="str" cm="1">
        <f t="array" ref="D94">IF(SUM(D83:L83)=0,"",_xlfn.TEXTJOIN(",",TRUE,IF(_xlfn.BYROW(D4:L33,_xlfn.LAMBDA(_xlpm.row,SUM(_xlpm.row)))&gt;0,$C$4:$C$33,""))&amp;" - "&amp;"( "&amp;IF(D84&gt;0,D84&amp;" x Quads, ","")&amp;IF(E84&gt;0,E84&amp;" x Triples, ","")&amp;IF(F84&gt;0,F84&amp;" x Doubles, ","")&amp;IF(G84&gt;0,G84&amp;" x Singles, ","")&amp;IF(H84&gt;0,H84&amp;" x Quad A0's, ","")&amp;IF(I84&gt;0,I84&amp;" x Megas, ","")&amp;IF(J84&gt;0,J84&amp;" x DOT Sites, ","")&amp;IF(K84&gt;0,K84&amp;" x Mega Portraits","")&amp;IF(L84&gt;0,L84&amp;" x Ferro Film Quads","")&amp;")")</f>
        <v/>
      </c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4"/>
    </row>
    <row r="95" spans="1:203">
      <c r="B95" s="230" t="str">
        <f>$B$86</f>
        <v>VIC</v>
      </c>
      <c r="C95" s="229" t="e" vm="2">
        <f t="shared" ref="C95:C96" si="201">IF(D95="","",$D$81)</f>
        <v>#VALUE!</v>
      </c>
      <c r="D95" s="225" t="str" cm="1">
        <f t="array" ref="D95">IF(SUM(D86:L86)=0,"",_xlfn.TEXTJOIN(",",TRUE,IF(_xlfn.BYROW(D35:L64,_xlfn.LAMBDA(_xlpm.row,SUM(_xlpm.row)))&gt;0,$C$35:$C$64,""))&amp;" - ")&amp;"( "&amp;IF(D87&gt;0,D87&amp;" x Quads, ","")&amp;IF(E87&gt;0,E87&amp;" x Triples, ","")&amp;IF(F87&gt;0,F87&amp;" x Doubles, ","")&amp;IF(G87&gt;0,G87&amp;" x Singles, ","")&amp;IF(H87&gt;0,H87&amp;" x Quad A0's, ","")&amp;IF(I87&gt;0,I87&amp;" x Megas, ","")&amp;IF(J87&gt;0,J87&amp;" x DOT Sites, ","")&amp;IF(K87&gt;0,K87&amp;" x Mega Portraits","")&amp;IF(L87&gt;0,L87&amp;" x Ferro Film Quads","")&amp;")"</f>
        <v>( )</v>
      </c>
      <c r="E95" s="226"/>
      <c r="F95" s="226"/>
      <c r="G95" s="226"/>
      <c r="H95" s="226"/>
      <c r="I95" s="226"/>
      <c r="J95" s="226"/>
      <c r="K95" s="224"/>
      <c r="L95" s="224"/>
      <c r="M95" s="224"/>
      <c r="N95" s="224"/>
      <c r="O95" s="224"/>
      <c r="P95" s="224"/>
      <c r="Q95" s="224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</row>
    <row r="96" spans="1:203">
      <c r="B96" s="231" t="str">
        <f>$B$89</f>
        <v>QLD</v>
      </c>
      <c r="C96" s="229" t="str">
        <f t="shared" si="201"/>
        <v/>
      </c>
      <c r="D96" s="225" t="str" cm="1">
        <f t="array" ref="D96">IF(SUM(D89:L89)=0,"",_xlfn.TEXTJOIN(",",TRUE,IF(_xlfn.BYROW(D66:L78,_xlfn.LAMBDA(_xlpm.row,SUM(_xlpm.row)))&gt;0,$C$66:$C$78,""))&amp;" - "&amp;"( "&amp;IF(D90&gt;0,D90&amp;" x Quads, ","")&amp;IF(E90&gt;0,E90&amp;" x Triples, ","")&amp;IF(F90&gt;0,F90&amp;" x Doubles, ","")&amp;IF(G90&gt;0,G90&amp;" x Singles, ","")&amp;IF(H90&gt;0,H90&amp;" x Quad A0's, ","")&amp;IF(I90&gt;0,I90&amp;" x Megas, ","")&amp;IF(J90&gt;0,J90&amp;" x DOT Sites, ","")&amp;IF(K90&gt;0,K90&amp;" x Mega Portraits","")&amp;IF(L90&gt;0,L90&amp;" x Ferro Film","")&amp;" )")</f>
        <v/>
      </c>
      <c r="E96" s="225"/>
      <c r="F96" s="225"/>
      <c r="G96" s="225"/>
      <c r="H96" s="225"/>
      <c r="I96" s="225"/>
      <c r="J96" s="225"/>
      <c r="K96" s="224"/>
      <c r="L96" s="224"/>
      <c r="M96" s="224"/>
      <c r="N96" s="224"/>
      <c r="O96" s="224"/>
      <c r="P96" s="224"/>
      <c r="Q96" s="224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</row>
    <row r="97" spans="2:32">
      <c r="B97" s="222"/>
      <c r="C97" s="222"/>
      <c r="D97" s="223"/>
      <c r="E97" s="223"/>
      <c r="F97" s="223"/>
      <c r="G97" s="223"/>
      <c r="H97" s="223"/>
      <c r="I97" s="223"/>
      <c r="J97" s="223"/>
      <c r="K97" s="223"/>
      <c r="L97" s="223"/>
      <c r="M97" s="223"/>
      <c r="N97" s="223"/>
      <c r="O97" s="223"/>
      <c r="P97" s="223"/>
      <c r="Q97" s="223"/>
      <c r="R97" s="223"/>
      <c r="S97" s="223"/>
      <c r="T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</row>
    <row r="98" spans="2:32">
      <c r="B98" s="207"/>
      <c r="C98" s="207"/>
    </row>
    <row r="99" spans="2:32">
      <c r="B99" s="228" t="str">
        <f>$B$83</f>
        <v>NSW</v>
      </c>
      <c r="C99" s="229" t="str">
        <f>IF(D99="","",$N$81)</f>
        <v/>
      </c>
      <c r="D99" s="225" t="str" cm="1">
        <f t="array" ref="D99">IF(SUM(N83:V83)=0,"",_xlfn.TEXTJOIN(",",TRUE,IF(_xlfn.BYROW(N4:V33,_xlfn.LAMBDA(_xlpm.row,SUM(_xlpm.row)))&gt;0,$C$4:$C$33,""))&amp;" - "&amp;" ( "&amp;IF(N84&gt;0,N84&amp;" x Quads, ","")&amp;IF(O84&gt;0,O84&amp;" x Triples, ","")&amp;IF(P84&gt;0,P84&amp;" x Doubles, ","")&amp;IF(Q84&gt;0,Q84&amp;" x Singles, ","")&amp;IF(R84&gt;0,R84&amp;" x Quad A0's, ","")&amp;IF(S84&gt;0,S84&amp;" x Megas, ","")&amp;IF(T84&gt;0,T84&amp;" x DOT Sites, ","")&amp;IF(U84&gt;0,U84&amp;" x Mega Portraits","")&amp;IF(V84&gt;0,V84&amp;" x Ferro Film Quads","")&amp;")")</f>
        <v/>
      </c>
      <c r="E99" s="224"/>
      <c r="F99" s="224"/>
      <c r="G99" s="224"/>
      <c r="H99" s="224"/>
      <c r="I99" s="224"/>
      <c r="J99" s="224"/>
      <c r="K99" s="224"/>
      <c r="L99" s="224"/>
      <c r="M99" s="224"/>
      <c r="N99" s="224"/>
      <c r="O99" s="224"/>
      <c r="P99" s="224"/>
      <c r="Q99" s="224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</row>
    <row r="100" spans="2:32">
      <c r="B100" s="230" t="str">
        <f>$B$86</f>
        <v>VIC</v>
      </c>
      <c r="C100" s="229" t="str">
        <f t="shared" ref="C100:C101" si="202">IF(D100="","",$N$81)</f>
        <v/>
      </c>
      <c r="D100" s="225" t="str" cm="1">
        <f t="array" ref="D100">IF(SUM(N86:V86)=0,"",_xlfn.TEXTJOIN(",",TRUE,IF(_xlfn.BYROW(N35:V64,_xlfn.LAMBDA(_xlpm.row,SUM(_xlpm.row)))&gt;0,$C$35:$C$64,""))&amp;" - "&amp;"( "&amp;IF(N87&gt;0,N87&amp;" x Quads, ","")&amp;IF(O87&gt;0,O87&amp;" x Triples, ","")&amp;IF(P87&gt;0,P87&amp;" x Doubles, ","")&amp;IF(Q87&gt;0,Q87&amp;" x Singles, ","")&amp;IF(R87&gt;0,R87&amp;" x Quad A0's, ","")&amp;IF(S87&gt;0,S87&amp;" x Megas, ","")&amp;IF(T87&gt;0,T87&amp;" x DOT Sites, ","")&amp;IF(U87&gt;0,U87&amp;" x Mega Portraits","")&amp;IF(V87&gt;0,V87&amp;" x Ferro Film Quads","")&amp;")")</f>
        <v/>
      </c>
      <c r="E100" s="225"/>
      <c r="F100" s="225"/>
      <c r="G100" s="225"/>
      <c r="H100" s="225"/>
      <c r="I100" s="225"/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5"/>
      <c r="Y100" s="225"/>
      <c r="Z100" s="225"/>
      <c r="AA100" s="225"/>
      <c r="AB100" s="225"/>
      <c r="AC100" s="225"/>
      <c r="AD100" s="225"/>
      <c r="AE100" s="225"/>
      <c r="AF100" s="225"/>
    </row>
    <row r="101" spans="2:32">
      <c r="B101" s="230" t="str">
        <f>$B$89</f>
        <v>QLD</v>
      </c>
      <c r="C101" s="229" t="str">
        <f t="shared" si="202"/>
        <v/>
      </c>
      <c r="D101" s="225" t="str" cm="1">
        <f t="array" ref="D101">IF(SUM(N89:U89)=0,"",_xlfn.TEXTJOIN(",",TRUE,IF(_xlfn.BYROW(N66:V78,_xlfn.LAMBDA(_xlpm.row,SUM(_xlpm.row)))&gt;0,$C$66:$C$78,""))&amp;" - "&amp;"( "&amp;IF(N90&gt;0,N90&amp;" x Quads, ","")&amp;IF(O90&gt;0,O90&amp;" x Triples, ","")&amp;IF(P90&gt;0,P90&amp;" x Doubles, ","")&amp;IF(Q90&gt;0,Q90&amp;" x Singles, ","")&amp;IF(R90&gt;0,R90&amp;" x Quad A0's, ","")&amp;IF(S90&gt;0,S90&amp;" x Megas, ","")&amp;IF(T90&gt;0,T90&amp;" x DOT Sites, ","")&amp;IF(U90&gt;0,U90&amp;" x Mega Portraits","")&amp;" )")</f>
        <v/>
      </c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</row>
    <row r="102" spans="2:32">
      <c r="B102" s="222"/>
      <c r="C102" s="207"/>
    </row>
    <row r="103" spans="2:32">
      <c r="B103" s="207"/>
      <c r="C103" s="207"/>
    </row>
    <row r="104" spans="2:32">
      <c r="B104" s="228" t="str">
        <f>$B$83</f>
        <v>NSW</v>
      </c>
      <c r="C104" s="229" t="str">
        <f>IF(D104="","",$X$81)</f>
        <v/>
      </c>
      <c r="D104" s="225" t="str" cm="1">
        <f t="array" ref="D104">IF(SUM(X83:AF83)=0,"",_xlfn.TEXTJOIN(",",TRUE,IF(_xlfn.BYROW(X4:AF33,_xlfn.LAMBDA(_xlpm.row,SUM(_xlpm.row)))&gt;0,$C$4:$C$33,""))&amp;" - "&amp;"( "&amp;IF(X84&gt;0,X84&amp;" x Quads, ","")&amp;IF(Y84&gt;0,Y84&amp;" x Triples, ","")&amp;IF(Z84&gt;0,Z84&amp;" x Doubles, ","")&amp;IF(AA84&gt;0,AA84&amp;" x Singles, ","")&amp;IF(AB84&gt;0,AB84&amp;" x Quad A0's, ","")&amp;IF(AC84&gt;0,AC84&amp;" x Megas, ","")&amp;IF(AD84&gt;0,AD84&amp;" x DOT Sites, ","")&amp;IF(AE84&gt;0,AE84&amp;" x Mega Portraits","")&amp;IF(AF84&gt;0,AF84&amp;" x Ferro Film Quads","")&amp;")")</f>
        <v/>
      </c>
      <c r="E104" s="224"/>
      <c r="F104" s="224"/>
      <c r="G104" s="224"/>
      <c r="H104" s="224"/>
      <c r="I104" s="224"/>
      <c r="J104" s="224"/>
      <c r="K104" s="224"/>
      <c r="L104" s="224"/>
      <c r="M104" s="224"/>
      <c r="N104" s="224"/>
      <c r="O104" s="224"/>
      <c r="P104" s="224"/>
      <c r="Q104" s="224"/>
      <c r="R104" s="224"/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</row>
    <row r="105" spans="2:32">
      <c r="B105" s="230" t="str">
        <f>$B$86</f>
        <v>VIC</v>
      </c>
      <c r="C105" s="229" t="str">
        <f t="shared" ref="C105:C106" si="203">IF(D105="","",$X$81)</f>
        <v/>
      </c>
      <c r="D105" s="225" t="str" cm="1">
        <f t="array" ref="D105">IF(SUM(X86:AF86)=0,"",_xlfn.TEXTJOIN(",",TRUE,IF(_xlfn.BYROW(X35:AF64,_xlfn.LAMBDA(_xlpm.row,SUM(_xlpm.row)))&gt;0,$C$35:$C$64,""))&amp;" - "&amp;"( "&amp;IF(X87&gt;0,X87&amp;" x Quads, ","")&amp;IF(Y87&gt;0,Y87&amp;" x Triples, ","")&amp;IF(Z87&gt;0,Z87&amp;" x Doubles, ","")&amp;IF(AA87&gt;0,AA87&amp;" x Singles, ","")&amp;IF(AB87&gt;0,AB87&amp;" x Quad A0's, ","")&amp;IF(AC87&gt;0,AC87&amp;" x Megas, ","")&amp;IF(AD87&gt;0,AD87&amp;" x DOT Sites, ","")&amp;IF(AE87&gt;0,AE87&amp;" x Mega Portraits","")&amp;IF(AF87&gt;0,AF87&amp;" x Ferro Film Quads","")&amp;")")</f>
        <v/>
      </c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</row>
    <row r="106" spans="2:32">
      <c r="B106" s="231" t="str">
        <f>$B$89</f>
        <v>QLD</v>
      </c>
      <c r="C106" s="229" t="str">
        <f t="shared" si="203"/>
        <v/>
      </c>
      <c r="D106" s="225" t="str" cm="1">
        <f t="array" ref="D106">IF(SUM(X89:AE89)=0,"",_xlfn.TEXTJOIN(",",TRUE,IF(_xlfn.BYROW(X66:AE78,_xlfn.LAMBDA(_xlpm.row,SUM(_xlpm.row)))&gt;0,$C$66:$C$78,""))&amp;" - "&amp;"( "&amp;IF(X90&gt;0,X90&amp;" x Quads, ","")&amp;IF(Y90&gt;0,Y90&amp;" x Triples, ","")&amp;IF(Z90&gt;0,Z90&amp;" x Doubles, ","")&amp;IF(AA90&gt;0,AA90&amp;" x Singles, ","")&amp;IF(AB90&gt;0,AB90&amp;" x Quad A0's, ","")&amp;IF(AC90&gt;0,AC90&amp;" x Megas, ","")&amp;IF(AD90&gt;0,AD90&amp;" x DOT Sites, ","")&amp;IF(AE90&gt;0,AE90&amp;" x Mega Portraits","")&amp;" )")</f>
        <v/>
      </c>
      <c r="E106" s="225"/>
      <c r="F106" s="225"/>
      <c r="G106" s="225"/>
      <c r="H106" s="225"/>
      <c r="I106" s="225"/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5"/>
      <c r="Y106" s="225"/>
      <c r="Z106" s="225"/>
      <c r="AA106" s="225"/>
      <c r="AB106" s="225"/>
      <c r="AC106" s="225"/>
      <c r="AD106" s="225"/>
      <c r="AE106" s="225"/>
      <c r="AF106" s="225"/>
    </row>
    <row r="107" spans="2:32">
      <c r="B107" s="222"/>
      <c r="C107" s="222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23"/>
      <c r="Q107" s="223"/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</row>
    <row r="108" spans="2:32">
      <c r="B108" s="207"/>
      <c r="C108" s="207"/>
    </row>
    <row r="109" spans="2:32">
      <c r="B109" s="228" t="str">
        <f>$B$83</f>
        <v>NSW</v>
      </c>
      <c r="C109" s="229" t="str">
        <f>IF(D109="","",$AH$81)</f>
        <v/>
      </c>
      <c r="D109" s="225" t="str" cm="1">
        <f t="array" ref="D109">IF(SUM(AH83:AP83)=0,"",_xlfn.TEXTJOIN(",",TRUE,IF(_xlfn.BYROW(AH4:AP33,_xlfn.LAMBDA(_xlpm.row,SUM(_xlpm.row)))&gt;0,$C$4:$C$33,""))&amp;" - "&amp;"( "&amp;IF(AH84&gt;0,AH84&amp;" x Quads, ","")&amp;IF(AI84&gt;0,AI84&amp;" x Triples, ","")&amp;IF(AJ84&gt;0,AJ84&amp;" x Doubles, ","")&amp;IF(AK84&gt;0,AK84&amp;" x Singles, ","")&amp;IF(AL84&gt;0,AL84&amp;" x Quad A0's, ","")&amp;IF(AM84&gt;0,AM84&amp;" x Megas, ","")&amp;IF(AN84&gt;0,AN84&amp;" x DOT Sites, ","")&amp;IF(AO84&gt;0,AO84&amp;" x Mega Portraits","")&amp;IF(AP84&gt;0,AP84&amp;" x Ferro Film Quads","")&amp;")")</f>
        <v/>
      </c>
      <c r="E109" s="224"/>
      <c r="F109" s="224"/>
      <c r="G109" s="224"/>
      <c r="H109" s="224"/>
      <c r="I109" s="224"/>
      <c r="J109" s="224"/>
      <c r="K109" s="224"/>
      <c r="L109" s="224"/>
      <c r="M109" s="224"/>
      <c r="N109" s="224"/>
      <c r="O109" s="224"/>
      <c r="P109" s="224"/>
      <c r="Q109" s="224"/>
      <c r="R109" s="224"/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</row>
    <row r="110" spans="2:32">
      <c r="B110" s="230" t="str">
        <f>$B$86</f>
        <v>VIC</v>
      </c>
      <c r="C110" s="229" t="str">
        <f t="shared" ref="C110:C111" si="204">IF(D110="","",$AH$81)</f>
        <v/>
      </c>
      <c r="D110" s="225" t="str" cm="1">
        <f t="array" ref="D110">IF(SUM(AH86:AP86)=0,"",_xlfn.TEXTJOIN(",",TRUE,IF(_xlfn.BYROW(AH35:AP64,_xlfn.LAMBDA(_xlpm.row,SUM(_xlpm.row)))&gt;0,$C$35:$C$64,""))&amp;" - "&amp;"( "&amp;IF(AH87&gt;0,AH87&amp;" x Quads, ","")&amp;IF(AI87&gt;0,AI87&amp;" x Triples, ","")&amp;IF(AJ87&gt;0,AJ87&amp;" x Doubles, ","")&amp;IF(AK87&gt;0,AK87&amp;" x Singles, ","")&amp;IF(AL87&gt;0,AL87&amp;" x Quad A0's, ","")&amp;IF(AM87&gt;0,AM87&amp;" x Megas, ","")&amp;IF(AN87&gt;0,AN87&amp;" x DOT Sites, ","")&amp;IF(AO87&gt;0,AO87&amp;" x Mega Portraits","")&amp;IF(AP87&gt;0,AP87&amp;" x Ferro Film Quads","")&amp;")")</f>
        <v/>
      </c>
      <c r="E110" s="225"/>
      <c r="F110" s="225"/>
      <c r="G110" s="225"/>
      <c r="H110" s="225"/>
      <c r="I110" s="225"/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5"/>
      <c r="W110" s="225"/>
      <c r="X110" s="225"/>
      <c r="Y110" s="225"/>
      <c r="Z110" s="225"/>
      <c r="AA110" s="225"/>
      <c r="AB110" s="225"/>
      <c r="AC110" s="225"/>
      <c r="AD110" s="225"/>
      <c r="AE110" s="225"/>
      <c r="AF110" s="225"/>
    </row>
    <row r="111" spans="2:32">
      <c r="B111" s="230" t="str">
        <f>$B$89</f>
        <v>QLD</v>
      </c>
      <c r="C111" s="229" t="str">
        <f t="shared" si="204"/>
        <v/>
      </c>
      <c r="D111" s="225" t="str" cm="1">
        <f t="array" ref="D111">IF(SUM(AH89:AO89)=0,"",_xlfn.TEXTJOIN(",",TRUE,IF(_xlfn.BYROW(AH66:AO78,_xlfn.LAMBDA(_xlpm.row,SUM(_xlpm.row)))&gt;0,$C$66:$C$78,""))&amp;" - "&amp;"( "&amp;IF(AH90&gt;0,AH90&amp;" x Quads, ","")&amp;IF(AI90&gt;0,AI90&amp;" x Triples, ","")&amp;IF(AJ90&gt;0,AJ90&amp;" x Doubles, ","")&amp;IF(AK90&gt;0,AK90&amp;" x Singles, ","")&amp;IF(AL90&gt;0,AL90&amp;" x Quad A0's, ","")&amp;IF(AM90&gt;0,AM90&amp;" x Megas, ","")&amp;IF(AN90&gt;0,AN90&amp;" x DOT Sites, ","")&amp;IF(AO90&gt;0,AO90&amp;" x Mega Portraits","")&amp;" )")</f>
        <v/>
      </c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  <c r="Z111" s="226"/>
      <c r="AA111" s="226"/>
      <c r="AB111" s="226"/>
      <c r="AC111" s="226"/>
      <c r="AD111" s="226"/>
      <c r="AE111" s="226"/>
      <c r="AF111" s="226"/>
    </row>
    <row r="112" spans="2:32">
      <c r="B112" s="207"/>
      <c r="C112" s="207"/>
    </row>
    <row r="113" spans="2:32">
      <c r="B113" s="207"/>
      <c r="C113" s="207"/>
    </row>
    <row r="114" spans="2:32">
      <c r="B114" s="228" t="str">
        <f>$B$83</f>
        <v>NSW</v>
      </c>
      <c r="C114" s="229" t="str">
        <f>IF(D114="","",$AR$81)</f>
        <v/>
      </c>
      <c r="D114" s="225" t="str" cm="1">
        <f t="array" ref="D114">IF(SUM(AR83:AZ83)=0,"",_xlfn.TEXTJOIN(",",TRUE,IF(_xlfn.BYROW(AR4:AZ33,_xlfn.LAMBDA(_xlpm.row,SUM(_xlpm.row)))&gt;0,$C$4:$C$33,""))&amp;" - "&amp;"( "&amp;IF(AR84&gt;0,AR84&amp;" x Quads, ","")&amp;IF(AS84&gt;0,AS84&amp;" x Triples, ","")&amp;IF(AT84&gt;0,AT84&amp;" x Doubles, ","")&amp;IF(AU84&gt;0,AU84&amp;" x Singles, ","")&amp;IF(AV84&gt;0,AV84&amp;" x Quad A0's, ","")&amp;IF(AW84&gt;0,AW84&amp;" x Megas, ","")&amp;IF(AX84&gt;0,AX84&amp;" x DOT Sites, ","")&amp;IF(AY84&gt;0,AY84&amp;" x Mega Portraits","")&amp;IF(AZ84&gt;0,AZ84&amp;" x Ferro Film Quads","")&amp;")")</f>
        <v/>
      </c>
      <c r="E114" s="224"/>
      <c r="F114" s="224"/>
      <c r="G114" s="224"/>
      <c r="H114" s="224"/>
      <c r="I114" s="224"/>
      <c r="J114" s="224"/>
      <c r="K114" s="224"/>
      <c r="L114" s="224"/>
      <c r="M114" s="224"/>
      <c r="N114" s="224"/>
      <c r="O114" s="224"/>
      <c r="P114" s="224"/>
      <c r="Q114" s="224"/>
      <c r="R114" s="224"/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</row>
    <row r="115" spans="2:32">
      <c r="B115" s="230" t="str">
        <f>$B$86</f>
        <v>VIC</v>
      </c>
      <c r="C115" s="229" t="str">
        <f t="shared" ref="C115:C116" si="205">IF(D115="","",$AR$81)</f>
        <v/>
      </c>
      <c r="D115" s="225" t="str" cm="1">
        <f t="array" ref="D115">IF(SUM(AR86:AZ86)=0,"",_xlfn.TEXTJOIN(",",TRUE,IF(_xlfn.BYROW(AR35:AZ64,_xlfn.LAMBDA(_xlpm.row,SUM(_xlpm.row)))&gt;0,$C$35:$C$64,""))&amp;" - "&amp;"( "&amp;IF(AR87&gt;0,AR87&amp;" x Quads, ","")&amp;IF(AR87&gt;0,AS87&amp;" x Triples, ","")&amp;IF(AS87&gt;0,AT87&amp;" x Doubles, ","")&amp;IF(AU87&gt;0,AU87&amp;" x Singles, ","")&amp;IF(AV87&gt;0,AV87&amp;" x Quad A0's, ","")&amp;IF(AW87&gt;0,AW87&amp;" x Megas, ","")&amp;IF(AX87&gt;0,AX87&amp;" x DOT Sites, ","")&amp;IF(AY87&gt;0,AY87&amp;" x Mega Portraits","")&amp;IF(AZ87&gt;0,AZ87&amp;" x Ferro Film Quads","")&amp;")")</f>
        <v/>
      </c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6"/>
      <c r="AA115" s="226"/>
      <c r="AB115" s="226"/>
      <c r="AC115" s="226"/>
      <c r="AD115" s="226"/>
      <c r="AE115" s="226"/>
      <c r="AF115" s="226"/>
    </row>
    <row r="116" spans="2:32">
      <c r="B116" s="231" t="str">
        <f>$B$89</f>
        <v>QLD</v>
      </c>
      <c r="C116" s="229" t="str">
        <f t="shared" si="205"/>
        <v/>
      </c>
      <c r="D116" s="225" t="str" cm="1">
        <f t="array" ref="D116">IF(SUM(AR89:AY89)=0,"",_xlfn.TEXTJOIN(",",TRUE,IF(_xlfn.BYROW(AR66:AY78,_xlfn.LAMBDA(_xlpm.row,SUM(_xlpm.row)))&gt;0,$C$66:$C$78,""))&amp;" - "&amp;"( "&amp;IF(AR90&gt;0,AR90&amp;" x Quads, ","")&amp;IF(AS90&gt;0,AS90&amp;" x Triples, ","")&amp;IF(AT90&gt;0,AT90&amp;" x Doubles, ","")&amp;IF(AU90&gt;0,AU90&amp;" x Singles, ","")&amp;IF(AV90&gt;0,AV90&amp;" x Quad A0's, ","")&amp;IF(AW90&gt;0,AW90&amp;" x Megas, ","")&amp;IF(AX90&gt;0,AX90&amp;" x DOT Sites, ","")&amp;IF(AY90&gt;0,AY90&amp;" x Mega Portraits","")&amp;" )")</f>
        <v/>
      </c>
      <c r="E116" s="225"/>
      <c r="F116" s="225"/>
      <c r="G116" s="225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5"/>
      <c r="W116" s="225"/>
      <c r="X116" s="225"/>
      <c r="Y116" s="225"/>
      <c r="Z116" s="225"/>
      <c r="AA116" s="225"/>
      <c r="AB116" s="225"/>
      <c r="AC116" s="225"/>
      <c r="AD116" s="225"/>
      <c r="AE116" s="225"/>
      <c r="AF116" s="225"/>
    </row>
    <row r="117" spans="2:32">
      <c r="B117" s="222"/>
      <c r="C117" s="222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  <c r="AF117" s="223"/>
    </row>
    <row r="118" spans="2:32">
      <c r="B118" s="207"/>
      <c r="C118" s="207"/>
    </row>
    <row r="119" spans="2:32">
      <c r="B119" s="228" t="str">
        <f>$B$83</f>
        <v>NSW</v>
      </c>
      <c r="C119" s="229" t="str">
        <f>IF(D119="","",$BB$81)</f>
        <v/>
      </c>
      <c r="D119" s="224" t="str" cm="1">
        <f t="array" ref="D119">IF(SUM(BB83:BJ83)=0,"",_xlfn.TEXTJOIN(",",TRUE,IF(_xlfn.BYROW(BB4:BJ33,_xlfn.LAMBDA(_xlpm.row,SUM(_xlpm.row)))&gt;0,$C$4:$C$33,""))&amp;" - "&amp;"( "&amp;IF(BB84&gt;0,BB84&amp;" x Quads, ","")&amp;IF(BC84&gt;0,BC84&amp;" x Triples, ","")&amp;IF(BD84&gt;0,BD84&amp;" x Doubles, ","")&amp;IF(BE84&gt;0,BE84&amp;" x Singles, ","")&amp;IF(BF84&gt;0,BF84&amp;" x Quad A0's, ","")&amp;IF(BG84&gt;0,BG84&amp;" x Megas, ","")&amp;IF(BH84&gt;0,BH84&amp;" x DOT Sites, ","")&amp;IF(BI84&gt;0,BI84&amp;" x Mega Portraits","")&amp;IF(BJ84&gt;0,BJ84&amp;" x Ferro Film Quads","")&amp;")")</f>
        <v/>
      </c>
      <c r="E119" s="224"/>
      <c r="F119" s="224"/>
      <c r="G119" s="224"/>
      <c r="H119" s="224"/>
      <c r="I119" s="224"/>
      <c r="J119" s="224"/>
      <c r="K119" s="224"/>
      <c r="L119" s="224"/>
      <c r="M119" s="224"/>
      <c r="N119" s="224"/>
      <c r="O119" s="224"/>
      <c r="P119" s="224"/>
      <c r="Q119" s="224"/>
      <c r="R119" s="224"/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</row>
    <row r="120" spans="2:32">
      <c r="B120" s="230" t="str">
        <f>$B$86</f>
        <v>VIC</v>
      </c>
      <c r="C120" s="229" t="str">
        <f t="shared" ref="C120:C121" si="206">IF(D120="","",$BB$81)</f>
        <v/>
      </c>
      <c r="D120" s="226" t="str" cm="1">
        <f t="array" ref="D120">IF(SUM(BB86:BI86)=0,"",_xlfn.TEXTJOIN(",",TRUE,IF(_xlfn.BYROW(BB35:BI64,_xlfn.LAMBDA(_xlpm.row,SUM(_xlpm.row)))&gt;0,$C$35:$C$64,""))&amp;" - "&amp;"( "&amp;IF(BB87&gt;0,BB87&amp;" x Quads, ","")&amp;IF(BC87&gt;0,BC87&amp;" x Triples, ","")&amp;IF(BD87&gt;0,BD87&amp;" x Doubles, ","")&amp;IF(BE87&gt;0,BE87&amp;" x Singles, ","")&amp;IF(BF87&gt;0,BF87&amp;" x Quad A0's, ","")&amp;IF(BG87&gt;0,BG87&amp;" x Megas, ","")&amp;IF(BH87&gt;0,BH87&amp;" x DOT Sites, ","")&amp;IF(BI87&gt;0,BI87&amp;" x Mega Portraits","")&amp;IF(AZ87&gt;0,AZ87&amp;" x Ferro Film Quads","")&amp;")")</f>
        <v/>
      </c>
      <c r="E120" s="225"/>
      <c r="F120" s="225"/>
      <c r="G120" s="225"/>
      <c r="H120" s="225"/>
      <c r="I120" s="225"/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5"/>
      <c r="W120" s="225"/>
      <c r="X120" s="225"/>
      <c r="Y120" s="225"/>
      <c r="Z120" s="225"/>
      <c r="AA120" s="225"/>
      <c r="AB120" s="225"/>
      <c r="AC120" s="225"/>
      <c r="AD120" s="225"/>
      <c r="AE120" s="225"/>
      <c r="AF120" s="225"/>
    </row>
    <row r="121" spans="2:32">
      <c r="B121" s="230" t="str">
        <f>$B$89</f>
        <v>QLD</v>
      </c>
      <c r="C121" s="229" t="str">
        <f t="shared" si="206"/>
        <v/>
      </c>
      <c r="D121" s="225" t="str" cm="1">
        <f t="array" ref="D121">IF(SUM(BB89:BI89)=0,"",_xlfn.TEXTJOIN(",",TRUE,IF(_xlfn.BYROW(BB66:BI78,_xlfn.LAMBDA(_xlpm.row,SUM(_xlpm.row)))&gt;0,$C$66:$C$78,""))&amp;" - "&amp;"( "&amp;IF(BB90&gt;0,BB90&amp;" x Quads, ","")&amp;IF(BC90&gt;0,BC90&amp;" x Triples, ","")&amp;IF(BD90&gt;0,BD90&amp;" x Doubles, ","")&amp;IF(BE90&gt;0,BE90&amp;" x Singles, ","")&amp;IF(BF90&gt;0,BF90&amp;" x Quad A0's, ","")&amp;IF(BG90&gt;0,BG90&amp;" x Megas, ","")&amp;IF(BH90&gt;0,BH90&amp;" x DOT Sites, ","")&amp;IF(BI90&gt;0,BI90&amp;" x Mega Portraits","")&amp;" )")</f>
        <v/>
      </c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</row>
    <row r="122" spans="2:32">
      <c r="B122" s="207"/>
      <c r="C122" s="207"/>
    </row>
    <row r="123" spans="2:32">
      <c r="B123" s="207"/>
      <c r="C123" s="207"/>
    </row>
    <row r="124" spans="2:32">
      <c r="B124" s="228" t="str">
        <f>$B$83</f>
        <v>NSW</v>
      </c>
      <c r="C124" s="229" t="str">
        <f>IF(D124="","",$BL$81)</f>
        <v/>
      </c>
      <c r="D124" s="224" t="str" cm="1">
        <f t="array" ref="D124">IF(SUM(BL83:BT83)=0,"",_xlfn.TEXTJOIN(",",TRUE,IF(_xlfn.BYROW(BL4:BT33,_xlfn.LAMBDA(_xlpm.row,SUM(_xlpm.row)))&gt;0,$C$4:$C$33,""))&amp;" - "&amp;"( "&amp;IF(BL84&gt;0,BL84&amp;" x Quads, ","")&amp;IF(BM84&gt;0,BM84&amp;" x Triples, ","")&amp;IF(BN84&gt;0,BN84&amp;" x Doubles, ","")&amp;IF(BO84&gt;0,BO84&amp;" x Singles, ","")&amp;IF(BP84&gt;0,BP84&amp;" x Quad A0's, ","")&amp;IF(BQ84&gt;0,BQ84&amp;" x Megas, ","")&amp;IF(BR84&gt;0,BR84&amp;" x DOT Sites, ","")&amp;IF(BS84&gt;0,BS84&amp;" x Mega Portraits","")&amp;IF(BT84&gt;0,BT84&amp;" x Ferro Film Quads","")&amp;")")</f>
        <v/>
      </c>
      <c r="E124" s="224"/>
      <c r="F124" s="224"/>
      <c r="G124" s="224"/>
      <c r="H124" s="224"/>
      <c r="I124" s="224"/>
      <c r="J124" s="224"/>
      <c r="K124" s="224"/>
      <c r="L124" s="224"/>
      <c r="M124" s="224"/>
      <c r="N124" s="224"/>
      <c r="O124" s="224"/>
      <c r="P124" s="224"/>
      <c r="Q124" s="224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</row>
    <row r="125" spans="2:32">
      <c r="B125" s="230" t="str">
        <f>$B$86</f>
        <v>VIC</v>
      </c>
      <c r="C125" s="229" t="str">
        <f t="shared" ref="C125:C126" si="207">IF(D125="","",$BL$81)</f>
        <v/>
      </c>
      <c r="D125" s="226" t="str" cm="1">
        <f t="array" ref="D125">IF(SUM(BL86:BT86)=0,"",_xlfn.TEXTJOIN(",",TRUE,IF(_xlfn.BYROW(BL35:BT64,_xlfn.LAMBDA(_xlpm.row,SUM(_xlpm.row)))&gt;0,$C$35:$C$64,""))&amp;" - "&amp;"( "&amp;IF(BL87&gt;0,BL87&amp;" x Quads, ","")&amp;IF(BM87&gt;0,BM87&amp;" x Triples, ","")&amp;IF(BN87&gt;0,BN87&amp;" x Doubles, ","")&amp;IF(BO87&gt;0,BO87&amp;" x Singles, ","")&amp;IF(BP87&gt;0,BP87&amp;" x Quad A0's, ","")&amp;IF(BQ87&gt;0,BQ87&amp;" x Megas, ","")&amp;IF(BR87&gt;0,BR87&amp;" x DOT Sites, ","")&amp;IF(BS87&gt;0,BS87&amp;" x Mega Portraits","")&amp;IF(BT87&gt;0,BT87&amp;" x Ferro Film Quads","")&amp;")")</f>
        <v/>
      </c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  <c r="Z125" s="226"/>
      <c r="AA125" s="226"/>
      <c r="AB125" s="226"/>
      <c r="AC125" s="226"/>
      <c r="AD125" s="226"/>
      <c r="AE125" s="226"/>
      <c r="AF125" s="226"/>
    </row>
    <row r="126" spans="2:32">
      <c r="B126" s="231" t="str">
        <f>$B$89</f>
        <v>QLD</v>
      </c>
      <c r="C126" s="229" t="str">
        <f t="shared" si="207"/>
        <v/>
      </c>
      <c r="D126" s="225" t="str" cm="1">
        <f t="array" ref="D126">IF(SUM(BL89:BS89)=0,"",_xlfn.TEXTJOIN(",",TRUE,IF(_xlfn.BYROW(BL66:BS78,_xlfn.LAMBDA(_xlpm.row,SUM(_xlpm.row)))&gt;0,$C$66:$C$78,""))&amp;" - "&amp;"( "&amp;IF(BL90&gt;0,BL90&amp;" x Quads, ","")&amp;IF(BM90&gt;0,BM90&amp;" x Triples, ","")&amp;IF(BN90&gt;0,BN90&amp;" x Doubles, ","")&amp;IF(BO90&gt;0,BO90&amp;" x Singles, ","")&amp;IF(BP90&gt;0,BP90&amp;" x Quad A0's, ","")&amp;IF(BQ90&gt;0,BQ90&amp;" x Megas, ","")&amp;IF(BR90&gt;0,BR90&amp;" x DOT Sites, ","")&amp;IF(BS90&gt;0,BS90&amp;" x Mega Portraits","")&amp;" )")</f>
        <v/>
      </c>
      <c r="E126" s="225"/>
      <c r="F126" s="225"/>
      <c r="G126" s="225"/>
      <c r="H126" s="225"/>
      <c r="I126" s="225"/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5"/>
      <c r="W126" s="225"/>
      <c r="X126" s="225"/>
      <c r="Y126" s="225"/>
      <c r="Z126" s="225"/>
      <c r="AA126" s="225"/>
      <c r="AB126" s="225"/>
      <c r="AC126" s="225"/>
      <c r="AD126" s="225"/>
      <c r="AE126" s="225"/>
      <c r="AF126" s="225"/>
    </row>
    <row r="127" spans="2:32">
      <c r="B127" s="222"/>
      <c r="C127" s="222"/>
      <c r="E127" s="223"/>
      <c r="F127" s="223"/>
      <c r="G127" s="223"/>
      <c r="H127" s="223"/>
      <c r="I127" s="223"/>
      <c r="J127" s="223"/>
      <c r="K127" s="223"/>
      <c r="L127" s="223"/>
      <c r="M127" s="223"/>
      <c r="N127" s="223"/>
      <c r="O127" s="223"/>
      <c r="P127" s="223"/>
      <c r="Q127" s="223"/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</row>
    <row r="128" spans="2:32">
      <c r="B128" s="207"/>
      <c r="C128" s="207"/>
    </row>
    <row r="129" spans="2:32">
      <c r="B129" s="228" t="str">
        <f>$B$83</f>
        <v>NSW</v>
      </c>
      <c r="C129" s="229" t="str">
        <f>IF(D129="","",$BV$81)</f>
        <v/>
      </c>
      <c r="D129" s="224" t="str" cm="1">
        <f t="array" ref="D129">IF(SUM(BV83:CD83)=0,"",_xlfn.TEXTJOIN(",",TRUE,IF(_xlfn.BYROW(BV4:CD33,_xlfn.LAMBDA(_xlpm.row,SUM(_xlpm.row)))&gt;0,$C$4:$C$33,""))&amp;" - "&amp;"( "&amp;IF(BV84&gt;0,BV84&amp;" x Quads, ","")&amp;IF(BW84&gt;0,BW84&amp;" x Triples, ","")&amp;IF(BX84&gt;0,BX84&amp;" x Doubles, ","")&amp;IF(BY84&gt;0,BY84&amp;" x Singles, ","")&amp;IF(BZ84&gt;0,BZ84&amp;" x Quad A0's, ","")&amp;IF(CA84&gt;0,CA84&amp;" x Megas, ","")&amp;IF(CB84&gt;0,CB84&amp;" x DOT Sites, ","")&amp;IF(CC84&gt;0,CC84&amp;" x Mega Portraits","")&amp;IF(CD84&gt;0,CD84&amp;" x Ferro Film Quads","")&amp;")")</f>
        <v/>
      </c>
      <c r="E129" s="224"/>
      <c r="F129" s="224"/>
      <c r="G129" s="224"/>
      <c r="H129" s="224"/>
      <c r="I129" s="224"/>
      <c r="J129" s="224"/>
      <c r="K129" s="224"/>
      <c r="L129" s="224"/>
      <c r="M129" s="224"/>
      <c r="N129" s="224"/>
      <c r="O129" s="224"/>
      <c r="P129" s="224"/>
      <c r="Q129" s="224"/>
      <c r="R129" s="224"/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</row>
    <row r="130" spans="2:32">
      <c r="B130" s="230" t="str">
        <f>$B$86</f>
        <v>VIC</v>
      </c>
      <c r="C130" s="229" t="str">
        <f t="shared" ref="C130:C131" si="208">IF(D130="","",$BV$81)</f>
        <v/>
      </c>
      <c r="D130" s="226" t="str" cm="1">
        <f t="array" ref="D130">IF(SUM(BV86:CD86)=0,"",_xlfn.TEXTJOIN(",",TRUE,IF(_xlfn.BYROW(BV35:CD64,_xlfn.LAMBDA(_xlpm.row,SUM(_xlpm.row)))&gt;0,$C$35:$C$64,""))&amp;" - "&amp;"( "&amp;IF(BV87&gt;0,BV87&amp;" x Quads, ","")&amp;IF(BW87&gt;0,BW87&amp;" x Triples, ","")&amp;IF(BX87&gt;0,BX87&amp;" x Doubles, ","")&amp;IF(BY87&gt;0,BY87&amp;" x Singles, ","")&amp;IF(BZ87&gt;0,BZ87&amp;" x Quad A0's, ","")&amp;IF(CA87&gt;0,CA87&amp;" x Megas, ","")&amp;IF(CB87&gt;0,CB87&amp;" x DOT Sites, ","")&amp;IF(CC87&gt;0,CC87&amp;" x Mega Portraits","")&amp;IF(CD87&gt;0,CD87&amp;" x Ferro Film Quads","")&amp;")")</f>
        <v/>
      </c>
      <c r="E130" s="225"/>
      <c r="F130" s="225"/>
      <c r="G130" s="225"/>
      <c r="H130" s="225"/>
      <c r="I130" s="225"/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5"/>
      <c r="W130" s="225"/>
      <c r="X130" s="225"/>
      <c r="Y130" s="225"/>
      <c r="Z130" s="225"/>
      <c r="AA130" s="225"/>
      <c r="AB130" s="225"/>
      <c r="AC130" s="225"/>
      <c r="AD130" s="225"/>
      <c r="AE130" s="225"/>
      <c r="AF130" s="225"/>
    </row>
    <row r="131" spans="2:32">
      <c r="B131" s="230" t="str">
        <f>$B$89</f>
        <v>QLD</v>
      </c>
      <c r="C131" s="229" t="str">
        <f t="shared" si="208"/>
        <v/>
      </c>
      <c r="D131" s="225" t="str" cm="1">
        <f t="array" ref="D131">IF(SUM(BV89:CC89)=0,"",_xlfn.TEXTJOIN(",",TRUE,IF(_xlfn.BYROW(BV66:CC78,_xlfn.LAMBDA(_xlpm.row,SUM(_xlpm.row)))&gt;0,$C$66:$C$78,""))&amp;" - "&amp;"( "&amp;IF(BV90&gt;0,BV90&amp;" x Quads, ","")&amp;IF(BW90&gt;0,BW90&amp;" x Triples, ","")&amp;IF(BX90&gt;0,BX90&amp;" x Doubles, ","")&amp;IF(BY90&gt;0,BY90&amp;" x Singles, ","")&amp;IF(BZ90&gt;0,BZ90&amp;" x Quad A0's, ","")&amp;IF(CA90&gt;0,CA90&amp;" x Megas, ","")&amp;IF(CB90&gt;0,CB90&amp;" x DOT Sites, ","")&amp;IF(CC90&gt;0,CC90&amp;" x Mega Portraits","")&amp;" )")</f>
        <v/>
      </c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6"/>
      <c r="AA131" s="226"/>
      <c r="AB131" s="226"/>
      <c r="AC131" s="226"/>
      <c r="AD131" s="226"/>
      <c r="AE131" s="226"/>
      <c r="AF131" s="226"/>
    </row>
    <row r="132" spans="2:32">
      <c r="B132" s="207"/>
      <c r="C132" s="207"/>
    </row>
    <row r="133" spans="2:32">
      <c r="B133" s="207"/>
      <c r="C133" s="207"/>
    </row>
    <row r="134" spans="2:32">
      <c r="B134" s="228" t="str">
        <f>$B$83</f>
        <v>NSW</v>
      </c>
      <c r="C134" s="229" t="str">
        <f>IF(D134="","",$CF$81)</f>
        <v/>
      </c>
      <c r="D134" s="224" t="str" cm="1">
        <f t="array" ref="D134">IF(SUM(CF83:CN83)=0,"",_xlfn.TEXTJOIN(",",TRUE,IF(_xlfn.BYROW(CF4:CN33,_xlfn.LAMBDA(_xlpm.row,SUM(_xlpm.row)))&gt;0,$C$4:$C$33,""))&amp;" - "&amp;"( "&amp;IF(CF84&gt;0,CF84&amp;" x Quads, ","")&amp;IF(CG84&gt;0,CG84&amp;" x Triples, ","")&amp;IF(CH84&gt;0,CH84&amp;" x Doubles, ","")&amp;IF(CI84&gt;0,CI84&amp;" x Singles, ","")&amp;IF(CJ84&gt;0,CJ84&amp;" x Quad A0's, ","")&amp;IF(CK84&gt;0,CK84&amp;" x Megas, ","")&amp;IF(CL84&gt;0,CL84&amp;" x DOT Sites, ","")&amp;IF(CM84&gt;0,CM84&amp;" x Mega Portraits","")&amp;IF(CN84&gt;0,CN84&amp;" x Ferro Film Quads","")&amp;")")</f>
        <v/>
      </c>
      <c r="E134" s="224"/>
      <c r="F134" s="224"/>
      <c r="G134" s="224"/>
      <c r="H134" s="224"/>
      <c r="I134" s="224"/>
      <c r="J134" s="224"/>
      <c r="K134" s="224"/>
      <c r="L134" s="224"/>
      <c r="M134" s="224"/>
      <c r="N134" s="224"/>
      <c r="O134" s="224"/>
      <c r="P134" s="224"/>
      <c r="Q134" s="224"/>
      <c r="R134" s="224"/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</row>
    <row r="135" spans="2:32">
      <c r="B135" s="230" t="str">
        <f>$B$86</f>
        <v>VIC</v>
      </c>
      <c r="C135" s="229" t="str">
        <f t="shared" ref="C135:C136" si="209">IF(D135="","",$CF$81)</f>
        <v/>
      </c>
      <c r="D135" s="226" t="str" cm="1">
        <f t="array" ref="D135">IF(SUM(CF86:CN86)=0,"",_xlfn.TEXTJOIN(",",TRUE,IF(_xlfn.BYROW(CF35:CN64,_xlfn.LAMBDA(_xlpm.row,SUM(_xlpm.row)))&gt;0,$C$35:$C$64,""))&amp;" - "&amp;"( "&amp;IF(CF87&gt;0,CF87&amp;" x Quads, ","")&amp;IF(CG87&gt;0,CG87&amp;" x Triples, ","")&amp;IF(CH87&gt;0,CH87&amp;" x Doubles, ","")&amp;IF(CI87&gt;0,CI87&amp;" x Singles, ","")&amp;IF(CJ87&gt;0,CJ87&amp;" x Quad A0's, ","")&amp;IF(CK87&gt;0,CK87&amp;" x Megas, ","")&amp;IF(CL87&gt;0,CL87&amp;" x DOT Sites, ","")&amp;IF(CM87&gt;0,CM87&amp;" x Mega Portraits","")&amp;IF(CN87&gt;0,CN87&amp;" x Ferro Film Quads","")&amp;")")</f>
        <v/>
      </c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  <c r="Z135" s="226"/>
      <c r="AA135" s="226"/>
      <c r="AB135" s="226"/>
      <c r="AC135" s="226"/>
      <c r="AD135" s="226"/>
      <c r="AE135" s="226"/>
      <c r="AF135" s="226"/>
    </row>
    <row r="136" spans="2:32">
      <c r="B136" s="231" t="str">
        <f>$B$89</f>
        <v>QLD</v>
      </c>
      <c r="C136" s="229" t="str">
        <f t="shared" si="209"/>
        <v/>
      </c>
      <c r="D136" s="225" t="str" cm="1">
        <f t="array" ref="D136">IF(SUM(CF89:CM89)=0,"",_xlfn.TEXTJOIN(",",TRUE,IF(_xlfn.BYROW(CF66:CM78,_xlfn.LAMBDA(_xlpm.row,SUM(_xlpm.row)))&gt;0,$C$66:$C$78,""))&amp;" - "&amp;"( "&amp;IF(CF90&gt;0,CF90&amp;" x Quads, ","")&amp;IF(CG90&gt;0,CG90&amp;" x Triples, ","")&amp;IF(CH90&gt;0,CH90&amp;" x Doubles, ","")&amp;IF(CI90&gt;0,CI90&amp;" x Singles, ","")&amp;IF(CJ90&gt;0,CJ90&amp;" x Quad A0's, ","")&amp;IF(CK90&gt;0,CK90&amp;" x Megas, ","")&amp;IF(CL90&gt;0,CL90&amp;" x DOT Sites, ","")&amp;IF(CM90&gt;0,CM90&amp;" x Mega Portraits","")&amp;" )")</f>
        <v/>
      </c>
      <c r="E136" s="225"/>
      <c r="F136" s="225"/>
      <c r="G136" s="225"/>
      <c r="H136" s="225"/>
      <c r="I136" s="225"/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5"/>
      <c r="W136" s="225"/>
      <c r="X136" s="225"/>
      <c r="Y136" s="225"/>
      <c r="Z136" s="225"/>
      <c r="AA136" s="225"/>
      <c r="AB136" s="225"/>
      <c r="AC136" s="225"/>
      <c r="AD136" s="225"/>
      <c r="AE136" s="225"/>
      <c r="AF136" s="225"/>
    </row>
    <row r="137" spans="2:32">
      <c r="B137" s="222"/>
      <c r="C137" s="222"/>
      <c r="E137" s="223"/>
      <c r="F137" s="223"/>
      <c r="G137" s="223"/>
      <c r="H137" s="223"/>
      <c r="I137" s="223"/>
      <c r="J137" s="223"/>
      <c r="K137" s="223"/>
      <c r="L137" s="223"/>
      <c r="M137" s="223"/>
      <c r="N137" s="223"/>
      <c r="O137" s="223"/>
      <c r="P137" s="223"/>
      <c r="Q137" s="223"/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</row>
    <row r="138" spans="2:32">
      <c r="B138" s="207"/>
      <c r="C138" s="207"/>
    </row>
    <row r="139" spans="2:32">
      <c r="B139" s="228" t="str">
        <f>$B$83</f>
        <v>NSW</v>
      </c>
      <c r="C139" s="229" t="str">
        <f>IF(D139="","",$CP$81)</f>
        <v/>
      </c>
      <c r="D139" s="224" t="str" cm="1">
        <f t="array" ref="D139">IF(SUM(CP83:CX83)=0,"",_xlfn.TEXTJOIN(",",TRUE,IF(_xlfn.BYROW(CP4:CX33,_xlfn.LAMBDA(_xlpm.row,SUM(_xlpm.row)))&gt;0,$C$4:$C$33,""))&amp;" - "&amp;"( "&amp;IF(CP84&gt;0,CP84&amp;" x Quads, ","")&amp;IF(CQ84&gt;0,CQ84&amp;" x Triples, ","")&amp;IF(CR84&gt;0,CR84&amp;" x Doubles, ","")&amp;IF(CS84&gt;0,CS84&amp;" x Singles, ","")&amp;IF(CT84&gt;0,CT84&amp;" x Quad A0's, ","")&amp;IF(CU84&gt;0,CU84&amp;" x Megas, ","")&amp;IF(CV84&gt;0,CV84&amp;" x DOT Sites, ","")&amp;IF(CW84&gt;0,CW84&amp;" x Mega Portraits","")&amp;IF(CX84&gt;0,CX84&amp;" x Ferro Film Quads","")&amp;")")</f>
        <v/>
      </c>
      <c r="E139" s="224"/>
      <c r="F139" s="224"/>
      <c r="G139" s="224"/>
      <c r="H139" s="224"/>
      <c r="I139" s="224"/>
      <c r="J139" s="224"/>
      <c r="K139" s="224"/>
      <c r="L139" s="224"/>
      <c r="M139" s="224"/>
      <c r="N139" s="224"/>
      <c r="O139" s="224"/>
      <c r="P139" s="224"/>
      <c r="Q139" s="224"/>
      <c r="R139" s="224"/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</row>
    <row r="140" spans="2:32">
      <c r="B140" s="230" t="str">
        <f>$B$86</f>
        <v>VIC</v>
      </c>
      <c r="C140" s="229" t="str">
        <f t="shared" ref="C140:C141" si="210">IF(D140="","",$CP$81)</f>
        <v/>
      </c>
      <c r="D140" s="226" t="str" cm="1">
        <f t="array" ref="D140">IF(SUM(CP86:CX86)=0,"",_xlfn.TEXTJOIN(",",TRUE,IF(_xlfn.BYROW(CP35:CX64,_xlfn.LAMBDA(_xlpm.row,SUM(_xlpm.row)))&gt;0,$C$35:$C$64,""))&amp;" - "&amp;"( "&amp;IF(CP87&gt;0,CP87&amp;" x Quads, ","")&amp;IF(CQ87&gt;0,CQ87&amp;" x Triples, ","")&amp;IF(CR87&gt;0,CR87&amp;" x Doubles, ","")&amp;IF(CS87&gt;0,CS87&amp;" x Singles, ","")&amp;IF(CT87&gt;0,CT87&amp;" x Quad A0's, ","")&amp;IF(CU87&gt;0,CU87&amp;" x Megas, ","")&amp;IF(CV87&gt;0,CV87&amp;" x DOT Sites, ","")&amp;IF(CW87&gt;0,CW87&amp;" x Mega Portraits","")&amp;IF(CX87&gt;0,CX87&amp;" x Ferro Film Quads","")&amp;")")</f>
        <v/>
      </c>
      <c r="E140" s="225"/>
      <c r="F140" s="225"/>
      <c r="G140" s="225"/>
      <c r="H140" s="225"/>
      <c r="I140" s="225"/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5"/>
      <c r="W140" s="225"/>
      <c r="X140" s="225"/>
      <c r="Y140" s="225"/>
      <c r="Z140" s="225"/>
      <c r="AA140" s="225"/>
      <c r="AB140" s="225"/>
      <c r="AC140" s="225"/>
      <c r="AD140" s="225"/>
      <c r="AE140" s="225"/>
      <c r="AF140" s="225"/>
    </row>
    <row r="141" spans="2:32">
      <c r="B141" s="230" t="str">
        <f>$B$89</f>
        <v>QLD</v>
      </c>
      <c r="C141" s="229" t="str">
        <f t="shared" si="210"/>
        <v/>
      </c>
      <c r="D141" s="225" t="str" cm="1">
        <f t="array" ref="D141">IF(SUM(CP89:CW89)=0,"",_xlfn.TEXTJOIN(",",TRUE,IF(_xlfn.BYROW(CP66:CW78,_xlfn.LAMBDA(_xlpm.row,SUM(_xlpm.row)))&gt;0,$C$66:$C$78,""))&amp;" - "&amp;"( "&amp;IF(CP90&gt;0,CP90&amp;" x Quads, ","")&amp;IF(CQ90&gt;0,CQ90&amp;" x Triples, ","")&amp;IF(CR90&gt;0,CR90&amp;" x Doubles, ","")&amp;IF(CS90&gt;0,CS90&amp;" x Singles, ","")&amp;IF(CT90&gt;0,CT90&amp;" x Quad A0's, ","")&amp;IF(CU90&gt;0,CU90&amp;" x Megas, ","")&amp;IF(CV90&gt;0,CV90&amp;" x DOT Sites, ","")&amp;IF(CW90&gt;0,CW90&amp;" x Mega Portraits","")&amp;" )")</f>
        <v/>
      </c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6"/>
      <c r="AA141" s="226"/>
      <c r="AB141" s="226"/>
      <c r="AC141" s="226"/>
      <c r="AD141" s="226"/>
      <c r="AE141" s="226"/>
      <c r="AF141" s="226"/>
    </row>
    <row r="142" spans="2:32">
      <c r="B142" s="207"/>
      <c r="C142" s="207"/>
    </row>
    <row r="143" spans="2:32">
      <c r="B143" s="207"/>
      <c r="C143" s="207"/>
    </row>
    <row r="144" spans="2:32">
      <c r="B144" s="228" t="str">
        <f>$B$83</f>
        <v>NSW</v>
      </c>
      <c r="C144" s="229" t="str">
        <f>IF(D144="","",$CZ$81)</f>
        <v/>
      </c>
      <c r="D144" s="224" t="str" cm="1">
        <f t="array" ref="D144">IF(SUM(CZ83:DH83)=0,"",_xlfn.TEXTJOIN(",",TRUE,IF(_xlfn.BYROW(CZ4:DH33,_xlfn.LAMBDA(_xlpm.row,SUM(_xlpm.row)))&gt;0,$C$4:$C$33,""))&amp;" - "&amp;"( "&amp;IF(CZ84&gt;0,CZ84&amp;" x Quads, ","")&amp;IF(DA84&gt;0,DA84&amp;" x Triples, ","")&amp;IF(DB84&gt;0,DB84&amp;" x Doubles, ","")&amp;IF(DC84&gt;0,DC84&amp;" x Singles, ","")&amp;IF(DD84&gt;0,DD84&amp;" x Quad A0's, ","")&amp;IF(DE84&gt;0,DE84&amp;" x Megas, ","")&amp;IF(DF84&gt;0,DF84&amp;" x DOT Sites, ","")&amp;IF(DG84&gt;0,DG84&amp;" x Mega Portraits","")&amp;IF(DH84&gt;0,DH84&amp;" x Ferro Film Quads","")&amp;")")</f>
        <v/>
      </c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  <c r="AF144" s="224"/>
    </row>
    <row r="145" spans="2:32">
      <c r="B145" s="230" t="str">
        <f>$B$86</f>
        <v>VIC</v>
      </c>
      <c r="C145" s="229" t="str">
        <f t="shared" ref="C145:C146" si="211">IF(D145="","",$CZ$81)</f>
        <v/>
      </c>
      <c r="D145" s="226" t="str" cm="1">
        <f t="array" ref="D145">IF(SUM(CZ86:DH86)=0,"",_xlfn.TEXTJOIN(",",TRUE,IF(_xlfn.BYROW(CZ35:DH64,_xlfn.LAMBDA(_xlpm.row,SUM(_xlpm.row)))&gt;0,$C$35:$C$64,""))&amp;" - "&amp;"( "&amp;IF(CZ87&gt;0,CZ87&amp;" x Quads, ","")&amp;IF(DA87&gt;0,DA87&amp;" x Triples, ","")&amp;IF(DB87&gt;0,DB87&amp;" x Doubles, ","")&amp;IF(DC87&gt;0,DC87&amp;" x Singles, ","")&amp;IF(DD87&gt;0,DD87&amp;" x Quad A0's, ","")&amp;IF(DE87&gt;0,DE87&amp;" x Megas, ","")&amp;IF(DF87&gt;0,DF87&amp;" x DOT Sites, ","")&amp;IF(DG87&gt;0,DG87&amp;" x Mega Portraits","")&amp;IF(DH87&gt;0,DH87&amp;" x Ferro Film Quads","")&amp;")")</f>
        <v/>
      </c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  <c r="Z145" s="226"/>
      <c r="AA145" s="226"/>
      <c r="AB145" s="226"/>
      <c r="AC145" s="226"/>
      <c r="AD145" s="226"/>
      <c r="AE145" s="226"/>
      <c r="AF145" s="226"/>
    </row>
    <row r="146" spans="2:32">
      <c r="B146" s="231" t="str">
        <f>$B$89</f>
        <v>QLD</v>
      </c>
      <c r="C146" s="229" t="str">
        <f t="shared" si="211"/>
        <v/>
      </c>
      <c r="D146" s="225" t="str" cm="1">
        <f t="array" ref="D146">IF(SUM(CZ89:DG89)=0,"",_xlfn.TEXTJOIN(",",TRUE,IF(_xlfn.BYROW(CZ66:DG78,_xlfn.LAMBDA(_xlpm.row,SUM(_xlpm.row)))&gt;0,$C$66:$C$78,""))&amp;" - "&amp;"( "&amp;IF(CZ90&gt;0,CZ90&amp;" x Quqds, ","")&amp;IF(DA90&gt;0,DA90&amp;" x Triples, ","")&amp;IF(DB90&gt;0,DB90&amp;" x Doubles, ","")&amp;IF(DC90&gt;0,DC90&amp;" x Singles, ","")&amp;IF(DD90&gt;0,DD90&amp;" x Quad A0's, ","")&amp;IF(DE90&gt;0,DE90&amp;" x Megas, ","")&amp;IF(DF90&gt;0,DF90&amp;" x DOT Sites, ","")&amp;IF(DG90&gt;0,DG90&amp;" x Mega Portraits","")&amp;" )")</f>
        <v/>
      </c>
      <c r="E146" s="225"/>
      <c r="F146" s="225"/>
      <c r="G146" s="225"/>
      <c r="H146" s="225"/>
      <c r="I146" s="225"/>
      <c r="J146" s="225"/>
      <c r="K146" s="225"/>
      <c r="L146" s="225"/>
      <c r="M146" s="225"/>
      <c r="N146" s="225"/>
      <c r="O146" s="225"/>
      <c r="P146" s="225"/>
      <c r="Q146" s="225"/>
      <c r="R146" s="225"/>
      <c r="S146" s="225"/>
      <c r="T146" s="225"/>
      <c r="U146" s="225"/>
      <c r="V146" s="225"/>
      <c r="W146" s="225"/>
      <c r="X146" s="225"/>
      <c r="Y146" s="225"/>
      <c r="Z146" s="225"/>
      <c r="AA146" s="225"/>
      <c r="AB146" s="225"/>
      <c r="AC146" s="225"/>
      <c r="AD146" s="225"/>
      <c r="AE146" s="225"/>
      <c r="AF146" s="225"/>
    </row>
    <row r="147" spans="2:32">
      <c r="B147" s="222"/>
      <c r="C147" s="222"/>
      <c r="E147" s="223"/>
      <c r="F147" s="223"/>
      <c r="G147" s="223"/>
      <c r="H147" s="223"/>
      <c r="I147" s="223"/>
      <c r="J147" s="223"/>
      <c r="K147" s="223"/>
      <c r="L147" s="223"/>
      <c r="M147" s="223"/>
      <c r="N147" s="223"/>
      <c r="O147" s="223"/>
      <c r="P147" s="223"/>
      <c r="Q147" s="223"/>
      <c r="R147" s="223"/>
      <c r="S147" s="223"/>
      <c r="T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</row>
    <row r="148" spans="2:32">
      <c r="B148" s="207"/>
      <c r="C148" s="207"/>
    </row>
    <row r="149" spans="2:32">
      <c r="B149" s="228" t="str">
        <f>$B$83</f>
        <v>NSW</v>
      </c>
      <c r="C149" s="229" t="str">
        <f>IF(D149="","",$DJ$81)</f>
        <v/>
      </c>
      <c r="D149" s="224" t="str" cm="1">
        <f t="array" ref="D149">IF(SUM(DJ83:DR83)=0,"",_xlfn.TEXTJOIN(",",TRUE,IF(_xlfn.BYROW(DJ4:DR33,_xlfn.LAMBDA(_xlpm.row,SUM(_xlpm.row)))&gt;0,$C$4:$C$33,""))&amp;" - "&amp;"( "&amp;IF(DJ84&gt;0,DJ84&amp;" x Quads, ","")&amp;IF(DK84&gt;0,DK84&amp;" x Triples, ","")&amp;IF(DL84&gt;0,DL84&amp;" x Doubles, ","")&amp;IF(DM84&gt;0,DM84&amp;" x Singles, ","")&amp;IF(DN84&gt;0,DN84&amp;" x Quad A0's, ","")&amp;IF(DO84&gt;0,DO84&amp;" x Megas, ","")&amp;IF(DP84&gt;0,DP84&amp;" x DOT Sites, ","")&amp;IF(DQ84&gt;0,DQ84&amp;" x Mega Portraits","")&amp;IF(DR84&gt;0,DR84&amp;" x Ferro Film Quads","")&amp;")")</f>
        <v/>
      </c>
      <c r="E149" s="224"/>
      <c r="F149" s="224"/>
      <c r="G149" s="224"/>
      <c r="H149" s="224"/>
      <c r="I149" s="224"/>
      <c r="J149" s="224"/>
      <c r="K149" s="224"/>
      <c r="L149" s="224"/>
      <c r="M149" s="224"/>
      <c r="N149" s="224"/>
      <c r="O149" s="224"/>
      <c r="P149" s="224"/>
      <c r="Q149" s="224"/>
      <c r="R149" s="224"/>
      <c r="S149" s="224"/>
      <c r="T149" s="224"/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  <c r="AF149" s="224"/>
    </row>
    <row r="150" spans="2:32">
      <c r="B150" s="230" t="str">
        <f>$B$86</f>
        <v>VIC</v>
      </c>
      <c r="C150" s="229" t="str">
        <f t="shared" ref="C150:C151" si="212">IF(D150="","",$DJ$81)</f>
        <v/>
      </c>
      <c r="D150" s="226" t="str" cm="1">
        <f t="array" ref="D150">IF(SUM(DJ86:DR86)=0,"",_xlfn.TEXTJOIN(",",TRUE,IF(_xlfn.BYROW(DJ35:DR64,_xlfn.LAMBDA(_xlpm.row,SUM(_xlpm.row)))&gt;0,$C$35:$C$64,""))&amp;" - "&amp;"( "&amp;IF(DJ87&gt;0,DJ87&amp;" x Quads, ","")&amp;IF(DK87&gt;0,DK87&amp;" x Triples, ","")&amp;IF(DL87&gt;0,DL87&amp;" x Doubles, ","")&amp;IF(DM87&gt;0,DM87&amp;" x Singles, ","")&amp;IF(DN87&gt;0,DN87&amp;" x Quad A0's, ","")&amp;IF(DO87&gt;0,DO87&amp;" x Megas, ","")&amp;IF(DP87&gt;0,DP87&amp;" x DOT Sites, ","")&amp;IF(DQ87&gt;0,DQ87&amp;" x Mega Portraits","")&amp;IF(DR87&gt;0,DR87&amp;" x Ferro Film Quads","")&amp;")")</f>
        <v/>
      </c>
      <c r="E150" s="225"/>
      <c r="F150" s="225"/>
      <c r="G150" s="225"/>
      <c r="H150" s="225"/>
      <c r="I150" s="225"/>
      <c r="J150" s="225"/>
      <c r="K150" s="225"/>
      <c r="L150" s="225"/>
      <c r="M150" s="225"/>
      <c r="N150" s="225"/>
      <c r="O150" s="225"/>
      <c r="P150" s="225"/>
      <c r="Q150" s="225"/>
      <c r="R150" s="225"/>
      <c r="S150" s="225"/>
      <c r="T150" s="225"/>
      <c r="U150" s="225"/>
      <c r="V150" s="225"/>
      <c r="W150" s="225"/>
      <c r="X150" s="225"/>
      <c r="Y150" s="225"/>
      <c r="Z150" s="225"/>
      <c r="AA150" s="225"/>
      <c r="AB150" s="225"/>
      <c r="AC150" s="225"/>
      <c r="AD150" s="225"/>
      <c r="AE150" s="225"/>
      <c r="AF150" s="225"/>
    </row>
    <row r="151" spans="2:32">
      <c r="B151" s="230" t="str">
        <f>$B$89</f>
        <v>QLD</v>
      </c>
      <c r="C151" s="229" t="str">
        <f t="shared" si="212"/>
        <v/>
      </c>
      <c r="D151" s="225" t="str" cm="1">
        <f t="array" ref="D151">IF(SUM(DJ89:DQ89)=0,"",_xlfn.TEXTJOIN(",",TRUE,IF(_xlfn.BYROW(DJ66:DQ78,_xlfn.LAMBDA(_xlpm.row,SUM(_xlpm.row)))&gt;0,$C$66:$C$78,""))&amp;" - "&amp;"( "&amp;IF(DJ90&gt;0,DJ90&amp;" x Quads, ","")&amp;IF(DK90&gt;0,DK90&amp;" x Triples, ","")&amp;IF(DL90&gt;0,DL90&amp;" x Doubles, ","")&amp;IF(DM90&gt;0,DM90&amp;" x Singles, ","")&amp;IF(DN90&gt;0,DN90&amp;" x Quad A0's, ","")&amp;IF(DO90&gt;0,DO90&amp;" x Megas, ","")&amp;IF(DP90&gt;0,DP90&amp;" x DOT Sites, ","")&amp;IF(DQ90&gt;0,DQ90&amp;" x Mega Portraits","")&amp;" )")</f>
        <v/>
      </c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  <c r="Z151" s="226"/>
      <c r="AA151" s="226"/>
      <c r="AB151" s="226"/>
      <c r="AC151" s="226"/>
      <c r="AD151" s="226"/>
      <c r="AE151" s="226"/>
      <c r="AF151" s="226"/>
    </row>
    <row r="152" spans="2:32">
      <c r="B152" s="207"/>
      <c r="C152" s="207"/>
    </row>
    <row r="153" spans="2:32">
      <c r="B153" s="207"/>
      <c r="C153" s="207"/>
    </row>
    <row r="154" spans="2:32">
      <c r="B154" s="228" t="str">
        <f>$B$83</f>
        <v>NSW</v>
      </c>
      <c r="C154" s="229" t="str">
        <f>IF(D154="","",$DT$81)</f>
        <v/>
      </c>
      <c r="D154" s="224" t="str" cm="1">
        <f t="array" ref="D154">IF(SUM(DT83:EB83)=0,"",_xlfn.TEXTJOIN(",",TRUE,IF(_xlfn.BYROW(DT4:EB33,_xlfn.LAMBDA(_xlpm.row,SUM(_xlpm.row)))&gt;0,$C$4:$C$33,""))&amp;" - "&amp;"( "&amp;IF(DT84&gt;0,DT84&amp;" x Quads, ","")&amp;IF(DU84&gt;0,DU84&amp;" x Triples, ","")&amp;IF(DV84&gt;0,DV84&amp;" x Doubles, ","")&amp;IF(DW84&gt;0,DW84&amp;" x Singles, ","")&amp;IF(DX84&gt;0,DX84&amp;" x Quad A0's, ","")&amp;IF(DY84&gt;0,DY84&amp;" x Megas, ","")&amp;IF(DZ84&gt;0,DZ84&amp;" x DOT Sites, ","")&amp;IF(EA84&gt;0,EA84&amp;" x Mega Portraits","")&amp;IF(EB84&gt;0,EB84&amp;" x Ferro Film Quads","")&amp;")")</f>
        <v/>
      </c>
      <c r="E154" s="224"/>
      <c r="F154" s="224"/>
      <c r="G154" s="224"/>
      <c r="H154" s="224"/>
      <c r="I154" s="224"/>
      <c r="J154" s="224"/>
      <c r="K154" s="224"/>
      <c r="L154" s="224"/>
      <c r="M154" s="224"/>
      <c r="N154" s="224"/>
      <c r="O154" s="224"/>
      <c r="P154" s="224"/>
      <c r="Q154" s="224"/>
      <c r="R154" s="224"/>
      <c r="S154" s="224"/>
      <c r="T154" s="224"/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  <c r="AF154" s="224"/>
    </row>
    <row r="155" spans="2:32">
      <c r="B155" s="230" t="str">
        <f>$B$86</f>
        <v>VIC</v>
      </c>
      <c r="C155" s="229" t="str">
        <f t="shared" ref="C155:C156" si="213">IF(D155="","",$DT$81)</f>
        <v/>
      </c>
      <c r="D155" s="226" t="str" cm="1">
        <f t="array" ref="D155">IF(SUM(DT86:EB86)=0,"",_xlfn.TEXTJOIN(",",TRUE,IF(_xlfn.BYROW(DT35:EB64,_xlfn.LAMBDA(_xlpm.row,SUM(_xlpm.row)))&gt;0,$C$35:$C$64,""))&amp;" - "&amp;"( "&amp;IF(DT87&gt;0,DT87&amp;" x Quads, ","")&amp;IF(DU87&gt;0,DU87&amp;" x Triples, ","")&amp;IF(DV87&gt;0,DV87&amp;" x Doubles, ","")&amp;IF(DW87&gt;0,DW87&amp;" x Singles, ","")&amp;IF(DX87&gt;0,DX87&amp;" x Quad A0's, ","")&amp;IF(DY87&gt;0,DY87&amp;" x Megas, ","")&amp;IF(DZ87&gt;0,DZ87&amp;" x DOT Sites, ","")&amp;IF(EA87&gt;0,EA87&amp;" x Mega Portraits","")&amp;IF(EB87&gt;0,EB87&amp;" x Ferro Film Quads","")&amp;")")</f>
        <v/>
      </c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6"/>
      <c r="AA155" s="226"/>
      <c r="AB155" s="226"/>
      <c r="AC155" s="226"/>
      <c r="AD155" s="226"/>
      <c r="AE155" s="226"/>
      <c r="AF155" s="226"/>
    </row>
    <row r="156" spans="2:32">
      <c r="B156" s="231" t="str">
        <f>$B$89</f>
        <v>QLD</v>
      </c>
      <c r="C156" s="229" t="str">
        <f t="shared" si="213"/>
        <v/>
      </c>
      <c r="D156" s="225" t="str" cm="1">
        <f t="array" ref="D156">IF(SUM(DT89:EA89)=0,"",_xlfn.TEXTJOIN(",",TRUE,IF(_xlfn.BYROW(DT66:EA78,_xlfn.LAMBDA(_xlpm.row,SUM(_xlpm.row)))&gt;0,$C$66:$C$78,""))&amp;" - "&amp;"( "&amp;IF(DT90&gt;0,DT90&amp;" x Quads, ","")&amp;IF(DU90&gt;0,DU90&amp;" x Triples, ","")&amp;IF(DV90&gt;0,DV90&amp;" x Doubles, ","")&amp;IF(DW90&gt;0,DW90&amp;" x Singles, ","")&amp;IF(DX90&gt;0,DX90&amp;" x Quad A0's, ","")&amp;IF(DY90&gt;0,DY90&amp;" x Megas, ","")&amp;IF(DZ90&gt;0,DZ90&amp;" x DOT Sites, ","")&amp;IF(EA90&gt;0,EA90&amp;" x Mega Portraits","")&amp;" )")</f>
        <v/>
      </c>
      <c r="E156" s="225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25"/>
      <c r="S156" s="225"/>
      <c r="T156" s="225"/>
      <c r="U156" s="225"/>
      <c r="V156" s="225"/>
      <c r="W156" s="225"/>
      <c r="X156" s="225"/>
      <c r="Y156" s="225"/>
      <c r="Z156" s="225"/>
      <c r="AA156" s="225"/>
      <c r="AB156" s="225"/>
      <c r="AC156" s="225"/>
      <c r="AD156" s="225"/>
      <c r="AE156" s="225"/>
      <c r="AF156" s="225"/>
    </row>
    <row r="157" spans="2:32">
      <c r="B157" s="222"/>
      <c r="C157" s="222"/>
      <c r="E157" s="223"/>
      <c r="F157" s="223"/>
      <c r="G157" s="223"/>
      <c r="H157" s="223"/>
      <c r="I157" s="223"/>
      <c r="J157" s="223"/>
      <c r="K157" s="223"/>
      <c r="L157" s="223"/>
      <c r="M157" s="223"/>
      <c r="N157" s="223"/>
      <c r="O157" s="223"/>
      <c r="P157" s="223"/>
      <c r="Q157" s="223"/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  <c r="AB157" s="223"/>
      <c r="AC157" s="223"/>
      <c r="AD157" s="223"/>
      <c r="AE157" s="223"/>
      <c r="AF157" s="223"/>
    </row>
    <row r="158" spans="2:32">
      <c r="B158" s="207"/>
      <c r="C158" s="207"/>
    </row>
    <row r="159" spans="2:32">
      <c r="B159" s="228" t="str">
        <f>$B$83</f>
        <v>NSW</v>
      </c>
      <c r="C159" s="229" t="str">
        <f>IF(D159="","",$ED$81)</f>
        <v/>
      </c>
      <c r="D159" s="224" t="str" cm="1">
        <f t="array" ref="D159">IF(SUM(ED83:EL83)=0,"",_xlfn.TEXTJOIN(",",TRUE,IF(_xlfn.BYROW(ED4:EL33,_xlfn.LAMBDA(_xlpm.row,SUM(_xlpm.row)))&gt;0,$C$4:$C$33,""))&amp;" - "&amp;"( "&amp;IF(ED84&gt;0,ED84&amp;" x Quads, ","")&amp;IF(EE84&gt;0,EE84&amp;" x Triples, ","")&amp;IF(EF84&gt;0,EF84&amp;" x Doubles, ","")&amp;IF(EG84&gt;0,EG84&amp;" x Singles, ","")&amp;IF(EH84&gt;0,EH84&amp;" x Quad A0's, ","")&amp;IF(EI84&gt;0,EI84&amp;" x Megas, ","")&amp;IF(EJ84&gt;0,EJ84&amp;" x DOT Sites, ","")&amp;IF(EK84&gt;0,EK84&amp;" x Mega Portraits","")&amp;IF(EL84&gt;0,EL84&amp;" x Ferro Film Quads","")&amp;")")</f>
        <v/>
      </c>
      <c r="E159" s="224"/>
      <c r="F159" s="224"/>
      <c r="G159" s="224"/>
      <c r="H159" s="224"/>
      <c r="I159" s="224"/>
      <c r="J159" s="224"/>
      <c r="K159" s="224"/>
      <c r="L159" s="224"/>
      <c r="M159" s="224"/>
      <c r="N159" s="224"/>
      <c r="O159" s="224"/>
      <c r="P159" s="224"/>
      <c r="Q159" s="224"/>
      <c r="R159" s="224"/>
      <c r="S159" s="224"/>
      <c r="T159" s="224"/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  <c r="AF159" s="224"/>
    </row>
    <row r="160" spans="2:32">
      <c r="B160" s="230" t="str">
        <f>$B$86</f>
        <v>VIC</v>
      </c>
      <c r="C160" s="229" t="str">
        <f t="shared" ref="C160:C161" si="214">IF(D160="","",$ED$81)</f>
        <v/>
      </c>
      <c r="D160" s="226" t="str" cm="1">
        <f t="array" ref="D160">IF(SUM(ED86:EL86)=0,"",_xlfn.TEXTJOIN(",",TRUE,IF(_xlfn.BYROW(ED35:EL64,_xlfn.LAMBDA(_xlpm.row,SUM(_xlpm.row)))&gt;0,$C$35:$C$64,""))&amp;" - "&amp;"( "&amp;IF(ED87&gt;0,ED87&amp;" x Quads, ","")&amp;IF(EE87&gt;0,EE87&amp;" x Triples, ","")&amp;IF(EF87&gt;0,EF87&amp;" x Doubles, ","")&amp;IF(EG87&gt;0,EG87&amp;" x Singles, ","")&amp;IF(EH87&gt;0,EH87&amp;" x Quad A0's, ","")&amp;IF(EI87&gt;0,EI87&amp;" x Megas, ","")&amp;IF(EJ87&gt;0,EJ87&amp;" x DOT Sites, ","")&amp;IF(EK87&gt;0,EK87&amp;" x Mega Portraits","")&amp;IF(EL87&gt;0,EL87&amp;" x Ferro Film Quads","")&amp;")")</f>
        <v/>
      </c>
      <c r="E160" s="225"/>
      <c r="F160" s="225"/>
      <c r="G160" s="225"/>
      <c r="H160" s="225"/>
      <c r="I160" s="225"/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</row>
    <row r="161" spans="2:32">
      <c r="B161" s="230" t="str">
        <f>$B$89</f>
        <v>QLD</v>
      </c>
      <c r="C161" s="229" t="str">
        <f t="shared" si="214"/>
        <v/>
      </c>
      <c r="D161" s="225" t="str" cm="1">
        <f t="array" ref="D161">IF(SUM(ED89:EK89)=0,"",_xlfn.TEXTJOIN(",",TRUE,IF(_xlfn.BYROW(ED66:EK78,_xlfn.LAMBDA(_xlpm.row,SUM(_xlpm.row)))&gt;0,$C$66:$C$78,""))&amp;" - "&amp;"( "&amp;IF(ED90&gt;0,ED90&amp;" x Quads, ","")&amp;IF(EE90&gt;0,EE90&amp;" x Triples, ","")&amp;IF(EF90&gt;0,EF90&amp;" x Doubles, ","")&amp;IF(EG90&gt;0,EG90&amp;" x Singles, ","")&amp;IF(EH90&gt;0,EH90&amp;" x Quad A0's, ","")&amp;IF(EI90&gt;0,EI90&amp;" x Megas, ","")&amp;IF(EJ90&gt;0,EJ90&amp;" x DOT Sites, ","")&amp;IF(EK90&gt;0,EK90&amp;" x Mega Portraits","")&amp;" )")</f>
        <v/>
      </c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  <c r="Z161" s="226"/>
      <c r="AA161" s="226"/>
      <c r="AB161" s="226"/>
      <c r="AC161" s="226"/>
      <c r="AD161" s="226"/>
      <c r="AE161" s="226"/>
      <c r="AF161" s="226"/>
    </row>
    <row r="162" spans="2:32">
      <c r="B162" s="207"/>
      <c r="C162" s="207"/>
    </row>
    <row r="163" spans="2:32">
      <c r="B163" s="207"/>
      <c r="C163" s="207"/>
    </row>
    <row r="164" spans="2:32">
      <c r="B164" s="228" t="str">
        <f>$B$83</f>
        <v>NSW</v>
      </c>
      <c r="C164" s="229" t="str">
        <f>IF(D164="","",$EN$81)</f>
        <v/>
      </c>
      <c r="D164" s="224" t="str" cm="1">
        <f t="array" ref="D164">IF(SUM(EN83:EV83)=0,"",_xlfn.TEXTJOIN(",",TRUE,IF(_xlfn.BYROW(EN4:EV33,_xlfn.LAMBDA(_xlpm.row,SUM(_xlpm.row)))&gt;0,$C$4:$C$33,""))&amp;" - "&amp;"( "&amp;IF(EN84&gt;0,EN84&amp;" x Quads, ","")&amp;IF(EO84&gt;0,EO84&amp;" x Triples, ","")&amp;IF(EP84&gt;0,EP84&amp;" x Doubles, ","")&amp;IF(EQ84&gt;0,EQ84&amp;" x Singles, ","")&amp;IF(ER84&gt;0,ER84&amp;" x Quad A0's, ","")&amp;IF(ES84&gt;0,ES84&amp;" x Megas, ","")&amp;IF(ET84&gt;0,ET84&amp;" x DOT Sites, ","")&amp;IF(EU84&gt;0,EU84&amp;" x Mega Portraits","")&amp;IF(EV84&gt;0,EV84&amp;" x Ferro Film Quads","")&amp;")")</f>
        <v/>
      </c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  <c r="P164" s="224"/>
      <c r="Q164" s="224"/>
      <c r="R164" s="224"/>
      <c r="S164" s="224"/>
      <c r="T164" s="224"/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  <c r="AF164" s="224"/>
    </row>
    <row r="165" spans="2:32">
      <c r="B165" s="230" t="str">
        <f>$B$86</f>
        <v>VIC</v>
      </c>
      <c r="C165" s="229" t="str">
        <f t="shared" ref="C165:C166" si="215">IF(D165="","",$EN$81)</f>
        <v/>
      </c>
      <c r="D165" s="226" t="str" cm="1">
        <f t="array" ref="D165">IF(SUM(EN86:EV86)=0,"",_xlfn.TEXTJOIN(",",TRUE,IF(_xlfn.BYROW(EN35:EV64,_xlfn.LAMBDA(_xlpm.row,SUM(_xlpm.row)))&gt;0,$C$35:$C$64,""))&amp;" - "&amp;"( "&amp;IF(EN87&gt;0,EN87&amp;" x Quads, ","")&amp;IF(EO87&gt;0,EO87&amp;" x Triples, ","")&amp;IF(EP87&gt;0,EP87&amp;" x Doubles, ","")&amp;IF(EQ87&gt;0,EQ87&amp;" x Singles, ","")&amp;IF(ER87&gt;0,ER87&amp;" x Quad A0's, ","")&amp;IF(ES87&gt;0,ES87&amp;" x Megas, ","")&amp;IF(ET87&gt;0,ET87&amp;" x DOT Sites, ","")&amp;IF(EU87&gt;0,EU87&amp;" x Mega Portraits","")&amp;IF(EV87&gt;0,EV87&amp;" x Ferro Film Quads","")&amp;")")</f>
        <v/>
      </c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  <c r="Z165" s="226"/>
      <c r="AA165" s="226"/>
      <c r="AB165" s="226"/>
      <c r="AC165" s="226"/>
      <c r="AD165" s="226"/>
      <c r="AE165" s="226"/>
      <c r="AF165" s="226"/>
    </row>
    <row r="166" spans="2:32">
      <c r="B166" s="231" t="str">
        <f>$B$89</f>
        <v>QLD</v>
      </c>
      <c r="C166" s="229" t="str">
        <f t="shared" si="215"/>
        <v/>
      </c>
      <c r="D166" s="225" t="str" cm="1">
        <f t="array" ref="D166">IF(SUM(EN89:EU89)=0,"",_xlfn.TEXTJOIN(",",TRUE,IF(_xlfn.BYROW(EN66:EU78,_xlfn.LAMBDA(_xlpm.row,SUM(_xlpm.row)))&gt;0,$C$66:$C$78,""))&amp;" - "&amp;"( "&amp;IF(EN90&gt;0,EN90&amp;" x Quads, ","")&amp;IF(EO90&gt;0,EO90&amp;" x Triples, ","")&amp;IF(EP90&gt;0,EP90&amp;" x Doubles, ","")&amp;IF(EQ90&gt;0,EQ90&amp;" x Singles, ","")&amp;IF(ER90&gt;0,ER90&amp;" x Quad A0's, ","")&amp;IF(ES90&gt;0,ES90&amp;" x Megas, ","")&amp;IF(ET90&gt;0,ET90&amp;" x DOT Sites, ","")&amp;IF(EU90&gt;0,EU90&amp;" x Mega Portraits","")&amp;" )")</f>
        <v/>
      </c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</row>
    <row r="167" spans="2:32">
      <c r="B167" s="222"/>
      <c r="C167" s="222"/>
      <c r="E167" s="223"/>
      <c r="F167" s="223"/>
      <c r="G167" s="223"/>
      <c r="H167" s="223"/>
      <c r="I167" s="223"/>
      <c r="J167" s="223"/>
      <c r="K167" s="223"/>
      <c r="L167" s="223"/>
      <c r="M167" s="223"/>
      <c r="N167" s="223"/>
      <c r="O167" s="223"/>
      <c r="P167" s="223"/>
      <c r="Q167" s="223"/>
      <c r="R167" s="223"/>
      <c r="S167" s="223"/>
      <c r="T167" s="223"/>
      <c r="U167" s="223"/>
      <c r="V167" s="223"/>
      <c r="W167" s="223"/>
      <c r="X167" s="223"/>
      <c r="Y167" s="223"/>
      <c r="Z167" s="223"/>
      <c r="AA167" s="223"/>
      <c r="AB167" s="223"/>
      <c r="AC167" s="223"/>
      <c r="AD167" s="223"/>
      <c r="AE167" s="223"/>
      <c r="AF167" s="223"/>
    </row>
    <row r="168" spans="2:32">
      <c r="B168" s="207"/>
      <c r="C168" s="207"/>
    </row>
    <row r="169" spans="2:32">
      <c r="B169" s="228" t="str">
        <f>$B$83</f>
        <v>NSW</v>
      </c>
      <c r="C169" s="229" t="str">
        <f>IF(D169="","",$EX$81)</f>
        <v/>
      </c>
      <c r="D169" s="224" t="str" cm="1">
        <f t="array" ref="D169">IF(SUM(EX83:FF83)=0,"",_xlfn.TEXTJOIN(",",TRUE,IF(_xlfn.BYROW(EX4:FF33,_xlfn.LAMBDA(_xlpm.row,SUM(_xlpm.row)))&gt;0,$C$4:$C$33,""))&amp;" - "&amp;"( "&amp;IF(EX84&gt;0,EX84&amp;" x Quads, ","")&amp;IF(EY84&gt;0,EY84&amp;" x Triples, ","")&amp;IF(EZ84&gt;0,EZ84&amp;" x Doubles, ","")&amp;IF(FA84&gt;0,FA84&amp;" x Singles, ","")&amp;IF(FB84&gt;0,FB84&amp;" x Quad A0's, ","")&amp;IF(FC84&gt;0,FC84&amp;" x Megas, ","")&amp;IF(FD84&gt;0,FD84&amp;" x DOT Sites, ","")&amp;IF(FE84&gt;0,FE84&amp;" x Mega Portraits","")&amp;IF(FF84&gt;0,FF84&amp;" x Ferro Film Quads","")&amp;")")</f>
        <v/>
      </c>
      <c r="E169" s="224"/>
      <c r="F169" s="224"/>
      <c r="G169" s="224"/>
      <c r="H169" s="224"/>
      <c r="I169" s="224"/>
      <c r="J169" s="224"/>
      <c r="K169" s="224"/>
      <c r="L169" s="224"/>
      <c r="M169" s="224"/>
      <c r="N169" s="224"/>
      <c r="O169" s="224"/>
      <c r="P169" s="224"/>
      <c r="Q169" s="224"/>
      <c r="R169" s="224"/>
      <c r="S169" s="224"/>
      <c r="T169" s="224"/>
      <c r="U169" s="224"/>
      <c r="V169" s="224"/>
      <c r="W169" s="224"/>
      <c r="X169" s="224"/>
      <c r="Y169" s="224"/>
      <c r="Z169" s="224"/>
      <c r="AA169" s="224"/>
      <c r="AB169" s="224"/>
      <c r="AC169" s="224"/>
      <c r="AD169" s="224"/>
      <c r="AE169" s="224"/>
      <c r="AF169" s="224"/>
    </row>
    <row r="170" spans="2:32">
      <c r="B170" s="230" t="str">
        <f>$B$86</f>
        <v>VIC</v>
      </c>
      <c r="C170" s="229" t="str">
        <f t="shared" ref="C170:C171" si="216">IF(D170="","",$EX$81)</f>
        <v/>
      </c>
      <c r="D170" s="226" t="str" cm="1">
        <f t="array" ref="D170">IF(SUM(EX86:FF86)=0,"",_xlfn.TEXTJOIN(",",TRUE,IF(_xlfn.BYROW(EX35:FF64,_xlfn.LAMBDA(_xlpm.row,SUM(_xlpm.row)))&gt;0,$C$35:$C$64,""))&amp;" - "&amp;"( "&amp;IF(EX87&gt;0,EX87&amp;" x Quads, ","")&amp;IF(EY87&gt;0,EY87&amp;" x Triples, ","")&amp;IF(EZ87&gt;0,EZ87&amp;" x Doubles, ","")&amp;IF(FA87&gt;0,FA87&amp;" x Singles, ","")&amp;IF(FB87&gt;0,FB87&amp;" x Quad A0's, ","")&amp;IF(FC87&gt;0,FC87&amp;" x Megas, ","")&amp;IF(FD87&gt;0,FD87&amp;" x DOT Sites, ","")&amp;IF(FE87&gt;0,FE87&amp;" x Mega Portraits","")&amp;IF(FF87&gt;0,FF87&amp;" x Ferro Film Quads","")&amp;")")</f>
        <v/>
      </c>
      <c r="E170" s="225"/>
      <c r="F170" s="225"/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  <c r="AC170" s="225"/>
      <c r="AD170" s="225"/>
      <c r="AE170" s="225"/>
      <c r="AF170" s="225"/>
    </row>
    <row r="171" spans="2:32">
      <c r="B171" s="230" t="str">
        <f>$B$89</f>
        <v>QLD</v>
      </c>
      <c r="C171" s="229" t="str">
        <f t="shared" si="216"/>
        <v/>
      </c>
      <c r="D171" s="225" t="str" cm="1">
        <f t="array" ref="D171">IF(SUM(EX89:FE89)=0,"",_xlfn.TEXTJOIN(",",TRUE,IF(_xlfn.BYROW(EX66:FE78,_xlfn.LAMBDA(_xlpm.row,SUM(_xlpm.row)))&gt;0,$C$66:$C$78,""))&amp;" - "&amp;"( "&amp;IF(EX90&gt;0,EX90&amp;" x Quads, ","")&amp;IF(EY90&gt;0,EY90&amp;" x Triples, ","")&amp;IF(EZ90&gt;0,EZ90&amp;" x Doubles, ","")&amp;IF(FA90&gt;0,FA90&amp;" x Singles, ","")&amp;IF(FB90&gt;0,FB90&amp;" x Quad A0's, ","")&amp;IF(FC90&gt;0,FC90&amp;" x Megas, ","")&amp;IF(FD90&gt;0,FD90&amp;" x DOT Sites, ","")&amp;IF(FE90&gt;0,FE90&amp;" x Mega Portraits","")&amp;" )")</f>
        <v/>
      </c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  <c r="Z171" s="226"/>
      <c r="AA171" s="226"/>
      <c r="AB171" s="226"/>
      <c r="AC171" s="226"/>
      <c r="AD171" s="226"/>
      <c r="AE171" s="226"/>
      <c r="AF171" s="226"/>
    </row>
    <row r="172" spans="2:32">
      <c r="B172" s="207"/>
      <c r="C172" s="207"/>
    </row>
    <row r="173" spans="2:32">
      <c r="B173" s="207"/>
      <c r="C173" s="207"/>
    </row>
    <row r="174" spans="2:32">
      <c r="B174" s="228" t="str">
        <f>$B$83</f>
        <v>NSW</v>
      </c>
      <c r="C174" s="229" t="str">
        <f>IF(D174="","",$FH$81)</f>
        <v/>
      </c>
      <c r="D174" s="224" t="str" cm="1">
        <f t="array" ref="D174">IF(SUM(FH83:FP83)=0,"",_xlfn.TEXTJOIN(",",TRUE,IF(_xlfn.BYROW(FH4:FP33,_xlfn.LAMBDA(_xlpm.row,SUM(_xlpm.row)))&gt;0,$C$4:$C$33,""))&amp;" - "&amp;"( "&amp;IF(FH84&gt;0,FH84&amp;" x Quads, ","")&amp;IF(FI84&gt;0,FI84&amp;" x Triples, ","")&amp;IF(FJ84&gt;0,FJ84&amp;" x Doubles, ","")&amp;IF(FK84&gt;0,FK84&amp;" x Singles, ","")&amp;IF(FL84&gt;0,FL84&amp;" x Quad A0's, ","")&amp;IF(FM84&gt;0,FM84&amp;" x Megas, ","")&amp;IF(FN84&gt;0,FN84&amp;" x DOT Sites, ","")&amp;IF(FO84&gt;0,FO84&amp;" x Mega Portraits","")&amp;IF(FP84&gt;0,FP84&amp;" x Ferro Film Quads","")&amp;")")</f>
        <v/>
      </c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P174" s="224"/>
      <c r="Q174" s="224"/>
      <c r="R174" s="224"/>
      <c r="S174" s="224"/>
      <c r="T174" s="224"/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  <c r="AF174" s="224"/>
    </row>
    <row r="175" spans="2:32">
      <c r="B175" s="230" t="str">
        <f>$B$86</f>
        <v>VIC</v>
      </c>
      <c r="C175" s="229" t="str">
        <f t="shared" ref="C175:C176" si="217">IF(D175="","",$FH$81)</f>
        <v/>
      </c>
      <c r="D175" s="226" t="str" cm="1">
        <f t="array" ref="D175">IF(SUM(FH86:FP86)=0,"",_xlfn.TEXTJOIN(",",TRUE,IF(_xlfn.BYROW(FH35:FP64,_xlfn.LAMBDA(_xlpm.row,SUM(_xlpm.row)))&gt;0,$C$35:$C$64,""))&amp;" - "&amp;"( "&amp;IF(FH87&gt;0,FH87&amp;" x Quads, ","")&amp;IF(FI87&gt;0,FI87&amp;" x Triples, ","")&amp;IF(FJ87&gt;0,FJ87&amp;" x Doubles, ","")&amp;IF(FK87&gt;0,FK87&amp;" x Singles, ","")&amp;IF(FL87&gt;0,FL87&amp;" x Quad A0's, ","")&amp;IF(FM87&gt;0,FM87&amp;" x Megas, ","")&amp;IF(FN87&gt;0,FN87&amp;" x DOT Sites, ","")&amp;IF(FO87&gt;0,FO87&amp;" x Mega Portraits","")&amp;IF(FP87&gt;0,FP87&amp;" x Ferro Film Quads","")&amp;")")</f>
        <v/>
      </c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  <c r="Z175" s="226"/>
      <c r="AA175" s="226"/>
      <c r="AB175" s="226"/>
      <c r="AC175" s="226"/>
      <c r="AD175" s="226"/>
      <c r="AE175" s="226"/>
      <c r="AF175" s="226"/>
    </row>
    <row r="176" spans="2:32">
      <c r="B176" s="231" t="str">
        <f>$B$89</f>
        <v>QLD</v>
      </c>
      <c r="C176" s="229" t="str">
        <f t="shared" si="217"/>
        <v/>
      </c>
      <c r="D176" s="225" t="str" cm="1">
        <f t="array" ref="D176">IF(SUM(FH89:FO89)=0,"",_xlfn.TEXTJOIN(",",TRUE,IF(_xlfn.BYROW(FH66:FO78,_xlfn.LAMBDA(_xlpm.row,SUM(_xlpm.row)))&gt;0,$C$66:$C$78,""))&amp;" - "&amp;"( "&amp;IF(FH90&gt;0,FH90&amp;" x Quads, ","")&amp;IF(FI90&gt;0,FI90&amp;" x Triples, ","")&amp;IF(FJ90&gt;0,FJ90&amp;" x Doubles, ","")&amp;IF(FK90&gt;0,FK90&amp;" x Singles, ","")&amp;IF(FL90&gt;0,FL90&amp;" x Quad A0's, ","")&amp;IF(FM90&gt;0,FM90&amp;" x Megas, ","")&amp;IF(FN90&gt;0,FN90&amp;" x DOT Sites, ","")&amp;IF(FO90&gt;0,FO90&amp;" x Mega Portraits","")&amp;" )")</f>
        <v/>
      </c>
      <c r="E176" s="225"/>
      <c r="F176" s="225"/>
      <c r="G176" s="225"/>
      <c r="H176" s="225"/>
      <c r="I176" s="225"/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  <c r="AC176" s="225"/>
      <c r="AD176" s="225"/>
      <c r="AE176" s="225"/>
      <c r="AF176" s="225"/>
    </row>
    <row r="177" spans="2:32">
      <c r="B177" s="222"/>
      <c r="C177" s="222"/>
      <c r="E177" s="223"/>
      <c r="F177" s="223"/>
      <c r="G177" s="223"/>
      <c r="H177" s="223"/>
      <c r="I177" s="223"/>
      <c r="J177" s="223"/>
      <c r="K177" s="223"/>
      <c r="L177" s="223"/>
      <c r="M177" s="223"/>
      <c r="N177" s="223"/>
      <c r="O177" s="223"/>
      <c r="P177" s="223"/>
      <c r="Q177" s="223"/>
      <c r="R177" s="223"/>
      <c r="S177" s="223"/>
      <c r="T177" s="223"/>
      <c r="U177" s="223"/>
      <c r="V177" s="223"/>
      <c r="W177" s="223"/>
      <c r="X177" s="223"/>
      <c r="Y177" s="223"/>
      <c r="Z177" s="223"/>
      <c r="AA177" s="223"/>
      <c r="AB177" s="223"/>
      <c r="AC177" s="223"/>
      <c r="AD177" s="223"/>
      <c r="AE177" s="223"/>
      <c r="AF177" s="223"/>
    </row>
    <row r="178" spans="2:32">
      <c r="B178" s="207"/>
      <c r="C178" s="207"/>
    </row>
    <row r="179" spans="2:32">
      <c r="B179" s="228" t="str">
        <f>$B$83</f>
        <v>NSW</v>
      </c>
      <c r="C179" s="229" t="str">
        <f>IF(D179="","",$FR$81)</f>
        <v/>
      </c>
      <c r="D179" s="224" t="str" cm="1">
        <f t="array" ref="D179">IF(SUM(FR83:FZ83)=0,"",_xlfn.TEXTJOIN(",",TRUE,IF(_xlfn.BYROW(FR4:FZ33,_xlfn.LAMBDA(_xlpm.row,SUM(_xlpm.row)))&gt;0,$C$4:$C$33,""))&amp;" - "&amp;"( "&amp;IF(FR84&gt;0,FR84&amp;" x Quads, ","")&amp;IF(FS84&gt;0,FS84&amp;" x Triples, ","")&amp;IF(FT84&gt;0,FT84&amp;" x Doubles, ","")&amp;IF(FU84&gt;0,FU84&amp;" x Singles, ","")&amp;IF(FV84&gt;0,FV84&amp;" x Quad A0's, ","")&amp;IF(FW84&gt;0,FW84&amp;" x Megas, ","")&amp;IF(FX84&gt;0,FX84&amp;" x DOT Sites, ","")&amp;IF(FY84&gt;0,FY84&amp;" x Mega Portraits","")&amp;IF(FZ84&gt;0,FZ84&amp;" x Ferro Film Quads","")&amp;")")</f>
        <v/>
      </c>
      <c r="E179" s="224"/>
      <c r="F179" s="224"/>
      <c r="G179" s="224"/>
      <c r="H179" s="224"/>
      <c r="I179" s="224"/>
      <c r="J179" s="224"/>
      <c r="K179" s="224"/>
      <c r="L179" s="224"/>
      <c r="M179" s="224"/>
      <c r="N179" s="224"/>
      <c r="O179" s="224"/>
      <c r="P179" s="224"/>
      <c r="Q179" s="224"/>
      <c r="R179" s="224"/>
      <c r="S179" s="224"/>
      <c r="T179" s="224"/>
      <c r="U179" s="224"/>
      <c r="V179" s="224"/>
      <c r="W179" s="224"/>
      <c r="X179" s="224"/>
      <c r="Y179" s="224"/>
      <c r="Z179" s="224"/>
      <c r="AA179" s="224"/>
      <c r="AB179" s="224"/>
      <c r="AC179" s="224"/>
      <c r="AD179" s="224"/>
      <c r="AE179" s="224"/>
      <c r="AF179" s="224"/>
    </row>
    <row r="180" spans="2:32">
      <c r="B180" s="230" t="str">
        <f>$B$86</f>
        <v>VIC</v>
      </c>
      <c r="C180" s="229" t="str">
        <f t="shared" ref="C180:C181" si="218">IF(D180="","",$FR$81)</f>
        <v/>
      </c>
      <c r="D180" s="226" t="str" cm="1">
        <f t="array" ref="D180">IF(SUM(FR86:FZ86)=0,"",_xlfn.TEXTJOIN(",",TRUE,IF(_xlfn.BYROW(FR35:FZ64,_xlfn.LAMBDA(_xlpm.row,SUM(_xlpm.row)))&gt;0,$C$35:$C$64,""))&amp;" - "&amp;"( "&amp;IF(FR87&gt;0,FR87&amp;" x Quads, ","")&amp;IF(FS87&gt;0,FS87&amp;" x Triples, ","")&amp;IF(FT87&gt;0,FT87&amp;" x Doubles, ","")&amp;IF(FU87&gt;0,FU87&amp;" x Singles, ","")&amp;IF(FV87&gt;0,FV87&amp;" x Quad A0's, ","")&amp;IF(FW87&gt;0,FW87&amp;" x Megas, ","")&amp;IF(FX87&gt;0,FX87&amp;" x DOT Sites, ","")&amp;IF(FY87&gt;0,FY87&amp;" x Mega Portraits","")&amp;IF(FZ87&gt;0,FZ87&amp;" x Ferro Film Quads","")&amp;")")</f>
        <v/>
      </c>
      <c r="E180" s="225"/>
      <c r="F180" s="225"/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5"/>
    </row>
    <row r="181" spans="2:32">
      <c r="B181" s="230" t="str">
        <f>$B$89</f>
        <v>QLD</v>
      </c>
      <c r="C181" s="229" t="str">
        <f t="shared" si="218"/>
        <v/>
      </c>
      <c r="D181" s="225" t="str" cm="1">
        <f t="array" ref="D181">IF(SUM(FR89:FY89)=0,"",_xlfn.TEXTJOIN(",",TRUE,IF(_xlfn.BYROW(FR66:FY78,_xlfn.LAMBDA(_xlpm.row,SUM(_xlpm.row)))&gt;0,$C$66:$C$78,""))&amp;" - "&amp;"( "&amp;IF(FR90&gt;0,FR90&amp;" x Quads, ","")&amp;IF(FS90&gt;0,FS90&amp;" x Triples, ","")&amp;IF(FT90&gt;0,FT90&amp;" x Doubles, ","")&amp;IF(FU90&gt;0,FU90&amp;" x Singles, ","")&amp;IF(FV90&gt;0,FV90&amp;" x Quad A0's, ","")&amp;IF(FW90&gt;0,FW90&amp;" x Megas, ","")&amp;IF(FX90&gt;0,FX90&amp;" x DOT Sites, ","")&amp;IF(FY90&gt;0,FY90&amp;" x Mega Portraits","")&amp;" )")</f>
        <v/>
      </c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  <c r="Z181" s="226"/>
      <c r="AA181" s="226"/>
      <c r="AB181" s="226"/>
      <c r="AC181" s="226"/>
      <c r="AD181" s="226"/>
      <c r="AE181" s="226"/>
      <c r="AF181" s="226"/>
    </row>
    <row r="182" spans="2:32">
      <c r="B182" s="207"/>
      <c r="C182" s="207"/>
    </row>
    <row r="183" spans="2:32">
      <c r="B183" s="207"/>
      <c r="C183" s="207"/>
    </row>
    <row r="184" spans="2:32">
      <c r="B184" s="228" t="str">
        <f>$B$83</f>
        <v>NSW</v>
      </c>
      <c r="C184" s="229" t="str">
        <f>IF(D184="","",$GB$81)</f>
        <v/>
      </c>
      <c r="D184" s="224" t="str" cm="1">
        <f t="array" ref="D184">IF(SUM(GB83:GJ83)=0,"",_xlfn.TEXTJOIN(",",TRUE,IF(_xlfn.BYROW(GB4:GJ33,_xlfn.LAMBDA(_xlpm.row,SUM(_xlpm.row)))&gt;0,$C$4:$C$33,""))&amp;" - "&amp;"( "&amp;IF(GB84&gt;0,GB84&amp;" x Quads, ","")&amp;IF(GC84&gt;0,GC84&amp;" x Triples, ","")&amp;IF(GD84&gt;0,GD84&amp;" x Doubles, ","")&amp;IF(GE84&gt;0,GE84&amp;" x Singles, ","")&amp;IF(GF84&gt;0,GF84&amp;" x Quad A0's, ","")&amp;IF(GG84&gt;0,GG84&amp;" x Megas, ","")&amp;IF(GH84&gt;0,GH84&amp;" x DOT Sites, ","")&amp;IF(GI84&gt;0,GI84&amp;" x Mega Portraits","")&amp;IF(GJ84&gt;0,GJ84&amp;" x Ferro Film Quads","")&amp;")")</f>
        <v/>
      </c>
      <c r="E184" s="224"/>
      <c r="F184" s="224"/>
      <c r="G184" s="224"/>
      <c r="H184" s="224"/>
      <c r="I184" s="224"/>
      <c r="J184" s="224"/>
      <c r="K184" s="224"/>
      <c r="L184" s="224"/>
      <c r="M184" s="224"/>
      <c r="N184" s="224"/>
      <c r="O184" s="224"/>
      <c r="P184" s="224"/>
      <c r="Q184" s="224"/>
      <c r="R184" s="224"/>
      <c r="S184" s="224"/>
      <c r="T184" s="224"/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  <c r="AF184" s="224"/>
    </row>
    <row r="185" spans="2:32">
      <c r="B185" s="230" t="str">
        <f>$B$86</f>
        <v>VIC</v>
      </c>
      <c r="C185" s="229" t="str">
        <f t="shared" ref="C185:C186" si="219">IF(D185="","",$GB$81)</f>
        <v/>
      </c>
      <c r="D185" s="226" t="str" cm="1">
        <f t="array" ref="D185">IF(SUM(GB86:GJ86)=0,"",_xlfn.TEXTJOIN(",",TRUE,IF(_xlfn.BYROW(GB35:GJ64,_xlfn.LAMBDA(_xlpm.row,SUM(_xlpm.row)))&gt;0,$C$35:$C$64,""))&amp;" - "&amp;"( "&amp;IF(GB87&gt;0,GB87&amp;" x Quads, ","")&amp;IF(GC87&gt;0,GC87&amp;" x Triples, ","")&amp;IF(GD87&gt;0,GD87&amp;" x Doubles, ","")&amp;IF(GE87&gt;0,GE87&amp;" x Singles, ","")&amp;IF(GF87&gt;0,GF87&amp;" x Quad A0's, ","")&amp;IF(GG87&gt;0,GG87&amp;" x Megas, ","")&amp;IF(GH87&gt;0,GH87&amp;" x DOT Sites, ","")&amp;IF(GI87&gt;0,GI87&amp;" x Mega Portraits","")&amp;IF(GJ87&gt;0,GJ87&amp;" x Ferro Film Quads","")&amp;")")</f>
        <v/>
      </c>
      <c r="E185" s="225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</row>
    <row r="186" spans="2:32">
      <c r="B186" s="230" t="str">
        <f>$B$89</f>
        <v>QLD</v>
      </c>
      <c r="C186" s="229" t="str">
        <f t="shared" si="219"/>
        <v/>
      </c>
      <c r="D186" s="225" t="str" cm="1">
        <f t="array" ref="D186">IF(SUM(GB89:GI89)=0,"",_xlfn.TEXTJOIN(",",TRUE,IF(_xlfn.BYROW(GB66:GI78,_xlfn.LAMBDA(_xlpm.row,SUM(_xlpm.row)))&gt;0,$C$66:$C$78,""))&amp;" - "&amp;"( "&amp;IF(GB90&gt;0,GB90&amp;" x Quads, ","")&amp;IF(GC90&gt;0,GC90&amp;" x Triples, ","")&amp;IF(GD90&gt;0,GD90&amp;" x Doubles, ","")&amp;IF(GE90&gt;0,GE90&amp;" x Singles, ","")&amp;IF(GF90&gt;0,GF90&amp;" x Quad A0's, ","")&amp;IF(GG90&gt;0,GG90&amp;" x Megas, ","")&amp;IF(GH90&gt;0,GH90&amp;" x DOT Sites, ","")&amp;IF(GI90&gt;0,GI90&amp;" x Mega Portraits","")&amp;" )")</f>
        <v/>
      </c>
      <c r="E186" s="226"/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  <c r="Z186" s="226"/>
      <c r="AA186" s="226"/>
      <c r="AB186" s="226"/>
      <c r="AC186" s="226"/>
      <c r="AD186" s="226"/>
      <c r="AE186" s="226"/>
      <c r="AF186" s="226"/>
    </row>
    <row r="187" spans="2:32">
      <c r="B187" s="207"/>
      <c r="C187" s="207"/>
    </row>
    <row r="188" spans="2:32">
      <c r="B188" s="207"/>
      <c r="C188" s="207"/>
    </row>
    <row r="189" spans="2:32">
      <c r="B189" s="228" t="str">
        <f>$B$83</f>
        <v>NSW</v>
      </c>
      <c r="C189" s="229" t="str">
        <f>IF(D189="","",$GL$81)</f>
        <v/>
      </c>
      <c r="D189" s="224" t="str" cm="1">
        <f t="array" ref="D189">IF(SUM(GL83:GT83)=0,"",_xlfn.TEXTJOIN(",",TRUE,IF(_xlfn.BYROW(GL4:GT33,_xlfn.LAMBDA(_xlpm.row,SUM(_xlpm.row)))&gt;0,$C$4:$C$33,""))&amp;" - "&amp;"( "&amp;IF(GL84&gt;0,GL84&amp;" x Quads, ","")&amp;IF(GM84&gt;0,GM84&amp;" x Triples, ","")&amp;IF(GN84&gt;0,GN84&amp;" x Doubles, ","")&amp;IF(GO84&gt;0,GO84&amp;" x Singles, ","")&amp;IF(GP84&gt;0,GP84&amp;" x Quad A0's, ","")&amp;IF(GQ84&gt;0,GQ84&amp;" x Megas, ","")&amp;IF(GR84&gt;0,GR84&amp;" x DOT Sites, ","")&amp;IF(GS84&gt;0,GS84&amp;" x Mega Portraits","")&amp;IF(GT84&gt;0,GT84&amp;" x Ferro Film Quads","")&amp;")")</f>
        <v/>
      </c>
      <c r="E189" s="224"/>
      <c r="F189" s="224"/>
      <c r="G189" s="224"/>
      <c r="H189" s="224"/>
      <c r="I189" s="224"/>
      <c r="J189" s="224"/>
      <c r="K189" s="224"/>
      <c r="L189" s="224"/>
      <c r="M189" s="224"/>
      <c r="N189" s="224"/>
      <c r="O189" s="224"/>
      <c r="P189" s="224"/>
      <c r="Q189" s="224"/>
      <c r="R189" s="224"/>
      <c r="S189" s="224"/>
      <c r="T189" s="224"/>
      <c r="U189" s="224"/>
      <c r="V189" s="224"/>
      <c r="W189" s="224"/>
      <c r="X189" s="224"/>
      <c r="Y189" s="224"/>
      <c r="Z189" s="224"/>
      <c r="AA189" s="224"/>
      <c r="AB189" s="224"/>
      <c r="AC189" s="224"/>
      <c r="AD189" s="224"/>
      <c r="AE189" s="224"/>
      <c r="AF189" s="224"/>
    </row>
    <row r="190" spans="2:32">
      <c r="B190" s="230" t="str">
        <f>$B$86</f>
        <v>VIC</v>
      </c>
      <c r="C190" s="229" t="str">
        <f t="shared" ref="C190:C191" si="220">IF(D190="","",$GL$81)</f>
        <v/>
      </c>
      <c r="D190" s="226" t="str" cm="1">
        <f t="array" ref="D190">IF(SUM(GL86:GT86)=0,"",_xlfn.TEXTJOIN(",",TRUE,IF(_xlfn.BYROW(GL35:GT64,_xlfn.LAMBDA(_xlpm.row,SUM(_xlpm.row)))&gt;0,$C$35:$C$64,""))&amp;" - "&amp;"( "&amp;IF(GL87&gt;0,GL87&amp;" x Quads, ","")&amp;IF(GM87&gt;0,GM87&amp;" x Triples, ","")&amp;IF(GN87&gt;0,GN87&amp;" x Doubles, ","")&amp;IF(GO87&gt;0,GO87&amp;" x Singles, ","")&amp;IF(GP87&gt;0,GP87&amp;" x Quad A0's, ","")&amp;IF(GQ87&gt;0,GQ87&amp;" x Megas, ","")&amp;IF(GR87&gt;0,GR87&amp;" x DOT Sites, ","")&amp;IF(GS87&gt;0,GS87&amp;" x Mega Portraits","")&amp;IF(GT87&gt;0,GT87&amp;" x Ferro Film Quads","")&amp;")")</f>
        <v/>
      </c>
      <c r="E190" s="225"/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  <c r="AC190" s="225"/>
      <c r="AD190" s="225"/>
      <c r="AE190" s="225"/>
      <c r="AF190" s="225"/>
    </row>
    <row r="191" spans="2:32">
      <c r="B191" s="230" t="str">
        <f>$B$89</f>
        <v>QLD</v>
      </c>
      <c r="C191" s="229" t="str">
        <f t="shared" si="220"/>
        <v/>
      </c>
      <c r="D191" s="225" t="str" cm="1">
        <f t="array" ref="D191">IF(SUM(GL89:GS89)=0,"",_xlfn.TEXTJOIN(",",TRUE,IF(_xlfn.BYROW(GL66:GS78,_xlfn.LAMBDA(_xlpm.row,SUM(_xlpm.row)))&gt;0,$C$66:$C$78,""))&amp;" - "&amp;"( "&amp;IF(GL90&gt;0,GL90&amp;" x Quads, ","")&amp;IF(GM90&gt;0,GM90&amp;" x Triples, ","")&amp;IF(GN90&gt;0,GN90&amp;" x Doubles, ","")&amp;IF(GO90&gt;0,GO90&amp;" x Singles, ","")&amp;IF(GP90&gt;0,GP90&amp;" x Quad A0's, ","")&amp;IF(GQ90&gt;0,GQ90&amp;" x Megas, ","")&amp;IF(GR90&gt;0,GR90&amp;" x DOT Sites, ","")&amp;IF(GS90&gt;0,GS90&amp;" x Mega Portraits","")&amp;" )")</f>
        <v/>
      </c>
      <c r="E191" s="226"/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  <c r="Z191" s="226"/>
      <c r="AA191" s="226"/>
      <c r="AB191" s="226"/>
      <c r="AC191" s="226"/>
      <c r="AD191" s="226"/>
      <c r="AE191" s="226"/>
      <c r="AF191" s="226"/>
    </row>
  </sheetData>
  <sheetProtection algorithmName="SHA-512" hashValue="VLQC1IQZqhR5pKf7O61QZ64Bx/r7pirar0qH8HozRwJcY9dFiRKrVhWAUQnGjdBhklCEuiPGvWXYhBac+GTPiA==" saltValue="SN5VIUZ/3i6HA0AWEst5QQ==" spinCount="100000" sheet="1" formatRows="0" autoFilter="0"/>
  <autoFilter ref="B93:AE191" xr:uid="{8B6387A7-923F-4A12-BBE5-00ACC0C8B39F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</autoFilter>
  <mergeCells count="47">
    <mergeCell ref="D93:AE93"/>
    <mergeCell ref="GL81:GT81"/>
    <mergeCell ref="B66:B78"/>
    <mergeCell ref="B35:B64"/>
    <mergeCell ref="B4:B33"/>
    <mergeCell ref="GB81:GJ81"/>
    <mergeCell ref="B83:B84"/>
    <mergeCell ref="B86:B87"/>
    <mergeCell ref="B89:B90"/>
    <mergeCell ref="D81:L81"/>
    <mergeCell ref="N81:V81"/>
    <mergeCell ref="X81:AF81"/>
    <mergeCell ref="AH81:AP81"/>
    <mergeCell ref="AR81:AZ81"/>
    <mergeCell ref="BB81:BJ81"/>
    <mergeCell ref="BL81:BT81"/>
    <mergeCell ref="D2:K2"/>
    <mergeCell ref="N2:V2"/>
    <mergeCell ref="X2:AF2"/>
    <mergeCell ref="AH2:AP2"/>
    <mergeCell ref="AR2:AZ2"/>
    <mergeCell ref="BB2:BJ2"/>
    <mergeCell ref="EN81:EV81"/>
    <mergeCell ref="EX81:FF81"/>
    <mergeCell ref="FH81:FP81"/>
    <mergeCell ref="FR81:FZ81"/>
    <mergeCell ref="DT81:EB81"/>
    <mergeCell ref="ED81:EL81"/>
    <mergeCell ref="BL2:BT2"/>
    <mergeCell ref="BV2:CD2"/>
    <mergeCell ref="CF2:CN2"/>
    <mergeCell ref="CP2:CX2"/>
    <mergeCell ref="CZ2:DH2"/>
    <mergeCell ref="DJ2:DR2"/>
    <mergeCell ref="DT2:EB2"/>
    <mergeCell ref="ED2:EL2"/>
    <mergeCell ref="EN2:EV2"/>
    <mergeCell ref="EX2:FF2"/>
    <mergeCell ref="FH2:FP2"/>
    <mergeCell ref="FR2:FZ2"/>
    <mergeCell ref="GB2:GJ2"/>
    <mergeCell ref="GL2:GT2"/>
    <mergeCell ref="BV81:CD81"/>
    <mergeCell ref="CF81:CN81"/>
    <mergeCell ref="CP81:CY81"/>
    <mergeCell ref="CZ81:DH81"/>
    <mergeCell ref="DJ81:DR81"/>
  </mergeCells>
  <conditionalFormatting sqref="C4:C78">
    <cfRule type="cellIs" dxfId="7" priority="11" operator="equal">
      <formula>0</formula>
    </cfRule>
  </conditionalFormatting>
  <conditionalFormatting sqref="C85">
    <cfRule type="cellIs" dxfId="6" priority="4" operator="equal">
      <formula>0</formula>
    </cfRule>
  </conditionalFormatting>
  <conditionalFormatting sqref="C88">
    <cfRule type="cellIs" dxfId="5" priority="2" operator="equal">
      <formula>0</formula>
    </cfRule>
  </conditionalFormatting>
  <conditionalFormatting sqref="D81 M81:N81 W81:X81 AG81:AH81 AQ81:AR81 BA81:BB81 BK81:BL81 BU81:BV81 CE81:CF81 CO81:CP81 CZ81 DI81:DJ81 DS81:DT81 EC81:ED81 EM81:EN81 EW81:EX81 FG81:FH81 FQ81:FR81 GA81:GB81 GK81:GL81">
    <cfRule type="cellIs" dxfId="4" priority="5" operator="lessThan">
      <formula>1</formula>
    </cfRule>
  </conditionalFormatting>
  <conditionalFormatting sqref="D2:N2 W2:X2 AG2:AH2 AQ2:AR2 BA2:BB2 BK2:BL2 BU2:BV2 CE2:CF2 CO2:CP2 CY2:CZ2 DI2:DJ2 DS2:DT2 EC2:ED2 EM2:EN2 EW2:EX2 FG2:FH2 FQ2:FR2 GA2:GB2 GK2:GL2">
    <cfRule type="cellIs" dxfId="3" priority="7" operator="lessThan">
      <formula>1</formula>
    </cfRule>
  </conditionalFormatting>
  <conditionalFormatting sqref="D4:GT78">
    <cfRule type="beginsWith" dxfId="2" priority="8" operator="beginsWith" text="0">
      <formula>LEFT(D4,LEN("0"))="0"</formula>
    </cfRule>
  </conditionalFormatting>
  <conditionalFormatting sqref="D85:GT85">
    <cfRule type="beginsWith" dxfId="1" priority="3" operator="beginsWith" text="0">
      <formula>LEFT(D85,LEN("0"))="0"</formula>
    </cfRule>
  </conditionalFormatting>
  <conditionalFormatting sqref="D88:GT88">
    <cfRule type="beginsWith" dxfId="0" priority="1" operator="beginsWith" text="0">
      <formula>LEFT(D88,LEN("0"))="0"</formula>
    </cfRule>
  </conditionalFormatting>
  <pageMargins left="0.7" right="0.7" top="0.75" bottom="0.75" header="0.3" footer="0.3"/>
  <pageSetup orientation="portrait" r:id="rId1"/>
  <ignoredErrors>
    <ignoredError sqref="H88 M89 GK85:GS86 R85:U86 W85:AE86 AG85:AO86 AQ85:AY86 BA85:BI86 BK85:BS86 BU85:CC86 CE85:CM86 CO85:CW86 CY85:DG86 DI85:DQ86 DS85:EA86 EC85:EK86 EM85:EU86 EW85:FE86 FG85:FO86 FQ85:FY86 GA85:GI86 R88:U89 W84 W88:AE89 W87 W90 AG84 AG88:AO89 AG87 AG90 AQ84 AQ88:AY89 AQ87 AQ90 BA84 BA88:BI89 BA87 BA90 BK84 BK88:BS89 BK87 BK90 BU84 BU88:CC89 BU87 BU90 CE84 CE88:CM89 CE87 CE90 CO84 CO88:CW89 CO87 CO90 CY84 CY88:DG89 CY87 CY90 DI84 DI88:DQ89 DI87 DI90 DS84 DS88:EA89 DS87 DS90 EC84 EC88:EK89 EC87 EC90 EM84 EM88:EU89 EM87 EM90 EW84 EW88:FE89 EW87 EW90 FG84 FG88:FO89 FG87 FG90 FQ84 FQ88:FY89 FQ87 FQ90 GA84 GA88:GI89 GA87 GA90 GK84 GK88:GS89 GK87 GK9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76F4-DCBF-4EEC-A8AA-349B1381D1CC}">
  <sheetPr codeName="Sheet2"/>
  <dimension ref="B2:F58"/>
  <sheetViews>
    <sheetView workbookViewId="0">
      <selection activeCell="J39" sqref="J39"/>
    </sheetView>
  </sheetViews>
  <sheetFormatPr defaultColWidth="8.7109375" defaultRowHeight="14.45"/>
  <cols>
    <col min="2" max="2" width="27.140625" customWidth="1"/>
    <col min="4" max="4" width="26.7109375" customWidth="1"/>
    <col min="6" max="6" width="26" customWidth="1"/>
  </cols>
  <sheetData>
    <row r="2" spans="2:6">
      <c r="B2" t="s">
        <v>67</v>
      </c>
      <c r="D2" t="s">
        <v>68</v>
      </c>
      <c r="F2" t="s">
        <v>69</v>
      </c>
    </row>
    <row r="3" spans="2:6">
      <c r="B3" t="s">
        <v>70</v>
      </c>
      <c r="D3" t="s">
        <v>70</v>
      </c>
      <c r="F3" t="s">
        <v>70</v>
      </c>
    </row>
    <row r="4" spans="2:6">
      <c r="B4" t="s">
        <v>71</v>
      </c>
      <c r="D4" t="s">
        <v>71</v>
      </c>
      <c r="F4" t="s">
        <v>71</v>
      </c>
    </row>
    <row r="5" spans="2:6">
      <c r="B5" t="s">
        <v>72</v>
      </c>
      <c r="D5" t="s">
        <v>72</v>
      </c>
      <c r="F5" t="s">
        <v>72</v>
      </c>
    </row>
    <row r="6" spans="2:6">
      <c r="B6" t="s">
        <v>73</v>
      </c>
      <c r="D6" t="s">
        <v>73</v>
      </c>
      <c r="F6" t="s">
        <v>73</v>
      </c>
    </row>
    <row r="7" spans="2:6">
      <c r="B7" t="s">
        <v>74</v>
      </c>
      <c r="D7" t="s">
        <v>74</v>
      </c>
      <c r="F7" t="s">
        <v>74</v>
      </c>
    </row>
    <row r="8" spans="2:6">
      <c r="B8" t="s">
        <v>75</v>
      </c>
      <c r="D8" t="s">
        <v>75</v>
      </c>
      <c r="F8" t="s">
        <v>75</v>
      </c>
    </row>
    <row r="9" spans="2:6">
      <c r="B9" t="s">
        <v>76</v>
      </c>
      <c r="D9" t="s">
        <v>76</v>
      </c>
      <c r="F9" t="s">
        <v>76</v>
      </c>
    </row>
    <row r="10" spans="2:6">
      <c r="B10" t="s">
        <v>77</v>
      </c>
      <c r="D10" t="s">
        <v>77</v>
      </c>
      <c r="F10" t="s">
        <v>77</v>
      </c>
    </row>
    <row r="11" spans="2:6">
      <c r="B11" t="s">
        <v>78</v>
      </c>
      <c r="D11" t="s">
        <v>78</v>
      </c>
      <c r="F11" t="s">
        <v>78</v>
      </c>
    </row>
    <row r="12" spans="2:6">
      <c r="B12" t="s">
        <v>79</v>
      </c>
      <c r="D12" t="s">
        <v>79</v>
      </c>
      <c r="F12" t="s">
        <v>79</v>
      </c>
    </row>
    <row r="13" spans="2:6">
      <c r="B13" t="s">
        <v>80</v>
      </c>
      <c r="D13" t="s">
        <v>80</v>
      </c>
      <c r="F13" t="s">
        <v>80</v>
      </c>
    </row>
    <row r="14" spans="2:6">
      <c r="B14" t="s">
        <v>81</v>
      </c>
      <c r="D14" t="s">
        <v>81</v>
      </c>
      <c r="F14" t="s">
        <v>81</v>
      </c>
    </row>
    <row r="15" spans="2:6">
      <c r="B15" t="s">
        <v>82</v>
      </c>
      <c r="D15" t="s">
        <v>82</v>
      </c>
      <c r="F15" t="s">
        <v>82</v>
      </c>
    </row>
    <row r="16" spans="2:6">
      <c r="B16" t="s">
        <v>83</v>
      </c>
      <c r="D16" t="s">
        <v>83</v>
      </c>
      <c r="F16" t="s">
        <v>83</v>
      </c>
    </row>
    <row r="17" spans="2:6">
      <c r="B17" t="s">
        <v>84</v>
      </c>
      <c r="D17" t="s">
        <v>84</v>
      </c>
      <c r="F17" t="s">
        <v>84</v>
      </c>
    </row>
    <row r="18" spans="2:6">
      <c r="B18" t="s">
        <v>85</v>
      </c>
      <c r="D18" t="s">
        <v>85</v>
      </c>
      <c r="F18" t="s">
        <v>85</v>
      </c>
    </row>
    <row r="19" spans="2:6">
      <c r="B19" t="s">
        <v>86</v>
      </c>
      <c r="D19" t="s">
        <v>86</v>
      </c>
      <c r="F19" t="s">
        <v>87</v>
      </c>
    </row>
    <row r="20" spans="2:6">
      <c r="B20" t="s">
        <v>88</v>
      </c>
      <c r="D20" t="s">
        <v>88</v>
      </c>
      <c r="F20" t="s">
        <v>89</v>
      </c>
    </row>
    <row r="21" spans="2:6">
      <c r="B21" t="s">
        <v>90</v>
      </c>
      <c r="D21" t="s">
        <v>90</v>
      </c>
      <c r="F21" t="s">
        <v>91</v>
      </c>
    </row>
    <row r="22" spans="2:6">
      <c r="B22" t="s">
        <v>92</v>
      </c>
      <c r="D22" t="s">
        <v>92</v>
      </c>
      <c r="F22" t="s">
        <v>93</v>
      </c>
    </row>
    <row r="23" spans="2:6">
      <c r="B23" t="s">
        <v>94</v>
      </c>
      <c r="D23" t="s">
        <v>94</v>
      </c>
      <c r="F23" t="s">
        <v>95</v>
      </c>
    </row>
    <row r="24" spans="2:6">
      <c r="B24" t="s">
        <v>96</v>
      </c>
      <c r="D24" t="s">
        <v>96</v>
      </c>
      <c r="F24" t="s">
        <v>97</v>
      </c>
    </row>
    <row r="25" spans="2:6">
      <c r="B25" t="s">
        <v>98</v>
      </c>
      <c r="D25" t="s">
        <v>98</v>
      </c>
      <c r="F25" t="s">
        <v>99</v>
      </c>
    </row>
    <row r="26" spans="2:6">
      <c r="B26" t="s">
        <v>100</v>
      </c>
      <c r="D26" t="s">
        <v>100</v>
      </c>
      <c r="F26" t="s">
        <v>101</v>
      </c>
    </row>
    <row r="27" spans="2:6">
      <c r="B27" t="s">
        <v>102</v>
      </c>
      <c r="D27" t="s">
        <v>102</v>
      </c>
      <c r="F27" t="s">
        <v>103</v>
      </c>
    </row>
    <row r="28" spans="2:6">
      <c r="B28" t="s">
        <v>104</v>
      </c>
      <c r="D28" t="s">
        <v>104</v>
      </c>
      <c r="F28" t="s">
        <v>105</v>
      </c>
    </row>
    <row r="29" spans="2:6">
      <c r="B29" t="s">
        <v>106</v>
      </c>
      <c r="D29" t="s">
        <v>106</v>
      </c>
      <c r="F29" t="s">
        <v>107</v>
      </c>
    </row>
    <row r="30" spans="2:6">
      <c r="B30" t="s">
        <v>108</v>
      </c>
      <c r="D30" t="s">
        <v>108</v>
      </c>
      <c r="F30" t="s">
        <v>109</v>
      </c>
    </row>
    <row r="31" spans="2:6">
      <c r="B31" t="s">
        <v>110</v>
      </c>
      <c r="D31" t="s">
        <v>110</v>
      </c>
      <c r="F31" t="s">
        <v>111</v>
      </c>
    </row>
    <row r="32" spans="2:6">
      <c r="B32" t="s">
        <v>112</v>
      </c>
      <c r="D32" t="s">
        <v>112</v>
      </c>
    </row>
    <row r="33" spans="2:4">
      <c r="B33" t="s">
        <v>113</v>
      </c>
      <c r="D33" t="s">
        <v>113</v>
      </c>
    </row>
    <row r="34" spans="2:4">
      <c r="B34" t="s">
        <v>114</v>
      </c>
      <c r="D34" t="s">
        <v>114</v>
      </c>
    </row>
    <row r="35" spans="2:4">
      <c r="B35" t="s">
        <v>115</v>
      </c>
      <c r="D35" t="s">
        <v>116</v>
      </c>
    </row>
    <row r="36" spans="2:4">
      <c r="B36" t="s">
        <v>117</v>
      </c>
      <c r="D36" t="s">
        <v>118</v>
      </c>
    </row>
    <row r="37" spans="2:4">
      <c r="B37" t="s">
        <v>119</v>
      </c>
      <c r="D37" t="s">
        <v>120</v>
      </c>
    </row>
    <row r="38" spans="2:4">
      <c r="B38" t="s">
        <v>121</v>
      </c>
      <c r="D38" t="s">
        <v>122</v>
      </c>
    </row>
    <row r="39" spans="2:4">
      <c r="B39" t="s">
        <v>123</v>
      </c>
      <c r="D39" t="s">
        <v>124</v>
      </c>
    </row>
    <row r="40" spans="2:4">
      <c r="B40" t="s">
        <v>125</v>
      </c>
      <c r="D40" t="s">
        <v>126</v>
      </c>
    </row>
    <row r="41" spans="2:4">
      <c r="B41" t="s">
        <v>127</v>
      </c>
      <c r="D41" t="s">
        <v>128</v>
      </c>
    </row>
    <row r="42" spans="2:4">
      <c r="B42" t="s">
        <v>129</v>
      </c>
      <c r="D42" t="s">
        <v>130</v>
      </c>
    </row>
    <row r="43" spans="2:4">
      <c r="B43" t="s">
        <v>131</v>
      </c>
      <c r="D43" t="s">
        <v>132</v>
      </c>
    </row>
    <row r="44" spans="2:4">
      <c r="B44" t="s">
        <v>133</v>
      </c>
      <c r="D44" t="s">
        <v>87</v>
      </c>
    </row>
    <row r="45" spans="2:4">
      <c r="B45" t="s">
        <v>134</v>
      </c>
      <c r="D45" t="s">
        <v>135</v>
      </c>
    </row>
    <row r="46" spans="2:4">
      <c r="B46" t="s">
        <v>87</v>
      </c>
      <c r="D46" t="s">
        <v>136</v>
      </c>
    </row>
    <row r="47" spans="2:4">
      <c r="B47" t="s">
        <v>137</v>
      </c>
      <c r="D47" t="s">
        <v>138</v>
      </c>
    </row>
    <row r="48" spans="2:4">
      <c r="B48" t="s">
        <v>139</v>
      </c>
      <c r="D48" t="s">
        <v>140</v>
      </c>
    </row>
    <row r="49" spans="2:4">
      <c r="B49" t="s">
        <v>141</v>
      </c>
      <c r="D49" t="s">
        <v>142</v>
      </c>
    </row>
    <row r="50" spans="2:4">
      <c r="B50" t="s">
        <v>143</v>
      </c>
      <c r="D50" t="s">
        <v>144</v>
      </c>
    </row>
    <row r="51" spans="2:4">
      <c r="B51" t="s">
        <v>145</v>
      </c>
      <c r="D51" t="s">
        <v>146</v>
      </c>
    </row>
    <row r="52" spans="2:4">
      <c r="B52" t="s">
        <v>147</v>
      </c>
      <c r="D52" t="s">
        <v>148</v>
      </c>
    </row>
    <row r="53" spans="2:4">
      <c r="B53" t="s">
        <v>149</v>
      </c>
      <c r="D53" t="s">
        <v>150</v>
      </c>
    </row>
    <row r="54" spans="2:4">
      <c r="B54" t="s">
        <v>151</v>
      </c>
      <c r="D54" t="s">
        <v>152</v>
      </c>
    </row>
    <row r="55" spans="2:4">
      <c r="B55" t="s">
        <v>153</v>
      </c>
      <c r="D55" t="s">
        <v>154</v>
      </c>
    </row>
    <row r="56" spans="2:4">
      <c r="B56" t="s">
        <v>155</v>
      </c>
      <c r="D56" t="s">
        <v>156</v>
      </c>
    </row>
    <row r="57" spans="2:4">
      <c r="B57" t="s">
        <v>157</v>
      </c>
      <c r="D57" t="s">
        <v>158</v>
      </c>
    </row>
    <row r="58" spans="2:4">
      <c r="B58" t="s">
        <v>111</v>
      </c>
      <c r="D58" t="s">
        <v>111</v>
      </c>
    </row>
  </sheetData>
  <phoneticPr fontId="8" type="noConversion"/>
  <dataValidations disablePrompts="1" count="1">
    <dataValidation type="list" allowBlank="1" showInputMessage="1" showErrorMessage="1" errorTitle="Invalid Entry" promptTitle="Asset" prompt="Please select asset" sqref="B3:B34 D3:D34 F15:F18" xr:uid="{7693382C-2CC2-444E-98F9-264BDF09524D}">
      <formula1>$B$15:$B$34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DE34-F955-4939-BDBD-A2226DB37D4D}">
  <sheetPr codeName="Sheet4"/>
  <dimension ref="A2:S147"/>
  <sheetViews>
    <sheetView workbookViewId="0">
      <pane xSplit="2" ySplit="3" topLeftCell="C4" activePane="bottomRight" state="frozen"/>
      <selection pane="bottomRight" activeCell="H21" sqref="H21"/>
      <selection pane="bottomLeft" activeCell="H21" sqref="H21"/>
      <selection pane="topRight" activeCell="H21" sqref="H21"/>
    </sheetView>
  </sheetViews>
  <sheetFormatPr defaultColWidth="8.7109375" defaultRowHeight="14.45"/>
  <cols>
    <col min="1" max="1" width="26.42578125" customWidth="1"/>
    <col min="2" max="2" width="12.7109375" bestFit="1" customWidth="1"/>
    <col min="3" max="3" width="27.7109375" bestFit="1" customWidth="1"/>
  </cols>
  <sheetData>
    <row r="2" spans="3:19">
      <c r="C2" s="1" t="s">
        <v>159</v>
      </c>
      <c r="D2" s="2"/>
      <c r="E2" s="2"/>
      <c r="F2" s="3"/>
      <c r="N2" s="128" t="s">
        <v>160</v>
      </c>
      <c r="O2" s="128"/>
    </row>
    <row r="3" spans="3:19">
      <c r="C3" s="4" t="s">
        <v>161</v>
      </c>
      <c r="D3" s="4" t="s">
        <v>162</v>
      </c>
      <c r="E3" s="5"/>
      <c r="F3" s="5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L3" s="4" t="s">
        <v>163</v>
      </c>
      <c r="N3" s="6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1" t="s">
        <v>163</v>
      </c>
    </row>
    <row r="4" spans="3:19">
      <c r="C4" s="77" t="s">
        <v>70</v>
      </c>
      <c r="D4" s="7" t="s">
        <v>61</v>
      </c>
      <c r="E4" s="8" t="s">
        <v>164</v>
      </c>
      <c r="F4" s="9">
        <v>108</v>
      </c>
      <c r="G4" s="9">
        <v>6</v>
      </c>
      <c r="H4" s="9">
        <v>4</v>
      </c>
      <c r="I4" s="10">
        <v>0</v>
      </c>
      <c r="J4" s="9">
        <v>12</v>
      </c>
      <c r="L4" s="11">
        <v>130</v>
      </c>
      <c r="N4" s="13">
        <v>36</v>
      </c>
      <c r="O4" s="14">
        <v>6</v>
      </c>
      <c r="P4" s="14">
        <v>2</v>
      </c>
      <c r="Q4" s="15">
        <v>0</v>
      </c>
      <c r="R4" s="14">
        <v>8</v>
      </c>
      <c r="S4" s="16">
        <v>198</v>
      </c>
    </row>
    <row r="5" spans="3:19">
      <c r="C5" s="77" t="s">
        <v>70</v>
      </c>
      <c r="D5" s="7" t="s">
        <v>61</v>
      </c>
      <c r="E5" s="17" t="s">
        <v>165</v>
      </c>
      <c r="F5" s="9">
        <v>28</v>
      </c>
      <c r="G5" s="10">
        <v>0</v>
      </c>
      <c r="H5" s="10">
        <v>0</v>
      </c>
      <c r="I5" s="10">
        <v>0</v>
      </c>
      <c r="J5" s="10">
        <v>0</v>
      </c>
      <c r="L5" s="18">
        <v>28</v>
      </c>
      <c r="N5" s="19">
        <v>8</v>
      </c>
      <c r="O5" s="15">
        <v>0</v>
      </c>
      <c r="P5" s="15">
        <v>0</v>
      </c>
      <c r="Q5" s="15">
        <v>0</v>
      </c>
      <c r="R5" s="15">
        <v>0</v>
      </c>
      <c r="S5" s="16">
        <v>32</v>
      </c>
    </row>
    <row r="6" spans="3:19">
      <c r="C6" s="77" t="s">
        <v>70</v>
      </c>
      <c r="D6" s="7" t="s">
        <v>61</v>
      </c>
      <c r="E6" s="17" t="s">
        <v>166</v>
      </c>
      <c r="F6" s="9">
        <v>8</v>
      </c>
      <c r="G6" s="10">
        <v>0</v>
      </c>
      <c r="H6" s="10">
        <v>0</v>
      </c>
      <c r="I6" s="10">
        <v>0</v>
      </c>
      <c r="J6" s="20">
        <v>8</v>
      </c>
      <c r="L6" s="18">
        <v>16</v>
      </c>
      <c r="N6" s="21">
        <v>0</v>
      </c>
      <c r="O6" s="15">
        <v>0</v>
      </c>
      <c r="P6" s="15">
        <v>0</v>
      </c>
      <c r="Q6" s="15">
        <v>0</v>
      </c>
      <c r="R6" s="22">
        <v>4</v>
      </c>
      <c r="S6" s="16">
        <v>16</v>
      </c>
    </row>
    <row r="7" spans="3:19" ht="15" thickBot="1">
      <c r="C7" s="77" t="s">
        <v>70</v>
      </c>
      <c r="D7" s="7" t="s">
        <v>61</v>
      </c>
      <c r="E7" s="23" t="s">
        <v>29</v>
      </c>
      <c r="F7" s="24">
        <v>4</v>
      </c>
      <c r="G7" s="25">
        <v>0</v>
      </c>
      <c r="H7" s="25">
        <v>0</v>
      </c>
      <c r="I7" s="25">
        <v>0</v>
      </c>
      <c r="J7" s="25">
        <v>0</v>
      </c>
      <c r="L7" s="26">
        <v>4</v>
      </c>
      <c r="N7" s="27">
        <v>0</v>
      </c>
      <c r="O7" s="28">
        <v>0</v>
      </c>
      <c r="P7" s="28">
        <v>0</v>
      </c>
      <c r="Q7" s="28">
        <v>0</v>
      </c>
      <c r="R7" s="28">
        <v>0</v>
      </c>
      <c r="S7" s="29">
        <v>0</v>
      </c>
    </row>
    <row r="8" spans="3:19" ht="15" thickBot="1">
      <c r="C8" s="74" t="s">
        <v>72</v>
      </c>
      <c r="D8" s="46" t="s">
        <v>61</v>
      </c>
      <c r="E8" s="17" t="s">
        <v>164</v>
      </c>
      <c r="F8" s="9">
        <v>120</v>
      </c>
      <c r="G8" s="47">
        <v>3</v>
      </c>
      <c r="H8" s="9">
        <v>2</v>
      </c>
      <c r="I8" s="10">
        <v>0</v>
      </c>
      <c r="J8" s="9">
        <v>8</v>
      </c>
      <c r="L8" s="18">
        <v>133</v>
      </c>
      <c r="N8" s="19">
        <v>40</v>
      </c>
      <c r="O8" s="14">
        <v>3</v>
      </c>
      <c r="P8" s="14">
        <v>2</v>
      </c>
      <c r="Q8" s="15">
        <v>0</v>
      </c>
      <c r="R8" s="14">
        <v>8</v>
      </c>
      <c r="S8" s="16">
        <v>205</v>
      </c>
    </row>
    <row r="9" spans="3:19" ht="15" thickBot="1">
      <c r="C9" s="74" t="s">
        <v>72</v>
      </c>
      <c r="D9" s="46" t="s">
        <v>61</v>
      </c>
      <c r="E9" s="17" t="s">
        <v>165</v>
      </c>
      <c r="F9" s="9">
        <v>28</v>
      </c>
      <c r="G9" s="10">
        <v>0</v>
      </c>
      <c r="H9" s="10">
        <v>0</v>
      </c>
      <c r="I9" s="10">
        <v>0</v>
      </c>
      <c r="J9" s="10">
        <v>0</v>
      </c>
      <c r="L9" s="18">
        <v>28</v>
      </c>
      <c r="N9" s="19">
        <v>8</v>
      </c>
      <c r="O9" s="15">
        <v>0</v>
      </c>
      <c r="P9" s="30">
        <v>0</v>
      </c>
      <c r="Q9" s="15">
        <v>0</v>
      </c>
      <c r="R9" s="15">
        <v>0</v>
      </c>
      <c r="S9" s="16">
        <v>32</v>
      </c>
    </row>
    <row r="10" spans="3:19" ht="15" thickBot="1">
      <c r="C10" s="74" t="s">
        <v>72</v>
      </c>
      <c r="D10" s="46" t="s">
        <v>61</v>
      </c>
      <c r="E10" s="17" t="s">
        <v>166</v>
      </c>
      <c r="F10" s="9">
        <v>12</v>
      </c>
      <c r="G10" s="10">
        <v>0</v>
      </c>
      <c r="H10" s="10">
        <v>0</v>
      </c>
      <c r="I10" s="10">
        <v>0</v>
      </c>
      <c r="J10" s="9">
        <v>4</v>
      </c>
      <c r="L10" s="18">
        <v>16</v>
      </c>
      <c r="N10" s="21">
        <v>0</v>
      </c>
      <c r="O10" s="15">
        <v>0</v>
      </c>
      <c r="P10" s="30">
        <v>0</v>
      </c>
      <c r="Q10" s="15">
        <v>0</v>
      </c>
      <c r="R10" s="22">
        <v>4</v>
      </c>
      <c r="S10" s="16">
        <v>16</v>
      </c>
    </row>
    <row r="11" spans="3:19" ht="15" thickBot="1">
      <c r="C11" s="74" t="s">
        <v>72</v>
      </c>
      <c r="D11" s="46" t="s">
        <v>61</v>
      </c>
      <c r="E11" s="23" t="s">
        <v>29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L11" s="26">
        <v>0</v>
      </c>
      <c r="N11" s="27">
        <v>0</v>
      </c>
      <c r="O11" s="28">
        <v>0</v>
      </c>
      <c r="P11" s="34">
        <v>0</v>
      </c>
      <c r="Q11" s="28">
        <v>0</v>
      </c>
      <c r="R11" s="28">
        <v>0</v>
      </c>
      <c r="S11" s="29">
        <v>0</v>
      </c>
    </row>
    <row r="12" spans="3:19" ht="15" thickBot="1">
      <c r="C12" s="76" t="s">
        <v>74</v>
      </c>
      <c r="D12" s="46" t="s">
        <v>61</v>
      </c>
      <c r="E12" s="17" t="s">
        <v>164</v>
      </c>
      <c r="F12" s="9">
        <v>116</v>
      </c>
      <c r="G12" s="10">
        <v>0</v>
      </c>
      <c r="H12" s="20">
        <v>2</v>
      </c>
      <c r="I12" s="10">
        <v>0</v>
      </c>
      <c r="J12" s="9">
        <v>12</v>
      </c>
      <c r="L12" s="18">
        <v>130</v>
      </c>
      <c r="N12" s="19">
        <v>40</v>
      </c>
      <c r="O12" s="15">
        <v>0</v>
      </c>
      <c r="P12" s="14">
        <v>2</v>
      </c>
      <c r="Q12" s="15">
        <v>0</v>
      </c>
      <c r="R12" s="14">
        <v>8</v>
      </c>
      <c r="S12" s="16">
        <v>196</v>
      </c>
    </row>
    <row r="13" spans="3:19" ht="15" thickBot="1">
      <c r="C13" s="76" t="s">
        <v>74</v>
      </c>
      <c r="D13" s="46" t="s">
        <v>61</v>
      </c>
      <c r="E13" s="17" t="s">
        <v>165</v>
      </c>
      <c r="F13" s="9">
        <v>24</v>
      </c>
      <c r="G13" s="10">
        <v>0</v>
      </c>
      <c r="H13" s="10">
        <v>0</v>
      </c>
      <c r="I13" s="10">
        <v>0</v>
      </c>
      <c r="J13" s="9">
        <v>4</v>
      </c>
      <c r="L13" s="18">
        <v>28</v>
      </c>
      <c r="N13" s="19">
        <v>8</v>
      </c>
      <c r="O13" s="30">
        <v>0</v>
      </c>
      <c r="P13" s="30">
        <v>0</v>
      </c>
      <c r="Q13" s="15">
        <v>0</v>
      </c>
      <c r="R13" s="14">
        <v>4</v>
      </c>
      <c r="S13" s="16">
        <v>48</v>
      </c>
    </row>
    <row r="14" spans="3:19" ht="15" thickBot="1">
      <c r="C14" s="76" t="s">
        <v>74</v>
      </c>
      <c r="D14" s="46" t="s">
        <v>61</v>
      </c>
      <c r="E14" s="17" t="s">
        <v>166</v>
      </c>
      <c r="F14" s="9">
        <v>8</v>
      </c>
      <c r="G14" s="9">
        <v>3</v>
      </c>
      <c r="H14" s="10">
        <v>0</v>
      </c>
      <c r="I14" s="10">
        <v>0</v>
      </c>
      <c r="J14" s="9">
        <v>4</v>
      </c>
      <c r="L14" s="18">
        <v>15</v>
      </c>
      <c r="N14" s="21">
        <v>0</v>
      </c>
      <c r="O14" s="30">
        <v>0</v>
      </c>
      <c r="P14" s="30">
        <v>0</v>
      </c>
      <c r="Q14" s="15">
        <v>0</v>
      </c>
      <c r="R14" s="22">
        <v>4</v>
      </c>
      <c r="S14" s="16">
        <v>16</v>
      </c>
    </row>
    <row r="15" spans="3:19" ht="15" thickBot="1">
      <c r="C15" s="76" t="s">
        <v>74</v>
      </c>
      <c r="D15" s="46" t="s">
        <v>61</v>
      </c>
      <c r="E15" s="23" t="s">
        <v>29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L15" s="26">
        <v>0</v>
      </c>
      <c r="N15" s="27">
        <v>0</v>
      </c>
      <c r="O15" s="28">
        <v>0</v>
      </c>
      <c r="P15" s="34">
        <v>0</v>
      </c>
      <c r="Q15" s="28">
        <v>0</v>
      </c>
      <c r="R15" s="28">
        <v>0</v>
      </c>
      <c r="S15" s="29">
        <v>0</v>
      </c>
    </row>
    <row r="16" spans="3:19" ht="15" thickBot="1">
      <c r="C16" s="74" t="s">
        <v>76</v>
      </c>
      <c r="D16" s="46" t="s">
        <v>61</v>
      </c>
      <c r="E16" s="17" t="s">
        <v>164</v>
      </c>
      <c r="F16" s="9">
        <v>104</v>
      </c>
      <c r="G16" s="20">
        <v>3</v>
      </c>
      <c r="H16" s="20">
        <v>2</v>
      </c>
      <c r="I16" s="20">
        <v>1</v>
      </c>
      <c r="J16" s="9">
        <v>20</v>
      </c>
      <c r="L16" s="18">
        <v>130</v>
      </c>
      <c r="N16" s="19">
        <v>32</v>
      </c>
      <c r="O16" s="14">
        <v>3</v>
      </c>
      <c r="P16" s="14">
        <v>2</v>
      </c>
      <c r="Q16" s="14">
        <v>1</v>
      </c>
      <c r="R16" s="14">
        <v>12</v>
      </c>
      <c r="S16" s="16">
        <v>190</v>
      </c>
    </row>
    <row r="17" spans="3:19" ht="15" thickBot="1">
      <c r="C17" s="74" t="s">
        <v>76</v>
      </c>
      <c r="D17" s="46" t="s">
        <v>61</v>
      </c>
      <c r="E17" s="17" t="s">
        <v>165</v>
      </c>
      <c r="F17" s="9">
        <v>24</v>
      </c>
      <c r="G17" s="10">
        <v>0</v>
      </c>
      <c r="H17" s="10">
        <v>0</v>
      </c>
      <c r="I17" s="10">
        <v>0</v>
      </c>
      <c r="J17" s="9">
        <v>4</v>
      </c>
      <c r="L17" s="18">
        <v>28</v>
      </c>
      <c r="N17" s="19">
        <v>8</v>
      </c>
      <c r="O17" s="30">
        <v>0</v>
      </c>
      <c r="P17" s="30">
        <v>0</v>
      </c>
      <c r="Q17" s="15">
        <v>0</v>
      </c>
      <c r="R17" s="14">
        <v>4</v>
      </c>
      <c r="S17" s="16">
        <v>48</v>
      </c>
    </row>
    <row r="18" spans="3:19" ht="15" thickBot="1">
      <c r="C18" s="74" t="s">
        <v>76</v>
      </c>
      <c r="D18" s="46" t="s">
        <v>61</v>
      </c>
      <c r="E18" s="17" t="s">
        <v>166</v>
      </c>
      <c r="F18" s="9">
        <v>12</v>
      </c>
      <c r="G18" s="10">
        <v>0</v>
      </c>
      <c r="H18" s="9">
        <v>4</v>
      </c>
      <c r="I18" s="10">
        <v>0</v>
      </c>
      <c r="J18" s="9">
        <v>4</v>
      </c>
      <c r="L18" s="18">
        <v>20</v>
      </c>
      <c r="N18" s="21">
        <v>0</v>
      </c>
      <c r="O18" s="30">
        <v>0</v>
      </c>
      <c r="P18" s="30">
        <v>0</v>
      </c>
      <c r="Q18" s="15">
        <v>0</v>
      </c>
      <c r="R18" s="14">
        <v>4</v>
      </c>
      <c r="S18" s="16">
        <v>16</v>
      </c>
    </row>
    <row r="19" spans="3:19" ht="15" thickBot="1">
      <c r="C19" s="74" t="s">
        <v>76</v>
      </c>
      <c r="D19" s="46" t="s">
        <v>61</v>
      </c>
      <c r="E19" s="23" t="s">
        <v>29</v>
      </c>
      <c r="F19" s="25">
        <v>0</v>
      </c>
      <c r="G19" s="24">
        <v>3</v>
      </c>
      <c r="H19" s="25">
        <v>0</v>
      </c>
      <c r="I19" s="25">
        <v>0</v>
      </c>
      <c r="J19" s="25">
        <v>0</v>
      </c>
      <c r="L19" s="26">
        <v>3</v>
      </c>
      <c r="N19" s="53">
        <v>0</v>
      </c>
      <c r="O19" s="54">
        <v>0</v>
      </c>
      <c r="P19" s="34">
        <v>0</v>
      </c>
      <c r="Q19" s="28">
        <v>0</v>
      </c>
      <c r="R19" s="28">
        <v>0</v>
      </c>
      <c r="S19" s="29">
        <v>0</v>
      </c>
    </row>
    <row r="20" spans="3:19" ht="15" thickBot="1">
      <c r="C20" s="76" t="s">
        <v>78</v>
      </c>
      <c r="D20" s="46" t="s">
        <v>61</v>
      </c>
      <c r="E20" s="17" t="s">
        <v>164</v>
      </c>
      <c r="F20" s="9">
        <v>104</v>
      </c>
      <c r="G20" s="20">
        <v>3</v>
      </c>
      <c r="H20" s="20">
        <v>4</v>
      </c>
      <c r="I20" s="20">
        <v>1</v>
      </c>
      <c r="J20" s="9">
        <v>20</v>
      </c>
      <c r="L20" s="18">
        <v>132</v>
      </c>
      <c r="N20" s="19">
        <v>32</v>
      </c>
      <c r="O20" s="20">
        <v>3</v>
      </c>
      <c r="P20" s="22">
        <v>2</v>
      </c>
      <c r="Q20" s="20">
        <v>1</v>
      </c>
      <c r="R20" s="14">
        <v>12</v>
      </c>
      <c r="S20" s="16">
        <v>190</v>
      </c>
    </row>
    <row r="21" spans="3:19" ht="15" thickBot="1">
      <c r="C21" s="76" t="s">
        <v>78</v>
      </c>
      <c r="D21" s="48"/>
      <c r="E21" s="17" t="s">
        <v>165</v>
      </c>
      <c r="F21" s="9">
        <v>24</v>
      </c>
      <c r="G21" s="10">
        <v>0</v>
      </c>
      <c r="H21" s="10">
        <v>0</v>
      </c>
      <c r="I21" s="10">
        <v>0</v>
      </c>
      <c r="J21" s="10">
        <v>0</v>
      </c>
      <c r="L21" s="18">
        <v>24</v>
      </c>
      <c r="N21" s="19">
        <v>8</v>
      </c>
      <c r="O21" s="30">
        <v>0</v>
      </c>
      <c r="P21" s="30">
        <v>0</v>
      </c>
      <c r="Q21" s="15">
        <v>0</v>
      </c>
      <c r="R21" s="55">
        <v>0</v>
      </c>
      <c r="S21" s="16">
        <v>32</v>
      </c>
    </row>
    <row r="22" spans="3:19" ht="15" thickBot="1">
      <c r="C22" s="76" t="s">
        <v>78</v>
      </c>
      <c r="D22" s="48"/>
      <c r="E22" s="17" t="s">
        <v>166</v>
      </c>
      <c r="F22" s="9">
        <v>8</v>
      </c>
      <c r="G22" s="10">
        <v>0</v>
      </c>
      <c r="H22" s="10">
        <v>0</v>
      </c>
      <c r="I22" s="10">
        <v>0</v>
      </c>
      <c r="J22" s="9">
        <v>4</v>
      </c>
      <c r="L22" s="18">
        <v>12</v>
      </c>
      <c r="N22" s="50">
        <v>0</v>
      </c>
      <c r="O22" s="30">
        <v>0</v>
      </c>
      <c r="P22" s="30">
        <v>0</v>
      </c>
      <c r="Q22" s="15">
        <v>0</v>
      </c>
      <c r="R22" s="9">
        <v>4</v>
      </c>
      <c r="S22" s="16">
        <v>16</v>
      </c>
    </row>
    <row r="23" spans="3:19" ht="15" thickBot="1">
      <c r="C23" s="76" t="s">
        <v>78</v>
      </c>
      <c r="D23" s="49"/>
      <c r="E23" s="23" t="s">
        <v>29</v>
      </c>
      <c r="F23" s="24">
        <v>4</v>
      </c>
      <c r="G23" s="25">
        <v>0</v>
      </c>
      <c r="H23" s="25">
        <v>0</v>
      </c>
      <c r="I23" s="25">
        <v>0</v>
      </c>
      <c r="J23" s="25">
        <v>0</v>
      </c>
      <c r="L23" s="26">
        <v>4</v>
      </c>
      <c r="N23" s="53">
        <v>0</v>
      </c>
      <c r="O23" s="34">
        <v>0</v>
      </c>
      <c r="P23" s="34">
        <v>0</v>
      </c>
      <c r="Q23" s="28">
        <v>0</v>
      </c>
      <c r="R23" s="28">
        <v>0</v>
      </c>
      <c r="S23" s="29">
        <v>0</v>
      </c>
    </row>
    <row r="24" spans="3:19" ht="15" thickBot="1">
      <c r="C24" s="74" t="s">
        <v>80</v>
      </c>
      <c r="D24" s="46" t="s">
        <v>61</v>
      </c>
      <c r="E24" s="17" t="s">
        <v>164</v>
      </c>
      <c r="F24" s="9">
        <v>116</v>
      </c>
      <c r="G24" s="20">
        <v>3</v>
      </c>
      <c r="H24" s="10">
        <v>0</v>
      </c>
      <c r="I24" s="20">
        <v>1</v>
      </c>
      <c r="J24" s="20">
        <v>12</v>
      </c>
      <c r="L24" s="18">
        <v>132</v>
      </c>
      <c r="N24" s="38">
        <v>36</v>
      </c>
      <c r="O24" s="22">
        <v>3</v>
      </c>
      <c r="P24" s="15">
        <v>0</v>
      </c>
      <c r="Q24" s="22">
        <v>1</v>
      </c>
      <c r="R24" s="22">
        <v>8</v>
      </c>
      <c r="S24" s="16">
        <v>186</v>
      </c>
    </row>
    <row r="25" spans="3:19" ht="15" thickBot="1">
      <c r="C25" s="74" t="s">
        <v>80</v>
      </c>
      <c r="D25" s="48"/>
      <c r="E25" s="17" t="s">
        <v>165</v>
      </c>
      <c r="F25" s="9">
        <v>24</v>
      </c>
      <c r="G25" s="20">
        <v>3</v>
      </c>
      <c r="H25" s="10">
        <v>0</v>
      </c>
      <c r="I25" s="10">
        <v>0</v>
      </c>
      <c r="J25" s="10">
        <v>0</v>
      </c>
      <c r="L25" s="18">
        <v>27</v>
      </c>
      <c r="N25" s="38">
        <v>8</v>
      </c>
      <c r="O25" s="30">
        <v>0</v>
      </c>
      <c r="P25" s="15">
        <v>0</v>
      </c>
      <c r="Q25" s="15">
        <v>0</v>
      </c>
      <c r="R25" s="55">
        <v>0</v>
      </c>
      <c r="S25" s="16">
        <v>32</v>
      </c>
    </row>
    <row r="26" spans="3:19" ht="15" thickBot="1">
      <c r="C26" s="74" t="s">
        <v>80</v>
      </c>
      <c r="D26" s="48"/>
      <c r="E26" s="17" t="s">
        <v>166</v>
      </c>
      <c r="F26" s="9">
        <v>8</v>
      </c>
      <c r="G26" s="10">
        <v>0</v>
      </c>
      <c r="H26" s="10">
        <v>0</v>
      </c>
      <c r="I26" s="10">
        <v>0</v>
      </c>
      <c r="J26" s="20">
        <v>4</v>
      </c>
      <c r="L26" s="18">
        <v>12</v>
      </c>
      <c r="N26" s="56">
        <v>0</v>
      </c>
      <c r="O26" s="30">
        <v>0</v>
      </c>
      <c r="P26" s="15">
        <v>0</v>
      </c>
      <c r="Q26" s="15">
        <v>0</v>
      </c>
      <c r="R26" s="22">
        <v>4</v>
      </c>
      <c r="S26" s="16">
        <v>16</v>
      </c>
    </row>
    <row r="27" spans="3:19">
      <c r="C27" s="74" t="s">
        <v>80</v>
      </c>
      <c r="D27" s="49"/>
      <c r="E27" s="23" t="s">
        <v>29</v>
      </c>
      <c r="F27" s="25">
        <v>0</v>
      </c>
      <c r="G27" s="24">
        <v>3</v>
      </c>
      <c r="H27" s="25">
        <v>0</v>
      </c>
      <c r="I27" s="25">
        <v>0</v>
      </c>
      <c r="J27" s="25">
        <v>0</v>
      </c>
      <c r="L27" s="26">
        <v>3</v>
      </c>
      <c r="N27" s="53">
        <v>0</v>
      </c>
      <c r="O27" s="34">
        <v>0</v>
      </c>
      <c r="P27" s="28">
        <v>0</v>
      </c>
      <c r="Q27" s="28">
        <v>0</v>
      </c>
      <c r="R27" s="54">
        <v>0</v>
      </c>
      <c r="S27" s="29">
        <v>0</v>
      </c>
    </row>
    <row r="28" spans="3:19">
      <c r="C28" s="75" t="s">
        <v>167</v>
      </c>
      <c r="D28" s="48" t="s">
        <v>61</v>
      </c>
      <c r="E28" s="17" t="s">
        <v>164</v>
      </c>
      <c r="F28" s="9">
        <v>176</v>
      </c>
      <c r="G28" s="9">
        <v>3</v>
      </c>
      <c r="H28" s="10">
        <v>0</v>
      </c>
      <c r="I28" s="10">
        <v>0</v>
      </c>
      <c r="J28" s="9">
        <v>28</v>
      </c>
      <c r="L28" s="18">
        <v>207</v>
      </c>
      <c r="N28" s="19">
        <v>56</v>
      </c>
      <c r="O28" s="30">
        <v>0</v>
      </c>
      <c r="P28" s="30">
        <v>0</v>
      </c>
      <c r="Q28" s="55">
        <v>0</v>
      </c>
      <c r="R28" s="14">
        <v>16</v>
      </c>
      <c r="S28" s="16">
        <v>288</v>
      </c>
    </row>
    <row r="29" spans="3:19">
      <c r="C29" s="75" t="s">
        <v>167</v>
      </c>
      <c r="D29" s="48"/>
      <c r="E29" s="17" t="s">
        <v>165</v>
      </c>
      <c r="F29" s="9">
        <v>20</v>
      </c>
      <c r="G29" s="9">
        <v>3</v>
      </c>
      <c r="H29" s="10">
        <v>0</v>
      </c>
      <c r="I29" s="10">
        <v>0</v>
      </c>
      <c r="J29" s="10">
        <v>0</v>
      </c>
      <c r="L29" s="18">
        <v>23</v>
      </c>
      <c r="N29" s="19">
        <v>8</v>
      </c>
      <c r="O29" s="14">
        <v>3</v>
      </c>
      <c r="P29" s="55">
        <v>0</v>
      </c>
      <c r="Q29" s="55">
        <v>0</v>
      </c>
      <c r="R29" s="55">
        <v>0</v>
      </c>
      <c r="S29" s="16">
        <v>41</v>
      </c>
    </row>
    <row r="30" spans="3:19">
      <c r="C30" s="75" t="s">
        <v>167</v>
      </c>
      <c r="D30" s="48"/>
      <c r="E30" s="17" t="s">
        <v>166</v>
      </c>
      <c r="F30" s="9">
        <v>12</v>
      </c>
      <c r="G30" s="10">
        <v>0</v>
      </c>
      <c r="H30" s="10">
        <v>0</v>
      </c>
      <c r="I30" s="10">
        <v>0</v>
      </c>
      <c r="J30" s="20">
        <v>4</v>
      </c>
      <c r="L30" s="18">
        <v>16</v>
      </c>
      <c r="N30" s="56">
        <v>0</v>
      </c>
      <c r="O30" s="55">
        <v>0</v>
      </c>
      <c r="P30" s="55">
        <v>0</v>
      </c>
      <c r="Q30" s="55">
        <v>0</v>
      </c>
      <c r="R30" s="9">
        <v>4</v>
      </c>
      <c r="S30" s="16">
        <v>16</v>
      </c>
    </row>
    <row r="31" spans="3:19" ht="15" thickBot="1">
      <c r="C31" s="75" t="s">
        <v>167</v>
      </c>
      <c r="D31" s="49"/>
      <c r="E31" s="23" t="s">
        <v>29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L31" s="26">
        <v>0</v>
      </c>
      <c r="N31" s="53">
        <v>0</v>
      </c>
      <c r="O31" s="54">
        <v>0</v>
      </c>
      <c r="P31" s="54">
        <v>0</v>
      </c>
      <c r="Q31" s="54">
        <v>0</v>
      </c>
      <c r="R31" s="54">
        <v>0</v>
      </c>
      <c r="S31" s="29">
        <v>0</v>
      </c>
    </row>
    <row r="32" spans="3:19" ht="15" thickBot="1">
      <c r="C32" s="76" t="s">
        <v>168</v>
      </c>
      <c r="D32" s="46" t="s">
        <v>61</v>
      </c>
      <c r="E32" s="17" t="s">
        <v>164</v>
      </c>
      <c r="F32" s="9">
        <v>192</v>
      </c>
      <c r="G32" s="10">
        <v>0</v>
      </c>
      <c r="H32" s="10">
        <v>0</v>
      </c>
      <c r="I32" s="10">
        <v>0</v>
      </c>
      <c r="J32" s="9">
        <v>16</v>
      </c>
      <c r="L32" s="18">
        <v>208</v>
      </c>
      <c r="N32" s="19">
        <v>60</v>
      </c>
      <c r="O32" s="30">
        <v>0</v>
      </c>
      <c r="P32" s="30">
        <v>0</v>
      </c>
      <c r="Q32" s="55">
        <v>0</v>
      </c>
      <c r="R32" s="14">
        <v>8</v>
      </c>
      <c r="S32" s="16">
        <v>272</v>
      </c>
    </row>
    <row r="33" spans="1:19" ht="15" thickBot="1">
      <c r="C33" s="76" t="s">
        <v>168</v>
      </c>
      <c r="D33" s="48"/>
      <c r="E33" s="17" t="s">
        <v>165</v>
      </c>
      <c r="F33" s="9">
        <v>16</v>
      </c>
      <c r="G33" s="10">
        <v>0</v>
      </c>
      <c r="H33" s="10">
        <v>0</v>
      </c>
      <c r="I33" s="10">
        <v>0</v>
      </c>
      <c r="J33" s="20">
        <v>4</v>
      </c>
      <c r="L33" s="18">
        <v>20</v>
      </c>
      <c r="N33" s="19">
        <v>8</v>
      </c>
      <c r="O33" s="30">
        <v>0</v>
      </c>
      <c r="P33" s="55">
        <v>0</v>
      </c>
      <c r="Q33" s="55">
        <v>0</v>
      </c>
      <c r="R33" s="55">
        <v>0</v>
      </c>
      <c r="S33" s="16">
        <v>32</v>
      </c>
    </row>
    <row r="34" spans="1:19" ht="15" thickBot="1">
      <c r="C34" s="76" t="s">
        <v>168</v>
      </c>
      <c r="D34" s="48"/>
      <c r="E34" s="17" t="s">
        <v>166</v>
      </c>
      <c r="F34" s="9">
        <v>12</v>
      </c>
      <c r="G34" s="10">
        <v>0</v>
      </c>
      <c r="H34" s="10">
        <v>0</v>
      </c>
      <c r="I34" s="10">
        <v>0</v>
      </c>
      <c r="J34" s="20">
        <v>4</v>
      </c>
      <c r="L34" s="18">
        <v>16</v>
      </c>
      <c r="N34" s="56">
        <v>0</v>
      </c>
      <c r="O34" s="30">
        <v>0</v>
      </c>
      <c r="P34" s="55">
        <v>0</v>
      </c>
      <c r="Q34" s="55">
        <v>0</v>
      </c>
      <c r="R34" s="9">
        <v>4</v>
      </c>
      <c r="S34" s="16">
        <v>16</v>
      </c>
    </row>
    <row r="35" spans="1:19" ht="15" thickBot="1">
      <c r="C35" s="76" t="s">
        <v>168</v>
      </c>
      <c r="D35" s="49"/>
      <c r="E35" s="23" t="s">
        <v>29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L35" s="26">
        <v>0</v>
      </c>
      <c r="N35" s="53">
        <v>0</v>
      </c>
      <c r="O35" s="54">
        <v>0</v>
      </c>
      <c r="P35" s="54">
        <v>0</v>
      </c>
      <c r="Q35" s="54">
        <v>0</v>
      </c>
      <c r="R35" s="54">
        <v>0</v>
      </c>
      <c r="S35" s="29">
        <v>0</v>
      </c>
    </row>
    <row r="36" spans="1:19" ht="15" thickBot="1">
      <c r="C36" s="74" t="s">
        <v>169</v>
      </c>
      <c r="D36" s="46" t="s">
        <v>61</v>
      </c>
      <c r="E36" s="17" t="s">
        <v>164</v>
      </c>
      <c r="F36" s="9">
        <v>192</v>
      </c>
      <c r="G36" s="9">
        <v>3</v>
      </c>
      <c r="H36" s="10">
        <v>0</v>
      </c>
      <c r="I36" s="10">
        <v>0</v>
      </c>
      <c r="J36" s="9">
        <v>16</v>
      </c>
      <c r="L36" s="18">
        <v>211</v>
      </c>
      <c r="N36" s="19">
        <v>56</v>
      </c>
      <c r="O36" s="14">
        <v>3</v>
      </c>
      <c r="P36" s="30">
        <v>0</v>
      </c>
      <c r="Q36" s="30">
        <v>0</v>
      </c>
      <c r="R36" s="14">
        <v>8</v>
      </c>
      <c r="S36" s="16">
        <v>265</v>
      </c>
    </row>
    <row r="37" spans="1:19" ht="15" thickBot="1">
      <c r="C37" s="74" t="s">
        <v>169</v>
      </c>
      <c r="D37" s="48"/>
      <c r="E37" s="17" t="s">
        <v>165</v>
      </c>
      <c r="F37" s="9">
        <v>28</v>
      </c>
      <c r="G37" s="10">
        <v>0</v>
      </c>
      <c r="H37" s="10">
        <v>0</v>
      </c>
      <c r="I37" s="10">
        <v>0</v>
      </c>
      <c r="J37" s="10">
        <v>0</v>
      </c>
      <c r="L37" s="18">
        <v>28</v>
      </c>
      <c r="N37" s="19">
        <v>8</v>
      </c>
      <c r="O37" s="55">
        <v>0</v>
      </c>
      <c r="P37" s="30">
        <v>0</v>
      </c>
      <c r="Q37" s="30">
        <v>0</v>
      </c>
      <c r="R37" s="55">
        <v>0</v>
      </c>
      <c r="S37" s="16">
        <v>32</v>
      </c>
    </row>
    <row r="38" spans="1:19" ht="15" thickBot="1">
      <c r="C38" s="74" t="s">
        <v>169</v>
      </c>
      <c r="D38" s="48"/>
      <c r="E38" s="17" t="s">
        <v>166</v>
      </c>
      <c r="F38" s="9">
        <v>8</v>
      </c>
      <c r="G38" s="10">
        <v>0</v>
      </c>
      <c r="H38" s="10">
        <v>0</v>
      </c>
      <c r="I38" s="10">
        <v>0</v>
      </c>
      <c r="J38" s="20">
        <v>4</v>
      </c>
      <c r="L38" s="18">
        <v>12</v>
      </c>
      <c r="N38" s="56">
        <v>0</v>
      </c>
      <c r="O38" s="55">
        <v>0</v>
      </c>
      <c r="P38" s="30">
        <v>0</v>
      </c>
      <c r="Q38" s="30">
        <v>0</v>
      </c>
      <c r="R38" s="22">
        <v>4</v>
      </c>
      <c r="S38" s="16">
        <v>16</v>
      </c>
    </row>
    <row r="39" spans="1:19" ht="15" thickBot="1">
      <c r="C39" s="74" t="s">
        <v>169</v>
      </c>
      <c r="D39" s="49"/>
      <c r="E39" s="23" t="s">
        <v>29</v>
      </c>
      <c r="F39" s="65">
        <v>0</v>
      </c>
      <c r="G39" s="65">
        <v>0</v>
      </c>
      <c r="H39" s="25">
        <v>0</v>
      </c>
      <c r="I39" s="25">
        <v>0</v>
      </c>
      <c r="J39" s="25">
        <v>0</v>
      </c>
      <c r="L39" s="26">
        <v>0</v>
      </c>
      <c r="N39" s="53">
        <v>0</v>
      </c>
      <c r="O39" s="34">
        <v>0</v>
      </c>
      <c r="P39" s="34">
        <v>0</v>
      </c>
      <c r="Q39" s="34">
        <v>0</v>
      </c>
      <c r="R39" s="54">
        <v>0</v>
      </c>
      <c r="S39" s="29">
        <v>0</v>
      </c>
    </row>
    <row r="40" spans="1:19" ht="15" thickBot="1">
      <c r="C40" s="76" t="s">
        <v>170</v>
      </c>
      <c r="D40" s="46" t="s">
        <v>61</v>
      </c>
      <c r="E40" s="17" t="s">
        <v>164</v>
      </c>
      <c r="F40" s="9">
        <v>172</v>
      </c>
      <c r="G40" s="9">
        <v>9</v>
      </c>
      <c r="H40" s="20">
        <v>2</v>
      </c>
      <c r="I40" s="10">
        <v>0</v>
      </c>
      <c r="J40" s="9">
        <v>28</v>
      </c>
      <c r="L40" s="18">
        <v>211</v>
      </c>
      <c r="N40" s="19">
        <v>52</v>
      </c>
      <c r="O40" s="14">
        <v>6</v>
      </c>
      <c r="P40" s="22">
        <v>2</v>
      </c>
      <c r="Q40" s="30">
        <v>0</v>
      </c>
      <c r="R40" s="14">
        <v>16</v>
      </c>
      <c r="S40" s="16">
        <v>294</v>
      </c>
    </row>
    <row r="41" spans="1:19" ht="15" thickBot="1">
      <c r="C41" s="76" t="s">
        <v>170</v>
      </c>
      <c r="D41" s="48"/>
      <c r="E41" s="17" t="s">
        <v>165</v>
      </c>
      <c r="F41" s="9">
        <v>20</v>
      </c>
      <c r="G41" s="20">
        <v>3</v>
      </c>
      <c r="H41" s="10">
        <v>0</v>
      </c>
      <c r="I41" s="10">
        <v>0</v>
      </c>
      <c r="J41" s="10">
        <v>0</v>
      </c>
      <c r="L41" s="18">
        <v>23</v>
      </c>
      <c r="N41" s="19">
        <v>8</v>
      </c>
      <c r="O41" s="22">
        <v>3</v>
      </c>
      <c r="P41" s="30">
        <v>0</v>
      </c>
      <c r="Q41" s="30">
        <v>0</v>
      </c>
      <c r="R41" s="55">
        <v>0</v>
      </c>
      <c r="S41" s="16">
        <v>41</v>
      </c>
    </row>
    <row r="42" spans="1:19" ht="15" thickBot="1">
      <c r="C42" s="76" t="s">
        <v>170</v>
      </c>
      <c r="D42" s="48"/>
      <c r="E42" s="17" t="s">
        <v>166</v>
      </c>
      <c r="F42" s="9">
        <v>4</v>
      </c>
      <c r="G42" s="10">
        <v>0</v>
      </c>
      <c r="H42" s="10">
        <v>0</v>
      </c>
      <c r="I42" s="10">
        <v>0</v>
      </c>
      <c r="J42" s="20">
        <v>4</v>
      </c>
      <c r="L42" s="18">
        <v>8</v>
      </c>
      <c r="N42" s="56">
        <v>0</v>
      </c>
      <c r="O42" s="55">
        <v>0</v>
      </c>
      <c r="P42" s="30">
        <v>0</v>
      </c>
      <c r="Q42" s="30">
        <v>0</v>
      </c>
      <c r="R42" s="22">
        <v>4</v>
      </c>
      <c r="S42" s="16">
        <v>16</v>
      </c>
    </row>
    <row r="43" spans="1:19" ht="15" thickBot="1">
      <c r="C43" s="76" t="s">
        <v>170</v>
      </c>
      <c r="D43" s="49"/>
      <c r="E43" s="23" t="s">
        <v>29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L43" s="26">
        <v>0</v>
      </c>
      <c r="N43" s="53">
        <v>0</v>
      </c>
      <c r="O43" s="54">
        <v>0</v>
      </c>
      <c r="P43" s="34">
        <v>0</v>
      </c>
      <c r="Q43" s="34">
        <v>0</v>
      </c>
      <c r="R43" s="54">
        <v>0</v>
      </c>
      <c r="S43" s="29">
        <v>0</v>
      </c>
    </row>
    <row r="44" spans="1:19" ht="15" thickBot="1">
      <c r="C44" s="72" t="s">
        <v>171</v>
      </c>
      <c r="D44" s="66" t="s">
        <v>61</v>
      </c>
      <c r="E44" s="23"/>
      <c r="F44" s="32">
        <v>28</v>
      </c>
      <c r="G44" s="24">
        <v>6</v>
      </c>
      <c r="H44" s="25">
        <v>0</v>
      </c>
      <c r="I44" s="25">
        <v>0</v>
      </c>
      <c r="J44" s="32">
        <v>12</v>
      </c>
      <c r="L44" s="26">
        <v>46</v>
      </c>
      <c r="N44" s="67">
        <v>16</v>
      </c>
      <c r="O44" s="35">
        <v>6</v>
      </c>
      <c r="P44" s="34">
        <v>0</v>
      </c>
      <c r="Q44" s="28">
        <v>0</v>
      </c>
      <c r="R44" s="68">
        <v>8</v>
      </c>
      <c r="S44" s="26">
        <v>114</v>
      </c>
    </row>
    <row r="45" spans="1:19" ht="15" thickBot="1">
      <c r="C45" s="73" t="s">
        <v>172</v>
      </c>
      <c r="D45" s="66" t="s">
        <v>61</v>
      </c>
      <c r="E45" s="23"/>
      <c r="F45" s="32">
        <v>36</v>
      </c>
      <c r="G45" s="24">
        <v>3</v>
      </c>
      <c r="H45" s="25">
        <v>0</v>
      </c>
      <c r="I45" s="25">
        <v>0</v>
      </c>
      <c r="J45" s="24">
        <v>8</v>
      </c>
      <c r="L45" s="26">
        <v>47</v>
      </c>
      <c r="N45" s="67">
        <v>20</v>
      </c>
      <c r="O45" s="35">
        <v>3</v>
      </c>
      <c r="P45" s="34">
        <v>0</v>
      </c>
      <c r="Q45" s="28">
        <v>0</v>
      </c>
      <c r="R45" s="68">
        <v>8</v>
      </c>
      <c r="S45" s="26">
        <v>121</v>
      </c>
    </row>
    <row r="46" spans="1:19">
      <c r="C46" s="72" t="s">
        <v>173</v>
      </c>
      <c r="D46" s="66" t="s">
        <v>61</v>
      </c>
      <c r="E46" s="23"/>
      <c r="F46" s="32">
        <v>36</v>
      </c>
      <c r="G46" s="24">
        <v>3</v>
      </c>
      <c r="H46" s="25">
        <v>0</v>
      </c>
      <c r="I46" s="25">
        <v>0</v>
      </c>
      <c r="J46" s="32">
        <v>8</v>
      </c>
      <c r="L46" s="26">
        <v>47</v>
      </c>
      <c r="N46" s="67">
        <v>20</v>
      </c>
      <c r="O46" s="35">
        <v>3</v>
      </c>
      <c r="P46" s="34">
        <v>0</v>
      </c>
      <c r="Q46" s="28">
        <v>0</v>
      </c>
      <c r="R46" s="68">
        <v>8</v>
      </c>
      <c r="S46" s="26">
        <v>121</v>
      </c>
    </row>
    <row r="47" spans="1:19">
      <c r="A47" t="str">
        <f>_xlfn.CONCAT(B47," - ",C47)</f>
        <v>DOM - Ultimo Rd</v>
      </c>
      <c r="B47" t="s">
        <v>174</v>
      </c>
      <c r="C47" s="80" t="s">
        <v>175</v>
      </c>
      <c r="D47" s="78" t="s">
        <v>61</v>
      </c>
      <c r="E47" s="81"/>
      <c r="F47" s="82">
        <v>20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4">
        <v>20</v>
      </c>
    </row>
    <row r="48" spans="1:19">
      <c r="A48" t="str">
        <f t="shared" ref="A48:A65" si="0">_xlfn.CONCAT(B48," - ",C48)</f>
        <v>DOM - Enmore Rd</v>
      </c>
      <c r="B48" t="s">
        <v>174</v>
      </c>
      <c r="C48" s="80" t="s">
        <v>176</v>
      </c>
      <c r="D48" s="78" t="s">
        <v>61</v>
      </c>
      <c r="E48" s="81"/>
      <c r="F48" s="82">
        <v>12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4">
        <v>12</v>
      </c>
    </row>
    <row r="49" spans="1:12">
      <c r="A49" t="str">
        <f t="shared" si="0"/>
        <v>DOM - New South Head Rd</v>
      </c>
      <c r="B49" t="s">
        <v>174</v>
      </c>
      <c r="C49" s="85" t="s">
        <v>177</v>
      </c>
      <c r="D49" s="78" t="s">
        <v>61</v>
      </c>
      <c r="E49" s="86"/>
      <c r="F49" s="87">
        <v>16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26">
        <v>16</v>
      </c>
    </row>
    <row r="50" spans="1:12">
      <c r="A50" t="str">
        <f t="shared" si="0"/>
        <v>DOM - Regent St</v>
      </c>
      <c r="B50" t="s">
        <v>174</v>
      </c>
      <c r="C50" s="89" t="s">
        <v>178</v>
      </c>
      <c r="D50" s="78" t="s">
        <v>61</v>
      </c>
      <c r="E50" s="90"/>
      <c r="F50" s="87">
        <v>24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26">
        <v>24</v>
      </c>
    </row>
    <row r="51" spans="1:12">
      <c r="A51" t="str">
        <f t="shared" si="0"/>
        <v>DOM - Cleveland St</v>
      </c>
      <c r="B51" t="s">
        <v>174</v>
      </c>
      <c r="C51" s="91" t="s">
        <v>179</v>
      </c>
      <c r="D51" s="78" t="s">
        <v>61</v>
      </c>
      <c r="E51" s="92"/>
      <c r="F51" s="83">
        <v>0</v>
      </c>
      <c r="G51" s="83">
        <v>0</v>
      </c>
      <c r="H51" s="83">
        <v>0</v>
      </c>
      <c r="I51" s="83">
        <v>0</v>
      </c>
      <c r="J51" s="82">
        <v>28</v>
      </c>
      <c r="K51" s="88">
        <v>0</v>
      </c>
      <c r="L51" s="26">
        <v>28</v>
      </c>
    </row>
    <row r="52" spans="1:12">
      <c r="A52" t="str">
        <f t="shared" si="0"/>
        <v>DOM - Harris St</v>
      </c>
      <c r="B52" t="s">
        <v>174</v>
      </c>
      <c r="C52" s="80" t="s">
        <v>180</v>
      </c>
      <c r="D52" s="78" t="s">
        <v>61</v>
      </c>
      <c r="E52" s="81"/>
      <c r="F52" s="83">
        <v>0</v>
      </c>
      <c r="G52" s="93">
        <v>0</v>
      </c>
      <c r="H52" s="93">
        <v>0</v>
      </c>
      <c r="I52" s="93">
        <v>0</v>
      </c>
      <c r="J52" s="94">
        <v>16</v>
      </c>
      <c r="K52" s="88">
        <v>0</v>
      </c>
      <c r="L52" s="26">
        <v>16</v>
      </c>
    </row>
    <row r="53" spans="1:12">
      <c r="A53" t="str">
        <f t="shared" si="0"/>
        <v>DOM - Help St</v>
      </c>
      <c r="B53" t="s">
        <v>174</v>
      </c>
      <c r="C53" s="91" t="s">
        <v>181</v>
      </c>
      <c r="D53" s="78" t="s">
        <v>61</v>
      </c>
      <c r="E53" s="92"/>
      <c r="F53" s="87">
        <v>16</v>
      </c>
      <c r="G53" s="83">
        <v>0</v>
      </c>
      <c r="H53" s="83">
        <v>0</v>
      </c>
      <c r="I53" s="83">
        <v>0</v>
      </c>
      <c r="J53" s="83">
        <v>0</v>
      </c>
      <c r="K53" s="88">
        <v>0</v>
      </c>
      <c r="L53" s="26">
        <v>16</v>
      </c>
    </row>
    <row r="54" spans="1:12">
      <c r="A54" t="str">
        <f t="shared" si="0"/>
        <v>DOM - Marsden &amp; Argyle St</v>
      </c>
      <c r="B54" t="s">
        <v>174</v>
      </c>
      <c r="C54" s="80" t="s">
        <v>182</v>
      </c>
      <c r="D54" s="78" t="s">
        <v>61</v>
      </c>
      <c r="E54" s="81"/>
      <c r="F54" s="87">
        <v>20</v>
      </c>
      <c r="G54" s="88">
        <v>0</v>
      </c>
      <c r="H54" s="88">
        <v>0</v>
      </c>
      <c r="I54" s="88">
        <v>0</v>
      </c>
      <c r="J54" s="95">
        <v>0</v>
      </c>
      <c r="K54" s="93">
        <v>0</v>
      </c>
      <c r="L54" s="18">
        <v>20</v>
      </c>
    </row>
    <row r="55" spans="1:12">
      <c r="A55" t="str">
        <f t="shared" si="0"/>
        <v>DOM - The Crescent Mega/Dom</v>
      </c>
      <c r="B55" t="s">
        <v>174</v>
      </c>
      <c r="C55" s="96" t="s">
        <v>183</v>
      </c>
      <c r="D55" s="78" t="s">
        <v>61</v>
      </c>
      <c r="E55" s="90"/>
      <c r="F55" s="87">
        <v>8</v>
      </c>
      <c r="G55" s="88">
        <v>0</v>
      </c>
      <c r="H55" s="97">
        <v>0</v>
      </c>
      <c r="I55" s="97">
        <v>0</v>
      </c>
      <c r="J55" s="83">
        <v>0</v>
      </c>
      <c r="K55" s="82">
        <v>1</v>
      </c>
      <c r="L55" s="98">
        <v>8</v>
      </c>
    </row>
    <row r="56" spans="1:12">
      <c r="A56" t="s">
        <v>87</v>
      </c>
      <c r="C56" s="80" t="s">
        <v>184</v>
      </c>
      <c r="D56" s="78" t="s">
        <v>61</v>
      </c>
      <c r="E56" s="129"/>
      <c r="F56" s="82">
        <v>4</v>
      </c>
      <c r="G56" s="88">
        <v>0</v>
      </c>
      <c r="H56" s="97">
        <v>0</v>
      </c>
      <c r="I56" s="97"/>
      <c r="J56" s="88">
        <v>0</v>
      </c>
      <c r="K56" s="88"/>
      <c r="L56" s="98">
        <v>4</v>
      </c>
    </row>
    <row r="57" spans="1:12">
      <c r="A57" t="str">
        <f t="shared" si="0"/>
        <v>HS - Catherine St &amp; Brennan St</v>
      </c>
      <c r="B57" t="s">
        <v>165</v>
      </c>
      <c r="C57" s="80" t="s">
        <v>185</v>
      </c>
      <c r="D57" s="78" t="s">
        <v>61</v>
      </c>
      <c r="E57" s="129"/>
      <c r="F57" s="88">
        <v>0</v>
      </c>
      <c r="G57" s="88">
        <v>0</v>
      </c>
      <c r="H57" s="97">
        <v>0</v>
      </c>
      <c r="I57" s="97"/>
      <c r="J57" s="82">
        <v>4</v>
      </c>
      <c r="K57" s="88"/>
      <c r="L57" s="98">
        <v>4</v>
      </c>
    </row>
    <row r="58" spans="1:12">
      <c r="A58" t="str">
        <f t="shared" si="0"/>
        <v>HS - Catherine St &amp; Lilyfield St</v>
      </c>
      <c r="B58" t="s">
        <v>165</v>
      </c>
      <c r="C58" s="85" t="s">
        <v>186</v>
      </c>
      <c r="D58" s="78" t="s">
        <v>61</v>
      </c>
      <c r="E58" s="130"/>
      <c r="F58" s="88">
        <v>0</v>
      </c>
      <c r="G58" s="88">
        <v>0</v>
      </c>
      <c r="H58" s="97">
        <v>0</v>
      </c>
      <c r="I58" s="97"/>
      <c r="J58" s="82">
        <v>4</v>
      </c>
      <c r="K58" s="88"/>
      <c r="L58" s="98">
        <v>4</v>
      </c>
    </row>
    <row r="59" spans="1:12">
      <c r="A59" t="str">
        <f t="shared" si="0"/>
        <v>HS - Longport St</v>
      </c>
      <c r="B59" t="s">
        <v>165</v>
      </c>
      <c r="C59" s="89" t="s">
        <v>187</v>
      </c>
      <c r="D59" s="78" t="s">
        <v>61</v>
      </c>
      <c r="E59" s="131"/>
      <c r="F59" s="88">
        <v>0</v>
      </c>
      <c r="G59" s="88">
        <v>0</v>
      </c>
      <c r="H59" s="97">
        <v>0</v>
      </c>
      <c r="I59" s="97"/>
      <c r="J59" s="82">
        <v>4</v>
      </c>
      <c r="K59" s="88"/>
      <c r="L59" s="98">
        <v>4</v>
      </c>
    </row>
    <row r="60" spans="1:12">
      <c r="A60" t="str">
        <f t="shared" si="0"/>
        <v>HS - New Canterbury Rd</v>
      </c>
      <c r="B60" t="s">
        <v>165</v>
      </c>
      <c r="C60" s="91" t="s">
        <v>188</v>
      </c>
      <c r="D60" s="78" t="s">
        <v>61</v>
      </c>
      <c r="E60" s="132"/>
      <c r="F60" s="88">
        <v>0</v>
      </c>
      <c r="G60" s="88">
        <v>0</v>
      </c>
      <c r="H60" s="97">
        <v>0</v>
      </c>
      <c r="I60" s="97"/>
      <c r="J60" s="82">
        <v>4</v>
      </c>
      <c r="K60" s="88"/>
      <c r="L60" s="98">
        <v>4</v>
      </c>
    </row>
    <row r="61" spans="1:12">
      <c r="A61" t="str">
        <f t="shared" si="0"/>
        <v>HS - Glenmore Rd</v>
      </c>
      <c r="B61" t="s">
        <v>165</v>
      </c>
      <c r="C61" s="133" t="s">
        <v>189</v>
      </c>
      <c r="D61" s="78" t="s">
        <v>61</v>
      </c>
      <c r="E61" s="134"/>
      <c r="F61" s="88">
        <v>0</v>
      </c>
      <c r="G61" s="82">
        <v>3</v>
      </c>
      <c r="H61" s="97">
        <v>0</v>
      </c>
      <c r="I61" s="97"/>
      <c r="J61" s="83">
        <v>0</v>
      </c>
      <c r="K61" s="88"/>
      <c r="L61" s="98">
        <v>3</v>
      </c>
    </row>
    <row r="62" spans="1:12">
      <c r="A62" t="str">
        <f t="shared" si="0"/>
        <v>HS - King St</v>
      </c>
      <c r="B62" t="s">
        <v>165</v>
      </c>
      <c r="C62" s="91" t="s">
        <v>190</v>
      </c>
      <c r="D62" s="78" t="s">
        <v>61</v>
      </c>
      <c r="E62" s="132"/>
      <c r="F62" s="88">
        <v>0</v>
      </c>
      <c r="G62" s="82">
        <v>3</v>
      </c>
      <c r="H62" s="97">
        <v>0</v>
      </c>
      <c r="I62" s="97"/>
      <c r="J62" s="83">
        <v>0</v>
      </c>
      <c r="K62" s="88"/>
      <c r="L62" s="98">
        <v>3</v>
      </c>
    </row>
    <row r="63" spans="1:12">
      <c r="A63" t="str">
        <f t="shared" si="0"/>
        <v>HS - West St</v>
      </c>
      <c r="B63" t="s">
        <v>165</v>
      </c>
      <c r="C63" s="96" t="s">
        <v>191</v>
      </c>
      <c r="D63" s="78" t="s">
        <v>61</v>
      </c>
      <c r="E63" s="135"/>
      <c r="F63" s="88">
        <v>0</v>
      </c>
      <c r="G63" s="88">
        <v>0</v>
      </c>
      <c r="H63" s="97">
        <v>0</v>
      </c>
      <c r="I63" s="97"/>
      <c r="J63" s="82">
        <v>4</v>
      </c>
      <c r="K63" s="88"/>
      <c r="L63" s="98">
        <v>4</v>
      </c>
    </row>
    <row r="64" spans="1:12">
      <c r="A64" t="str">
        <f t="shared" si="0"/>
        <v>MEGASITE - Victoria Rd</v>
      </c>
      <c r="B64" t="s">
        <v>192</v>
      </c>
      <c r="C64" s="133" t="s">
        <v>193</v>
      </c>
      <c r="D64" s="78" t="s">
        <v>61</v>
      </c>
      <c r="E64" s="138" t="s">
        <v>194</v>
      </c>
      <c r="F64" s="94">
        <v>16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143">
        <v>16</v>
      </c>
    </row>
    <row r="65" spans="1:19">
      <c r="A65" t="str">
        <f t="shared" si="0"/>
        <v>MEGASITE - The Crescent</v>
      </c>
      <c r="B65" t="s">
        <v>192</v>
      </c>
      <c r="C65" s="144" t="s">
        <v>195</v>
      </c>
      <c r="D65" s="78" t="s">
        <v>61</v>
      </c>
      <c r="E65" s="139" t="s">
        <v>196</v>
      </c>
      <c r="F65" s="94">
        <v>8</v>
      </c>
      <c r="G65" s="93">
        <v>0</v>
      </c>
      <c r="H65" s="94">
        <v>4</v>
      </c>
      <c r="I65" s="93">
        <v>0</v>
      </c>
      <c r="J65" s="93">
        <v>4</v>
      </c>
      <c r="K65" s="93">
        <v>0</v>
      </c>
      <c r="L65" s="143">
        <v>16</v>
      </c>
    </row>
    <row r="67" spans="1:19">
      <c r="C67" s="77" t="s">
        <v>70</v>
      </c>
      <c r="D67" s="2" t="s">
        <v>62</v>
      </c>
      <c r="E67" t="s">
        <v>164</v>
      </c>
      <c r="F67" s="9">
        <v>100</v>
      </c>
      <c r="G67" s="9">
        <v>15</v>
      </c>
      <c r="H67" s="9">
        <v>2</v>
      </c>
      <c r="I67" s="10">
        <v>0</v>
      </c>
      <c r="J67" s="20">
        <v>8</v>
      </c>
      <c r="L67" s="18">
        <v>125</v>
      </c>
      <c r="N67" s="19">
        <v>32</v>
      </c>
      <c r="O67" s="14">
        <v>9</v>
      </c>
      <c r="P67" s="14">
        <v>2</v>
      </c>
      <c r="Q67" s="30">
        <v>0</v>
      </c>
      <c r="R67" s="22">
        <v>8</v>
      </c>
      <c r="S67" s="16">
        <v>191</v>
      </c>
    </row>
    <row r="68" spans="1:19">
      <c r="C68" s="77" t="s">
        <v>70</v>
      </c>
      <c r="E68" t="s">
        <v>165</v>
      </c>
      <c r="F68" s="9">
        <v>20</v>
      </c>
      <c r="G68" s="10">
        <v>0</v>
      </c>
      <c r="H68" s="10">
        <v>0</v>
      </c>
      <c r="I68" s="10">
        <v>0</v>
      </c>
      <c r="J68" s="10">
        <v>0</v>
      </c>
      <c r="L68" s="18">
        <v>20</v>
      </c>
      <c r="N68" s="19">
        <v>8</v>
      </c>
      <c r="O68" s="30">
        <v>0</v>
      </c>
      <c r="P68" s="30">
        <v>0</v>
      </c>
      <c r="Q68" s="30">
        <v>0</v>
      </c>
      <c r="R68" s="30">
        <v>0</v>
      </c>
      <c r="S68" s="16">
        <v>32</v>
      </c>
    </row>
    <row r="69" spans="1:19">
      <c r="C69" s="77" t="s">
        <v>70</v>
      </c>
      <c r="E69" t="s">
        <v>166</v>
      </c>
      <c r="F69" s="9">
        <v>24</v>
      </c>
      <c r="G69" s="10">
        <v>0</v>
      </c>
      <c r="H69" s="10">
        <v>0</v>
      </c>
      <c r="I69" s="10">
        <v>0</v>
      </c>
      <c r="J69" s="10">
        <v>0</v>
      </c>
      <c r="L69" s="18">
        <v>24</v>
      </c>
      <c r="N69" s="21">
        <v>0</v>
      </c>
      <c r="O69" s="30">
        <v>0</v>
      </c>
      <c r="P69" s="30">
        <v>0</v>
      </c>
      <c r="Q69" s="30">
        <v>0</v>
      </c>
      <c r="R69" s="30">
        <v>0</v>
      </c>
      <c r="S69" s="16">
        <v>0</v>
      </c>
    </row>
    <row r="70" spans="1:19" ht="15" thickBot="1">
      <c r="C70" s="77" t="s">
        <v>70</v>
      </c>
      <c r="D70" s="31"/>
      <c r="E70" s="31" t="s">
        <v>29</v>
      </c>
      <c r="F70" s="24">
        <v>4</v>
      </c>
      <c r="G70" s="25">
        <v>0</v>
      </c>
      <c r="H70" s="25">
        <v>0</v>
      </c>
      <c r="I70" s="24">
        <v>1</v>
      </c>
      <c r="J70" s="32">
        <v>16</v>
      </c>
      <c r="L70" s="26">
        <v>21</v>
      </c>
      <c r="N70" s="33">
        <v>0</v>
      </c>
      <c r="O70" s="34">
        <v>0</v>
      </c>
      <c r="P70" s="34">
        <v>0</v>
      </c>
      <c r="Q70" s="34">
        <v>0</v>
      </c>
      <c r="R70" s="35">
        <v>8</v>
      </c>
      <c r="S70" s="29">
        <v>32</v>
      </c>
    </row>
    <row r="71" spans="1:19" ht="15" thickBot="1">
      <c r="C71" s="74" t="s">
        <v>72</v>
      </c>
      <c r="D71" s="2" t="s">
        <v>62</v>
      </c>
      <c r="E71" t="s">
        <v>164</v>
      </c>
      <c r="F71" s="47">
        <v>100</v>
      </c>
      <c r="G71" s="9">
        <v>9</v>
      </c>
      <c r="H71" s="9">
        <v>2</v>
      </c>
      <c r="I71" s="9">
        <v>2</v>
      </c>
      <c r="J71" s="20">
        <v>12</v>
      </c>
      <c r="L71" s="18">
        <v>125</v>
      </c>
      <c r="N71" s="19">
        <v>32</v>
      </c>
      <c r="O71" s="14">
        <v>6</v>
      </c>
      <c r="P71" s="22">
        <v>2</v>
      </c>
      <c r="Q71" s="22">
        <v>2</v>
      </c>
      <c r="R71" s="22">
        <v>8</v>
      </c>
      <c r="S71" s="16">
        <v>184</v>
      </c>
    </row>
    <row r="72" spans="1:19" ht="15" thickBot="1">
      <c r="C72" s="74" t="s">
        <v>72</v>
      </c>
      <c r="D72" s="2"/>
      <c r="E72" t="s">
        <v>165</v>
      </c>
      <c r="F72" s="9">
        <v>24</v>
      </c>
      <c r="G72" s="10">
        <v>0</v>
      </c>
      <c r="H72" s="10">
        <v>0</v>
      </c>
      <c r="I72" s="10">
        <v>0</v>
      </c>
      <c r="J72" s="10">
        <v>0</v>
      </c>
      <c r="L72" s="18">
        <v>24</v>
      </c>
      <c r="N72" s="19">
        <v>8</v>
      </c>
      <c r="O72" s="15">
        <v>0</v>
      </c>
      <c r="P72" s="30">
        <v>0</v>
      </c>
      <c r="Q72" s="15">
        <v>0</v>
      </c>
      <c r="R72" s="15">
        <v>0</v>
      </c>
      <c r="S72" s="16">
        <v>32</v>
      </c>
    </row>
    <row r="73" spans="1:19" ht="15" thickBot="1">
      <c r="C73" s="74" t="s">
        <v>72</v>
      </c>
      <c r="D73" s="2"/>
      <c r="E73" t="s">
        <v>166</v>
      </c>
      <c r="F73" s="9">
        <v>24</v>
      </c>
      <c r="G73" s="10">
        <v>0</v>
      </c>
      <c r="H73" s="10">
        <v>0</v>
      </c>
      <c r="I73" s="10">
        <v>0</v>
      </c>
      <c r="J73" s="10">
        <v>0</v>
      </c>
      <c r="L73" s="18">
        <v>24</v>
      </c>
      <c r="N73" s="50">
        <v>0</v>
      </c>
      <c r="O73" s="15">
        <v>0</v>
      </c>
      <c r="P73" s="15">
        <v>0</v>
      </c>
      <c r="Q73" s="15">
        <v>0</v>
      </c>
      <c r="R73" s="15">
        <v>0</v>
      </c>
      <c r="S73" s="16">
        <v>0</v>
      </c>
    </row>
    <row r="74" spans="1:19" ht="15" thickBot="1">
      <c r="C74" s="74" t="s">
        <v>72</v>
      </c>
      <c r="D74" s="51"/>
      <c r="E74" s="31" t="s">
        <v>29</v>
      </c>
      <c r="F74" s="24">
        <v>8</v>
      </c>
      <c r="G74" s="24">
        <v>3</v>
      </c>
      <c r="H74" s="24">
        <v>2</v>
      </c>
      <c r="I74" s="24">
        <v>2</v>
      </c>
      <c r="J74" s="24">
        <v>8</v>
      </c>
      <c r="L74" s="26">
        <v>23</v>
      </c>
      <c r="N74" s="27">
        <v>0</v>
      </c>
      <c r="O74" s="28">
        <v>0</v>
      </c>
      <c r="P74" s="28">
        <v>0</v>
      </c>
      <c r="Q74" s="28">
        <v>0</v>
      </c>
      <c r="R74" s="35">
        <v>8</v>
      </c>
      <c r="S74" s="29">
        <v>32</v>
      </c>
    </row>
    <row r="75" spans="1:19" ht="15" thickBot="1">
      <c r="C75" s="76" t="s">
        <v>74</v>
      </c>
      <c r="D75" s="2" t="s">
        <v>62</v>
      </c>
      <c r="E75" t="s">
        <v>164</v>
      </c>
      <c r="F75" s="9">
        <v>112</v>
      </c>
      <c r="G75" s="9">
        <v>12</v>
      </c>
      <c r="H75" s="10">
        <v>0</v>
      </c>
      <c r="I75" s="10">
        <v>0</v>
      </c>
      <c r="J75" s="20">
        <v>12</v>
      </c>
      <c r="L75" s="18">
        <v>136</v>
      </c>
      <c r="N75" s="19">
        <v>36</v>
      </c>
      <c r="O75" s="14">
        <v>9</v>
      </c>
      <c r="P75" s="15">
        <v>0</v>
      </c>
      <c r="Q75" s="15">
        <v>0</v>
      </c>
      <c r="R75" s="22">
        <v>8</v>
      </c>
      <c r="S75" s="16">
        <v>203</v>
      </c>
    </row>
    <row r="76" spans="1:19" ht="15" thickBot="1">
      <c r="C76" s="76" t="s">
        <v>74</v>
      </c>
      <c r="D76" s="2"/>
      <c r="E76" t="s">
        <v>165</v>
      </c>
      <c r="F76" s="9">
        <v>20</v>
      </c>
      <c r="G76" s="10">
        <v>0</v>
      </c>
      <c r="H76" s="10">
        <v>0</v>
      </c>
      <c r="I76" s="10">
        <v>0</v>
      </c>
      <c r="J76" s="10">
        <v>0</v>
      </c>
      <c r="L76" s="18">
        <v>20</v>
      </c>
      <c r="N76" s="19">
        <v>8</v>
      </c>
      <c r="O76" s="30">
        <v>0</v>
      </c>
      <c r="P76" s="30">
        <v>0</v>
      </c>
      <c r="Q76" s="15">
        <v>0</v>
      </c>
      <c r="R76" s="15">
        <v>0</v>
      </c>
      <c r="S76" s="16">
        <v>32</v>
      </c>
    </row>
    <row r="77" spans="1:19" ht="15" thickBot="1">
      <c r="C77" s="76" t="s">
        <v>74</v>
      </c>
      <c r="D77" s="2"/>
      <c r="E77" t="s">
        <v>166</v>
      </c>
      <c r="F77" s="9">
        <v>24</v>
      </c>
      <c r="G77" s="10">
        <v>0</v>
      </c>
      <c r="H77" s="10">
        <v>0</v>
      </c>
      <c r="I77" s="10">
        <v>0</v>
      </c>
      <c r="J77" s="10">
        <v>0</v>
      </c>
      <c r="L77" s="18">
        <v>24</v>
      </c>
      <c r="N77" s="21">
        <v>0</v>
      </c>
      <c r="O77" s="15">
        <v>0</v>
      </c>
      <c r="P77" s="30">
        <v>0</v>
      </c>
      <c r="Q77" s="15">
        <v>0</v>
      </c>
      <c r="R77" s="15">
        <v>0</v>
      </c>
      <c r="S77" s="16">
        <v>0</v>
      </c>
    </row>
    <row r="78" spans="1:19" ht="15" thickBot="1">
      <c r="C78" s="76" t="s">
        <v>74</v>
      </c>
      <c r="D78" s="51"/>
      <c r="E78" s="31" t="s">
        <v>29</v>
      </c>
      <c r="F78" s="25">
        <v>0</v>
      </c>
      <c r="G78" s="32">
        <v>6</v>
      </c>
      <c r="H78" s="32">
        <v>2</v>
      </c>
      <c r="I78" s="24">
        <v>2</v>
      </c>
      <c r="J78" s="24">
        <v>12</v>
      </c>
      <c r="L78" s="26">
        <v>22</v>
      </c>
      <c r="N78" s="27">
        <v>0</v>
      </c>
      <c r="O78" s="28">
        <v>0</v>
      </c>
      <c r="P78" s="28">
        <v>0</v>
      </c>
      <c r="Q78" s="28">
        <v>0</v>
      </c>
      <c r="R78" s="35">
        <v>8</v>
      </c>
      <c r="S78" s="29">
        <v>32</v>
      </c>
    </row>
    <row r="79" spans="1:19" ht="15" thickBot="1">
      <c r="C79" s="74" t="s">
        <v>76</v>
      </c>
      <c r="D79" s="2" t="s">
        <v>62</v>
      </c>
      <c r="E79" t="s">
        <v>164</v>
      </c>
      <c r="F79" s="47">
        <v>100</v>
      </c>
      <c r="G79" s="9">
        <v>9</v>
      </c>
      <c r="H79" s="9">
        <v>6</v>
      </c>
      <c r="I79" s="47">
        <v>2</v>
      </c>
      <c r="J79" s="20">
        <v>8</v>
      </c>
      <c r="L79" s="18">
        <v>125</v>
      </c>
      <c r="N79" s="19">
        <v>32</v>
      </c>
      <c r="O79" s="14">
        <v>6</v>
      </c>
      <c r="P79" s="14">
        <v>4</v>
      </c>
      <c r="Q79" s="14">
        <v>2</v>
      </c>
      <c r="R79" s="22">
        <v>4</v>
      </c>
      <c r="S79" s="16">
        <v>172</v>
      </c>
    </row>
    <row r="80" spans="1:19" ht="15" thickBot="1">
      <c r="C80" s="74" t="s">
        <v>76</v>
      </c>
      <c r="D80" s="2"/>
      <c r="E80" t="s">
        <v>165</v>
      </c>
      <c r="F80" s="9">
        <v>24</v>
      </c>
      <c r="G80" s="9">
        <v>3</v>
      </c>
      <c r="H80" s="10">
        <v>0</v>
      </c>
      <c r="I80" s="10">
        <v>9</v>
      </c>
      <c r="J80" s="10">
        <v>0</v>
      </c>
      <c r="L80" s="18">
        <v>36</v>
      </c>
      <c r="N80" s="19">
        <v>8</v>
      </c>
      <c r="O80" s="22">
        <v>3</v>
      </c>
      <c r="P80" s="55">
        <v>0</v>
      </c>
      <c r="Q80" s="55">
        <v>0</v>
      </c>
      <c r="R80" s="55">
        <v>0</v>
      </c>
      <c r="S80" s="16">
        <v>41</v>
      </c>
    </row>
    <row r="81" spans="3:19" ht="15" thickBot="1">
      <c r="C81" s="74" t="s">
        <v>76</v>
      </c>
      <c r="D81" s="2"/>
      <c r="E81" t="s">
        <v>166</v>
      </c>
      <c r="F81" s="9">
        <v>28</v>
      </c>
      <c r="G81" s="10">
        <v>0</v>
      </c>
      <c r="H81" s="10">
        <v>0</v>
      </c>
      <c r="I81" s="10">
        <v>0</v>
      </c>
      <c r="J81" s="10">
        <v>0</v>
      </c>
      <c r="L81" s="18">
        <v>28</v>
      </c>
      <c r="N81" s="50">
        <v>0</v>
      </c>
      <c r="O81" s="15">
        <v>0</v>
      </c>
      <c r="P81" s="15">
        <v>0</v>
      </c>
      <c r="Q81" s="15">
        <v>0</v>
      </c>
      <c r="R81" s="55">
        <v>0</v>
      </c>
      <c r="S81" s="16">
        <v>0</v>
      </c>
    </row>
    <row r="82" spans="3:19" ht="15" thickBot="1">
      <c r="C82" s="74" t="s">
        <v>76</v>
      </c>
      <c r="D82" s="51"/>
      <c r="E82" s="31" t="s">
        <v>29</v>
      </c>
      <c r="F82" s="32">
        <v>12</v>
      </c>
      <c r="G82" s="25">
        <v>0</v>
      </c>
      <c r="H82" s="24">
        <v>4</v>
      </c>
      <c r="I82" s="24">
        <v>1</v>
      </c>
      <c r="J82" s="24">
        <v>8</v>
      </c>
      <c r="L82" s="26">
        <v>25</v>
      </c>
      <c r="N82" s="27">
        <v>0</v>
      </c>
      <c r="O82" s="28">
        <v>0</v>
      </c>
      <c r="P82" s="28">
        <v>0</v>
      </c>
      <c r="Q82" s="28">
        <v>0</v>
      </c>
      <c r="R82" s="35">
        <v>8</v>
      </c>
      <c r="S82" s="29">
        <v>32</v>
      </c>
    </row>
    <row r="83" spans="3:19" ht="15" thickBot="1">
      <c r="C83" s="76" t="s">
        <v>78</v>
      </c>
      <c r="D83" s="2" t="s">
        <v>62</v>
      </c>
      <c r="E83" t="s">
        <v>164</v>
      </c>
      <c r="F83" s="9">
        <v>100</v>
      </c>
      <c r="G83" s="9">
        <v>12</v>
      </c>
      <c r="H83" s="10">
        <v>0</v>
      </c>
      <c r="I83" s="9">
        <v>2</v>
      </c>
      <c r="J83" s="20">
        <v>12</v>
      </c>
      <c r="L83" s="18">
        <v>126</v>
      </c>
      <c r="N83" s="19">
        <v>32</v>
      </c>
      <c r="O83" s="22">
        <v>9</v>
      </c>
      <c r="P83" s="10">
        <v>0</v>
      </c>
      <c r="Q83" s="22">
        <v>1</v>
      </c>
      <c r="R83" s="22">
        <v>8</v>
      </c>
      <c r="S83" s="16">
        <v>188</v>
      </c>
    </row>
    <row r="84" spans="3:19" ht="15" thickBot="1">
      <c r="C84" s="76" t="s">
        <v>78</v>
      </c>
      <c r="D84" s="2"/>
      <c r="E84" t="s">
        <v>165</v>
      </c>
      <c r="F84" s="9">
        <v>20</v>
      </c>
      <c r="G84" s="10">
        <v>0</v>
      </c>
      <c r="H84" s="20">
        <v>2</v>
      </c>
      <c r="I84" s="20">
        <v>1</v>
      </c>
      <c r="J84" s="10">
        <v>0</v>
      </c>
      <c r="L84" s="18">
        <v>23</v>
      </c>
      <c r="N84" s="19">
        <v>8</v>
      </c>
      <c r="O84" s="30">
        <v>0</v>
      </c>
      <c r="P84" s="22">
        <v>2</v>
      </c>
      <c r="Q84" s="22">
        <v>1</v>
      </c>
      <c r="R84" s="55">
        <v>0</v>
      </c>
      <c r="S84" s="16">
        <v>37</v>
      </c>
    </row>
    <row r="85" spans="3:19" ht="15" thickBot="1">
      <c r="C85" s="76" t="s">
        <v>78</v>
      </c>
      <c r="D85" s="2"/>
      <c r="E85" t="s">
        <v>166</v>
      </c>
      <c r="F85" s="9">
        <v>20</v>
      </c>
      <c r="G85" s="10">
        <v>0</v>
      </c>
      <c r="H85" s="10">
        <v>0</v>
      </c>
      <c r="I85" s="10">
        <v>0</v>
      </c>
      <c r="J85" s="10">
        <v>0</v>
      </c>
      <c r="L85" s="18">
        <v>20</v>
      </c>
      <c r="N85" s="56">
        <v>0</v>
      </c>
      <c r="O85" s="57">
        <v>0</v>
      </c>
      <c r="P85" s="57">
        <v>0</v>
      </c>
      <c r="Q85" s="57">
        <v>0</v>
      </c>
      <c r="R85" s="55">
        <v>0</v>
      </c>
      <c r="S85" s="16">
        <v>0</v>
      </c>
    </row>
    <row r="86" spans="3:19" ht="15" thickBot="1">
      <c r="C86" s="76" t="s">
        <v>78</v>
      </c>
      <c r="D86" s="58"/>
      <c r="E86" s="59" t="s">
        <v>29</v>
      </c>
      <c r="F86" s="41">
        <v>12</v>
      </c>
      <c r="G86" s="40">
        <v>0</v>
      </c>
      <c r="H86" s="40">
        <v>0</v>
      </c>
      <c r="I86" s="52">
        <v>1</v>
      </c>
      <c r="J86" s="52">
        <v>12</v>
      </c>
      <c r="L86" s="42">
        <v>25</v>
      </c>
      <c r="N86" s="60">
        <v>0</v>
      </c>
      <c r="O86" s="61">
        <v>0</v>
      </c>
      <c r="P86" s="61">
        <v>0</v>
      </c>
      <c r="Q86" s="61">
        <v>0</v>
      </c>
      <c r="R86" s="62">
        <v>8</v>
      </c>
      <c r="S86" s="45">
        <v>32</v>
      </c>
    </row>
    <row r="87" spans="3:19" ht="15" thickBot="1">
      <c r="C87" s="74" t="s">
        <v>80</v>
      </c>
      <c r="D87" s="2" t="s">
        <v>62</v>
      </c>
      <c r="E87" t="s">
        <v>164</v>
      </c>
      <c r="F87" s="9">
        <v>100</v>
      </c>
      <c r="G87" s="20">
        <v>6</v>
      </c>
      <c r="H87" s="9">
        <v>6</v>
      </c>
      <c r="I87" s="20">
        <v>2</v>
      </c>
      <c r="J87" s="20">
        <v>12</v>
      </c>
      <c r="L87" s="18">
        <v>126</v>
      </c>
      <c r="N87" s="38">
        <v>32</v>
      </c>
      <c r="O87" s="22">
        <v>6</v>
      </c>
      <c r="P87" s="22">
        <v>4</v>
      </c>
      <c r="Q87" s="22">
        <v>1</v>
      </c>
      <c r="R87" s="22">
        <v>8</v>
      </c>
      <c r="S87" s="16">
        <v>187</v>
      </c>
    </row>
    <row r="88" spans="3:19" ht="15" thickBot="1">
      <c r="C88" s="74" t="s">
        <v>80</v>
      </c>
      <c r="D88" s="2"/>
      <c r="E88" t="s">
        <v>165</v>
      </c>
      <c r="F88" s="9">
        <v>28</v>
      </c>
      <c r="G88" s="10">
        <v>0</v>
      </c>
      <c r="H88" s="10">
        <v>0</v>
      </c>
      <c r="I88" s="10">
        <v>0</v>
      </c>
      <c r="J88" s="10">
        <v>0</v>
      </c>
      <c r="L88" s="18">
        <v>28</v>
      </c>
      <c r="N88" s="38">
        <v>8</v>
      </c>
      <c r="O88" s="30">
        <v>0</v>
      </c>
      <c r="P88" s="15">
        <v>0</v>
      </c>
      <c r="Q88" s="15">
        <v>0</v>
      </c>
      <c r="R88" s="55">
        <v>0</v>
      </c>
      <c r="S88" s="16">
        <v>32</v>
      </c>
    </row>
    <row r="89" spans="3:19" ht="15" thickBot="1">
      <c r="C89" s="74" t="s">
        <v>80</v>
      </c>
      <c r="D89" s="2"/>
      <c r="E89" t="s">
        <v>166</v>
      </c>
      <c r="F89" s="9">
        <v>24</v>
      </c>
      <c r="G89" s="10">
        <v>0</v>
      </c>
      <c r="H89" s="10">
        <v>0</v>
      </c>
      <c r="I89" s="10">
        <v>0</v>
      </c>
      <c r="J89" s="10">
        <v>0</v>
      </c>
      <c r="L89" s="18">
        <v>24</v>
      </c>
      <c r="N89" s="56">
        <v>0</v>
      </c>
      <c r="O89" s="57">
        <v>0</v>
      </c>
      <c r="P89" s="57">
        <v>0</v>
      </c>
      <c r="Q89" s="57">
        <v>0</v>
      </c>
      <c r="R89" s="55">
        <v>0</v>
      </c>
      <c r="S89" s="16">
        <v>0</v>
      </c>
    </row>
    <row r="90" spans="3:19" ht="15" thickBot="1">
      <c r="C90" s="74" t="s">
        <v>80</v>
      </c>
      <c r="D90" s="58"/>
      <c r="E90" s="59" t="s">
        <v>29</v>
      </c>
      <c r="F90" s="41">
        <v>8</v>
      </c>
      <c r="G90" s="40">
        <v>0</v>
      </c>
      <c r="H90" s="41">
        <v>2</v>
      </c>
      <c r="I90" s="52">
        <v>2</v>
      </c>
      <c r="J90" s="52">
        <v>12</v>
      </c>
      <c r="L90" s="42">
        <v>24</v>
      </c>
      <c r="N90" s="60">
        <v>0</v>
      </c>
      <c r="O90" s="61">
        <v>0</v>
      </c>
      <c r="P90" s="61">
        <v>0</v>
      </c>
      <c r="Q90" s="61">
        <v>0</v>
      </c>
      <c r="R90" s="62">
        <v>8</v>
      </c>
      <c r="S90" s="45">
        <v>32</v>
      </c>
    </row>
    <row r="91" spans="3:19" ht="15" thickBot="1">
      <c r="C91" s="76" t="s">
        <v>82</v>
      </c>
      <c r="D91" s="2" t="s">
        <v>62</v>
      </c>
      <c r="E91" t="s">
        <v>164</v>
      </c>
      <c r="F91" s="9">
        <v>112</v>
      </c>
      <c r="G91" s="20">
        <v>3</v>
      </c>
      <c r="H91" s="9">
        <v>4</v>
      </c>
      <c r="I91" s="20">
        <v>2</v>
      </c>
      <c r="J91" s="20">
        <v>4</v>
      </c>
      <c r="L91" s="18">
        <v>125</v>
      </c>
      <c r="N91" s="38">
        <v>36</v>
      </c>
      <c r="O91" s="22">
        <v>3</v>
      </c>
      <c r="P91" s="22">
        <v>4</v>
      </c>
      <c r="Q91" s="22">
        <v>2</v>
      </c>
      <c r="R91" s="22">
        <v>4</v>
      </c>
      <c r="S91" s="16">
        <v>179</v>
      </c>
    </row>
    <row r="92" spans="3:19" ht="15" thickBot="1">
      <c r="C92" s="76" t="s">
        <v>82</v>
      </c>
      <c r="D92" s="2"/>
      <c r="E92" t="s">
        <v>165</v>
      </c>
      <c r="F92" s="20">
        <v>20</v>
      </c>
      <c r="G92" s="10">
        <v>0</v>
      </c>
      <c r="H92" s="10">
        <v>0</v>
      </c>
      <c r="I92" s="10">
        <v>0</v>
      </c>
      <c r="J92" s="10">
        <v>0</v>
      </c>
      <c r="L92" s="18">
        <v>20</v>
      </c>
      <c r="N92" s="38">
        <v>8</v>
      </c>
      <c r="O92" s="10">
        <v>0</v>
      </c>
      <c r="P92" s="10">
        <v>0</v>
      </c>
      <c r="Q92" s="10">
        <v>0</v>
      </c>
      <c r="R92" s="10">
        <v>0</v>
      </c>
      <c r="S92" s="16">
        <v>32</v>
      </c>
    </row>
    <row r="93" spans="3:19" ht="15" thickBot="1">
      <c r="C93" s="76" t="s">
        <v>82</v>
      </c>
      <c r="D93" s="2"/>
      <c r="E93" t="s">
        <v>166</v>
      </c>
      <c r="F93" s="20">
        <v>20</v>
      </c>
      <c r="G93" s="10">
        <v>0</v>
      </c>
      <c r="H93" s="10">
        <v>0</v>
      </c>
      <c r="I93" s="10">
        <v>0</v>
      </c>
      <c r="J93" s="10">
        <v>0</v>
      </c>
      <c r="L93" s="18">
        <v>20</v>
      </c>
      <c r="N93" s="56">
        <v>0</v>
      </c>
      <c r="O93" s="63">
        <v>0</v>
      </c>
      <c r="P93" s="63">
        <v>0</v>
      </c>
      <c r="Q93" s="63">
        <v>0</v>
      </c>
      <c r="R93" s="10">
        <v>0</v>
      </c>
      <c r="S93" s="16">
        <v>0</v>
      </c>
    </row>
    <row r="94" spans="3:19" ht="15" thickBot="1">
      <c r="C94" s="76" t="s">
        <v>82</v>
      </c>
      <c r="D94" s="58"/>
      <c r="E94" s="59" t="s">
        <v>29</v>
      </c>
      <c r="F94" s="52">
        <v>12</v>
      </c>
      <c r="G94" s="40">
        <v>0</v>
      </c>
      <c r="H94" s="40">
        <v>0</v>
      </c>
      <c r="I94" s="52">
        <v>1</v>
      </c>
      <c r="J94" s="52">
        <v>12</v>
      </c>
      <c r="L94" s="42">
        <v>25</v>
      </c>
      <c r="N94" s="60">
        <v>0</v>
      </c>
      <c r="O94" s="64">
        <v>0</v>
      </c>
      <c r="P94" s="64">
        <v>0</v>
      </c>
      <c r="Q94" s="61">
        <v>0</v>
      </c>
      <c r="R94" s="52">
        <v>8</v>
      </c>
      <c r="S94" s="29">
        <v>32</v>
      </c>
    </row>
    <row r="95" spans="3:19">
      <c r="C95" s="75" t="s">
        <v>167</v>
      </c>
      <c r="D95" s="2" t="s">
        <v>62</v>
      </c>
      <c r="E95" t="s">
        <v>164</v>
      </c>
      <c r="F95" s="9">
        <v>164</v>
      </c>
      <c r="G95" s="9">
        <v>21</v>
      </c>
      <c r="H95" s="20">
        <v>6</v>
      </c>
      <c r="I95" s="20">
        <v>1</v>
      </c>
      <c r="J95" s="20">
        <v>8</v>
      </c>
      <c r="L95" s="18">
        <v>200</v>
      </c>
      <c r="N95" s="19">
        <v>56</v>
      </c>
      <c r="O95" s="14">
        <v>15</v>
      </c>
      <c r="P95" s="22">
        <v>4</v>
      </c>
      <c r="Q95" s="22">
        <v>1</v>
      </c>
      <c r="R95" s="22">
        <v>4</v>
      </c>
      <c r="S95" s="16">
        <v>294</v>
      </c>
    </row>
    <row r="96" spans="3:19">
      <c r="C96" s="75" t="s">
        <v>167</v>
      </c>
      <c r="D96" s="2"/>
      <c r="E96" t="s">
        <v>165</v>
      </c>
      <c r="F96" s="9">
        <v>24</v>
      </c>
      <c r="G96" s="10">
        <v>0</v>
      </c>
      <c r="H96" s="10">
        <v>0</v>
      </c>
      <c r="I96" s="10">
        <v>0</v>
      </c>
      <c r="J96" s="10">
        <v>0</v>
      </c>
      <c r="L96" s="18">
        <v>24</v>
      </c>
      <c r="N96" s="19">
        <v>8</v>
      </c>
      <c r="O96" s="55">
        <v>0</v>
      </c>
      <c r="P96" s="55">
        <v>0</v>
      </c>
      <c r="Q96" s="55">
        <v>0</v>
      </c>
      <c r="R96" s="55">
        <v>0</v>
      </c>
      <c r="S96" s="16">
        <v>32</v>
      </c>
    </row>
    <row r="97" spans="1:19">
      <c r="C97" s="75" t="s">
        <v>167</v>
      </c>
      <c r="D97" s="2"/>
      <c r="E97" t="s">
        <v>166</v>
      </c>
      <c r="F97" s="9">
        <v>28</v>
      </c>
      <c r="G97" s="10">
        <v>0</v>
      </c>
      <c r="H97" s="10">
        <v>0</v>
      </c>
      <c r="I97" s="10">
        <v>0</v>
      </c>
      <c r="J97" s="10">
        <v>0</v>
      </c>
      <c r="L97" s="18">
        <v>28</v>
      </c>
      <c r="N97" s="56">
        <v>0</v>
      </c>
      <c r="O97" s="57">
        <v>0</v>
      </c>
      <c r="P97" s="57">
        <v>0</v>
      </c>
      <c r="Q97" s="57">
        <v>0</v>
      </c>
      <c r="R97" s="55">
        <v>0</v>
      </c>
      <c r="S97" s="16">
        <v>0</v>
      </c>
    </row>
    <row r="98" spans="1:19" ht="15" thickBot="1">
      <c r="C98" s="75" t="s">
        <v>167</v>
      </c>
      <c r="D98" s="58"/>
      <c r="E98" s="59" t="s">
        <v>29</v>
      </c>
      <c r="F98" s="52">
        <v>4</v>
      </c>
      <c r="G98" s="40">
        <v>0</v>
      </c>
      <c r="H98" s="52">
        <v>2</v>
      </c>
      <c r="I98" s="52">
        <v>1</v>
      </c>
      <c r="J98" s="52">
        <v>16</v>
      </c>
      <c r="L98" s="42">
        <v>23</v>
      </c>
      <c r="N98" s="60">
        <v>0</v>
      </c>
      <c r="O98" s="61">
        <v>0</v>
      </c>
      <c r="P98" s="61">
        <v>0</v>
      </c>
      <c r="Q98" s="61">
        <v>0</v>
      </c>
      <c r="R98" s="62">
        <v>12</v>
      </c>
      <c r="S98" s="45">
        <v>48</v>
      </c>
    </row>
    <row r="99" spans="1:19" ht="15" thickBot="1">
      <c r="C99" s="76" t="s">
        <v>168</v>
      </c>
      <c r="D99" s="2" t="s">
        <v>62</v>
      </c>
      <c r="E99" t="s">
        <v>164</v>
      </c>
      <c r="F99" s="9">
        <v>164</v>
      </c>
      <c r="G99" s="9">
        <v>15</v>
      </c>
      <c r="H99" s="9">
        <v>4</v>
      </c>
      <c r="I99" s="9">
        <v>5</v>
      </c>
      <c r="J99" s="20">
        <v>12</v>
      </c>
      <c r="L99" s="18">
        <v>200</v>
      </c>
      <c r="N99" s="19">
        <v>56</v>
      </c>
      <c r="O99" s="14">
        <v>9</v>
      </c>
      <c r="P99" s="14">
        <v>4</v>
      </c>
      <c r="Q99" s="14">
        <v>3</v>
      </c>
      <c r="R99" s="22">
        <v>8</v>
      </c>
      <c r="S99" s="16">
        <v>294</v>
      </c>
    </row>
    <row r="100" spans="1:19" ht="15" thickBot="1">
      <c r="C100" s="76" t="s">
        <v>168</v>
      </c>
      <c r="D100" s="2"/>
      <c r="E100" t="s">
        <v>165</v>
      </c>
      <c r="F100" s="9">
        <v>28</v>
      </c>
      <c r="G100" s="10">
        <v>0</v>
      </c>
      <c r="H100" s="10">
        <v>0</v>
      </c>
      <c r="I100" s="10">
        <v>0</v>
      </c>
      <c r="J100" s="10">
        <v>0</v>
      </c>
      <c r="L100" s="18">
        <v>28</v>
      </c>
      <c r="N100" s="19">
        <v>7.1999999999999993</v>
      </c>
      <c r="O100" s="30">
        <v>0</v>
      </c>
      <c r="P100" s="55">
        <v>0</v>
      </c>
      <c r="Q100" s="55">
        <v>0</v>
      </c>
      <c r="R100" s="55">
        <v>0</v>
      </c>
      <c r="S100" s="16">
        <v>28.799999999999997</v>
      </c>
    </row>
    <row r="101" spans="1:19" ht="15" thickBot="1">
      <c r="C101" s="76" t="s">
        <v>168</v>
      </c>
      <c r="D101" s="2"/>
      <c r="E101" t="s">
        <v>166</v>
      </c>
      <c r="F101" s="9">
        <v>28</v>
      </c>
      <c r="G101" s="10">
        <v>0</v>
      </c>
      <c r="H101" s="10">
        <v>0</v>
      </c>
      <c r="I101" s="10">
        <v>0</v>
      </c>
      <c r="J101" s="10">
        <v>0</v>
      </c>
      <c r="L101" s="18">
        <v>28</v>
      </c>
      <c r="N101" s="56">
        <v>0</v>
      </c>
      <c r="O101" s="57">
        <v>0</v>
      </c>
      <c r="P101" s="57">
        <v>0</v>
      </c>
      <c r="Q101" s="57">
        <v>0</v>
      </c>
      <c r="R101" s="55">
        <v>0</v>
      </c>
      <c r="S101" s="16">
        <v>0</v>
      </c>
    </row>
    <row r="102" spans="1:19" ht="15" thickBot="1">
      <c r="C102" s="76" t="s">
        <v>168</v>
      </c>
      <c r="D102" s="58"/>
      <c r="E102" s="59" t="s">
        <v>29</v>
      </c>
      <c r="F102" s="41">
        <v>16</v>
      </c>
      <c r="G102" s="40">
        <v>0</v>
      </c>
      <c r="H102" s="52">
        <v>2</v>
      </c>
      <c r="I102" s="52">
        <v>1</v>
      </c>
      <c r="J102" s="52">
        <v>8</v>
      </c>
      <c r="L102" s="42">
        <v>27</v>
      </c>
      <c r="N102" s="60">
        <v>0</v>
      </c>
      <c r="O102" s="61">
        <v>0</v>
      </c>
      <c r="P102" s="61">
        <v>0</v>
      </c>
      <c r="Q102" s="61">
        <v>0</v>
      </c>
      <c r="R102" s="62">
        <v>8</v>
      </c>
      <c r="S102" s="45">
        <v>32</v>
      </c>
    </row>
    <row r="103" spans="1:19" ht="15" thickBot="1">
      <c r="C103" s="74" t="s">
        <v>169</v>
      </c>
      <c r="D103" s="2" t="s">
        <v>62</v>
      </c>
      <c r="E103" t="s">
        <v>164</v>
      </c>
      <c r="F103" s="9">
        <v>172</v>
      </c>
      <c r="G103" s="9">
        <v>12</v>
      </c>
      <c r="H103" s="9">
        <v>8</v>
      </c>
      <c r="I103" s="9">
        <v>4</v>
      </c>
      <c r="J103" s="20">
        <v>4</v>
      </c>
      <c r="L103" s="18">
        <v>200</v>
      </c>
      <c r="N103" s="19">
        <v>56</v>
      </c>
      <c r="O103" s="14">
        <v>9</v>
      </c>
      <c r="P103" s="14">
        <v>6</v>
      </c>
      <c r="Q103" s="14">
        <v>3</v>
      </c>
      <c r="R103" s="22">
        <v>4</v>
      </c>
      <c r="S103" s="16">
        <v>282</v>
      </c>
    </row>
    <row r="104" spans="1:19" ht="15" thickBot="1">
      <c r="C104" s="74" t="s">
        <v>169</v>
      </c>
      <c r="D104" s="2"/>
      <c r="E104" t="s">
        <v>165</v>
      </c>
      <c r="F104" s="9">
        <v>28</v>
      </c>
      <c r="G104" s="10">
        <v>0</v>
      </c>
      <c r="H104" s="10">
        <v>0</v>
      </c>
      <c r="I104" s="10">
        <v>0</v>
      </c>
      <c r="J104" s="10">
        <v>0</v>
      </c>
      <c r="L104" s="18">
        <v>28</v>
      </c>
      <c r="N104" s="19">
        <v>8</v>
      </c>
      <c r="O104" s="55">
        <v>0</v>
      </c>
      <c r="P104" s="30">
        <v>0</v>
      </c>
      <c r="Q104" s="30">
        <v>0</v>
      </c>
      <c r="R104" s="55">
        <v>0</v>
      </c>
      <c r="S104" s="16">
        <v>32</v>
      </c>
    </row>
    <row r="105" spans="1:19" ht="15" thickBot="1">
      <c r="C105" s="74" t="s">
        <v>169</v>
      </c>
      <c r="D105" s="2"/>
      <c r="E105" t="s">
        <v>166</v>
      </c>
      <c r="F105" s="9">
        <v>28</v>
      </c>
      <c r="G105" s="10">
        <v>0</v>
      </c>
      <c r="H105" s="10">
        <v>0</v>
      </c>
      <c r="I105" s="10">
        <v>0</v>
      </c>
      <c r="J105" s="10">
        <v>0</v>
      </c>
      <c r="L105" s="18">
        <v>28</v>
      </c>
      <c r="N105" s="56">
        <v>0</v>
      </c>
      <c r="O105" s="57">
        <v>0</v>
      </c>
      <c r="P105" s="57">
        <v>0</v>
      </c>
      <c r="Q105" s="57">
        <v>0</v>
      </c>
      <c r="R105" s="55">
        <v>0</v>
      </c>
      <c r="S105" s="16">
        <v>0</v>
      </c>
    </row>
    <row r="106" spans="1:19" ht="15" thickBot="1">
      <c r="C106" s="74" t="s">
        <v>169</v>
      </c>
      <c r="D106" s="58"/>
      <c r="E106" s="59" t="s">
        <v>29</v>
      </c>
      <c r="F106" s="41">
        <v>16</v>
      </c>
      <c r="G106" s="40">
        <v>0</v>
      </c>
      <c r="H106" s="41">
        <v>4</v>
      </c>
      <c r="I106" s="52">
        <v>1</v>
      </c>
      <c r="J106" s="41">
        <v>8</v>
      </c>
      <c r="L106" s="42">
        <v>29</v>
      </c>
      <c r="N106" s="60">
        <v>0</v>
      </c>
      <c r="O106" s="61">
        <v>0</v>
      </c>
      <c r="P106" s="61">
        <v>0</v>
      </c>
      <c r="Q106" s="61">
        <v>0</v>
      </c>
      <c r="R106" s="62">
        <v>8</v>
      </c>
      <c r="S106" s="45">
        <v>32</v>
      </c>
    </row>
    <row r="107" spans="1:19" ht="15" thickBot="1">
      <c r="C107" s="72" t="s">
        <v>171</v>
      </c>
      <c r="D107" s="58" t="s">
        <v>62</v>
      </c>
      <c r="E107" s="59"/>
      <c r="F107" s="41">
        <v>44</v>
      </c>
      <c r="G107" s="40">
        <v>0</v>
      </c>
      <c r="H107" s="40">
        <v>0</v>
      </c>
      <c r="I107" s="40">
        <v>0</v>
      </c>
      <c r="J107" s="52">
        <v>4</v>
      </c>
      <c r="L107" s="42">
        <v>48</v>
      </c>
      <c r="N107" s="69">
        <v>20</v>
      </c>
      <c r="O107" s="44">
        <v>0</v>
      </c>
      <c r="P107" s="44">
        <v>0</v>
      </c>
      <c r="Q107" s="70">
        <v>0</v>
      </c>
      <c r="R107" s="62">
        <v>4</v>
      </c>
      <c r="S107" s="71">
        <v>96</v>
      </c>
    </row>
    <row r="108" spans="1:19" ht="15" thickBot="1">
      <c r="C108" s="73" t="s">
        <v>172</v>
      </c>
      <c r="D108" s="58" t="s">
        <v>62</v>
      </c>
      <c r="E108" s="59"/>
      <c r="F108" s="41">
        <v>48</v>
      </c>
      <c r="G108" s="40">
        <v>0</v>
      </c>
      <c r="H108" s="40">
        <v>0</v>
      </c>
      <c r="I108" s="40">
        <v>0</v>
      </c>
      <c r="J108" s="40">
        <v>0</v>
      </c>
      <c r="L108" s="42">
        <v>48</v>
      </c>
      <c r="N108" s="69">
        <v>20</v>
      </c>
      <c r="O108" s="44">
        <v>0</v>
      </c>
      <c r="P108" s="44">
        <v>0</v>
      </c>
      <c r="Q108" s="70">
        <v>0</v>
      </c>
      <c r="R108" s="44">
        <v>0</v>
      </c>
      <c r="S108" s="71">
        <v>80</v>
      </c>
    </row>
    <row r="109" spans="1:19" ht="15" thickBot="1">
      <c r="C109" s="72" t="s">
        <v>173</v>
      </c>
      <c r="D109" s="58" t="s">
        <v>62</v>
      </c>
      <c r="E109" s="59"/>
      <c r="F109" s="41">
        <v>44</v>
      </c>
      <c r="G109" s="40">
        <v>0</v>
      </c>
      <c r="H109" s="40">
        <v>0</v>
      </c>
      <c r="I109" s="40">
        <v>0</v>
      </c>
      <c r="J109" s="52">
        <v>4</v>
      </c>
      <c r="L109" s="42">
        <v>48</v>
      </c>
      <c r="N109" s="69">
        <v>20</v>
      </c>
      <c r="O109" s="44">
        <v>0</v>
      </c>
      <c r="P109" s="44">
        <v>0</v>
      </c>
      <c r="Q109" s="70">
        <v>0</v>
      </c>
      <c r="R109" s="62">
        <v>4</v>
      </c>
      <c r="S109" s="71">
        <v>96</v>
      </c>
    </row>
    <row r="110" spans="1:19">
      <c r="A110" t="str">
        <f t="shared" ref="A110:A128" si="1">_xlfn.CONCAT(B110," - ",C110)</f>
        <v>DOM - Swan St</v>
      </c>
      <c r="B110" t="s">
        <v>174</v>
      </c>
      <c r="C110" s="99" t="s">
        <v>197</v>
      </c>
      <c r="D110" s="127" t="s">
        <v>62</v>
      </c>
      <c r="E110" s="100" t="s">
        <v>198</v>
      </c>
      <c r="F110" s="101">
        <v>72</v>
      </c>
      <c r="G110" s="102">
        <v>0</v>
      </c>
      <c r="H110" s="102">
        <v>0</v>
      </c>
      <c r="I110" s="102">
        <v>0</v>
      </c>
      <c r="J110" s="102">
        <v>0</v>
      </c>
      <c r="K110" s="102">
        <v>0</v>
      </c>
      <c r="L110" s="103">
        <v>72</v>
      </c>
    </row>
    <row r="111" spans="1:19">
      <c r="A111" t="str">
        <f t="shared" si="1"/>
        <v>DOM - Brunton Ave</v>
      </c>
      <c r="B111" t="s">
        <v>174</v>
      </c>
      <c r="C111" s="104" t="s">
        <v>199</v>
      </c>
      <c r="D111" s="127" t="s">
        <v>62</v>
      </c>
      <c r="E111" s="105" t="s">
        <v>198</v>
      </c>
      <c r="F111" s="101">
        <v>4</v>
      </c>
      <c r="G111" s="102">
        <v>0</v>
      </c>
      <c r="H111" s="102">
        <v>0</v>
      </c>
      <c r="I111" s="102">
        <v>0</v>
      </c>
      <c r="J111" s="102">
        <v>0</v>
      </c>
      <c r="K111" s="101">
        <v>7</v>
      </c>
      <c r="L111" s="103">
        <v>4</v>
      </c>
    </row>
    <row r="112" spans="1:19">
      <c r="A112" t="str">
        <f t="shared" si="1"/>
        <v>DOM - King &amp; Flinders St</v>
      </c>
      <c r="B112" t="s">
        <v>174</v>
      </c>
      <c r="C112" s="106" t="s">
        <v>200</v>
      </c>
      <c r="D112" s="127" t="s">
        <v>62</v>
      </c>
      <c r="E112" s="100" t="s">
        <v>35</v>
      </c>
      <c r="F112" s="101">
        <v>24</v>
      </c>
      <c r="G112" s="102">
        <v>0</v>
      </c>
      <c r="H112" s="102">
        <v>0</v>
      </c>
      <c r="I112" s="102">
        <v>0</v>
      </c>
      <c r="J112" s="102">
        <v>0</v>
      </c>
      <c r="K112" s="102">
        <v>0</v>
      </c>
      <c r="L112" s="103">
        <v>24</v>
      </c>
    </row>
    <row r="113" spans="1:12">
      <c r="A113" t="str">
        <f t="shared" si="1"/>
        <v>DOM - Punt Rd</v>
      </c>
      <c r="B113" t="s">
        <v>174</v>
      </c>
      <c r="C113" s="107" t="s">
        <v>201</v>
      </c>
      <c r="D113" s="127" t="s">
        <v>62</v>
      </c>
      <c r="E113" s="108" t="s">
        <v>198</v>
      </c>
      <c r="F113" s="109">
        <v>48</v>
      </c>
      <c r="G113" s="110">
        <v>0</v>
      </c>
      <c r="H113" s="110">
        <v>0</v>
      </c>
      <c r="I113" s="110">
        <v>0</v>
      </c>
      <c r="J113" s="110">
        <v>0</v>
      </c>
      <c r="K113" s="111">
        <v>0</v>
      </c>
      <c r="L113" s="112">
        <v>48</v>
      </c>
    </row>
    <row r="114" spans="1:12">
      <c r="A114" t="str">
        <f t="shared" si="1"/>
        <v>DOM - Punt Rd (DOT)</v>
      </c>
      <c r="B114" t="s">
        <v>174</v>
      </c>
      <c r="C114" s="113" t="s">
        <v>202</v>
      </c>
      <c r="D114" s="127" t="s">
        <v>62</v>
      </c>
      <c r="E114" s="114" t="s">
        <v>203</v>
      </c>
      <c r="F114" s="115">
        <v>12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7">
        <v>12</v>
      </c>
    </row>
    <row r="115" spans="1:12">
      <c r="A115" t="str">
        <f t="shared" si="1"/>
        <v>DOM - Eastern Freeway</v>
      </c>
      <c r="B115" t="s">
        <v>174</v>
      </c>
      <c r="C115" s="118" t="s">
        <v>204</v>
      </c>
      <c r="D115" s="127" t="s">
        <v>62</v>
      </c>
      <c r="E115" s="119" t="s">
        <v>205</v>
      </c>
      <c r="F115" s="120">
        <v>24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21">
        <v>24</v>
      </c>
    </row>
    <row r="116" spans="1:12" ht="15" thickBot="1">
      <c r="A116" t="str">
        <f t="shared" si="1"/>
        <v>DOM - Wurundjeri Way</v>
      </c>
      <c r="B116" t="s">
        <v>174</v>
      </c>
      <c r="C116" s="122" t="s">
        <v>206</v>
      </c>
      <c r="D116" s="127" t="s">
        <v>62</v>
      </c>
      <c r="E116" s="123" t="s">
        <v>207</v>
      </c>
      <c r="F116" s="124">
        <v>16</v>
      </c>
      <c r="G116" s="125">
        <v>0</v>
      </c>
      <c r="H116" s="125">
        <v>0</v>
      </c>
      <c r="I116" s="125">
        <v>0</v>
      </c>
      <c r="J116" s="125">
        <v>0</v>
      </c>
      <c r="K116" s="125">
        <v>0</v>
      </c>
      <c r="L116" s="126">
        <v>16</v>
      </c>
    </row>
    <row r="117" spans="1:12" ht="15" thickBot="1">
      <c r="A117" t="s">
        <v>87</v>
      </c>
      <c r="C117" s="80" t="s">
        <v>184</v>
      </c>
      <c r="D117" s="127" t="s">
        <v>62</v>
      </c>
      <c r="E117" s="129"/>
      <c r="F117" s="82">
        <v>4</v>
      </c>
      <c r="G117" s="88">
        <v>0</v>
      </c>
      <c r="H117" s="97">
        <v>0</v>
      </c>
      <c r="I117" s="97"/>
      <c r="J117" s="88">
        <v>0</v>
      </c>
      <c r="K117" s="88"/>
      <c r="L117" s="98">
        <v>4</v>
      </c>
    </row>
    <row r="118" spans="1:12">
      <c r="A118" t="str">
        <f t="shared" si="1"/>
        <v>HS - Egan St</v>
      </c>
      <c r="B118" t="s">
        <v>165</v>
      </c>
      <c r="C118" s="136" t="s">
        <v>208</v>
      </c>
      <c r="D118" s="127" t="s">
        <v>62</v>
      </c>
      <c r="E118" s="129"/>
      <c r="F118" s="88">
        <v>0</v>
      </c>
      <c r="G118" s="82">
        <v>3</v>
      </c>
      <c r="H118" s="97">
        <v>0</v>
      </c>
      <c r="I118" s="97"/>
      <c r="J118" s="88">
        <v>0</v>
      </c>
      <c r="K118" s="88"/>
      <c r="L118" s="98">
        <v>3</v>
      </c>
    </row>
    <row r="119" spans="1:12">
      <c r="A119" t="str">
        <f t="shared" si="1"/>
        <v>HS - Racecourse Rd</v>
      </c>
      <c r="B119" t="s">
        <v>165</v>
      </c>
      <c r="C119" s="91" t="s">
        <v>209</v>
      </c>
      <c r="D119" s="127" t="s">
        <v>62</v>
      </c>
      <c r="E119" s="130"/>
      <c r="F119" s="88">
        <v>0</v>
      </c>
      <c r="G119" s="88">
        <v>0</v>
      </c>
      <c r="H119" s="82">
        <v>2</v>
      </c>
      <c r="I119" s="97"/>
      <c r="J119" s="88">
        <v>0</v>
      </c>
      <c r="K119" s="88"/>
      <c r="L119" s="98">
        <v>2</v>
      </c>
    </row>
    <row r="120" spans="1:12" ht="15" thickBot="1">
      <c r="A120" t="str">
        <f t="shared" si="1"/>
        <v>HS - Normanby Rd</v>
      </c>
      <c r="B120" t="s">
        <v>165</v>
      </c>
      <c r="C120" s="137" t="s">
        <v>210</v>
      </c>
      <c r="D120" s="127" t="s">
        <v>62</v>
      </c>
      <c r="E120" s="131"/>
      <c r="F120" s="88">
        <v>0</v>
      </c>
      <c r="G120" s="88">
        <v>0</v>
      </c>
      <c r="H120" s="97">
        <v>0</v>
      </c>
      <c r="I120" s="97"/>
      <c r="J120" s="82">
        <v>4</v>
      </c>
      <c r="K120" s="88"/>
      <c r="L120" s="98">
        <v>4</v>
      </c>
    </row>
    <row r="121" spans="1:12">
      <c r="A121" t="str">
        <f t="shared" si="1"/>
        <v>MEGASITE - Flemington Rd - A</v>
      </c>
      <c r="B121" t="s">
        <v>192</v>
      </c>
      <c r="C121" s="145" t="s">
        <v>211</v>
      </c>
      <c r="D121" s="127" t="s">
        <v>62</v>
      </c>
      <c r="E121" s="140" t="s">
        <v>212</v>
      </c>
      <c r="F121" s="146">
        <v>16</v>
      </c>
      <c r="G121" s="147">
        <v>0</v>
      </c>
      <c r="H121" s="146">
        <v>8</v>
      </c>
      <c r="I121" s="147">
        <v>0</v>
      </c>
      <c r="J121" s="147">
        <v>0</v>
      </c>
      <c r="K121" s="147">
        <v>0</v>
      </c>
      <c r="L121" s="148">
        <v>24</v>
      </c>
    </row>
    <row r="122" spans="1:12">
      <c r="A122" t="str">
        <f t="shared" si="1"/>
        <v>MEGASITE - Flemington Rd - B</v>
      </c>
      <c r="B122" t="s">
        <v>192</v>
      </c>
      <c r="C122" s="144" t="s">
        <v>213</v>
      </c>
      <c r="D122" s="127" t="s">
        <v>62</v>
      </c>
      <c r="E122" s="139" t="s">
        <v>212</v>
      </c>
      <c r="F122" s="149">
        <v>16</v>
      </c>
      <c r="G122" s="95">
        <v>0</v>
      </c>
      <c r="H122" s="149">
        <v>8</v>
      </c>
      <c r="I122" s="95">
        <v>0</v>
      </c>
      <c r="J122" s="95">
        <v>0</v>
      </c>
      <c r="K122" s="95">
        <v>0</v>
      </c>
      <c r="L122" s="150">
        <v>24</v>
      </c>
    </row>
    <row r="123" spans="1:12">
      <c r="A123" t="str">
        <f t="shared" si="1"/>
        <v>MEGASITE - Flemington Rd - C</v>
      </c>
      <c r="B123" t="s">
        <v>192</v>
      </c>
      <c r="C123" s="151" t="s">
        <v>214</v>
      </c>
      <c r="D123" s="127" t="s">
        <v>62</v>
      </c>
      <c r="E123" s="141" t="s">
        <v>212</v>
      </c>
      <c r="F123" s="149">
        <v>16</v>
      </c>
      <c r="G123" s="95">
        <v>0</v>
      </c>
      <c r="H123" s="149">
        <v>8</v>
      </c>
      <c r="I123" s="95">
        <v>0</v>
      </c>
      <c r="J123" s="95">
        <v>0</v>
      </c>
      <c r="K123" s="95">
        <v>0</v>
      </c>
      <c r="L123" s="150">
        <v>24</v>
      </c>
    </row>
    <row r="124" spans="1:12">
      <c r="A124" t="str">
        <f t="shared" si="1"/>
        <v>MEGASITE - Inkerman &amp; Barkley - A</v>
      </c>
      <c r="B124" t="s">
        <v>192</v>
      </c>
      <c r="C124" s="144" t="s">
        <v>215</v>
      </c>
      <c r="D124" s="127" t="s">
        <v>62</v>
      </c>
      <c r="E124" s="139" t="s">
        <v>216</v>
      </c>
      <c r="F124" s="149">
        <v>24</v>
      </c>
      <c r="G124" s="95">
        <v>0</v>
      </c>
      <c r="H124" s="95">
        <v>0</v>
      </c>
      <c r="I124" s="95">
        <v>0</v>
      </c>
      <c r="J124" s="95">
        <v>0</v>
      </c>
      <c r="K124" s="95">
        <v>0</v>
      </c>
      <c r="L124" s="150">
        <v>24</v>
      </c>
    </row>
    <row r="125" spans="1:12">
      <c r="A125" t="str">
        <f t="shared" si="1"/>
        <v>MEGASITE - Inkerman &amp; Barkley - B</v>
      </c>
      <c r="B125" t="s">
        <v>192</v>
      </c>
      <c r="C125" s="151" t="s">
        <v>217</v>
      </c>
      <c r="D125" s="127" t="s">
        <v>62</v>
      </c>
      <c r="E125" s="141" t="s">
        <v>216</v>
      </c>
      <c r="F125" s="149">
        <v>24</v>
      </c>
      <c r="G125" s="95">
        <v>0</v>
      </c>
      <c r="H125" s="95">
        <v>0</v>
      </c>
      <c r="I125" s="95">
        <v>0</v>
      </c>
      <c r="J125" s="95">
        <v>0</v>
      </c>
      <c r="K125" s="95">
        <v>0</v>
      </c>
      <c r="L125" s="150">
        <v>24</v>
      </c>
    </row>
    <row r="126" spans="1:12">
      <c r="A126" t="str">
        <f t="shared" si="1"/>
        <v>MEGASITE - Swan &amp; Cremorne</v>
      </c>
      <c r="B126" t="s">
        <v>192</v>
      </c>
      <c r="C126" s="144" t="s">
        <v>218</v>
      </c>
      <c r="D126" s="127" t="s">
        <v>62</v>
      </c>
      <c r="E126" s="139" t="s">
        <v>219</v>
      </c>
      <c r="F126" s="149">
        <v>8</v>
      </c>
      <c r="G126" s="149">
        <v>6</v>
      </c>
      <c r="H126" s="95">
        <v>0</v>
      </c>
      <c r="I126" s="95">
        <v>0</v>
      </c>
      <c r="J126" s="95">
        <v>0</v>
      </c>
      <c r="K126" s="95">
        <v>0</v>
      </c>
      <c r="L126" s="150">
        <v>14</v>
      </c>
    </row>
    <row r="127" spans="1:12">
      <c r="A127" t="str">
        <f t="shared" si="1"/>
        <v>MEGASITE - Swan &amp; Stewart</v>
      </c>
      <c r="B127" t="s">
        <v>192</v>
      </c>
      <c r="C127" s="151" t="s">
        <v>220</v>
      </c>
      <c r="D127" s="127" t="s">
        <v>62</v>
      </c>
      <c r="E127" s="141" t="s">
        <v>221</v>
      </c>
      <c r="F127" s="149">
        <v>8</v>
      </c>
      <c r="G127" s="95">
        <v>0</v>
      </c>
      <c r="H127" s="149">
        <v>4</v>
      </c>
      <c r="I127" s="95">
        <v>0</v>
      </c>
      <c r="J127" s="95">
        <v>0</v>
      </c>
      <c r="K127" s="95">
        <v>0</v>
      </c>
      <c r="L127" s="150">
        <v>12</v>
      </c>
    </row>
    <row r="128" spans="1:12">
      <c r="A128" t="str">
        <f t="shared" si="1"/>
        <v>MEGASITE - Toorak Rd - North</v>
      </c>
      <c r="B128" t="s">
        <v>192</v>
      </c>
      <c r="C128" s="144" t="s">
        <v>222</v>
      </c>
      <c r="D128" s="127" t="s">
        <v>62</v>
      </c>
      <c r="E128" s="142" t="s">
        <v>223</v>
      </c>
      <c r="F128" s="149">
        <v>16</v>
      </c>
      <c r="G128" s="95">
        <v>0</v>
      </c>
      <c r="H128" s="149">
        <v>4</v>
      </c>
      <c r="I128" s="95">
        <v>0</v>
      </c>
      <c r="J128" s="95">
        <v>0</v>
      </c>
      <c r="K128" s="95">
        <v>0</v>
      </c>
      <c r="L128" s="150">
        <v>20</v>
      </c>
    </row>
    <row r="129" spans="1:19">
      <c r="A129" t="str">
        <f t="shared" ref="A129" si="2">_xlfn.CONCAT(B129," - ",C129)</f>
        <v>MEGASITE - Toorak Rd - North</v>
      </c>
      <c r="B129" t="s">
        <v>192</v>
      </c>
      <c r="C129" s="144" t="s">
        <v>222</v>
      </c>
      <c r="D129" s="127" t="s">
        <v>62</v>
      </c>
      <c r="E129" s="142" t="s">
        <v>223</v>
      </c>
      <c r="F129" s="149">
        <v>16</v>
      </c>
      <c r="G129" s="95">
        <v>0</v>
      </c>
      <c r="H129" s="149">
        <v>4</v>
      </c>
      <c r="I129" s="95">
        <v>0</v>
      </c>
      <c r="J129" s="95">
        <v>0</v>
      </c>
      <c r="K129" s="95">
        <v>0</v>
      </c>
      <c r="L129" s="150">
        <v>20</v>
      </c>
    </row>
    <row r="130" spans="1:19">
      <c r="A130" t="s">
        <v>158</v>
      </c>
      <c r="B130" t="s">
        <v>158</v>
      </c>
      <c r="C130" s="151" t="s">
        <v>224</v>
      </c>
      <c r="D130" s="127" t="s">
        <v>62</v>
      </c>
      <c r="E130" s="141" t="s">
        <v>225</v>
      </c>
      <c r="F130" s="95">
        <v>0</v>
      </c>
      <c r="G130" s="95">
        <v>0</v>
      </c>
      <c r="H130" s="95">
        <v>0</v>
      </c>
      <c r="I130" s="95">
        <v>0</v>
      </c>
      <c r="J130" s="149">
        <v>16</v>
      </c>
      <c r="K130" s="95">
        <v>0</v>
      </c>
      <c r="L130" s="150">
        <v>16</v>
      </c>
    </row>
    <row r="131" spans="1:19">
      <c r="C131" s="152" t="s">
        <v>226</v>
      </c>
      <c r="D131" s="127" t="s">
        <v>62</v>
      </c>
      <c r="E131" s="139" t="s">
        <v>227</v>
      </c>
      <c r="F131" s="95">
        <v>0</v>
      </c>
      <c r="G131" s="95">
        <v>0</v>
      </c>
      <c r="H131" s="149">
        <v>4</v>
      </c>
      <c r="I131" s="95">
        <v>0</v>
      </c>
      <c r="J131" s="95">
        <v>0</v>
      </c>
      <c r="K131" s="95">
        <v>0</v>
      </c>
      <c r="L131" s="150">
        <v>4</v>
      </c>
    </row>
    <row r="133" spans="1:19">
      <c r="C133" s="77" t="s">
        <v>70</v>
      </c>
      <c r="D133" s="36" t="s">
        <v>63</v>
      </c>
      <c r="E133" s="37" t="s">
        <v>164</v>
      </c>
      <c r="F133" s="20">
        <v>64</v>
      </c>
      <c r="G133" s="10">
        <v>0</v>
      </c>
      <c r="H133" s="9">
        <v>2</v>
      </c>
      <c r="I133" s="10">
        <v>0</v>
      </c>
      <c r="J133" s="10">
        <v>0</v>
      </c>
      <c r="L133" s="18">
        <v>66</v>
      </c>
      <c r="N133" s="38">
        <v>20</v>
      </c>
      <c r="O133" s="30">
        <v>0</v>
      </c>
      <c r="P133" s="22">
        <v>2</v>
      </c>
      <c r="Q133" s="30">
        <v>0</v>
      </c>
      <c r="R133" s="30">
        <v>0</v>
      </c>
      <c r="S133" s="16">
        <v>84</v>
      </c>
    </row>
    <row r="134" spans="1:19">
      <c r="C134" s="77" t="s">
        <v>70</v>
      </c>
      <c r="D134" s="36" t="s">
        <v>63</v>
      </c>
      <c r="E134" s="37" t="s">
        <v>166</v>
      </c>
      <c r="F134" s="20">
        <v>4</v>
      </c>
      <c r="G134" s="10">
        <v>0</v>
      </c>
      <c r="H134" s="10">
        <v>0</v>
      </c>
      <c r="I134" s="10">
        <v>0</v>
      </c>
      <c r="J134" s="10">
        <v>0</v>
      </c>
      <c r="L134" s="18">
        <v>4</v>
      </c>
      <c r="N134" s="21">
        <v>0</v>
      </c>
      <c r="O134" s="30">
        <v>0</v>
      </c>
      <c r="P134" s="30">
        <v>0</v>
      </c>
      <c r="Q134" s="30">
        <v>0</v>
      </c>
      <c r="R134" s="30">
        <v>0</v>
      </c>
      <c r="S134" s="16">
        <v>0</v>
      </c>
    </row>
    <row r="135" spans="1:19" ht="15" thickBot="1">
      <c r="C135" s="77" t="s">
        <v>70</v>
      </c>
      <c r="D135" s="36" t="s">
        <v>63</v>
      </c>
      <c r="E135" s="39" t="s">
        <v>29</v>
      </c>
      <c r="F135" s="40">
        <v>0</v>
      </c>
      <c r="G135" s="40">
        <v>0</v>
      </c>
      <c r="H135" s="41">
        <v>8</v>
      </c>
      <c r="I135" s="40">
        <v>0</v>
      </c>
      <c r="J135" s="40">
        <v>0</v>
      </c>
      <c r="L135" s="42">
        <v>8</v>
      </c>
      <c r="N135" s="43">
        <v>0</v>
      </c>
      <c r="O135" s="44">
        <v>0</v>
      </c>
      <c r="P135" s="44">
        <v>0</v>
      </c>
      <c r="Q135" s="44">
        <v>0</v>
      </c>
      <c r="R135" s="44">
        <v>0</v>
      </c>
      <c r="S135" s="45">
        <v>0</v>
      </c>
    </row>
    <row r="136" spans="1:19" ht="15" thickBot="1">
      <c r="C136" s="74" t="s">
        <v>72</v>
      </c>
      <c r="D136" s="36" t="s">
        <v>63</v>
      </c>
      <c r="E136" s="37" t="s">
        <v>164</v>
      </c>
      <c r="F136" s="20">
        <v>60</v>
      </c>
      <c r="G136" s="10">
        <v>0</v>
      </c>
      <c r="H136" s="9">
        <v>6</v>
      </c>
      <c r="I136" s="10">
        <v>0</v>
      </c>
      <c r="J136" s="10">
        <v>0</v>
      </c>
      <c r="L136" s="18">
        <v>66</v>
      </c>
      <c r="N136" s="38">
        <v>20</v>
      </c>
      <c r="O136" s="30">
        <v>0</v>
      </c>
      <c r="P136" s="22">
        <v>4</v>
      </c>
      <c r="Q136" s="30">
        <v>0</v>
      </c>
      <c r="R136" s="30">
        <v>0</v>
      </c>
      <c r="S136" s="16">
        <v>88</v>
      </c>
    </row>
    <row r="137" spans="1:19" ht="15" thickBot="1">
      <c r="C137" s="74" t="s">
        <v>72</v>
      </c>
      <c r="D137" s="36" t="s">
        <v>63</v>
      </c>
      <c r="E137" s="37" t="s">
        <v>166</v>
      </c>
      <c r="F137" s="20">
        <v>4</v>
      </c>
      <c r="G137" s="10">
        <v>0</v>
      </c>
      <c r="H137" s="10">
        <v>0</v>
      </c>
      <c r="I137" s="10">
        <v>0</v>
      </c>
      <c r="J137" s="10">
        <v>0</v>
      </c>
      <c r="L137" s="18">
        <v>4</v>
      </c>
      <c r="N137" s="21">
        <v>0</v>
      </c>
      <c r="O137" s="30">
        <v>0</v>
      </c>
      <c r="P137" s="30">
        <v>0</v>
      </c>
      <c r="Q137" s="30">
        <v>0</v>
      </c>
      <c r="R137" s="30">
        <v>0</v>
      </c>
      <c r="S137" s="16">
        <v>0</v>
      </c>
    </row>
    <row r="138" spans="1:19" ht="15" thickBot="1">
      <c r="C138" s="74" t="s">
        <v>72</v>
      </c>
      <c r="D138" s="36" t="s">
        <v>63</v>
      </c>
      <c r="E138" s="39" t="s">
        <v>29</v>
      </c>
      <c r="F138" s="52">
        <v>4</v>
      </c>
      <c r="G138" s="40">
        <v>0</v>
      </c>
      <c r="H138" s="41">
        <v>4</v>
      </c>
      <c r="I138" s="40">
        <v>0</v>
      </c>
      <c r="J138" s="40">
        <v>0</v>
      </c>
      <c r="L138" s="42">
        <v>8</v>
      </c>
      <c r="N138" s="43">
        <v>0</v>
      </c>
      <c r="O138" s="44">
        <v>0</v>
      </c>
      <c r="P138" s="44">
        <v>0</v>
      </c>
      <c r="Q138" s="44">
        <v>0</v>
      </c>
      <c r="R138" s="44">
        <v>0</v>
      </c>
      <c r="S138" s="45">
        <v>0</v>
      </c>
    </row>
    <row r="139" spans="1:19" ht="15" thickBot="1">
      <c r="C139" s="76" t="s">
        <v>74</v>
      </c>
      <c r="D139" s="36" t="s">
        <v>63</v>
      </c>
      <c r="E139" s="37" t="s">
        <v>164</v>
      </c>
      <c r="F139" s="20">
        <v>60</v>
      </c>
      <c r="G139" s="10">
        <v>0</v>
      </c>
      <c r="H139" s="9">
        <v>2</v>
      </c>
      <c r="I139" s="10">
        <v>0</v>
      </c>
      <c r="J139" s="10">
        <v>0</v>
      </c>
      <c r="L139" s="18">
        <v>62</v>
      </c>
      <c r="N139" s="38">
        <v>20</v>
      </c>
      <c r="O139" s="30">
        <v>0</v>
      </c>
      <c r="P139" s="22">
        <v>2</v>
      </c>
      <c r="Q139" s="30">
        <v>0</v>
      </c>
      <c r="R139" s="30">
        <v>0</v>
      </c>
      <c r="S139" s="16">
        <v>84</v>
      </c>
    </row>
    <row r="140" spans="1:19" ht="15" thickBot="1">
      <c r="C140" s="76" t="s">
        <v>74</v>
      </c>
      <c r="D140" s="36" t="s">
        <v>63</v>
      </c>
      <c r="E140" s="37" t="s">
        <v>166</v>
      </c>
      <c r="F140" s="20">
        <v>4</v>
      </c>
      <c r="G140" s="10">
        <v>0</v>
      </c>
      <c r="H140" s="10">
        <v>0</v>
      </c>
      <c r="I140" s="10">
        <v>0</v>
      </c>
      <c r="J140" s="10">
        <v>0</v>
      </c>
      <c r="L140" s="18">
        <v>4</v>
      </c>
      <c r="N140" s="21">
        <v>0</v>
      </c>
      <c r="O140" s="30">
        <v>0</v>
      </c>
      <c r="P140" s="30">
        <v>0</v>
      </c>
      <c r="Q140" s="30">
        <v>0</v>
      </c>
      <c r="R140" s="30">
        <v>0</v>
      </c>
      <c r="S140" s="16">
        <v>0</v>
      </c>
    </row>
    <row r="141" spans="1:19" ht="15" thickBot="1">
      <c r="C141" s="76" t="s">
        <v>74</v>
      </c>
      <c r="D141" s="36" t="s">
        <v>63</v>
      </c>
      <c r="E141" s="39" t="s">
        <v>29</v>
      </c>
      <c r="F141" s="40">
        <v>0</v>
      </c>
      <c r="G141" s="40">
        <v>0</v>
      </c>
      <c r="H141" s="41">
        <v>8</v>
      </c>
      <c r="I141" s="40">
        <v>0</v>
      </c>
      <c r="J141" s="40">
        <v>0</v>
      </c>
      <c r="L141" s="42">
        <v>8</v>
      </c>
      <c r="N141" s="43">
        <v>0</v>
      </c>
      <c r="O141" s="44">
        <v>0</v>
      </c>
      <c r="P141" s="44">
        <v>0</v>
      </c>
      <c r="Q141" s="44">
        <v>0</v>
      </c>
      <c r="R141" s="44">
        <v>0</v>
      </c>
      <c r="S141" s="45">
        <v>0</v>
      </c>
    </row>
    <row r="142" spans="1:19" ht="15" thickBot="1">
      <c r="C142" s="74" t="s">
        <v>76</v>
      </c>
      <c r="D142" s="36" t="s">
        <v>63</v>
      </c>
      <c r="E142" s="37" t="s">
        <v>164</v>
      </c>
      <c r="F142" s="20">
        <v>56</v>
      </c>
      <c r="G142" s="10">
        <v>0</v>
      </c>
      <c r="H142" s="9">
        <v>6</v>
      </c>
      <c r="I142" s="10">
        <v>0</v>
      </c>
      <c r="J142" s="10">
        <v>0</v>
      </c>
      <c r="L142" s="18">
        <v>62</v>
      </c>
      <c r="N142" s="38">
        <v>20</v>
      </c>
      <c r="O142" s="30">
        <v>0</v>
      </c>
      <c r="P142" s="22">
        <v>4</v>
      </c>
      <c r="Q142" s="30">
        <v>0</v>
      </c>
      <c r="R142" s="30">
        <v>0</v>
      </c>
      <c r="S142" s="16">
        <v>88</v>
      </c>
    </row>
    <row r="143" spans="1:19" ht="15" thickBot="1">
      <c r="C143" s="74" t="s">
        <v>76</v>
      </c>
      <c r="D143" s="36" t="s">
        <v>63</v>
      </c>
      <c r="E143" s="37" t="s">
        <v>166</v>
      </c>
      <c r="F143" s="20">
        <v>4</v>
      </c>
      <c r="G143" s="10">
        <v>0</v>
      </c>
      <c r="H143" s="10">
        <v>0</v>
      </c>
      <c r="I143" s="10">
        <v>0</v>
      </c>
      <c r="J143" s="10">
        <v>0</v>
      </c>
      <c r="L143" s="18">
        <v>4</v>
      </c>
      <c r="N143" s="21">
        <v>0</v>
      </c>
      <c r="O143" s="30">
        <v>0</v>
      </c>
      <c r="P143" s="30">
        <v>0</v>
      </c>
      <c r="Q143" s="30">
        <v>0</v>
      </c>
      <c r="R143" s="30">
        <v>0</v>
      </c>
      <c r="S143" s="16">
        <v>0</v>
      </c>
    </row>
    <row r="144" spans="1:19" ht="15" thickBot="1">
      <c r="C144" s="74" t="s">
        <v>76</v>
      </c>
      <c r="D144" s="36" t="s">
        <v>63</v>
      </c>
      <c r="E144" s="39" t="s">
        <v>29</v>
      </c>
      <c r="F144" s="52">
        <v>4</v>
      </c>
      <c r="G144" s="40">
        <v>0</v>
      </c>
      <c r="H144" s="41">
        <v>4</v>
      </c>
      <c r="I144" s="40">
        <v>0</v>
      </c>
      <c r="J144" s="40">
        <v>0</v>
      </c>
      <c r="L144" s="42">
        <v>8</v>
      </c>
      <c r="N144" s="43">
        <v>0</v>
      </c>
      <c r="O144" s="44">
        <v>0</v>
      </c>
      <c r="P144" s="44">
        <v>0</v>
      </c>
      <c r="Q144" s="44">
        <v>0</v>
      </c>
      <c r="R144" s="44">
        <v>0</v>
      </c>
      <c r="S144" s="45">
        <v>0</v>
      </c>
    </row>
    <row r="145" spans="1:12" ht="15" thickBot="1">
      <c r="A145" t="str">
        <f t="shared" ref="A145:A146" si="3">_xlfn.CONCAT(B145," - ",C145)</f>
        <v>MEGASITE - Abbotsford Rd</v>
      </c>
      <c r="B145" t="s">
        <v>192</v>
      </c>
      <c r="C145" s="153" t="s">
        <v>228</v>
      </c>
      <c r="D145" s="154" t="s">
        <v>229</v>
      </c>
      <c r="E145" s="39" t="s">
        <v>29</v>
      </c>
      <c r="F145" s="146">
        <v>8</v>
      </c>
      <c r="G145" s="147">
        <v>0</v>
      </c>
      <c r="H145" s="146">
        <v>4</v>
      </c>
      <c r="I145" s="147">
        <v>0</v>
      </c>
      <c r="J145" s="147">
        <v>0</v>
      </c>
      <c r="K145" s="147">
        <v>0</v>
      </c>
      <c r="L145" s="148">
        <v>12</v>
      </c>
    </row>
    <row r="146" spans="1:12" ht="15" thickBot="1">
      <c r="A146" t="str">
        <f t="shared" si="3"/>
        <v>MEGASITE - Brunswick St</v>
      </c>
      <c r="B146" t="s">
        <v>192</v>
      </c>
      <c r="C146" s="155" t="s">
        <v>230</v>
      </c>
      <c r="D146" s="156" t="s">
        <v>231</v>
      </c>
      <c r="E146" s="39" t="s">
        <v>29</v>
      </c>
      <c r="F146" s="94">
        <v>8</v>
      </c>
      <c r="G146" s="93">
        <v>0</v>
      </c>
      <c r="H146" s="93">
        <v>2</v>
      </c>
      <c r="I146" s="93">
        <v>0</v>
      </c>
      <c r="J146" s="93">
        <v>0</v>
      </c>
      <c r="K146" s="93">
        <v>0</v>
      </c>
      <c r="L146" s="143">
        <v>10</v>
      </c>
    </row>
    <row r="147" spans="1:12" ht="15" thickBot="1">
      <c r="A147" t="s">
        <v>111</v>
      </c>
      <c r="B147" t="s">
        <v>111</v>
      </c>
      <c r="C147" s="157" t="s">
        <v>226</v>
      </c>
      <c r="D147" s="158" t="s">
        <v>232</v>
      </c>
      <c r="E147" s="39" t="s">
        <v>29</v>
      </c>
      <c r="F147" s="95">
        <v>0</v>
      </c>
      <c r="G147" s="95">
        <v>0</v>
      </c>
      <c r="H147" s="149">
        <v>4</v>
      </c>
      <c r="I147" s="95">
        <v>0</v>
      </c>
      <c r="J147" s="95">
        <v>0</v>
      </c>
      <c r="K147" s="95">
        <v>0</v>
      </c>
      <c r="L147" s="150">
        <v>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4339-F0B1-4E8E-968B-CD4126600B58}">
  <sheetPr codeName="Sheet5"/>
  <dimension ref="A2:W151"/>
  <sheetViews>
    <sheetView workbookViewId="0">
      <pane xSplit="2" ySplit="3" topLeftCell="C90" activePane="bottomRight" state="frozen"/>
      <selection pane="bottomRight" activeCell="J39" sqref="J39"/>
      <selection pane="bottomLeft" activeCell="J39" sqref="J39"/>
      <selection pane="topRight" activeCell="J39" sqref="J39"/>
    </sheetView>
  </sheetViews>
  <sheetFormatPr defaultColWidth="8.7109375" defaultRowHeight="14.45"/>
  <cols>
    <col min="1" max="1" width="26.42578125" customWidth="1"/>
    <col min="2" max="2" width="12.7109375" bestFit="1" customWidth="1"/>
    <col min="3" max="3" width="27.7109375" bestFit="1" customWidth="1"/>
  </cols>
  <sheetData>
    <row r="2" spans="3:23">
      <c r="C2" s="1" t="s">
        <v>159</v>
      </c>
      <c r="D2" s="2"/>
      <c r="E2" s="2"/>
      <c r="F2" s="3"/>
      <c r="R2" s="128" t="s">
        <v>160</v>
      </c>
      <c r="S2" s="128"/>
    </row>
    <row r="3" spans="3:23">
      <c r="C3" s="4" t="s">
        <v>161</v>
      </c>
      <c r="D3" s="4" t="s">
        <v>162</v>
      </c>
      <c r="E3" s="5"/>
      <c r="F3" s="128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4" t="s">
        <v>29</v>
      </c>
      <c r="L3" s="4" t="s">
        <v>30</v>
      </c>
      <c r="M3" s="4" t="s">
        <v>31</v>
      </c>
      <c r="N3" s="1" t="s">
        <v>32</v>
      </c>
      <c r="P3" s="4" t="s">
        <v>163</v>
      </c>
      <c r="R3" s="6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1" t="s">
        <v>163</v>
      </c>
    </row>
    <row r="4" spans="3:23" ht="15" thickBot="1">
      <c r="C4" s="77" t="s">
        <v>70</v>
      </c>
      <c r="D4" s="7" t="s">
        <v>61</v>
      </c>
      <c r="E4" s="17"/>
      <c r="F4" s="211">
        <v>29</v>
      </c>
      <c r="G4" s="211">
        <v>0</v>
      </c>
      <c r="H4" s="211">
        <v>0</v>
      </c>
      <c r="I4" s="211">
        <v>0</v>
      </c>
      <c r="J4" s="211">
        <v>6</v>
      </c>
      <c r="K4" s="211">
        <v>0</v>
      </c>
      <c r="L4" s="211">
        <v>0</v>
      </c>
      <c r="M4" s="211">
        <v>0</v>
      </c>
      <c r="N4" s="211">
        <v>0</v>
      </c>
      <c r="O4" s="20">
        <v>0</v>
      </c>
      <c r="P4" s="20">
        <v>35</v>
      </c>
    </row>
    <row r="5" spans="3:23" ht="15" thickBot="1">
      <c r="C5" s="74" t="s">
        <v>72</v>
      </c>
      <c r="D5" s="46" t="s">
        <v>61</v>
      </c>
      <c r="E5" s="17"/>
      <c r="F5" s="211">
        <v>28</v>
      </c>
      <c r="G5" s="211">
        <v>0</v>
      </c>
      <c r="H5" s="211">
        <v>0</v>
      </c>
      <c r="I5" s="211">
        <v>0</v>
      </c>
      <c r="J5" s="211">
        <v>6</v>
      </c>
      <c r="K5" s="79">
        <v>0</v>
      </c>
      <c r="L5" s="79">
        <v>0</v>
      </c>
      <c r="M5" s="79">
        <v>0</v>
      </c>
      <c r="N5" s="211">
        <v>0</v>
      </c>
      <c r="O5" s="20">
        <v>0</v>
      </c>
      <c r="P5" s="20">
        <v>34</v>
      </c>
    </row>
    <row r="6" spans="3:23" ht="15" thickBot="1">
      <c r="C6" s="76" t="s">
        <v>74</v>
      </c>
      <c r="D6" s="46" t="s">
        <v>61</v>
      </c>
      <c r="E6" s="17"/>
      <c r="F6" s="211">
        <v>29</v>
      </c>
      <c r="G6" s="211">
        <v>0</v>
      </c>
      <c r="H6" s="211">
        <v>0</v>
      </c>
      <c r="I6" s="211">
        <v>0</v>
      </c>
      <c r="J6" s="211">
        <v>5</v>
      </c>
      <c r="K6" s="79">
        <v>0</v>
      </c>
      <c r="L6" s="79">
        <v>0</v>
      </c>
      <c r="M6" s="79">
        <v>0</v>
      </c>
      <c r="N6" s="211">
        <v>0</v>
      </c>
      <c r="O6" s="20">
        <v>0</v>
      </c>
      <c r="P6" s="20">
        <v>34</v>
      </c>
    </row>
    <row r="7" spans="3:23" ht="15" thickBot="1">
      <c r="C7" s="74" t="s">
        <v>76</v>
      </c>
      <c r="D7" s="46" t="s">
        <v>61</v>
      </c>
      <c r="E7" s="17"/>
      <c r="F7" s="211">
        <v>33</v>
      </c>
      <c r="G7" s="211">
        <v>0</v>
      </c>
      <c r="H7" s="211">
        <v>0</v>
      </c>
      <c r="I7" s="211">
        <v>0</v>
      </c>
      <c r="J7" s="211">
        <v>6</v>
      </c>
      <c r="K7" s="79">
        <v>0</v>
      </c>
      <c r="L7" s="79">
        <v>0</v>
      </c>
      <c r="M7" s="79">
        <v>0</v>
      </c>
      <c r="N7" s="211">
        <v>0</v>
      </c>
      <c r="O7" s="20">
        <v>0</v>
      </c>
      <c r="P7" s="20">
        <v>39</v>
      </c>
    </row>
    <row r="8" spans="3:23" ht="15" thickBot="1">
      <c r="C8" s="76" t="s">
        <v>78</v>
      </c>
      <c r="D8" s="46" t="s">
        <v>61</v>
      </c>
      <c r="E8" s="17"/>
      <c r="F8" s="211">
        <v>27</v>
      </c>
      <c r="G8" s="211">
        <v>0</v>
      </c>
      <c r="H8" s="211">
        <v>0</v>
      </c>
      <c r="I8" s="211">
        <v>0</v>
      </c>
      <c r="J8" s="211">
        <v>7</v>
      </c>
      <c r="K8" s="79">
        <v>0</v>
      </c>
      <c r="L8" s="79">
        <v>0</v>
      </c>
      <c r="M8" s="79">
        <v>0</v>
      </c>
      <c r="N8" s="211">
        <v>0</v>
      </c>
      <c r="O8" s="20">
        <v>0</v>
      </c>
      <c r="P8" s="20">
        <v>34</v>
      </c>
    </row>
    <row r="9" spans="3:23" ht="15" thickBot="1">
      <c r="C9" s="74" t="s">
        <v>80</v>
      </c>
      <c r="D9" s="46" t="s">
        <v>61</v>
      </c>
      <c r="E9" s="17"/>
      <c r="F9" s="211">
        <v>29</v>
      </c>
      <c r="G9" s="211">
        <v>0</v>
      </c>
      <c r="H9" s="211">
        <v>0</v>
      </c>
      <c r="I9" s="211">
        <v>0</v>
      </c>
      <c r="J9" s="211">
        <v>6</v>
      </c>
      <c r="K9" s="79">
        <v>0</v>
      </c>
      <c r="L9" s="79">
        <v>0</v>
      </c>
      <c r="M9" s="79">
        <v>0</v>
      </c>
      <c r="N9" s="211">
        <v>0</v>
      </c>
      <c r="O9" s="20">
        <v>0</v>
      </c>
      <c r="P9" s="20">
        <v>35</v>
      </c>
    </row>
    <row r="10" spans="3:23" ht="15" thickBot="1">
      <c r="C10" s="75" t="s">
        <v>82</v>
      </c>
      <c r="D10" s="46" t="s">
        <v>61</v>
      </c>
      <c r="E10" s="17"/>
      <c r="F10" s="211">
        <v>30</v>
      </c>
      <c r="G10" s="211">
        <v>0</v>
      </c>
      <c r="H10" s="211">
        <v>0</v>
      </c>
      <c r="I10" s="211">
        <v>0</v>
      </c>
      <c r="J10" s="211">
        <v>4</v>
      </c>
      <c r="K10" s="79">
        <v>0</v>
      </c>
      <c r="L10" s="79">
        <v>0</v>
      </c>
      <c r="M10" s="79">
        <v>0</v>
      </c>
      <c r="N10" s="211">
        <v>0</v>
      </c>
      <c r="O10" s="20">
        <v>0</v>
      </c>
      <c r="P10" s="20">
        <v>34</v>
      </c>
    </row>
    <row r="11" spans="3:23" ht="15" thickBot="1">
      <c r="C11" s="76" t="s">
        <v>84</v>
      </c>
      <c r="D11" s="46" t="s">
        <v>61</v>
      </c>
      <c r="E11" s="17"/>
      <c r="F11" s="211">
        <v>30</v>
      </c>
      <c r="G11" s="211">
        <v>0</v>
      </c>
      <c r="H11" s="211">
        <v>0</v>
      </c>
      <c r="I11" s="211">
        <v>0</v>
      </c>
      <c r="J11" s="211">
        <v>4</v>
      </c>
      <c r="K11" s="79">
        <v>0</v>
      </c>
      <c r="L11" s="79">
        <v>0</v>
      </c>
      <c r="M11" s="79">
        <v>0</v>
      </c>
      <c r="N11" s="211">
        <v>0</v>
      </c>
      <c r="O11" s="20">
        <v>0</v>
      </c>
      <c r="P11" s="20">
        <v>34</v>
      </c>
    </row>
    <row r="12" spans="3:23" ht="15" thickBot="1">
      <c r="C12" s="74" t="s">
        <v>86</v>
      </c>
      <c r="D12" s="46" t="s">
        <v>61</v>
      </c>
      <c r="E12" s="17"/>
      <c r="F12" s="211">
        <v>31</v>
      </c>
      <c r="G12" s="211">
        <v>0</v>
      </c>
      <c r="H12" s="211">
        <v>0</v>
      </c>
      <c r="I12" s="211">
        <v>0</v>
      </c>
      <c r="J12" s="211">
        <v>4</v>
      </c>
      <c r="K12" s="79">
        <v>0</v>
      </c>
      <c r="L12" s="79">
        <v>0</v>
      </c>
      <c r="M12" s="79">
        <v>0</v>
      </c>
      <c r="N12" s="211">
        <v>0</v>
      </c>
      <c r="O12" s="20">
        <v>0</v>
      </c>
      <c r="P12" s="20">
        <v>35</v>
      </c>
    </row>
    <row r="13" spans="3:23" ht="15" thickBot="1">
      <c r="C13" s="76" t="s">
        <v>90</v>
      </c>
      <c r="D13" s="46" t="s">
        <v>61</v>
      </c>
      <c r="E13" s="23"/>
      <c r="F13" s="211">
        <v>29</v>
      </c>
      <c r="G13" s="211">
        <v>0</v>
      </c>
      <c r="H13" s="211">
        <v>0</v>
      </c>
      <c r="I13" s="211">
        <v>0</v>
      </c>
      <c r="J13" s="211">
        <v>6</v>
      </c>
      <c r="K13" s="79">
        <v>0</v>
      </c>
      <c r="L13" s="79">
        <v>0</v>
      </c>
      <c r="M13" s="79">
        <v>0</v>
      </c>
      <c r="N13" s="211">
        <v>0</v>
      </c>
      <c r="O13" s="20">
        <v>0</v>
      </c>
      <c r="P13" s="20">
        <v>35</v>
      </c>
    </row>
    <row r="14" spans="3:23" ht="15" thickBot="1">
      <c r="C14" s="74" t="s">
        <v>94</v>
      </c>
      <c r="D14" s="46" t="s">
        <v>61</v>
      </c>
      <c r="E14" s="23"/>
      <c r="F14" s="211">
        <v>31</v>
      </c>
      <c r="G14" s="211">
        <v>0</v>
      </c>
      <c r="H14" s="211">
        <v>0</v>
      </c>
      <c r="I14" s="211">
        <v>0</v>
      </c>
      <c r="J14" s="211">
        <v>4</v>
      </c>
      <c r="K14" s="79">
        <v>0</v>
      </c>
      <c r="L14" s="79">
        <v>0</v>
      </c>
      <c r="M14" s="79">
        <v>0</v>
      </c>
      <c r="N14" s="211">
        <v>0</v>
      </c>
      <c r="O14" s="20">
        <v>0</v>
      </c>
      <c r="P14" s="20">
        <v>35</v>
      </c>
    </row>
    <row r="15" spans="3:23" ht="15" thickBot="1">
      <c r="C15" s="76" t="s">
        <v>98</v>
      </c>
      <c r="D15" s="46" t="s">
        <v>61</v>
      </c>
      <c r="E15" s="23"/>
      <c r="F15" s="211">
        <v>31</v>
      </c>
      <c r="G15" s="211">
        <v>0</v>
      </c>
      <c r="H15" s="211">
        <v>0</v>
      </c>
      <c r="I15" s="211">
        <v>0</v>
      </c>
      <c r="J15" s="211">
        <v>3</v>
      </c>
      <c r="K15" s="79">
        <v>0</v>
      </c>
      <c r="L15" s="79">
        <v>0</v>
      </c>
      <c r="M15" s="79">
        <v>0</v>
      </c>
      <c r="N15" s="211">
        <v>0</v>
      </c>
      <c r="O15" s="20">
        <v>0</v>
      </c>
      <c r="P15" s="20">
        <v>34</v>
      </c>
    </row>
    <row r="16" spans="3:23" ht="15" thickBot="1">
      <c r="C16" s="74" t="s">
        <v>102</v>
      </c>
      <c r="D16" s="46" t="s">
        <v>61</v>
      </c>
      <c r="E16" s="23"/>
      <c r="F16" s="211">
        <v>29</v>
      </c>
      <c r="G16" s="211">
        <v>0</v>
      </c>
      <c r="H16" s="211">
        <v>0</v>
      </c>
      <c r="I16" s="211">
        <v>0</v>
      </c>
      <c r="J16" s="211">
        <v>5</v>
      </c>
      <c r="K16" s="79">
        <v>0</v>
      </c>
      <c r="L16" s="79">
        <v>0</v>
      </c>
      <c r="M16" s="79">
        <v>0</v>
      </c>
      <c r="N16" s="211">
        <v>0</v>
      </c>
      <c r="O16" s="20">
        <v>0</v>
      </c>
      <c r="P16" s="20">
        <v>34</v>
      </c>
    </row>
    <row r="17" spans="3:16" ht="15" thickBot="1">
      <c r="C17" s="72" t="s">
        <v>106</v>
      </c>
      <c r="D17" s="46" t="s">
        <v>61</v>
      </c>
      <c r="E17" s="23"/>
      <c r="F17" s="211">
        <v>24</v>
      </c>
      <c r="G17" s="211">
        <v>4</v>
      </c>
      <c r="H17" s="211">
        <v>2</v>
      </c>
      <c r="I17" s="211">
        <v>0</v>
      </c>
      <c r="J17" s="211">
        <v>1</v>
      </c>
      <c r="K17" s="79">
        <v>0</v>
      </c>
      <c r="L17" s="79">
        <v>0</v>
      </c>
      <c r="M17" s="79">
        <v>0</v>
      </c>
      <c r="N17" s="211">
        <v>0</v>
      </c>
      <c r="O17" s="20">
        <v>0</v>
      </c>
      <c r="P17" s="20">
        <v>31</v>
      </c>
    </row>
    <row r="18" spans="3:16" ht="15" thickBot="1">
      <c r="C18" s="73" t="s">
        <v>110</v>
      </c>
      <c r="D18" s="46" t="s">
        <v>61</v>
      </c>
      <c r="E18" s="23"/>
      <c r="F18" s="211">
        <v>23</v>
      </c>
      <c r="G18" s="211">
        <v>4</v>
      </c>
      <c r="H18" s="211">
        <v>3</v>
      </c>
      <c r="I18" s="211">
        <v>0</v>
      </c>
      <c r="J18" s="211">
        <v>3</v>
      </c>
      <c r="K18" s="79">
        <v>0</v>
      </c>
      <c r="L18" s="79">
        <v>0</v>
      </c>
      <c r="M18" s="79">
        <v>0</v>
      </c>
      <c r="N18" s="211">
        <v>0</v>
      </c>
      <c r="O18" s="20">
        <v>0</v>
      </c>
      <c r="P18" s="20">
        <v>33</v>
      </c>
    </row>
    <row r="19" spans="3:16" ht="15" thickBot="1">
      <c r="C19" s="72" t="s">
        <v>113</v>
      </c>
      <c r="D19" s="46" t="s">
        <v>61</v>
      </c>
      <c r="E19" s="23"/>
      <c r="F19" s="211">
        <v>27</v>
      </c>
      <c r="G19" s="211">
        <v>3</v>
      </c>
      <c r="H19" s="211">
        <v>2</v>
      </c>
      <c r="I19" s="211">
        <v>0</v>
      </c>
      <c r="J19" s="211">
        <v>0</v>
      </c>
      <c r="K19" s="79">
        <v>0</v>
      </c>
      <c r="L19" s="79">
        <v>0</v>
      </c>
      <c r="M19" s="79">
        <v>0</v>
      </c>
      <c r="N19" s="211">
        <v>0</v>
      </c>
      <c r="O19" s="20">
        <v>0</v>
      </c>
      <c r="P19" s="20">
        <v>32</v>
      </c>
    </row>
    <row r="20" spans="3:16" ht="15" thickBot="1">
      <c r="C20" s="77" t="s">
        <v>71</v>
      </c>
      <c r="D20" s="46" t="s">
        <v>61</v>
      </c>
      <c r="E20" s="17"/>
      <c r="F20" s="212">
        <v>5</v>
      </c>
      <c r="G20" s="212">
        <v>0</v>
      </c>
      <c r="H20" s="212">
        <v>0</v>
      </c>
      <c r="I20" s="212">
        <v>0</v>
      </c>
      <c r="J20" s="212">
        <v>1</v>
      </c>
      <c r="K20" s="79">
        <v>0</v>
      </c>
      <c r="L20" s="79">
        <v>0</v>
      </c>
      <c r="M20" s="79">
        <v>0</v>
      </c>
      <c r="N20" s="211">
        <v>0</v>
      </c>
      <c r="O20" s="20">
        <v>0</v>
      </c>
      <c r="P20" s="20">
        <v>6</v>
      </c>
    </row>
    <row r="21" spans="3:16" ht="15" thickBot="1">
      <c r="C21" s="74" t="s">
        <v>73</v>
      </c>
      <c r="D21" s="46" t="s">
        <v>61</v>
      </c>
      <c r="E21" s="17"/>
      <c r="F21" s="212">
        <v>5</v>
      </c>
      <c r="G21" s="212">
        <v>0</v>
      </c>
      <c r="H21" s="212">
        <v>0</v>
      </c>
      <c r="I21" s="212">
        <v>0</v>
      </c>
      <c r="J21" s="212">
        <v>1</v>
      </c>
      <c r="K21" s="79">
        <v>0</v>
      </c>
      <c r="L21" s="79">
        <v>0</v>
      </c>
      <c r="M21" s="79">
        <v>0</v>
      </c>
      <c r="N21" s="211">
        <v>0</v>
      </c>
      <c r="O21" s="20">
        <v>0</v>
      </c>
      <c r="P21" s="20">
        <v>6</v>
      </c>
    </row>
    <row r="22" spans="3:16" ht="15" thickBot="1">
      <c r="C22" s="76" t="s">
        <v>75</v>
      </c>
      <c r="D22" s="46" t="s">
        <v>61</v>
      </c>
      <c r="E22" s="17"/>
      <c r="F22" s="212">
        <v>6</v>
      </c>
      <c r="G22" s="212">
        <v>0</v>
      </c>
      <c r="H22" s="212">
        <v>0</v>
      </c>
      <c r="I22" s="212">
        <v>0</v>
      </c>
      <c r="J22" s="212">
        <v>1</v>
      </c>
      <c r="K22" s="79">
        <v>0</v>
      </c>
      <c r="L22" s="79">
        <v>0</v>
      </c>
      <c r="M22" s="79">
        <v>0</v>
      </c>
      <c r="N22" s="211">
        <v>0</v>
      </c>
      <c r="O22" s="20">
        <v>0</v>
      </c>
      <c r="P22" s="20">
        <v>7</v>
      </c>
    </row>
    <row r="23" spans="3:16" ht="15" thickBot="1">
      <c r="C23" s="74" t="s">
        <v>77</v>
      </c>
      <c r="D23" s="46" t="s">
        <v>61</v>
      </c>
      <c r="E23" s="17"/>
      <c r="F23" s="212">
        <v>6</v>
      </c>
      <c r="G23" s="212">
        <v>0</v>
      </c>
      <c r="H23" s="212">
        <v>0</v>
      </c>
      <c r="I23" s="212">
        <v>0</v>
      </c>
      <c r="J23" s="212">
        <v>1</v>
      </c>
      <c r="K23" s="79">
        <v>0</v>
      </c>
      <c r="L23" s="79">
        <v>0</v>
      </c>
      <c r="M23" s="79">
        <v>0</v>
      </c>
      <c r="N23" s="211">
        <v>0</v>
      </c>
      <c r="O23" s="20">
        <v>0</v>
      </c>
      <c r="P23" s="20">
        <v>7</v>
      </c>
    </row>
    <row r="24" spans="3:16" ht="15" thickBot="1">
      <c r="C24" s="76" t="s">
        <v>79</v>
      </c>
      <c r="D24" s="46" t="s">
        <v>61</v>
      </c>
      <c r="E24" s="17"/>
      <c r="F24" s="212">
        <v>5</v>
      </c>
      <c r="G24" s="212">
        <v>0</v>
      </c>
      <c r="H24" s="212">
        <v>0</v>
      </c>
      <c r="I24" s="212">
        <v>0</v>
      </c>
      <c r="J24" s="212">
        <v>1</v>
      </c>
      <c r="K24" s="79">
        <v>0</v>
      </c>
      <c r="L24" s="79">
        <v>0</v>
      </c>
      <c r="M24" s="79">
        <v>0</v>
      </c>
      <c r="N24" s="211">
        <v>0</v>
      </c>
      <c r="O24" s="20">
        <v>0</v>
      </c>
      <c r="P24" s="20">
        <v>6</v>
      </c>
    </row>
    <row r="25" spans="3:16" ht="15" thickBot="1">
      <c r="C25" s="74" t="s">
        <v>81</v>
      </c>
      <c r="D25" s="46" t="s">
        <v>61</v>
      </c>
      <c r="E25" s="17"/>
      <c r="F25" s="212">
        <v>6</v>
      </c>
      <c r="G25" s="212">
        <v>0</v>
      </c>
      <c r="H25" s="212">
        <v>0</v>
      </c>
      <c r="I25" s="212">
        <v>0</v>
      </c>
      <c r="J25" s="212">
        <v>1</v>
      </c>
      <c r="K25" s="79">
        <v>0</v>
      </c>
      <c r="L25" s="79">
        <v>0</v>
      </c>
      <c r="M25" s="79">
        <v>0</v>
      </c>
      <c r="N25" s="211">
        <v>0</v>
      </c>
      <c r="O25" s="20">
        <v>0</v>
      </c>
      <c r="P25" s="20">
        <v>7</v>
      </c>
    </row>
    <row r="26" spans="3:16" ht="15" thickBot="1">
      <c r="C26" s="76" t="s">
        <v>83</v>
      </c>
      <c r="D26" s="46" t="s">
        <v>61</v>
      </c>
      <c r="E26" s="17"/>
      <c r="F26" s="212">
        <v>6</v>
      </c>
      <c r="G26" s="212">
        <v>0</v>
      </c>
      <c r="H26" s="212">
        <v>0</v>
      </c>
      <c r="I26" s="212">
        <v>0</v>
      </c>
      <c r="J26" s="212">
        <v>1</v>
      </c>
      <c r="K26" s="79">
        <v>0</v>
      </c>
      <c r="L26" s="79">
        <v>0</v>
      </c>
      <c r="M26" s="79">
        <v>0</v>
      </c>
      <c r="N26" s="211">
        <v>0</v>
      </c>
      <c r="O26" s="20">
        <v>0</v>
      </c>
      <c r="P26" s="20">
        <v>7</v>
      </c>
    </row>
    <row r="27" spans="3:16" ht="15" thickBot="1">
      <c r="C27" s="74" t="s">
        <v>85</v>
      </c>
      <c r="D27" s="46" t="s">
        <v>61</v>
      </c>
      <c r="E27" s="17"/>
      <c r="F27" s="212">
        <v>6</v>
      </c>
      <c r="G27" s="212">
        <v>0</v>
      </c>
      <c r="H27" s="212">
        <v>0</v>
      </c>
      <c r="I27" s="212">
        <v>0</v>
      </c>
      <c r="J27" s="212">
        <v>1</v>
      </c>
      <c r="K27" s="79">
        <v>0</v>
      </c>
      <c r="L27" s="79">
        <v>0</v>
      </c>
      <c r="M27" s="79">
        <v>0</v>
      </c>
      <c r="N27" s="211">
        <v>0</v>
      </c>
      <c r="O27" s="20">
        <v>0</v>
      </c>
      <c r="P27" s="20">
        <v>7</v>
      </c>
    </row>
    <row r="28" spans="3:16" ht="15" thickBot="1">
      <c r="C28" s="76" t="s">
        <v>88</v>
      </c>
      <c r="D28" s="46" t="s">
        <v>61</v>
      </c>
      <c r="E28" s="17"/>
      <c r="F28" s="212">
        <v>6</v>
      </c>
      <c r="G28" s="212">
        <v>0</v>
      </c>
      <c r="H28" s="212">
        <v>0</v>
      </c>
      <c r="I28" s="212">
        <v>0</v>
      </c>
      <c r="J28" s="212">
        <v>1</v>
      </c>
      <c r="K28" s="79">
        <v>0</v>
      </c>
      <c r="L28" s="79">
        <v>0</v>
      </c>
      <c r="M28" s="79">
        <v>0</v>
      </c>
      <c r="N28" s="211">
        <v>0</v>
      </c>
      <c r="O28" s="20">
        <v>0</v>
      </c>
      <c r="P28" s="20">
        <v>7</v>
      </c>
    </row>
    <row r="29" spans="3:16" ht="15" thickBot="1">
      <c r="C29" s="74" t="s">
        <v>92</v>
      </c>
      <c r="D29" s="46" t="s">
        <v>61</v>
      </c>
      <c r="E29" s="23"/>
      <c r="F29" s="212">
        <v>5</v>
      </c>
      <c r="G29" s="212">
        <v>0</v>
      </c>
      <c r="H29" s="212">
        <v>0</v>
      </c>
      <c r="I29" s="212">
        <v>0</v>
      </c>
      <c r="J29" s="212">
        <v>1</v>
      </c>
      <c r="K29" s="79">
        <v>0</v>
      </c>
      <c r="L29" s="79">
        <v>0</v>
      </c>
      <c r="M29" s="79">
        <v>0</v>
      </c>
      <c r="N29" s="211">
        <v>0</v>
      </c>
      <c r="O29" s="20">
        <v>0</v>
      </c>
      <c r="P29" s="20">
        <v>6</v>
      </c>
    </row>
    <row r="30" spans="3:16" ht="15" thickBot="1">
      <c r="C30" s="76" t="s">
        <v>96</v>
      </c>
      <c r="D30" s="46" t="s">
        <v>61</v>
      </c>
      <c r="E30" s="23"/>
      <c r="F30" s="212">
        <v>6</v>
      </c>
      <c r="G30" s="212">
        <v>0</v>
      </c>
      <c r="H30" s="212">
        <v>0</v>
      </c>
      <c r="I30" s="212">
        <v>0</v>
      </c>
      <c r="J30" s="212">
        <v>1</v>
      </c>
      <c r="K30" s="79">
        <v>0</v>
      </c>
      <c r="L30" s="79">
        <v>0</v>
      </c>
      <c r="M30" s="79">
        <v>0</v>
      </c>
      <c r="N30" s="211">
        <v>0</v>
      </c>
      <c r="O30" s="20">
        <v>0</v>
      </c>
      <c r="P30" s="20">
        <v>7</v>
      </c>
    </row>
    <row r="31" spans="3:16" ht="15" thickBot="1">
      <c r="C31" s="74" t="s">
        <v>100</v>
      </c>
      <c r="D31" s="46" t="s">
        <v>61</v>
      </c>
      <c r="E31" s="23"/>
      <c r="F31" s="212">
        <v>6</v>
      </c>
      <c r="G31" s="212">
        <v>0</v>
      </c>
      <c r="H31" s="212">
        <v>0</v>
      </c>
      <c r="I31" s="212">
        <v>0</v>
      </c>
      <c r="J31" s="212">
        <v>1</v>
      </c>
      <c r="K31" s="79">
        <v>0</v>
      </c>
      <c r="L31" s="79">
        <v>0</v>
      </c>
      <c r="M31" s="79">
        <v>0</v>
      </c>
      <c r="N31" s="211">
        <v>0</v>
      </c>
      <c r="O31" s="20">
        <v>0</v>
      </c>
      <c r="P31" s="20">
        <v>7</v>
      </c>
    </row>
    <row r="32" spans="3:16" ht="15" thickBot="1">
      <c r="C32" s="76" t="s">
        <v>104</v>
      </c>
      <c r="D32" s="46" t="s">
        <v>61</v>
      </c>
      <c r="E32" s="23"/>
      <c r="F32" s="212">
        <v>6</v>
      </c>
      <c r="G32" s="212">
        <v>0</v>
      </c>
      <c r="H32" s="212">
        <v>0</v>
      </c>
      <c r="I32" s="212">
        <v>0</v>
      </c>
      <c r="J32" s="212">
        <v>1</v>
      </c>
      <c r="K32" s="79">
        <v>0</v>
      </c>
      <c r="L32" s="79">
        <v>0</v>
      </c>
      <c r="M32" s="79">
        <v>0</v>
      </c>
      <c r="N32" s="211">
        <v>0</v>
      </c>
      <c r="O32" s="20">
        <v>0</v>
      </c>
      <c r="P32" s="20">
        <v>7</v>
      </c>
    </row>
    <row r="33" spans="3:16" ht="15" thickBot="1">
      <c r="C33" s="72" t="s">
        <v>108</v>
      </c>
      <c r="D33" s="46" t="s">
        <v>61</v>
      </c>
      <c r="E33" s="23"/>
      <c r="F33" s="212">
        <v>5</v>
      </c>
      <c r="G33" s="211">
        <v>4</v>
      </c>
      <c r="H33" s="211">
        <v>2</v>
      </c>
      <c r="I33" s="212">
        <v>0</v>
      </c>
      <c r="J33" s="212">
        <v>1</v>
      </c>
      <c r="K33" s="79">
        <v>0</v>
      </c>
      <c r="L33" s="79">
        <v>0</v>
      </c>
      <c r="M33" s="79">
        <v>0</v>
      </c>
      <c r="N33" s="211">
        <v>0</v>
      </c>
      <c r="O33" s="20">
        <v>0</v>
      </c>
      <c r="P33" s="20">
        <v>12</v>
      </c>
    </row>
    <row r="34" spans="3:16" ht="15" thickBot="1">
      <c r="C34" s="73" t="s">
        <v>112</v>
      </c>
      <c r="D34" s="66" t="s">
        <v>61</v>
      </c>
      <c r="E34" s="23"/>
      <c r="F34" s="212">
        <v>4</v>
      </c>
      <c r="G34" s="211">
        <v>4</v>
      </c>
      <c r="H34" s="211">
        <v>3</v>
      </c>
      <c r="I34" s="212">
        <v>0</v>
      </c>
      <c r="J34" s="212">
        <v>1</v>
      </c>
      <c r="K34" s="79">
        <v>0</v>
      </c>
      <c r="L34" s="79">
        <v>0</v>
      </c>
      <c r="M34" s="79">
        <v>0</v>
      </c>
      <c r="N34" s="211">
        <v>0</v>
      </c>
      <c r="O34" s="20">
        <v>0</v>
      </c>
      <c r="P34" s="20">
        <v>12</v>
      </c>
    </row>
    <row r="35" spans="3:16">
      <c r="C35" s="72" t="s">
        <v>114</v>
      </c>
      <c r="D35" s="66" t="s">
        <v>61</v>
      </c>
      <c r="E35" s="23"/>
      <c r="F35" s="212">
        <v>5</v>
      </c>
      <c r="G35" s="211">
        <v>3</v>
      </c>
      <c r="H35" s="211">
        <v>2</v>
      </c>
      <c r="I35" s="212">
        <v>0</v>
      </c>
      <c r="J35" s="212">
        <v>0</v>
      </c>
      <c r="K35" s="79">
        <v>0</v>
      </c>
      <c r="L35" s="79">
        <v>0</v>
      </c>
      <c r="M35" s="79">
        <v>0</v>
      </c>
      <c r="N35" s="211">
        <v>0</v>
      </c>
      <c r="O35" s="20">
        <v>0</v>
      </c>
      <c r="P35" s="20">
        <v>10</v>
      </c>
    </row>
    <row r="36" spans="3:16">
      <c r="C36" s="80" t="s">
        <v>115</v>
      </c>
      <c r="D36" s="78" t="s">
        <v>61</v>
      </c>
      <c r="E36" s="81"/>
      <c r="F36" s="87">
        <v>5</v>
      </c>
      <c r="G36" s="88">
        <v>0</v>
      </c>
      <c r="H36" s="88">
        <v>0</v>
      </c>
      <c r="I36" s="88">
        <v>0</v>
      </c>
      <c r="J36" s="88">
        <v>0</v>
      </c>
      <c r="K36" s="79">
        <v>0</v>
      </c>
      <c r="L36" s="79">
        <v>0</v>
      </c>
      <c r="M36" s="79">
        <v>0</v>
      </c>
      <c r="N36" s="211">
        <v>0</v>
      </c>
      <c r="O36" s="83">
        <v>0</v>
      </c>
      <c r="P36" s="20">
        <v>5</v>
      </c>
    </row>
    <row r="37" spans="3:16">
      <c r="C37" s="80" t="s">
        <v>117</v>
      </c>
      <c r="D37" s="78" t="s">
        <v>61</v>
      </c>
      <c r="E37" s="81"/>
      <c r="F37" s="82">
        <v>3</v>
      </c>
      <c r="G37" s="83">
        <v>0</v>
      </c>
      <c r="H37" s="83">
        <v>0</v>
      </c>
      <c r="I37" s="83">
        <v>0</v>
      </c>
      <c r="J37" s="83">
        <v>0</v>
      </c>
      <c r="K37" s="79">
        <v>0</v>
      </c>
      <c r="L37" s="79">
        <v>0</v>
      </c>
      <c r="M37" s="79">
        <v>0</v>
      </c>
      <c r="N37" s="211">
        <v>0</v>
      </c>
      <c r="O37" s="83">
        <v>0</v>
      </c>
      <c r="P37" s="20">
        <v>3</v>
      </c>
    </row>
    <row r="38" spans="3:16">
      <c r="C38" s="85" t="s">
        <v>119</v>
      </c>
      <c r="D38" s="78" t="s">
        <v>61</v>
      </c>
      <c r="E38" s="86"/>
      <c r="F38" s="87">
        <v>0</v>
      </c>
      <c r="G38" s="88">
        <v>0</v>
      </c>
      <c r="H38" s="88">
        <v>0</v>
      </c>
      <c r="I38" s="88">
        <v>0</v>
      </c>
      <c r="J38" s="88">
        <v>0</v>
      </c>
      <c r="K38" s="79">
        <v>0</v>
      </c>
      <c r="L38" s="79">
        <v>0</v>
      </c>
      <c r="M38" s="79">
        <v>0</v>
      </c>
      <c r="N38" s="211">
        <v>4</v>
      </c>
      <c r="O38" s="88">
        <v>0</v>
      </c>
      <c r="P38" s="20">
        <v>4</v>
      </c>
    </row>
    <row r="39" spans="3:16">
      <c r="C39" s="89" t="s">
        <v>121</v>
      </c>
      <c r="D39" s="78" t="s">
        <v>61</v>
      </c>
      <c r="E39" s="90"/>
      <c r="F39" s="87">
        <v>11</v>
      </c>
      <c r="G39" s="88">
        <v>0</v>
      </c>
      <c r="H39" s="88">
        <v>0</v>
      </c>
      <c r="I39" s="88">
        <v>0</v>
      </c>
      <c r="J39" s="88">
        <v>0</v>
      </c>
      <c r="K39" s="79">
        <v>0</v>
      </c>
      <c r="L39" s="79">
        <v>0</v>
      </c>
      <c r="M39" s="79">
        <v>0</v>
      </c>
      <c r="N39" s="211">
        <v>0</v>
      </c>
      <c r="O39" s="88">
        <v>0</v>
      </c>
      <c r="P39" s="20">
        <v>11</v>
      </c>
    </row>
    <row r="40" spans="3:16">
      <c r="C40" s="91" t="s">
        <v>123</v>
      </c>
      <c r="D40" s="78" t="s">
        <v>61</v>
      </c>
      <c r="E40" s="92"/>
      <c r="F40" s="83">
        <v>0</v>
      </c>
      <c r="G40" s="83">
        <v>0</v>
      </c>
      <c r="H40" s="83">
        <v>0</v>
      </c>
      <c r="I40" s="83">
        <v>0</v>
      </c>
      <c r="J40" s="82">
        <v>11</v>
      </c>
      <c r="K40" s="79">
        <v>0</v>
      </c>
      <c r="L40" s="79">
        <v>0</v>
      </c>
      <c r="M40" s="79">
        <v>0</v>
      </c>
      <c r="N40" s="211">
        <v>0</v>
      </c>
      <c r="O40" s="88">
        <v>0</v>
      </c>
      <c r="P40" s="20">
        <v>11</v>
      </c>
    </row>
    <row r="41" spans="3:16">
      <c r="C41" s="80" t="s">
        <v>125</v>
      </c>
      <c r="D41" s="78" t="s">
        <v>61</v>
      </c>
      <c r="E41" s="81"/>
      <c r="F41" s="83">
        <v>0</v>
      </c>
      <c r="G41" s="93">
        <v>0</v>
      </c>
      <c r="H41" s="93">
        <v>0</v>
      </c>
      <c r="I41" s="93">
        <v>0</v>
      </c>
      <c r="J41" s="94">
        <v>4</v>
      </c>
      <c r="K41" s="79">
        <v>0</v>
      </c>
      <c r="L41" s="79">
        <v>0</v>
      </c>
      <c r="M41" s="79">
        <v>0</v>
      </c>
      <c r="N41" s="211">
        <v>0</v>
      </c>
      <c r="O41" s="88">
        <v>0</v>
      </c>
      <c r="P41" s="20">
        <v>4</v>
      </c>
    </row>
    <row r="42" spans="3:16">
      <c r="C42" s="91" t="s">
        <v>127</v>
      </c>
      <c r="D42" s="78" t="s">
        <v>61</v>
      </c>
      <c r="E42" s="92"/>
      <c r="F42" s="87">
        <v>4</v>
      </c>
      <c r="G42" s="83">
        <v>0</v>
      </c>
      <c r="H42" s="83">
        <v>0</v>
      </c>
      <c r="I42" s="83">
        <v>0</v>
      </c>
      <c r="J42" s="83">
        <v>0</v>
      </c>
      <c r="K42" s="79">
        <v>0</v>
      </c>
      <c r="L42" s="79">
        <v>0</v>
      </c>
      <c r="M42" s="79">
        <v>0</v>
      </c>
      <c r="N42" s="211">
        <v>0</v>
      </c>
      <c r="O42" s="88">
        <v>0</v>
      </c>
      <c r="P42" s="20">
        <v>4</v>
      </c>
    </row>
    <row r="43" spans="3:16">
      <c r="C43" s="80" t="s">
        <v>129</v>
      </c>
      <c r="D43" s="78" t="s">
        <v>61</v>
      </c>
      <c r="E43" s="81"/>
      <c r="F43" s="87">
        <v>5</v>
      </c>
      <c r="G43" s="88">
        <v>0</v>
      </c>
      <c r="H43" s="88">
        <v>0</v>
      </c>
      <c r="I43" s="88">
        <v>0</v>
      </c>
      <c r="J43" s="95">
        <v>0</v>
      </c>
      <c r="K43" s="79">
        <v>0</v>
      </c>
      <c r="L43" s="79">
        <v>0</v>
      </c>
      <c r="M43" s="79">
        <v>0</v>
      </c>
      <c r="N43" s="211">
        <v>0</v>
      </c>
      <c r="O43" s="93">
        <v>0</v>
      </c>
      <c r="P43" s="20">
        <v>5</v>
      </c>
    </row>
    <row r="44" spans="3:16">
      <c r="C44" s="96" t="s">
        <v>133</v>
      </c>
      <c r="D44" s="78" t="s">
        <v>61</v>
      </c>
      <c r="E44" s="90"/>
      <c r="F44" s="87">
        <v>2</v>
      </c>
      <c r="G44" s="88">
        <v>0</v>
      </c>
      <c r="H44" s="97">
        <v>0</v>
      </c>
      <c r="I44" s="97">
        <v>0</v>
      </c>
      <c r="J44" s="83">
        <v>0</v>
      </c>
      <c r="K44" s="79">
        <v>0</v>
      </c>
      <c r="L44" s="79">
        <v>0</v>
      </c>
      <c r="M44" s="79">
        <v>1</v>
      </c>
      <c r="N44" s="211">
        <v>0</v>
      </c>
      <c r="O44" s="82">
        <v>1</v>
      </c>
      <c r="P44" s="20">
        <v>4</v>
      </c>
    </row>
    <row r="45" spans="3:16">
      <c r="C45" s="210" t="s">
        <v>131</v>
      </c>
      <c r="D45" s="78" t="s">
        <v>61</v>
      </c>
      <c r="E45" s="90"/>
      <c r="F45" s="87">
        <v>0</v>
      </c>
      <c r="G45" s="88">
        <v>0</v>
      </c>
      <c r="H45" s="97">
        <v>0</v>
      </c>
      <c r="I45" s="97">
        <v>0</v>
      </c>
      <c r="J45" s="83">
        <v>13</v>
      </c>
      <c r="K45" s="79">
        <v>0</v>
      </c>
      <c r="L45" s="79">
        <v>0</v>
      </c>
      <c r="M45" s="79">
        <v>0</v>
      </c>
      <c r="N45" s="211">
        <v>0</v>
      </c>
      <c r="O45" s="82">
        <v>0</v>
      </c>
      <c r="P45" s="20">
        <v>13</v>
      </c>
    </row>
    <row r="46" spans="3:16">
      <c r="C46" s="210" t="s">
        <v>134</v>
      </c>
      <c r="D46" s="78" t="s">
        <v>61</v>
      </c>
      <c r="E46" s="90"/>
      <c r="F46" s="87">
        <v>0</v>
      </c>
      <c r="G46" s="88">
        <v>0</v>
      </c>
      <c r="H46" s="97">
        <v>0</v>
      </c>
      <c r="I46" s="97">
        <v>0</v>
      </c>
      <c r="J46" s="83">
        <v>4</v>
      </c>
      <c r="K46" s="79">
        <v>0</v>
      </c>
      <c r="L46" s="79">
        <v>0</v>
      </c>
      <c r="M46" s="79">
        <v>0</v>
      </c>
      <c r="N46" s="211">
        <v>0</v>
      </c>
      <c r="O46" s="82">
        <v>0</v>
      </c>
      <c r="P46" s="20">
        <v>4</v>
      </c>
    </row>
    <row r="47" spans="3:16">
      <c r="C47" s="80" t="s">
        <v>87</v>
      </c>
      <c r="D47" s="78" t="s">
        <v>61</v>
      </c>
      <c r="E47" s="129"/>
      <c r="F47" s="82">
        <v>1</v>
      </c>
      <c r="G47" s="88">
        <v>0</v>
      </c>
      <c r="H47" s="97">
        <v>0</v>
      </c>
      <c r="I47" s="97">
        <v>0</v>
      </c>
      <c r="J47" s="88">
        <v>0</v>
      </c>
      <c r="K47" s="79">
        <v>0</v>
      </c>
      <c r="L47" s="79">
        <v>0</v>
      </c>
      <c r="M47" s="79">
        <v>0</v>
      </c>
      <c r="N47" s="211">
        <v>0</v>
      </c>
      <c r="O47" s="88"/>
      <c r="P47" s="20">
        <v>1</v>
      </c>
    </row>
    <row r="48" spans="3:16">
      <c r="C48" s="80" t="s">
        <v>137</v>
      </c>
      <c r="D48" s="78" t="s">
        <v>61</v>
      </c>
      <c r="E48" s="129"/>
      <c r="F48" s="88">
        <v>0</v>
      </c>
      <c r="G48" s="88">
        <v>0</v>
      </c>
      <c r="H48" s="97">
        <v>0</v>
      </c>
      <c r="I48" s="97">
        <v>0</v>
      </c>
      <c r="J48" s="82">
        <v>1</v>
      </c>
      <c r="K48" s="79">
        <v>0</v>
      </c>
      <c r="L48" s="79">
        <v>0</v>
      </c>
      <c r="M48" s="79">
        <v>0</v>
      </c>
      <c r="N48" s="211">
        <v>0</v>
      </c>
      <c r="O48" s="88"/>
      <c r="P48" s="20">
        <v>1</v>
      </c>
    </row>
    <row r="49" spans="3:23">
      <c r="C49" s="85" t="s">
        <v>139</v>
      </c>
      <c r="D49" s="78" t="s">
        <v>61</v>
      </c>
      <c r="E49" s="130"/>
      <c r="F49" s="88">
        <v>0</v>
      </c>
      <c r="G49" s="88">
        <v>0</v>
      </c>
      <c r="H49" s="97">
        <v>0</v>
      </c>
      <c r="I49" s="97">
        <v>0</v>
      </c>
      <c r="J49" s="82">
        <v>1</v>
      </c>
      <c r="K49" s="79">
        <v>0</v>
      </c>
      <c r="L49" s="79">
        <v>0</v>
      </c>
      <c r="M49" s="79">
        <v>0</v>
      </c>
      <c r="N49" s="211">
        <v>0</v>
      </c>
      <c r="O49" s="88"/>
      <c r="P49" s="20">
        <v>1</v>
      </c>
    </row>
    <row r="50" spans="3:23">
      <c r="C50" s="89" t="s">
        <v>141</v>
      </c>
      <c r="D50" s="78" t="s">
        <v>61</v>
      </c>
      <c r="E50" s="131"/>
      <c r="F50" s="88">
        <v>0</v>
      </c>
      <c r="G50" s="88">
        <v>0</v>
      </c>
      <c r="H50" s="97">
        <v>0</v>
      </c>
      <c r="I50" s="97">
        <v>0</v>
      </c>
      <c r="J50" s="82">
        <v>1</v>
      </c>
      <c r="K50" s="79">
        <v>0</v>
      </c>
      <c r="L50" s="79">
        <v>0</v>
      </c>
      <c r="M50" s="79">
        <v>0</v>
      </c>
      <c r="N50" s="211">
        <v>0</v>
      </c>
      <c r="O50" s="88"/>
      <c r="P50" s="20">
        <v>1</v>
      </c>
    </row>
    <row r="51" spans="3:23">
      <c r="C51" s="91" t="s">
        <v>143</v>
      </c>
      <c r="D51" s="78" t="s">
        <v>61</v>
      </c>
      <c r="E51" s="132"/>
      <c r="F51" s="88">
        <v>0</v>
      </c>
      <c r="G51" s="88">
        <v>0</v>
      </c>
      <c r="H51" s="97">
        <v>0</v>
      </c>
      <c r="I51" s="97">
        <v>0</v>
      </c>
      <c r="J51" s="82">
        <v>1</v>
      </c>
      <c r="K51" s="79">
        <v>0</v>
      </c>
      <c r="L51" s="79">
        <v>0</v>
      </c>
      <c r="M51" s="79">
        <v>0</v>
      </c>
      <c r="N51" s="211">
        <v>0</v>
      </c>
      <c r="O51" s="88"/>
      <c r="P51" s="20">
        <v>1</v>
      </c>
    </row>
    <row r="52" spans="3:23">
      <c r="C52" s="133" t="s">
        <v>145</v>
      </c>
      <c r="D52" s="78" t="s">
        <v>61</v>
      </c>
      <c r="E52" s="134"/>
      <c r="F52" s="88">
        <v>0</v>
      </c>
      <c r="G52" s="82">
        <v>0</v>
      </c>
      <c r="H52" s="97">
        <v>0</v>
      </c>
      <c r="I52" s="97">
        <v>0</v>
      </c>
      <c r="J52" s="83">
        <v>1</v>
      </c>
      <c r="K52" s="79">
        <v>0</v>
      </c>
      <c r="L52" s="79">
        <v>0</v>
      </c>
      <c r="M52" s="79">
        <v>0</v>
      </c>
      <c r="N52" s="211">
        <v>0</v>
      </c>
      <c r="O52" s="88"/>
      <c r="P52" s="20">
        <v>1</v>
      </c>
    </row>
    <row r="53" spans="3:23">
      <c r="C53" s="91" t="s">
        <v>147</v>
      </c>
      <c r="D53" s="78" t="s">
        <v>61</v>
      </c>
      <c r="E53" s="132"/>
      <c r="F53" s="88">
        <v>0</v>
      </c>
      <c r="G53" s="82">
        <v>1</v>
      </c>
      <c r="H53" s="97">
        <v>0</v>
      </c>
      <c r="I53" s="97">
        <v>0</v>
      </c>
      <c r="J53" s="83">
        <v>0</v>
      </c>
      <c r="K53" s="79">
        <v>0</v>
      </c>
      <c r="L53" s="79">
        <v>0</v>
      </c>
      <c r="M53" s="79">
        <v>0</v>
      </c>
      <c r="N53" s="211">
        <v>0</v>
      </c>
      <c r="O53" s="88"/>
      <c r="P53" s="20">
        <v>1</v>
      </c>
    </row>
    <row r="54" spans="3:23" ht="15" thickBot="1">
      <c r="C54" s="96" t="s">
        <v>149</v>
      </c>
      <c r="D54" s="78" t="s">
        <v>61</v>
      </c>
      <c r="E54" s="135"/>
      <c r="F54" s="88">
        <v>0</v>
      </c>
      <c r="G54" s="88">
        <v>0</v>
      </c>
      <c r="H54" s="97">
        <v>0</v>
      </c>
      <c r="I54" s="97">
        <v>0</v>
      </c>
      <c r="J54" s="82">
        <v>1</v>
      </c>
      <c r="K54" s="79">
        <v>0</v>
      </c>
      <c r="L54" s="79">
        <v>0</v>
      </c>
      <c r="M54" s="79">
        <v>0</v>
      </c>
      <c r="N54" s="211">
        <v>0</v>
      </c>
      <c r="O54" s="88"/>
      <c r="P54" s="20">
        <v>1</v>
      </c>
    </row>
    <row r="55" spans="3:23">
      <c r="C55" s="152" t="s">
        <v>111</v>
      </c>
      <c r="D55" s="127" t="s">
        <v>61</v>
      </c>
      <c r="E55" s="139" t="s">
        <v>227</v>
      </c>
      <c r="F55" s="95">
        <v>0</v>
      </c>
      <c r="G55" s="95">
        <v>0</v>
      </c>
      <c r="H55" s="147">
        <v>0</v>
      </c>
      <c r="I55" s="95">
        <v>0</v>
      </c>
      <c r="J55" s="95">
        <v>0</v>
      </c>
      <c r="K55" s="79">
        <v>0</v>
      </c>
      <c r="L55" s="79">
        <v>0</v>
      </c>
      <c r="M55" s="79">
        <v>1</v>
      </c>
      <c r="N55" s="159">
        <v>0</v>
      </c>
      <c r="O55" s="95">
        <v>0</v>
      </c>
      <c r="P55" s="20">
        <v>1</v>
      </c>
    </row>
    <row r="56" spans="3:23">
      <c r="C56" s="133" t="s">
        <v>153</v>
      </c>
      <c r="D56" s="78" t="s">
        <v>61</v>
      </c>
      <c r="E56" s="135"/>
      <c r="F56" s="88">
        <v>0</v>
      </c>
      <c r="G56" s="88">
        <v>0</v>
      </c>
      <c r="H56" s="97">
        <v>0</v>
      </c>
      <c r="I56" s="97">
        <v>0</v>
      </c>
      <c r="J56" s="82">
        <v>0</v>
      </c>
      <c r="K56" s="79">
        <v>0</v>
      </c>
      <c r="L56" s="79">
        <v>1</v>
      </c>
      <c r="M56" s="79">
        <v>0</v>
      </c>
      <c r="N56" s="211">
        <v>0</v>
      </c>
      <c r="O56" s="88"/>
      <c r="P56" s="20">
        <v>1</v>
      </c>
    </row>
    <row r="57" spans="3:23">
      <c r="C57" s="133" t="s">
        <v>155</v>
      </c>
      <c r="D57" s="78" t="s">
        <v>61</v>
      </c>
      <c r="E57" s="135"/>
      <c r="F57" s="88">
        <v>0</v>
      </c>
      <c r="G57" s="88">
        <v>0</v>
      </c>
      <c r="H57" s="97">
        <v>0</v>
      </c>
      <c r="I57" s="97">
        <v>0</v>
      </c>
      <c r="J57" s="82">
        <v>0</v>
      </c>
      <c r="K57" s="79">
        <v>1</v>
      </c>
      <c r="L57" s="79">
        <v>0</v>
      </c>
      <c r="M57" s="79">
        <v>0</v>
      </c>
      <c r="N57" s="211">
        <v>0</v>
      </c>
      <c r="O57" s="88"/>
      <c r="P57" s="20">
        <v>1</v>
      </c>
    </row>
    <row r="58" spans="3:23">
      <c r="C58" s="133" t="s">
        <v>157</v>
      </c>
      <c r="D58" s="78" t="s">
        <v>61</v>
      </c>
      <c r="E58" s="135"/>
      <c r="F58" s="88">
        <v>0</v>
      </c>
      <c r="G58" s="88">
        <v>0</v>
      </c>
      <c r="H58" s="97">
        <v>0</v>
      </c>
      <c r="I58" s="97">
        <v>0</v>
      </c>
      <c r="J58" s="82">
        <v>0</v>
      </c>
      <c r="K58" s="79">
        <v>1</v>
      </c>
      <c r="L58" s="79">
        <v>0</v>
      </c>
      <c r="M58" s="79">
        <v>0</v>
      </c>
      <c r="N58" s="211">
        <v>0</v>
      </c>
      <c r="O58" s="88"/>
      <c r="P58" s="20">
        <v>1</v>
      </c>
    </row>
    <row r="59" spans="3:23">
      <c r="C59" s="133" t="s">
        <v>151</v>
      </c>
      <c r="D59" s="78" t="s">
        <v>61</v>
      </c>
      <c r="E59" s="138" t="s">
        <v>194</v>
      </c>
      <c r="F59" s="94">
        <v>0</v>
      </c>
      <c r="G59" s="93">
        <v>0</v>
      </c>
      <c r="H59" s="93">
        <v>0</v>
      </c>
      <c r="I59" s="93">
        <v>0</v>
      </c>
      <c r="J59" s="93">
        <v>0</v>
      </c>
      <c r="K59" s="79">
        <v>1</v>
      </c>
      <c r="L59" s="79">
        <v>0</v>
      </c>
      <c r="M59" s="79">
        <v>0</v>
      </c>
      <c r="N59" s="211">
        <v>0</v>
      </c>
      <c r="O59" s="93">
        <v>0</v>
      </c>
      <c r="P59" s="20">
        <v>1</v>
      </c>
    </row>
    <row r="60" spans="3:23"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 s="20">
        <v>0</v>
      </c>
    </row>
    <row r="61" spans="3:23" ht="15" thickBot="1">
      <c r="C61" s="77" t="s">
        <v>70</v>
      </c>
      <c r="D61" s="2" t="s">
        <v>62</v>
      </c>
      <c r="F61" s="159">
        <v>36</v>
      </c>
      <c r="G61" s="159">
        <v>0</v>
      </c>
      <c r="H61" s="159">
        <v>0</v>
      </c>
      <c r="I61" s="159">
        <v>0</v>
      </c>
      <c r="J61" s="159">
        <v>4</v>
      </c>
      <c r="K61" s="79">
        <v>0</v>
      </c>
      <c r="L61" s="79">
        <v>0</v>
      </c>
      <c r="M61" s="79">
        <v>0</v>
      </c>
      <c r="N61" s="159">
        <v>1</v>
      </c>
      <c r="P61" s="20">
        <v>41</v>
      </c>
      <c r="R61" s="21">
        <v>40</v>
      </c>
      <c r="S61" s="21">
        <v>9</v>
      </c>
      <c r="T61" s="21">
        <v>2</v>
      </c>
      <c r="U61" s="21">
        <v>0</v>
      </c>
      <c r="V61" s="21">
        <v>16</v>
      </c>
      <c r="W61" s="16"/>
    </row>
    <row r="62" spans="3:23" ht="15" thickBot="1">
      <c r="C62" s="74" t="s">
        <v>72</v>
      </c>
      <c r="D62" s="2" t="s">
        <v>62</v>
      </c>
      <c r="F62" s="159">
        <v>34</v>
      </c>
      <c r="G62" s="159">
        <v>0</v>
      </c>
      <c r="H62" s="159">
        <v>0</v>
      </c>
      <c r="I62" s="159">
        <v>0</v>
      </c>
      <c r="J62" s="159">
        <v>4</v>
      </c>
      <c r="K62" s="79">
        <v>0</v>
      </c>
      <c r="L62" s="79">
        <v>0</v>
      </c>
      <c r="M62" s="79">
        <v>0</v>
      </c>
      <c r="N62" s="159">
        <v>1</v>
      </c>
      <c r="P62" s="20">
        <v>39</v>
      </c>
      <c r="R62" s="50">
        <v>40</v>
      </c>
      <c r="S62" s="50">
        <v>6</v>
      </c>
      <c r="T62" s="50">
        <v>2</v>
      </c>
      <c r="U62" s="50">
        <v>2</v>
      </c>
      <c r="V62" s="50">
        <v>16</v>
      </c>
      <c r="W62" s="16"/>
    </row>
    <row r="63" spans="3:23" ht="15" thickBot="1">
      <c r="C63" s="76" t="s">
        <v>74</v>
      </c>
      <c r="D63" s="2" t="s">
        <v>62</v>
      </c>
      <c r="F63" s="159">
        <v>33</v>
      </c>
      <c r="G63" s="159">
        <v>0</v>
      </c>
      <c r="H63" s="159">
        <v>0</v>
      </c>
      <c r="I63" s="159">
        <v>0</v>
      </c>
      <c r="J63" s="159">
        <v>5</v>
      </c>
      <c r="K63" s="79">
        <v>0</v>
      </c>
      <c r="L63" s="79">
        <v>0</v>
      </c>
      <c r="M63" s="79">
        <v>0</v>
      </c>
      <c r="N63" s="159">
        <v>0</v>
      </c>
      <c r="P63" s="20">
        <v>38</v>
      </c>
      <c r="R63" s="50">
        <v>44</v>
      </c>
      <c r="S63" s="50">
        <v>9</v>
      </c>
      <c r="T63" s="50">
        <v>0</v>
      </c>
      <c r="U63" s="50">
        <v>0</v>
      </c>
      <c r="V63" s="50">
        <v>16</v>
      </c>
      <c r="W63" s="16"/>
    </row>
    <row r="64" spans="3:23" ht="15" thickBot="1">
      <c r="C64" s="74" t="s">
        <v>76</v>
      </c>
      <c r="D64" s="2" t="s">
        <v>62</v>
      </c>
      <c r="F64" s="159">
        <v>34</v>
      </c>
      <c r="G64" s="159">
        <v>0</v>
      </c>
      <c r="H64" s="159">
        <v>0</v>
      </c>
      <c r="I64" s="159">
        <v>0</v>
      </c>
      <c r="J64" s="159">
        <v>5</v>
      </c>
      <c r="K64" s="79">
        <v>0</v>
      </c>
      <c r="L64" s="79">
        <v>0</v>
      </c>
      <c r="M64" s="79">
        <v>0</v>
      </c>
      <c r="N64" s="159">
        <v>0</v>
      </c>
      <c r="P64" s="20">
        <v>39</v>
      </c>
      <c r="R64" s="50">
        <v>40</v>
      </c>
      <c r="S64" s="50">
        <v>9</v>
      </c>
      <c r="T64" s="50">
        <v>4</v>
      </c>
      <c r="U64" s="50">
        <v>2</v>
      </c>
      <c r="V64" s="50">
        <v>12</v>
      </c>
      <c r="W64" s="16"/>
    </row>
    <row r="65" spans="3:23" ht="15" thickBot="1">
      <c r="C65" s="76" t="s">
        <v>78</v>
      </c>
      <c r="D65" s="2" t="s">
        <v>62</v>
      </c>
      <c r="F65" s="159">
        <v>34</v>
      </c>
      <c r="G65" s="159">
        <v>0</v>
      </c>
      <c r="H65" s="159">
        <v>0</v>
      </c>
      <c r="I65" s="159">
        <v>0</v>
      </c>
      <c r="J65" s="159">
        <v>5</v>
      </c>
      <c r="K65" s="79">
        <v>0</v>
      </c>
      <c r="L65" s="79">
        <v>0</v>
      </c>
      <c r="M65" s="79">
        <v>0</v>
      </c>
      <c r="N65" s="159">
        <v>0</v>
      </c>
      <c r="P65" s="20">
        <v>39</v>
      </c>
      <c r="R65" s="56">
        <v>40</v>
      </c>
      <c r="S65" s="56">
        <v>9</v>
      </c>
      <c r="T65" s="56">
        <v>2</v>
      </c>
      <c r="U65" s="56">
        <v>2</v>
      </c>
      <c r="V65" s="56">
        <v>16</v>
      </c>
      <c r="W65" s="16"/>
    </row>
    <row r="66" spans="3:23">
      <c r="C66" s="74" t="s">
        <v>80</v>
      </c>
      <c r="D66" s="2" t="s">
        <v>62</v>
      </c>
      <c r="F66" s="159">
        <v>33</v>
      </c>
      <c r="G66" s="159">
        <v>0</v>
      </c>
      <c r="H66" s="159">
        <v>0</v>
      </c>
      <c r="I66" s="159">
        <v>0</v>
      </c>
      <c r="J66" s="159">
        <v>5</v>
      </c>
      <c r="K66" s="79">
        <v>0</v>
      </c>
      <c r="L66" s="79">
        <v>0</v>
      </c>
      <c r="M66" s="79">
        <v>0</v>
      </c>
      <c r="N66" s="159">
        <v>1</v>
      </c>
      <c r="P66" s="20">
        <v>39</v>
      </c>
      <c r="R66" s="56">
        <v>40</v>
      </c>
      <c r="S66" s="56">
        <v>6</v>
      </c>
      <c r="T66" s="56">
        <v>4</v>
      </c>
      <c r="U66" s="56">
        <v>1</v>
      </c>
      <c r="V66" s="56">
        <v>16</v>
      </c>
      <c r="W66" s="16"/>
    </row>
    <row r="67" spans="3:23" ht="15" thickBot="1">
      <c r="C67" s="75" t="s">
        <v>82</v>
      </c>
      <c r="D67" s="2" t="s">
        <v>62</v>
      </c>
      <c r="F67" s="159">
        <v>36</v>
      </c>
      <c r="G67" s="159">
        <v>0</v>
      </c>
      <c r="H67" s="159">
        <v>0</v>
      </c>
      <c r="I67" s="159">
        <v>0</v>
      </c>
      <c r="J67" s="159">
        <v>3</v>
      </c>
      <c r="K67" s="79">
        <v>0</v>
      </c>
      <c r="L67" s="79">
        <v>0</v>
      </c>
      <c r="M67" s="79">
        <v>0</v>
      </c>
      <c r="N67" s="159">
        <v>0</v>
      </c>
      <c r="P67" s="20">
        <v>39</v>
      </c>
      <c r="R67" s="56">
        <v>44</v>
      </c>
      <c r="S67" s="56">
        <v>3</v>
      </c>
      <c r="T67" s="56">
        <v>4</v>
      </c>
      <c r="U67" s="56">
        <v>2</v>
      </c>
      <c r="V67" s="56">
        <v>12</v>
      </c>
      <c r="W67" s="16"/>
    </row>
    <row r="68" spans="3:23" ht="15" thickBot="1">
      <c r="C68" s="76" t="s">
        <v>84</v>
      </c>
      <c r="D68" s="2" t="s">
        <v>62</v>
      </c>
      <c r="F68" s="159">
        <v>35</v>
      </c>
      <c r="G68" s="159">
        <v>0</v>
      </c>
      <c r="H68" s="159">
        <v>0</v>
      </c>
      <c r="I68" s="159">
        <v>0</v>
      </c>
      <c r="J68" s="159">
        <v>3</v>
      </c>
      <c r="K68" s="79">
        <v>0</v>
      </c>
      <c r="L68" s="79">
        <v>0</v>
      </c>
      <c r="M68" s="79">
        <v>0</v>
      </c>
      <c r="N68" s="159">
        <v>1</v>
      </c>
      <c r="P68" s="20">
        <v>39</v>
      </c>
      <c r="R68" s="56">
        <v>64</v>
      </c>
      <c r="S68" s="56">
        <v>15</v>
      </c>
      <c r="T68" s="56">
        <v>4</v>
      </c>
      <c r="U68" s="56">
        <v>1</v>
      </c>
      <c r="V68" s="56">
        <v>16</v>
      </c>
      <c r="W68" s="16"/>
    </row>
    <row r="69" spans="3:23" ht="15" thickBot="1">
      <c r="C69" s="74" t="s">
        <v>86</v>
      </c>
      <c r="D69" s="2" t="s">
        <v>62</v>
      </c>
      <c r="F69" s="159">
        <v>34</v>
      </c>
      <c r="G69" s="159">
        <v>0</v>
      </c>
      <c r="H69" s="159">
        <v>0</v>
      </c>
      <c r="I69" s="159">
        <v>0</v>
      </c>
      <c r="J69" s="159">
        <v>5</v>
      </c>
      <c r="K69" s="79">
        <v>0</v>
      </c>
      <c r="L69" s="79">
        <v>0</v>
      </c>
      <c r="M69" s="79">
        <v>0</v>
      </c>
      <c r="N69" s="159">
        <v>0</v>
      </c>
      <c r="P69" s="20">
        <v>39</v>
      </c>
      <c r="R69" s="56">
        <v>63.2</v>
      </c>
      <c r="S69" s="56">
        <v>9</v>
      </c>
      <c r="T69" s="56">
        <v>4</v>
      </c>
      <c r="U69" s="56">
        <v>3</v>
      </c>
      <c r="V69" s="56">
        <v>16</v>
      </c>
      <c r="W69" s="16"/>
    </row>
    <row r="70" spans="3:23" ht="15" thickBot="1">
      <c r="C70" s="76" t="s">
        <v>90</v>
      </c>
      <c r="D70" s="2" t="s">
        <v>62</v>
      </c>
      <c r="E70" s="59"/>
      <c r="F70" s="159">
        <v>36</v>
      </c>
      <c r="G70" s="159">
        <v>0</v>
      </c>
      <c r="H70" s="159">
        <v>0</v>
      </c>
      <c r="I70" s="159">
        <v>0</v>
      </c>
      <c r="J70" s="159">
        <v>3</v>
      </c>
      <c r="K70" s="79">
        <v>0</v>
      </c>
      <c r="L70" s="79">
        <v>0</v>
      </c>
      <c r="M70" s="79">
        <v>0</v>
      </c>
      <c r="N70" s="159">
        <v>0</v>
      </c>
      <c r="P70" s="20">
        <v>39</v>
      </c>
      <c r="R70" s="60">
        <v>64</v>
      </c>
      <c r="S70" s="60">
        <v>9</v>
      </c>
      <c r="T70" s="60">
        <v>6</v>
      </c>
      <c r="U70" s="60">
        <v>3</v>
      </c>
      <c r="V70" s="60">
        <v>12</v>
      </c>
      <c r="W70" s="45"/>
    </row>
    <row r="71" spans="3:23" ht="15" thickBot="1">
      <c r="C71" s="74" t="s">
        <v>94</v>
      </c>
      <c r="D71" s="2" t="s">
        <v>62</v>
      </c>
      <c r="E71" s="59"/>
      <c r="F71" s="159">
        <v>34</v>
      </c>
      <c r="G71" s="159">
        <v>0</v>
      </c>
      <c r="H71" s="159">
        <v>0</v>
      </c>
      <c r="I71" s="159">
        <v>0</v>
      </c>
      <c r="J71" s="159">
        <v>3</v>
      </c>
      <c r="K71" s="79">
        <v>0</v>
      </c>
      <c r="L71" s="79">
        <v>0</v>
      </c>
      <c r="M71" s="79">
        <v>0</v>
      </c>
      <c r="N71" s="159">
        <v>0</v>
      </c>
      <c r="P71" s="20">
        <v>37</v>
      </c>
      <c r="R71" s="69">
        <v>20</v>
      </c>
      <c r="S71" s="44">
        <v>0</v>
      </c>
      <c r="T71" s="44">
        <v>0</v>
      </c>
      <c r="U71" s="70">
        <v>0</v>
      </c>
      <c r="V71" s="62">
        <v>4</v>
      </c>
      <c r="W71" s="71">
        <v>96</v>
      </c>
    </row>
    <row r="72" spans="3:23" ht="15" thickBot="1">
      <c r="C72" s="76" t="s">
        <v>98</v>
      </c>
      <c r="D72" s="2" t="s">
        <v>62</v>
      </c>
      <c r="E72" s="59"/>
      <c r="F72" s="159">
        <v>34</v>
      </c>
      <c r="G72" s="159">
        <v>0</v>
      </c>
      <c r="H72" s="159">
        <v>0</v>
      </c>
      <c r="I72" s="159">
        <v>0</v>
      </c>
      <c r="J72" s="159">
        <v>3</v>
      </c>
      <c r="K72" s="79">
        <v>0</v>
      </c>
      <c r="L72" s="79">
        <v>0</v>
      </c>
      <c r="M72" s="79">
        <v>0</v>
      </c>
      <c r="N72" s="159">
        <v>0</v>
      </c>
      <c r="P72" s="20">
        <v>37</v>
      </c>
      <c r="R72" s="69">
        <v>20</v>
      </c>
      <c r="S72" s="44">
        <v>0</v>
      </c>
      <c r="T72" s="44">
        <v>0</v>
      </c>
      <c r="U72" s="70">
        <v>0</v>
      </c>
      <c r="V72" s="44">
        <v>0</v>
      </c>
      <c r="W72" s="71">
        <v>80</v>
      </c>
    </row>
    <row r="73" spans="3:23" ht="15" thickBot="1">
      <c r="C73" s="74" t="s">
        <v>102</v>
      </c>
      <c r="D73" s="2" t="s">
        <v>62</v>
      </c>
      <c r="E73" s="59"/>
      <c r="F73" s="159">
        <v>35</v>
      </c>
      <c r="G73" s="159">
        <v>0</v>
      </c>
      <c r="H73" s="159">
        <v>0</v>
      </c>
      <c r="I73" s="159">
        <v>0</v>
      </c>
      <c r="J73" s="159">
        <v>4</v>
      </c>
      <c r="K73" s="79">
        <v>0</v>
      </c>
      <c r="L73" s="79">
        <v>0</v>
      </c>
      <c r="M73" s="79">
        <v>0</v>
      </c>
      <c r="N73" s="159">
        <v>1</v>
      </c>
      <c r="P73" s="20">
        <v>40</v>
      </c>
      <c r="R73" s="69">
        <v>20</v>
      </c>
      <c r="S73" s="44">
        <v>0</v>
      </c>
      <c r="T73" s="44">
        <v>0</v>
      </c>
      <c r="U73" s="70">
        <v>0</v>
      </c>
      <c r="V73" s="62">
        <v>4</v>
      </c>
      <c r="W73" s="71">
        <v>96</v>
      </c>
    </row>
    <row r="74" spans="3:23" ht="15" thickBot="1">
      <c r="C74" s="72" t="s">
        <v>106</v>
      </c>
      <c r="D74" s="2"/>
      <c r="F74" s="159">
        <v>29</v>
      </c>
      <c r="G74" s="159">
        <v>12</v>
      </c>
      <c r="H74" s="159">
        <v>15</v>
      </c>
      <c r="I74" s="159">
        <v>5</v>
      </c>
      <c r="J74" s="159">
        <v>0</v>
      </c>
      <c r="K74" s="79">
        <v>0</v>
      </c>
      <c r="L74" s="79">
        <v>0</v>
      </c>
      <c r="M74" s="79">
        <v>0</v>
      </c>
      <c r="N74" s="159">
        <v>0</v>
      </c>
      <c r="P74" s="20">
        <v>61</v>
      </c>
      <c r="R74" s="14"/>
      <c r="S74" s="30"/>
      <c r="T74" s="30"/>
      <c r="U74" s="15"/>
      <c r="V74" s="22"/>
      <c r="W74" s="12"/>
    </row>
    <row r="75" spans="3:23" ht="15" thickBot="1">
      <c r="C75" s="73" t="s">
        <v>110</v>
      </c>
      <c r="D75" s="2"/>
      <c r="F75" s="159">
        <v>23</v>
      </c>
      <c r="G75" s="159">
        <v>15</v>
      </c>
      <c r="H75" s="159">
        <v>16</v>
      </c>
      <c r="I75" s="159">
        <v>6</v>
      </c>
      <c r="J75" s="159">
        <v>2</v>
      </c>
      <c r="K75" s="79">
        <v>0</v>
      </c>
      <c r="L75" s="79">
        <v>0</v>
      </c>
      <c r="M75" s="79">
        <v>0</v>
      </c>
      <c r="N75" s="159">
        <v>0</v>
      </c>
      <c r="P75" s="20">
        <v>62</v>
      </c>
      <c r="R75" s="14"/>
      <c r="S75" s="30"/>
      <c r="T75" s="30"/>
      <c r="U75" s="15"/>
      <c r="V75" s="22"/>
      <c r="W75" s="12"/>
    </row>
    <row r="76" spans="3:23">
      <c r="C76" s="72" t="s">
        <v>113</v>
      </c>
      <c r="D76" s="2"/>
      <c r="F76" s="159">
        <v>26</v>
      </c>
      <c r="G76" s="159">
        <v>11</v>
      </c>
      <c r="H76" s="159">
        <v>14</v>
      </c>
      <c r="I76" s="159">
        <v>9</v>
      </c>
      <c r="J76" s="159">
        <v>0</v>
      </c>
      <c r="K76" s="79">
        <v>0</v>
      </c>
      <c r="L76" s="79">
        <v>0</v>
      </c>
      <c r="M76" s="79">
        <v>0</v>
      </c>
      <c r="N76" s="159">
        <v>0</v>
      </c>
      <c r="P76" s="20">
        <v>60</v>
      </c>
      <c r="R76" s="14"/>
      <c r="S76" s="30"/>
      <c r="T76" s="30"/>
      <c r="U76" s="15"/>
      <c r="V76" s="22"/>
      <c r="W76" s="12"/>
    </row>
    <row r="77" spans="3:23" ht="15" thickBot="1">
      <c r="C77" s="77" t="s">
        <v>71</v>
      </c>
      <c r="D77" s="2"/>
      <c r="F77" s="213">
        <v>7</v>
      </c>
      <c r="G77" s="213">
        <v>0</v>
      </c>
      <c r="H77" s="213">
        <v>0</v>
      </c>
      <c r="I77" s="213">
        <v>0</v>
      </c>
      <c r="J77" s="213">
        <v>1</v>
      </c>
      <c r="K77" s="79">
        <v>0</v>
      </c>
      <c r="L77" s="79">
        <v>0</v>
      </c>
      <c r="M77" s="79">
        <v>0</v>
      </c>
      <c r="N77" s="159">
        <v>0</v>
      </c>
      <c r="P77" s="20">
        <v>8</v>
      </c>
      <c r="R77" s="14"/>
      <c r="S77" s="30"/>
      <c r="T77" s="30"/>
      <c r="U77" s="15"/>
      <c r="V77" s="22"/>
      <c r="W77" s="12"/>
    </row>
    <row r="78" spans="3:23" ht="15" thickBot="1">
      <c r="C78" s="74" t="s">
        <v>73</v>
      </c>
      <c r="D78" s="2"/>
      <c r="F78" s="213">
        <v>7</v>
      </c>
      <c r="G78" s="213">
        <v>0</v>
      </c>
      <c r="H78" s="213">
        <v>0</v>
      </c>
      <c r="I78" s="213">
        <v>0</v>
      </c>
      <c r="J78" s="213">
        <v>1</v>
      </c>
      <c r="K78" s="79">
        <v>0</v>
      </c>
      <c r="L78" s="79">
        <v>0</v>
      </c>
      <c r="M78" s="79">
        <v>0</v>
      </c>
      <c r="N78" s="159">
        <v>0</v>
      </c>
      <c r="P78" s="20">
        <v>8</v>
      </c>
      <c r="R78" s="14"/>
      <c r="S78" s="30"/>
      <c r="T78" s="30"/>
      <c r="U78" s="15"/>
      <c r="V78" s="22"/>
      <c r="W78" s="12"/>
    </row>
    <row r="79" spans="3:23" ht="15" thickBot="1">
      <c r="C79" s="76" t="s">
        <v>75</v>
      </c>
      <c r="D79" s="2"/>
      <c r="F79" s="213">
        <v>6</v>
      </c>
      <c r="G79" s="213">
        <v>0</v>
      </c>
      <c r="H79" s="213">
        <v>0</v>
      </c>
      <c r="I79" s="213">
        <v>0</v>
      </c>
      <c r="J79" s="213">
        <v>1</v>
      </c>
      <c r="K79" s="79">
        <v>0</v>
      </c>
      <c r="L79" s="79">
        <v>0</v>
      </c>
      <c r="M79" s="79">
        <v>0</v>
      </c>
      <c r="N79" s="159">
        <v>0</v>
      </c>
      <c r="P79" s="20">
        <v>7</v>
      </c>
      <c r="R79" s="14"/>
      <c r="S79" s="30"/>
      <c r="T79" s="30"/>
      <c r="U79" s="15"/>
      <c r="V79" s="22"/>
      <c r="W79" s="12"/>
    </row>
    <row r="80" spans="3:23" ht="15" thickBot="1">
      <c r="C80" s="74" t="s">
        <v>77</v>
      </c>
      <c r="D80" s="2"/>
      <c r="F80" s="213">
        <v>7</v>
      </c>
      <c r="G80" s="213">
        <v>0</v>
      </c>
      <c r="H80" s="213">
        <v>0</v>
      </c>
      <c r="I80" s="213">
        <v>0</v>
      </c>
      <c r="J80" s="213">
        <v>1</v>
      </c>
      <c r="K80" s="79">
        <v>0</v>
      </c>
      <c r="L80" s="79">
        <v>0</v>
      </c>
      <c r="M80" s="79">
        <v>0</v>
      </c>
      <c r="N80" s="159">
        <v>0</v>
      </c>
      <c r="P80" s="20">
        <v>8</v>
      </c>
      <c r="R80" s="14"/>
      <c r="S80" s="30"/>
      <c r="T80" s="30"/>
      <c r="U80" s="15"/>
      <c r="V80" s="22"/>
      <c r="W80" s="12"/>
    </row>
    <row r="81" spans="1:23" ht="15" thickBot="1">
      <c r="C81" s="76" t="s">
        <v>79</v>
      </c>
      <c r="D81" s="2"/>
      <c r="F81" s="213">
        <v>7</v>
      </c>
      <c r="G81" s="213">
        <v>0</v>
      </c>
      <c r="H81" s="213">
        <v>0</v>
      </c>
      <c r="I81" s="213">
        <v>0</v>
      </c>
      <c r="J81" s="213">
        <v>1</v>
      </c>
      <c r="K81" s="79">
        <v>0</v>
      </c>
      <c r="L81" s="79">
        <v>0</v>
      </c>
      <c r="M81" s="79">
        <v>0</v>
      </c>
      <c r="N81" s="159">
        <v>0</v>
      </c>
      <c r="P81" s="20">
        <v>8</v>
      </c>
      <c r="R81" s="14"/>
      <c r="S81" s="30"/>
      <c r="T81" s="30"/>
      <c r="U81" s="15"/>
      <c r="V81" s="22"/>
      <c r="W81" s="12"/>
    </row>
    <row r="82" spans="1:23" ht="15" thickBot="1">
      <c r="C82" s="74" t="s">
        <v>81</v>
      </c>
      <c r="D82" s="2"/>
      <c r="F82" s="213">
        <v>7</v>
      </c>
      <c r="G82" s="213">
        <v>0</v>
      </c>
      <c r="H82" s="213">
        <v>0</v>
      </c>
      <c r="I82" s="213">
        <v>0</v>
      </c>
      <c r="J82" s="213">
        <v>1</v>
      </c>
      <c r="K82" s="79">
        <v>0</v>
      </c>
      <c r="L82" s="79">
        <v>0</v>
      </c>
      <c r="M82" s="79">
        <v>0</v>
      </c>
      <c r="N82" s="159">
        <v>0</v>
      </c>
      <c r="P82" s="20">
        <v>8</v>
      </c>
      <c r="R82" s="14"/>
      <c r="S82" s="30"/>
      <c r="T82" s="30"/>
      <c r="U82" s="15"/>
      <c r="V82" s="22"/>
      <c r="W82" s="12"/>
    </row>
    <row r="83" spans="1:23" ht="15" thickBot="1">
      <c r="C83" s="76" t="s">
        <v>83</v>
      </c>
      <c r="D83" s="2"/>
      <c r="F83" s="213">
        <v>8</v>
      </c>
      <c r="G83" s="213">
        <v>0</v>
      </c>
      <c r="H83" s="213">
        <v>0</v>
      </c>
      <c r="I83" s="213">
        <v>0</v>
      </c>
      <c r="J83" s="213">
        <v>1</v>
      </c>
      <c r="K83" s="79">
        <v>0</v>
      </c>
      <c r="L83" s="79">
        <v>0</v>
      </c>
      <c r="M83" s="79">
        <v>0</v>
      </c>
      <c r="N83" s="159">
        <v>0</v>
      </c>
      <c r="P83" s="20">
        <v>9</v>
      </c>
      <c r="R83" s="14"/>
      <c r="S83" s="30"/>
      <c r="T83" s="30"/>
      <c r="U83" s="15"/>
      <c r="V83" s="22"/>
      <c r="W83" s="12"/>
    </row>
    <row r="84" spans="1:23" ht="15" thickBot="1">
      <c r="C84" s="74" t="s">
        <v>85</v>
      </c>
      <c r="D84" s="2"/>
      <c r="F84" s="213">
        <v>7</v>
      </c>
      <c r="G84" s="213">
        <v>0</v>
      </c>
      <c r="H84" s="213">
        <v>0</v>
      </c>
      <c r="I84" s="213">
        <v>0</v>
      </c>
      <c r="J84" s="213">
        <v>1</v>
      </c>
      <c r="K84" s="79">
        <v>0</v>
      </c>
      <c r="L84" s="79">
        <v>0</v>
      </c>
      <c r="M84" s="79">
        <v>0</v>
      </c>
      <c r="N84" s="159">
        <v>0</v>
      </c>
      <c r="P84" s="20">
        <v>8</v>
      </c>
      <c r="R84" s="14"/>
      <c r="S84" s="30"/>
      <c r="T84" s="30"/>
      <c r="U84" s="15"/>
      <c r="V84" s="22"/>
      <c r="W84" s="12"/>
    </row>
    <row r="85" spans="1:23" ht="15" thickBot="1">
      <c r="C85" s="76" t="s">
        <v>88</v>
      </c>
      <c r="D85" s="2"/>
      <c r="F85" s="213">
        <v>7</v>
      </c>
      <c r="G85" s="213">
        <v>0</v>
      </c>
      <c r="H85" s="213">
        <v>0</v>
      </c>
      <c r="I85" s="213">
        <v>0</v>
      </c>
      <c r="J85" s="213">
        <v>1</v>
      </c>
      <c r="K85" s="79">
        <v>0</v>
      </c>
      <c r="L85" s="79">
        <v>0</v>
      </c>
      <c r="M85" s="79">
        <v>0</v>
      </c>
      <c r="N85" s="159">
        <v>0</v>
      </c>
      <c r="P85" s="20">
        <v>8</v>
      </c>
      <c r="R85" s="14"/>
      <c r="S85" s="30"/>
      <c r="T85" s="30"/>
      <c r="U85" s="15"/>
      <c r="V85" s="22"/>
      <c r="W85" s="12"/>
    </row>
    <row r="86" spans="1:23" ht="15" thickBot="1">
      <c r="C86" s="74" t="s">
        <v>92</v>
      </c>
      <c r="D86" s="2"/>
      <c r="F86" s="213">
        <v>7</v>
      </c>
      <c r="G86" s="213">
        <v>0</v>
      </c>
      <c r="H86" s="213">
        <v>0</v>
      </c>
      <c r="I86" s="213">
        <v>0</v>
      </c>
      <c r="J86" s="213">
        <v>1</v>
      </c>
      <c r="K86" s="79">
        <v>0</v>
      </c>
      <c r="L86" s="79">
        <v>0</v>
      </c>
      <c r="M86" s="79">
        <v>0</v>
      </c>
      <c r="N86" s="159">
        <v>0</v>
      </c>
      <c r="P86" s="20">
        <v>8</v>
      </c>
      <c r="R86" s="14"/>
      <c r="S86" s="30"/>
      <c r="T86" s="30"/>
      <c r="U86" s="15"/>
      <c r="V86" s="22"/>
      <c r="W86" s="12"/>
    </row>
    <row r="87" spans="1:23" ht="15" thickBot="1">
      <c r="C87" s="76" t="s">
        <v>96</v>
      </c>
      <c r="D87" s="2"/>
      <c r="F87" s="213">
        <v>7</v>
      </c>
      <c r="G87" s="213">
        <v>0</v>
      </c>
      <c r="H87" s="213">
        <v>0</v>
      </c>
      <c r="I87" s="213">
        <v>0</v>
      </c>
      <c r="J87" s="213">
        <v>1</v>
      </c>
      <c r="K87" s="79">
        <v>0</v>
      </c>
      <c r="L87" s="79">
        <v>0</v>
      </c>
      <c r="M87" s="79">
        <v>0</v>
      </c>
      <c r="N87" s="159">
        <v>0</v>
      </c>
      <c r="P87" s="20">
        <v>8</v>
      </c>
      <c r="R87" s="14"/>
      <c r="S87" s="30"/>
      <c r="T87" s="30"/>
      <c r="U87" s="15"/>
      <c r="V87" s="22"/>
      <c r="W87" s="12"/>
    </row>
    <row r="88" spans="1:23" ht="15" thickBot="1">
      <c r="C88" s="74" t="s">
        <v>100</v>
      </c>
      <c r="D88" s="2"/>
      <c r="F88" s="213">
        <v>7</v>
      </c>
      <c r="G88" s="213">
        <v>0</v>
      </c>
      <c r="H88" s="213">
        <v>0</v>
      </c>
      <c r="I88" s="213">
        <v>0</v>
      </c>
      <c r="J88" s="213">
        <v>1</v>
      </c>
      <c r="K88" s="79">
        <v>0</v>
      </c>
      <c r="L88" s="79">
        <v>0</v>
      </c>
      <c r="M88" s="79">
        <v>0</v>
      </c>
      <c r="N88" s="159">
        <v>0</v>
      </c>
      <c r="P88" s="20">
        <v>8</v>
      </c>
      <c r="R88" s="14"/>
      <c r="S88" s="30"/>
      <c r="T88" s="30"/>
      <c r="U88" s="15"/>
      <c r="V88" s="22"/>
      <c r="W88" s="12"/>
    </row>
    <row r="89" spans="1:23" ht="15" thickBot="1">
      <c r="C89" s="76" t="s">
        <v>104</v>
      </c>
      <c r="D89" s="2"/>
      <c r="F89" s="213">
        <v>8</v>
      </c>
      <c r="G89" s="213">
        <v>0</v>
      </c>
      <c r="H89" s="213">
        <v>0</v>
      </c>
      <c r="I89" s="213">
        <v>0</v>
      </c>
      <c r="J89" s="213">
        <v>1</v>
      </c>
      <c r="K89" s="79">
        <v>0</v>
      </c>
      <c r="L89" s="79">
        <v>0</v>
      </c>
      <c r="M89" s="79">
        <v>0</v>
      </c>
      <c r="N89" s="159">
        <v>0</v>
      </c>
      <c r="P89" s="20">
        <v>9</v>
      </c>
      <c r="R89" s="14"/>
      <c r="S89" s="30"/>
      <c r="T89" s="30"/>
      <c r="U89" s="15"/>
      <c r="V89" s="22"/>
      <c r="W89" s="12"/>
    </row>
    <row r="90" spans="1:23" ht="15" thickBot="1">
      <c r="C90" s="72" t="s">
        <v>108</v>
      </c>
      <c r="D90" s="2"/>
      <c r="F90" s="213">
        <v>6</v>
      </c>
      <c r="G90" s="213">
        <v>9</v>
      </c>
      <c r="H90" s="213">
        <v>9</v>
      </c>
      <c r="I90" s="213">
        <v>5</v>
      </c>
      <c r="J90" s="213">
        <v>1</v>
      </c>
      <c r="K90" s="79">
        <v>0</v>
      </c>
      <c r="L90" s="79">
        <v>0</v>
      </c>
      <c r="M90" s="79">
        <v>0</v>
      </c>
      <c r="N90" s="159">
        <v>0</v>
      </c>
      <c r="P90" s="20">
        <v>30</v>
      </c>
      <c r="R90" s="14"/>
      <c r="S90" s="30"/>
      <c r="T90" s="30"/>
      <c r="U90" s="15"/>
      <c r="V90" s="22"/>
      <c r="W90" s="12"/>
    </row>
    <row r="91" spans="1:23" ht="15" thickBot="1">
      <c r="C91" s="73" t="s">
        <v>112</v>
      </c>
      <c r="D91" s="2"/>
      <c r="F91" s="213">
        <v>4</v>
      </c>
      <c r="G91" s="213">
        <v>9</v>
      </c>
      <c r="H91" s="213">
        <v>9</v>
      </c>
      <c r="I91" s="213">
        <v>6</v>
      </c>
      <c r="J91" s="213">
        <v>1</v>
      </c>
      <c r="K91" s="79">
        <v>0</v>
      </c>
      <c r="L91" s="79">
        <v>0</v>
      </c>
      <c r="M91" s="79">
        <v>0</v>
      </c>
      <c r="N91" s="159">
        <v>0</v>
      </c>
      <c r="P91" s="20">
        <v>29</v>
      </c>
      <c r="R91" s="14"/>
      <c r="S91" s="30"/>
      <c r="T91" s="30"/>
      <c r="U91" s="15"/>
      <c r="V91" s="22"/>
      <c r="W91" s="12"/>
    </row>
    <row r="92" spans="1:23">
      <c r="C92" s="72" t="s">
        <v>114</v>
      </c>
      <c r="D92" s="2"/>
      <c r="F92" s="213">
        <v>5</v>
      </c>
      <c r="G92" s="213">
        <v>9</v>
      </c>
      <c r="H92" s="213">
        <v>9</v>
      </c>
      <c r="I92" s="213">
        <v>9</v>
      </c>
      <c r="J92" s="213">
        <v>1</v>
      </c>
      <c r="K92" s="79">
        <v>0</v>
      </c>
      <c r="L92" s="79">
        <v>0</v>
      </c>
      <c r="M92" s="79">
        <v>0</v>
      </c>
      <c r="N92" s="159">
        <v>0</v>
      </c>
      <c r="P92" s="20">
        <v>33</v>
      </c>
      <c r="R92" s="14"/>
      <c r="S92" s="30"/>
      <c r="T92" s="30"/>
      <c r="U92" s="15"/>
      <c r="V92" s="22"/>
      <c r="W92" s="12"/>
    </row>
    <row r="93" spans="1:23">
      <c r="A93" t="str">
        <f t="shared" ref="A93:A115" si="0">_xlfn.CONCAT(B93," - ",C93)</f>
        <v>DOM - DOM - Swan St</v>
      </c>
      <c r="B93" t="s">
        <v>174</v>
      </c>
      <c r="C93" s="99" t="s">
        <v>116</v>
      </c>
      <c r="D93" s="127" t="s">
        <v>62</v>
      </c>
      <c r="E93" s="100" t="s">
        <v>198</v>
      </c>
      <c r="F93" s="101">
        <v>21</v>
      </c>
      <c r="G93" s="102">
        <v>0</v>
      </c>
      <c r="H93" s="102">
        <v>0</v>
      </c>
      <c r="I93" s="102">
        <v>0</v>
      </c>
      <c r="J93" s="102">
        <v>0</v>
      </c>
      <c r="K93" s="79">
        <v>0</v>
      </c>
      <c r="L93" s="79">
        <v>0</v>
      </c>
      <c r="M93" s="79">
        <v>0</v>
      </c>
      <c r="N93" s="159">
        <v>0</v>
      </c>
      <c r="O93" s="102">
        <v>0</v>
      </c>
      <c r="P93" s="20">
        <v>21</v>
      </c>
    </row>
    <row r="94" spans="1:23">
      <c r="A94" t="str">
        <f t="shared" si="0"/>
        <v>DOM - DOM - Brunton Ave</v>
      </c>
      <c r="B94" t="s">
        <v>174</v>
      </c>
      <c r="C94" s="104" t="s">
        <v>118</v>
      </c>
      <c r="D94" s="127" t="s">
        <v>62</v>
      </c>
      <c r="E94" s="105" t="s">
        <v>198</v>
      </c>
      <c r="F94" s="101">
        <v>1</v>
      </c>
      <c r="G94" s="102">
        <v>0</v>
      </c>
      <c r="H94" s="102">
        <v>0</v>
      </c>
      <c r="I94" s="102">
        <v>0</v>
      </c>
      <c r="J94" s="102">
        <v>0</v>
      </c>
      <c r="K94" s="79">
        <v>7</v>
      </c>
      <c r="L94" s="79">
        <v>0</v>
      </c>
      <c r="M94" s="79">
        <v>0</v>
      </c>
      <c r="N94" s="159">
        <v>0</v>
      </c>
      <c r="O94" s="101">
        <v>7</v>
      </c>
      <c r="P94" s="20">
        <v>15</v>
      </c>
    </row>
    <row r="95" spans="1:23">
      <c r="A95" t="str">
        <f t="shared" si="0"/>
        <v>DOM - DOM - King &amp; Flinders St</v>
      </c>
      <c r="B95" t="s">
        <v>174</v>
      </c>
      <c r="C95" s="106" t="s">
        <v>120</v>
      </c>
      <c r="D95" s="127" t="s">
        <v>62</v>
      </c>
      <c r="E95" s="100" t="s">
        <v>35</v>
      </c>
      <c r="F95" s="101">
        <v>6</v>
      </c>
      <c r="G95" s="102">
        <v>0</v>
      </c>
      <c r="H95" s="102">
        <v>0</v>
      </c>
      <c r="I95" s="102">
        <v>0</v>
      </c>
      <c r="J95" s="102">
        <v>0</v>
      </c>
      <c r="K95" s="79">
        <v>0</v>
      </c>
      <c r="L95" s="79">
        <v>0</v>
      </c>
      <c r="M95" s="79">
        <v>0</v>
      </c>
      <c r="N95" s="159">
        <v>0</v>
      </c>
      <c r="O95" s="102">
        <v>0</v>
      </c>
      <c r="P95" s="20">
        <v>6</v>
      </c>
    </row>
    <row r="96" spans="1:23">
      <c r="A96" t="str">
        <f t="shared" si="0"/>
        <v>DOM - DOM - Punt Rd, Richmond</v>
      </c>
      <c r="B96" t="s">
        <v>174</v>
      </c>
      <c r="C96" s="107" t="s">
        <v>122</v>
      </c>
      <c r="D96" s="127" t="s">
        <v>62</v>
      </c>
      <c r="E96" s="108" t="s">
        <v>198</v>
      </c>
      <c r="F96" s="109">
        <v>12</v>
      </c>
      <c r="G96" s="110">
        <v>0</v>
      </c>
      <c r="H96" s="110">
        <v>0</v>
      </c>
      <c r="I96" s="110">
        <v>0</v>
      </c>
      <c r="J96" s="110">
        <v>0</v>
      </c>
      <c r="K96" s="79">
        <v>0</v>
      </c>
      <c r="L96" s="79">
        <v>0</v>
      </c>
      <c r="M96" s="79">
        <v>0</v>
      </c>
      <c r="N96" s="159">
        <v>0</v>
      </c>
      <c r="O96" s="111">
        <v>0</v>
      </c>
      <c r="P96" s="20">
        <v>12</v>
      </c>
    </row>
    <row r="97" spans="1:16">
      <c r="A97" t="str">
        <f t="shared" si="0"/>
        <v>DOM - DOM - Punt Rd, Cremorne</v>
      </c>
      <c r="B97" t="s">
        <v>174</v>
      </c>
      <c r="C97" s="113" t="s">
        <v>124</v>
      </c>
      <c r="D97" s="127" t="s">
        <v>62</v>
      </c>
      <c r="E97" s="114" t="s">
        <v>203</v>
      </c>
      <c r="F97" s="115">
        <v>3</v>
      </c>
      <c r="G97" s="116">
        <v>0</v>
      </c>
      <c r="H97" s="116">
        <v>0</v>
      </c>
      <c r="I97" s="116">
        <v>0</v>
      </c>
      <c r="J97" s="116">
        <v>0</v>
      </c>
      <c r="K97" s="79">
        <v>0</v>
      </c>
      <c r="L97" s="79">
        <v>0</v>
      </c>
      <c r="M97" s="79">
        <v>0</v>
      </c>
      <c r="N97" s="159">
        <v>0</v>
      </c>
      <c r="O97" s="116">
        <v>0</v>
      </c>
      <c r="P97" s="20">
        <v>3</v>
      </c>
    </row>
    <row r="98" spans="1:16">
      <c r="A98" t="str">
        <f t="shared" si="0"/>
        <v>DOM - DOM - Eastern Freeway</v>
      </c>
      <c r="B98" t="s">
        <v>174</v>
      </c>
      <c r="C98" s="118" t="s">
        <v>126</v>
      </c>
      <c r="D98" s="127" t="s">
        <v>62</v>
      </c>
      <c r="E98" s="119" t="s">
        <v>205</v>
      </c>
      <c r="F98" s="120">
        <v>6</v>
      </c>
      <c r="G98" s="116">
        <v>0</v>
      </c>
      <c r="H98" s="116">
        <v>0</v>
      </c>
      <c r="I98" s="116">
        <v>0</v>
      </c>
      <c r="J98" s="116">
        <v>0</v>
      </c>
      <c r="K98" s="79">
        <v>0</v>
      </c>
      <c r="L98" s="79">
        <v>0</v>
      </c>
      <c r="M98" s="79">
        <v>0</v>
      </c>
      <c r="N98" s="159">
        <v>0</v>
      </c>
      <c r="O98" s="116">
        <v>0</v>
      </c>
      <c r="P98" s="20">
        <v>6</v>
      </c>
    </row>
    <row r="99" spans="1:16">
      <c r="A99" t="str">
        <f t="shared" ref="A99" si="1">_xlfn.CONCAT(B99," - ",C99)</f>
        <v>DOM - DOM - 344 Chapel St</v>
      </c>
      <c r="B99" t="s">
        <v>174</v>
      </c>
      <c r="C99" s="118" t="s">
        <v>130</v>
      </c>
      <c r="D99" s="127" t="s">
        <v>62</v>
      </c>
      <c r="E99" s="119" t="s">
        <v>233</v>
      </c>
      <c r="F99" s="120">
        <v>0</v>
      </c>
      <c r="G99" s="116">
        <v>0</v>
      </c>
      <c r="H99" s="116">
        <v>0</v>
      </c>
      <c r="I99" s="116">
        <v>0</v>
      </c>
      <c r="J99" s="116">
        <v>2</v>
      </c>
      <c r="K99" s="79">
        <v>0</v>
      </c>
      <c r="L99" s="79">
        <v>0</v>
      </c>
      <c r="M99" s="79">
        <v>0</v>
      </c>
      <c r="N99" s="159">
        <v>0</v>
      </c>
      <c r="O99" s="116">
        <v>0</v>
      </c>
      <c r="P99" s="20">
        <v>2</v>
      </c>
    </row>
    <row r="100" spans="1:16">
      <c r="A100" t="str">
        <f t="shared" ref="A100" si="2">_xlfn.CONCAT(B100," - ",C100)</f>
        <v>DOM - DOM - Swan &amp; Cremorne</v>
      </c>
      <c r="B100" t="s">
        <v>174</v>
      </c>
      <c r="C100" s="118" t="s">
        <v>132</v>
      </c>
      <c r="D100" s="127" t="s">
        <v>62</v>
      </c>
      <c r="E100" s="119" t="s">
        <v>233</v>
      </c>
      <c r="F100" s="120">
        <v>0</v>
      </c>
      <c r="G100" s="116">
        <v>0</v>
      </c>
      <c r="H100" s="116">
        <v>0</v>
      </c>
      <c r="I100" s="116">
        <v>0</v>
      </c>
      <c r="J100" s="116">
        <v>0</v>
      </c>
      <c r="K100" s="79">
        <v>1</v>
      </c>
      <c r="L100" s="79">
        <v>0</v>
      </c>
      <c r="M100" s="79">
        <v>1</v>
      </c>
      <c r="N100" s="159">
        <v>0</v>
      </c>
      <c r="O100" s="116">
        <v>0</v>
      </c>
      <c r="P100" s="20">
        <v>2</v>
      </c>
    </row>
    <row r="101" spans="1:16" ht="15" thickBot="1">
      <c r="A101" t="str">
        <f t="shared" si="0"/>
        <v>DOM - DOM - Wurundjeri Way</v>
      </c>
      <c r="B101" t="s">
        <v>174</v>
      </c>
      <c r="C101" s="122" t="s">
        <v>128</v>
      </c>
      <c r="D101" s="127" t="s">
        <v>62</v>
      </c>
      <c r="E101" s="123" t="s">
        <v>207</v>
      </c>
      <c r="F101" s="124">
        <v>4</v>
      </c>
      <c r="G101" s="125">
        <v>0</v>
      </c>
      <c r="H101" s="125">
        <v>0</v>
      </c>
      <c r="I101" s="125">
        <v>0</v>
      </c>
      <c r="J101" s="125">
        <v>0</v>
      </c>
      <c r="K101" s="79">
        <v>0</v>
      </c>
      <c r="L101" s="79">
        <v>0</v>
      </c>
      <c r="M101" s="79">
        <v>0</v>
      </c>
      <c r="N101" s="159">
        <v>0</v>
      </c>
      <c r="O101" s="125">
        <v>0</v>
      </c>
      <c r="P101" s="20">
        <v>4</v>
      </c>
    </row>
    <row r="102" spans="1:16">
      <c r="A102" s="235" t="str">
        <f t="shared" si="0"/>
        <v xml:space="preserve"> - HAND SELECT</v>
      </c>
      <c r="C102" s="80" t="s">
        <v>87</v>
      </c>
      <c r="D102" s="127" t="s">
        <v>62</v>
      </c>
      <c r="E102" s="129"/>
      <c r="F102" s="82">
        <v>1</v>
      </c>
      <c r="G102" s="88">
        <v>0</v>
      </c>
      <c r="H102" s="97">
        <v>0</v>
      </c>
      <c r="I102" s="97">
        <v>0</v>
      </c>
      <c r="J102" s="88">
        <v>0</v>
      </c>
      <c r="K102" s="79">
        <v>0</v>
      </c>
      <c r="L102" s="79">
        <v>0</v>
      </c>
      <c r="M102" s="79">
        <v>0</v>
      </c>
      <c r="N102" s="159">
        <v>0</v>
      </c>
      <c r="O102" s="88"/>
      <c r="P102" s="20">
        <v>1</v>
      </c>
    </row>
    <row r="103" spans="1:16" ht="15" thickBot="1">
      <c r="A103" s="235" t="str">
        <f t="shared" si="0"/>
        <v xml:space="preserve"> - HAND SELECT - Hoddle St</v>
      </c>
      <c r="C103" s="210" t="s">
        <v>135</v>
      </c>
      <c r="D103" s="127" t="s">
        <v>62</v>
      </c>
      <c r="E103" s="129"/>
      <c r="F103" s="82">
        <v>0</v>
      </c>
      <c r="G103" s="88">
        <v>0</v>
      </c>
      <c r="H103" s="97">
        <v>0</v>
      </c>
      <c r="I103" s="97">
        <v>0</v>
      </c>
      <c r="J103" s="88">
        <v>0</v>
      </c>
      <c r="K103" s="79">
        <v>0</v>
      </c>
      <c r="L103" s="79">
        <v>0</v>
      </c>
      <c r="M103" s="79">
        <v>0</v>
      </c>
      <c r="N103" s="159">
        <v>1</v>
      </c>
      <c r="O103" s="88"/>
      <c r="P103" s="20">
        <v>1</v>
      </c>
    </row>
    <row r="104" spans="1:16">
      <c r="A104" s="235" t="str">
        <f t="shared" si="0"/>
        <v>HS - HS - Egan St</v>
      </c>
      <c r="B104" s="235" t="s">
        <v>165</v>
      </c>
      <c r="C104" s="236" t="s">
        <v>234</v>
      </c>
      <c r="D104" s="127" t="s">
        <v>62</v>
      </c>
      <c r="E104" s="129"/>
      <c r="F104" s="88">
        <v>0</v>
      </c>
      <c r="G104" s="82">
        <v>1</v>
      </c>
      <c r="H104" s="97">
        <v>0</v>
      </c>
      <c r="I104" s="97">
        <v>0</v>
      </c>
      <c r="J104" s="88">
        <v>0</v>
      </c>
      <c r="K104" s="79">
        <v>0</v>
      </c>
      <c r="L104" s="79">
        <v>0</v>
      </c>
      <c r="M104" s="79">
        <v>0</v>
      </c>
      <c r="N104" s="159">
        <v>0</v>
      </c>
      <c r="O104" s="88"/>
      <c r="P104" s="20">
        <v>1</v>
      </c>
    </row>
    <row r="105" spans="1:16">
      <c r="A105" s="235" t="str">
        <f t="shared" si="0"/>
        <v>HS - HS - Racecourse Rd</v>
      </c>
      <c r="B105" s="235" t="s">
        <v>165</v>
      </c>
      <c r="C105" s="237" t="s">
        <v>235</v>
      </c>
      <c r="D105" s="127" t="s">
        <v>62</v>
      </c>
      <c r="E105" s="130"/>
      <c r="F105" s="88">
        <v>0</v>
      </c>
      <c r="G105" s="88">
        <v>0</v>
      </c>
      <c r="H105" s="82">
        <v>1</v>
      </c>
      <c r="I105" s="97">
        <v>0</v>
      </c>
      <c r="J105" s="88">
        <v>0</v>
      </c>
      <c r="K105" s="79">
        <v>0</v>
      </c>
      <c r="L105" s="79">
        <v>0</v>
      </c>
      <c r="M105" s="79">
        <v>0</v>
      </c>
      <c r="N105" s="159">
        <v>0</v>
      </c>
      <c r="O105" s="88"/>
      <c r="P105" s="20">
        <v>1</v>
      </c>
    </row>
    <row r="106" spans="1:16" ht="15" thickBot="1">
      <c r="A106" s="235" t="str">
        <f t="shared" si="0"/>
        <v>HS - HS - Normanby Rd</v>
      </c>
      <c r="B106" s="235" t="s">
        <v>165</v>
      </c>
      <c r="C106" s="238" t="s">
        <v>236</v>
      </c>
      <c r="D106" s="127" t="s">
        <v>62</v>
      </c>
      <c r="E106" s="131"/>
      <c r="F106" s="88">
        <v>0</v>
      </c>
      <c r="G106" s="88">
        <v>0</v>
      </c>
      <c r="H106" s="97">
        <v>0</v>
      </c>
      <c r="I106" s="97">
        <v>0</v>
      </c>
      <c r="J106" s="82">
        <v>1</v>
      </c>
      <c r="K106" s="79">
        <v>0</v>
      </c>
      <c r="L106" s="79">
        <v>0</v>
      </c>
      <c r="M106" s="79">
        <v>0</v>
      </c>
      <c r="N106" s="159">
        <v>0</v>
      </c>
      <c r="O106" s="88"/>
      <c r="P106" s="20">
        <v>1</v>
      </c>
    </row>
    <row r="107" spans="1:16" ht="15" thickBot="1">
      <c r="A107" t="str">
        <f t="shared" si="0"/>
        <v>MEGASITE - MEGASITE - Flemington Rd - A</v>
      </c>
      <c r="B107" t="s">
        <v>192</v>
      </c>
      <c r="C107" s="145" t="s">
        <v>136</v>
      </c>
      <c r="D107" s="127" t="s">
        <v>62</v>
      </c>
      <c r="E107" s="140" t="s">
        <v>212</v>
      </c>
      <c r="F107" s="147">
        <v>0</v>
      </c>
      <c r="G107" s="147">
        <v>0</v>
      </c>
      <c r="H107" s="147">
        <v>0</v>
      </c>
      <c r="I107" s="147">
        <v>0</v>
      </c>
      <c r="J107" s="147">
        <v>0</v>
      </c>
      <c r="K107" s="79">
        <v>2</v>
      </c>
      <c r="L107" s="79">
        <v>0</v>
      </c>
      <c r="M107" s="79">
        <v>0</v>
      </c>
      <c r="N107" s="159">
        <v>0</v>
      </c>
      <c r="O107" s="147">
        <v>0</v>
      </c>
      <c r="P107" s="20">
        <v>2</v>
      </c>
    </row>
    <row r="108" spans="1:16" ht="15" thickBot="1">
      <c r="A108" t="str">
        <f t="shared" si="0"/>
        <v>MEGASITE - MEGASITE - Flemington Rd - B</v>
      </c>
      <c r="B108" t="s">
        <v>192</v>
      </c>
      <c r="C108" s="144" t="s">
        <v>138</v>
      </c>
      <c r="D108" s="127" t="s">
        <v>62</v>
      </c>
      <c r="E108" s="139" t="s">
        <v>212</v>
      </c>
      <c r="F108" s="147">
        <v>0</v>
      </c>
      <c r="G108" s="147">
        <v>0</v>
      </c>
      <c r="H108" s="147">
        <v>0</v>
      </c>
      <c r="I108" s="95">
        <v>0</v>
      </c>
      <c r="J108" s="95">
        <v>0</v>
      </c>
      <c r="K108" s="79">
        <v>2</v>
      </c>
      <c r="L108" s="79">
        <v>0</v>
      </c>
      <c r="M108" s="79">
        <v>0</v>
      </c>
      <c r="N108" s="159">
        <v>0</v>
      </c>
      <c r="O108" s="95">
        <v>0</v>
      </c>
      <c r="P108" s="20">
        <v>2</v>
      </c>
    </row>
    <row r="109" spans="1:16" ht="15" thickBot="1">
      <c r="A109" t="str">
        <f t="shared" si="0"/>
        <v>MEGASITE - MEGASITE - Flemington Rd - C</v>
      </c>
      <c r="B109" t="s">
        <v>192</v>
      </c>
      <c r="C109" s="151" t="s">
        <v>140</v>
      </c>
      <c r="D109" s="127" t="s">
        <v>62</v>
      </c>
      <c r="E109" s="141" t="s">
        <v>212</v>
      </c>
      <c r="F109" s="147">
        <v>0</v>
      </c>
      <c r="G109" s="147">
        <v>0</v>
      </c>
      <c r="H109" s="147">
        <v>0</v>
      </c>
      <c r="I109" s="95">
        <v>0</v>
      </c>
      <c r="J109" s="95">
        <v>0</v>
      </c>
      <c r="K109" s="79">
        <v>2</v>
      </c>
      <c r="L109" s="79">
        <v>0</v>
      </c>
      <c r="M109" s="79">
        <v>0</v>
      </c>
      <c r="N109" s="159">
        <v>0</v>
      </c>
      <c r="O109" s="95">
        <v>0</v>
      </c>
      <c r="P109" s="20">
        <v>2</v>
      </c>
    </row>
    <row r="110" spans="1:16" ht="15" thickBot="1">
      <c r="A110" t="str">
        <f t="shared" si="0"/>
        <v>MEGASITE - MEGASITE - Inkerman &amp; Barkley - A</v>
      </c>
      <c r="B110" t="s">
        <v>192</v>
      </c>
      <c r="C110" s="144" t="s">
        <v>142</v>
      </c>
      <c r="D110" s="127" t="s">
        <v>62</v>
      </c>
      <c r="E110" s="139" t="s">
        <v>216</v>
      </c>
      <c r="F110" s="147">
        <v>0</v>
      </c>
      <c r="G110" s="147">
        <v>0</v>
      </c>
      <c r="H110" s="147">
        <v>0</v>
      </c>
      <c r="I110" s="95">
        <v>0</v>
      </c>
      <c r="J110" s="95">
        <v>0</v>
      </c>
      <c r="K110" s="79">
        <v>1</v>
      </c>
      <c r="L110" s="79">
        <v>0</v>
      </c>
      <c r="M110" s="79">
        <v>0</v>
      </c>
      <c r="N110" s="159">
        <v>0</v>
      </c>
      <c r="O110" s="95">
        <v>0</v>
      </c>
      <c r="P110" s="20">
        <v>1</v>
      </c>
    </row>
    <row r="111" spans="1:16" ht="15" thickBot="1">
      <c r="A111" t="str">
        <f t="shared" si="0"/>
        <v>MEGASITE - MEGASITE - Inkerman &amp; Barkley - B</v>
      </c>
      <c r="B111" t="s">
        <v>192</v>
      </c>
      <c r="C111" s="151" t="s">
        <v>144</v>
      </c>
      <c r="D111" s="127" t="s">
        <v>62</v>
      </c>
      <c r="E111" s="141" t="s">
        <v>216</v>
      </c>
      <c r="F111" s="147">
        <v>0</v>
      </c>
      <c r="G111" s="147">
        <v>0</v>
      </c>
      <c r="H111" s="147">
        <v>0</v>
      </c>
      <c r="I111" s="95">
        <v>0</v>
      </c>
      <c r="J111" s="95">
        <v>0</v>
      </c>
      <c r="K111" s="79">
        <v>1</v>
      </c>
      <c r="L111" s="79">
        <v>0</v>
      </c>
      <c r="M111" s="79">
        <v>0</v>
      </c>
      <c r="N111" s="159">
        <v>0</v>
      </c>
      <c r="O111" s="95">
        <v>0</v>
      </c>
      <c r="P111" s="20">
        <v>1</v>
      </c>
    </row>
    <row r="112" spans="1:16" ht="15" thickBot="1">
      <c r="A112" t="str">
        <f t="shared" si="0"/>
        <v>MEGASITE - MEGASITE - Swan &amp; Cremorne</v>
      </c>
      <c r="B112" t="s">
        <v>192</v>
      </c>
      <c r="C112" s="144" t="s">
        <v>237</v>
      </c>
      <c r="D112" s="127" t="s">
        <v>62</v>
      </c>
      <c r="E112" s="139" t="s">
        <v>219</v>
      </c>
      <c r="F112" s="147">
        <v>0</v>
      </c>
      <c r="G112" s="147">
        <v>0</v>
      </c>
      <c r="H112" s="147">
        <v>0</v>
      </c>
      <c r="I112" s="95">
        <v>0</v>
      </c>
      <c r="J112" s="95">
        <v>0</v>
      </c>
      <c r="K112" s="79">
        <v>1</v>
      </c>
      <c r="L112" s="79">
        <v>0</v>
      </c>
      <c r="M112" s="79">
        <v>0</v>
      </c>
      <c r="N112" s="159">
        <v>0</v>
      </c>
      <c r="O112" s="95">
        <v>0</v>
      </c>
      <c r="P112" s="20">
        <v>1</v>
      </c>
    </row>
    <row r="113" spans="1:23" ht="15" thickBot="1">
      <c r="A113" t="str">
        <f t="shared" si="0"/>
        <v>MEGASITE - MEGASITE - Swan &amp; Stewart</v>
      </c>
      <c r="B113" t="s">
        <v>192</v>
      </c>
      <c r="C113" s="151" t="s">
        <v>146</v>
      </c>
      <c r="D113" s="127" t="s">
        <v>62</v>
      </c>
      <c r="E113" s="141" t="s">
        <v>221</v>
      </c>
      <c r="F113" s="147">
        <v>0</v>
      </c>
      <c r="G113" s="147">
        <v>0</v>
      </c>
      <c r="H113" s="147">
        <v>0</v>
      </c>
      <c r="I113" s="95">
        <v>0</v>
      </c>
      <c r="J113" s="95">
        <v>0</v>
      </c>
      <c r="K113" s="79">
        <v>1</v>
      </c>
      <c r="L113" s="79">
        <v>0</v>
      </c>
      <c r="M113" s="79">
        <v>0</v>
      </c>
      <c r="N113" s="159">
        <v>0</v>
      </c>
      <c r="O113" s="95">
        <v>0</v>
      </c>
      <c r="P113" s="20">
        <v>1</v>
      </c>
    </row>
    <row r="114" spans="1:23" ht="15" thickBot="1">
      <c r="A114" t="str">
        <f t="shared" si="0"/>
        <v>MEGASITE - MEGASITE - Toorak Rd - North</v>
      </c>
      <c r="B114" t="s">
        <v>192</v>
      </c>
      <c r="C114" s="144" t="s">
        <v>148</v>
      </c>
      <c r="D114" s="127" t="s">
        <v>62</v>
      </c>
      <c r="E114" s="142" t="s">
        <v>223</v>
      </c>
      <c r="F114" s="147">
        <v>0</v>
      </c>
      <c r="G114" s="147">
        <v>0</v>
      </c>
      <c r="H114" s="147">
        <v>0</v>
      </c>
      <c r="I114" s="95">
        <v>0</v>
      </c>
      <c r="J114" s="95">
        <v>0</v>
      </c>
      <c r="K114" s="79">
        <v>1</v>
      </c>
      <c r="L114" s="79">
        <v>0</v>
      </c>
      <c r="M114" s="79">
        <v>0</v>
      </c>
      <c r="N114" s="159">
        <v>0</v>
      </c>
      <c r="O114" s="95">
        <v>0</v>
      </c>
      <c r="P114" s="20">
        <v>1</v>
      </c>
    </row>
    <row r="115" spans="1:23" ht="15" thickBot="1">
      <c r="A115" t="str">
        <f t="shared" si="0"/>
        <v>MEGASITE - MEGASITE - Toorak Rd - South</v>
      </c>
      <c r="B115" t="s">
        <v>192</v>
      </c>
      <c r="C115" s="144" t="s">
        <v>150</v>
      </c>
      <c r="D115" s="127" t="s">
        <v>62</v>
      </c>
      <c r="E115" s="142" t="s">
        <v>223</v>
      </c>
      <c r="F115" s="147">
        <v>0</v>
      </c>
      <c r="G115" s="147">
        <v>0</v>
      </c>
      <c r="H115" s="147">
        <v>0</v>
      </c>
      <c r="I115" s="95">
        <v>0</v>
      </c>
      <c r="J115" s="95">
        <v>0</v>
      </c>
      <c r="K115" s="79">
        <v>1</v>
      </c>
      <c r="L115" s="79">
        <v>0</v>
      </c>
      <c r="M115" s="79">
        <v>0</v>
      </c>
      <c r="N115" s="159">
        <v>0</v>
      </c>
      <c r="O115" s="95">
        <v>0</v>
      </c>
      <c r="P115" s="20">
        <v>1</v>
      </c>
    </row>
    <row r="116" spans="1:23" ht="15" thickBot="1">
      <c r="A116" t="str">
        <f t="shared" ref="A116" si="3">_xlfn.CONCAT(B116," - ",C116)</f>
        <v>MEGASITE - MEGASITE - 394 Chapel St</v>
      </c>
      <c r="B116" t="s">
        <v>192</v>
      </c>
      <c r="C116" s="144" t="s">
        <v>156</v>
      </c>
      <c r="D116" s="127" t="s">
        <v>62</v>
      </c>
      <c r="E116" s="142" t="s">
        <v>223</v>
      </c>
      <c r="F116" s="147">
        <v>0</v>
      </c>
      <c r="G116" s="147">
        <v>0</v>
      </c>
      <c r="H116" s="147">
        <v>0</v>
      </c>
      <c r="I116" s="95">
        <v>0</v>
      </c>
      <c r="J116" s="95">
        <v>0</v>
      </c>
      <c r="K116" s="79">
        <v>1</v>
      </c>
      <c r="L116" s="79">
        <v>0</v>
      </c>
      <c r="M116" s="79">
        <v>0</v>
      </c>
      <c r="N116" s="159">
        <v>0</v>
      </c>
      <c r="O116" s="95">
        <v>0</v>
      </c>
      <c r="P116" s="20">
        <v>1</v>
      </c>
    </row>
    <row r="117" spans="1:23" ht="15" thickBot="1">
      <c r="A117" t="str">
        <f t="shared" ref="A117" si="4">_xlfn.CONCAT(B117," - ",C117)</f>
        <v>MEGASITE - MEGASITE - Armstrong St</v>
      </c>
      <c r="B117" t="s">
        <v>192</v>
      </c>
      <c r="C117" s="210" t="s">
        <v>152</v>
      </c>
      <c r="D117" s="127" t="s">
        <v>62</v>
      </c>
      <c r="E117" s="142" t="s">
        <v>223</v>
      </c>
      <c r="F117" s="147">
        <v>0</v>
      </c>
      <c r="G117" s="147">
        <v>0</v>
      </c>
      <c r="H117" s="147">
        <v>0</v>
      </c>
      <c r="I117" s="95">
        <v>0</v>
      </c>
      <c r="J117" s="95">
        <v>0</v>
      </c>
      <c r="K117" s="79">
        <v>1</v>
      </c>
      <c r="L117" s="79">
        <v>0</v>
      </c>
      <c r="M117" s="79">
        <v>0</v>
      </c>
      <c r="N117" s="159">
        <v>0</v>
      </c>
      <c r="O117" s="95">
        <v>0</v>
      </c>
      <c r="P117" s="20">
        <v>1</v>
      </c>
    </row>
    <row r="118" spans="1:23" ht="15" thickBot="1">
      <c r="A118" t="str">
        <f t="shared" ref="A118" si="5">_xlfn.CONCAT(B118," - ",C118)</f>
        <v>MEGASITE - MEGASITE - King St</v>
      </c>
      <c r="B118" t="s">
        <v>192</v>
      </c>
      <c r="C118" s="210" t="s">
        <v>154</v>
      </c>
      <c r="D118" s="127" t="s">
        <v>62</v>
      </c>
      <c r="E118" s="142" t="s">
        <v>223</v>
      </c>
      <c r="F118" s="147">
        <v>0</v>
      </c>
      <c r="G118" s="147">
        <v>0</v>
      </c>
      <c r="H118" s="147">
        <v>0</v>
      </c>
      <c r="I118" s="95">
        <v>0</v>
      </c>
      <c r="J118" s="95">
        <v>0</v>
      </c>
      <c r="K118" s="79">
        <v>1</v>
      </c>
      <c r="L118" s="79">
        <v>0</v>
      </c>
      <c r="M118" s="79">
        <v>0</v>
      </c>
      <c r="N118" s="159">
        <v>0</v>
      </c>
      <c r="O118" s="95">
        <v>0</v>
      </c>
      <c r="P118" s="20">
        <v>1</v>
      </c>
    </row>
    <row r="119" spans="1:23" ht="15" thickBot="1">
      <c r="A119" t="s">
        <v>158</v>
      </c>
      <c r="B119" t="s">
        <v>158</v>
      </c>
      <c r="C119" s="151" t="s">
        <v>158</v>
      </c>
      <c r="D119" s="127" t="s">
        <v>62</v>
      </c>
      <c r="E119" s="141" t="s">
        <v>225</v>
      </c>
      <c r="F119" s="95">
        <v>0</v>
      </c>
      <c r="G119" s="95">
        <v>0</v>
      </c>
      <c r="H119" s="95">
        <v>0</v>
      </c>
      <c r="I119" s="95">
        <v>0</v>
      </c>
      <c r="J119" s="147">
        <v>0</v>
      </c>
      <c r="K119" s="79">
        <v>0</v>
      </c>
      <c r="L119" s="79">
        <v>1</v>
      </c>
      <c r="M119" s="79">
        <v>0</v>
      </c>
      <c r="N119" s="159">
        <v>0</v>
      </c>
      <c r="O119" s="95">
        <v>0</v>
      </c>
      <c r="P119" s="20">
        <v>1</v>
      </c>
    </row>
    <row r="120" spans="1:23">
      <c r="C120" s="152" t="s">
        <v>111</v>
      </c>
      <c r="D120" s="127" t="s">
        <v>62</v>
      </c>
      <c r="E120" s="139" t="s">
        <v>227</v>
      </c>
      <c r="F120" s="95">
        <v>0</v>
      </c>
      <c r="G120" s="95">
        <v>0</v>
      </c>
      <c r="H120" s="147">
        <v>0</v>
      </c>
      <c r="I120" s="95">
        <v>0</v>
      </c>
      <c r="J120" s="95">
        <v>0</v>
      </c>
      <c r="K120" s="79">
        <v>0</v>
      </c>
      <c r="L120" s="79">
        <v>0</v>
      </c>
      <c r="M120" s="79">
        <v>1</v>
      </c>
      <c r="N120" s="159">
        <v>0</v>
      </c>
      <c r="O120" s="95">
        <v>0</v>
      </c>
      <c r="P120" s="20">
        <v>1</v>
      </c>
    </row>
    <row r="121" spans="1:23"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 s="20">
        <v>0</v>
      </c>
    </row>
    <row r="122" spans="1:23" ht="15" thickBot="1">
      <c r="C122" s="77" t="s">
        <v>70</v>
      </c>
      <c r="D122" s="36" t="s">
        <v>63</v>
      </c>
      <c r="E122" s="37"/>
      <c r="F122" s="213">
        <v>26</v>
      </c>
      <c r="G122" s="213">
        <v>0</v>
      </c>
      <c r="H122" s="213">
        <v>6</v>
      </c>
      <c r="I122" s="213">
        <v>0</v>
      </c>
      <c r="J122" s="213">
        <v>0</v>
      </c>
      <c r="K122" s="79">
        <v>0</v>
      </c>
      <c r="L122" s="79">
        <v>0</v>
      </c>
      <c r="M122" s="79">
        <v>0</v>
      </c>
      <c r="N122" s="213">
        <v>0</v>
      </c>
      <c r="O122" s="10">
        <v>0</v>
      </c>
      <c r="P122" s="22">
        <v>32</v>
      </c>
      <c r="Q122" s="10">
        <v>0</v>
      </c>
      <c r="R122" s="10">
        <v>20</v>
      </c>
      <c r="S122" s="10">
        <v>0</v>
      </c>
      <c r="T122" s="10">
        <v>2</v>
      </c>
      <c r="U122" s="10">
        <v>0</v>
      </c>
      <c r="V122" s="10">
        <v>0</v>
      </c>
      <c r="W122" s="10">
        <v>84</v>
      </c>
    </row>
    <row r="123" spans="1:23" ht="15" thickBot="1">
      <c r="C123" s="74" t="s">
        <v>72</v>
      </c>
      <c r="D123" s="36" t="s">
        <v>63</v>
      </c>
      <c r="E123" s="37"/>
      <c r="F123" s="213">
        <v>22</v>
      </c>
      <c r="G123" s="213">
        <v>0</v>
      </c>
      <c r="H123" s="213">
        <v>0</v>
      </c>
      <c r="I123" s="213">
        <v>0</v>
      </c>
      <c r="J123" s="213">
        <v>0</v>
      </c>
      <c r="K123" s="79">
        <v>0</v>
      </c>
      <c r="L123" s="79">
        <v>0</v>
      </c>
      <c r="M123" s="79">
        <v>0</v>
      </c>
      <c r="N123" s="213">
        <v>0</v>
      </c>
      <c r="O123" s="20">
        <v>0</v>
      </c>
      <c r="P123" s="22">
        <v>22</v>
      </c>
      <c r="Q123" s="20">
        <v>0</v>
      </c>
      <c r="R123" s="20">
        <v>20</v>
      </c>
      <c r="S123" s="20">
        <v>0</v>
      </c>
      <c r="T123" s="20">
        <v>4</v>
      </c>
      <c r="U123" s="20">
        <v>0</v>
      </c>
      <c r="V123" s="20">
        <v>0</v>
      </c>
      <c r="W123" s="16"/>
    </row>
    <row r="124" spans="1:23" ht="15" thickBot="1">
      <c r="C124" s="76" t="s">
        <v>74</v>
      </c>
      <c r="D124" s="36" t="s">
        <v>63</v>
      </c>
      <c r="E124" s="37"/>
      <c r="F124" s="213">
        <v>23</v>
      </c>
      <c r="G124" s="213">
        <v>0</v>
      </c>
      <c r="H124" s="213">
        <v>0</v>
      </c>
      <c r="I124" s="213">
        <v>0</v>
      </c>
      <c r="J124" s="213">
        <v>0</v>
      </c>
      <c r="K124" s="79">
        <v>0</v>
      </c>
      <c r="L124" s="79">
        <v>0</v>
      </c>
      <c r="M124" s="79">
        <v>0</v>
      </c>
      <c r="N124" s="213">
        <v>0</v>
      </c>
      <c r="O124" s="10">
        <v>0</v>
      </c>
      <c r="P124" s="22">
        <v>23</v>
      </c>
      <c r="Q124" s="10">
        <v>0</v>
      </c>
      <c r="R124" s="10">
        <v>20</v>
      </c>
      <c r="S124" s="10">
        <v>0</v>
      </c>
      <c r="T124" s="10">
        <v>2</v>
      </c>
      <c r="U124" s="10">
        <v>0</v>
      </c>
      <c r="V124" s="10">
        <v>0</v>
      </c>
      <c r="W124" s="16"/>
    </row>
    <row r="125" spans="1:23" ht="15" thickBot="1">
      <c r="C125" s="74" t="s">
        <v>76</v>
      </c>
      <c r="D125" s="36" t="s">
        <v>63</v>
      </c>
      <c r="E125" s="39"/>
      <c r="F125" s="213">
        <v>22</v>
      </c>
      <c r="G125" s="213">
        <v>0</v>
      </c>
      <c r="H125" s="213">
        <v>0</v>
      </c>
      <c r="I125" s="213">
        <v>0</v>
      </c>
      <c r="J125" s="213">
        <v>0</v>
      </c>
      <c r="K125" s="79">
        <v>0</v>
      </c>
      <c r="L125" s="79">
        <v>0</v>
      </c>
      <c r="M125" s="79">
        <v>0</v>
      </c>
      <c r="N125" s="213">
        <v>0</v>
      </c>
      <c r="O125" s="20">
        <v>0</v>
      </c>
      <c r="P125" s="22">
        <v>22</v>
      </c>
      <c r="Q125" s="20">
        <v>0</v>
      </c>
      <c r="R125" s="20">
        <v>20</v>
      </c>
      <c r="S125" s="20">
        <v>0</v>
      </c>
      <c r="T125" s="20">
        <v>4</v>
      </c>
      <c r="U125" s="20">
        <v>0</v>
      </c>
      <c r="V125" s="20">
        <v>0</v>
      </c>
      <c r="W125" s="161"/>
    </row>
    <row r="126" spans="1:23" ht="15" thickBot="1">
      <c r="C126" s="76" t="s">
        <v>78</v>
      </c>
      <c r="D126" s="36" t="s">
        <v>63</v>
      </c>
      <c r="E126" s="37" t="s">
        <v>164</v>
      </c>
      <c r="F126" s="213">
        <v>23</v>
      </c>
      <c r="G126" s="213">
        <v>0</v>
      </c>
      <c r="H126" s="213">
        <v>0</v>
      </c>
      <c r="I126" s="213">
        <v>0</v>
      </c>
      <c r="J126" s="213">
        <v>0</v>
      </c>
      <c r="K126" s="79">
        <v>0</v>
      </c>
      <c r="L126" s="79">
        <v>0</v>
      </c>
      <c r="M126" s="79">
        <v>0</v>
      </c>
      <c r="N126" s="213">
        <v>0</v>
      </c>
      <c r="P126" s="22">
        <v>23</v>
      </c>
      <c r="R126" s="38">
        <v>20</v>
      </c>
      <c r="S126" s="30">
        <v>0</v>
      </c>
      <c r="T126" s="22">
        <v>4</v>
      </c>
      <c r="U126" s="30">
        <v>0</v>
      </c>
      <c r="V126" s="30">
        <v>0</v>
      </c>
      <c r="W126" s="16">
        <v>88</v>
      </c>
    </row>
    <row r="127" spans="1:23">
      <c r="C127" s="74" t="s">
        <v>80</v>
      </c>
      <c r="D127" s="36" t="s">
        <v>63</v>
      </c>
      <c r="E127" s="37" t="s">
        <v>164</v>
      </c>
      <c r="F127" s="213">
        <v>22</v>
      </c>
      <c r="G127" s="213">
        <v>0</v>
      </c>
      <c r="H127" s="213">
        <v>0</v>
      </c>
      <c r="I127" s="213">
        <v>0</v>
      </c>
      <c r="J127" s="213">
        <v>0</v>
      </c>
      <c r="K127" s="79">
        <v>0</v>
      </c>
      <c r="L127" s="79">
        <v>0</v>
      </c>
      <c r="M127" s="79">
        <v>0</v>
      </c>
      <c r="N127" s="213">
        <v>0</v>
      </c>
      <c r="P127" s="22">
        <v>22</v>
      </c>
      <c r="R127" s="38">
        <v>20</v>
      </c>
      <c r="S127" s="30">
        <v>0</v>
      </c>
      <c r="T127" s="22">
        <v>4</v>
      </c>
      <c r="U127" s="30">
        <v>0</v>
      </c>
      <c r="V127" s="30">
        <v>0</v>
      </c>
      <c r="W127" s="16">
        <v>88</v>
      </c>
    </row>
    <row r="128" spans="1:23" ht="15" thickBot="1">
      <c r="C128" s="75" t="s">
        <v>82</v>
      </c>
      <c r="D128" s="36" t="s">
        <v>63</v>
      </c>
      <c r="E128" s="37"/>
      <c r="F128" s="213">
        <v>25</v>
      </c>
      <c r="G128" s="213">
        <v>0</v>
      </c>
      <c r="H128" s="213">
        <v>0</v>
      </c>
      <c r="I128" s="213">
        <v>0</v>
      </c>
      <c r="J128" s="213">
        <v>0</v>
      </c>
      <c r="K128" s="79">
        <v>0</v>
      </c>
      <c r="L128" s="79">
        <v>0</v>
      </c>
      <c r="M128" s="79">
        <v>0</v>
      </c>
      <c r="N128" s="213">
        <v>0</v>
      </c>
      <c r="O128" s="10">
        <v>0</v>
      </c>
      <c r="P128" s="22">
        <v>25</v>
      </c>
      <c r="Q128" s="10">
        <v>0</v>
      </c>
      <c r="R128" s="10">
        <v>20</v>
      </c>
      <c r="S128" s="10">
        <v>0</v>
      </c>
      <c r="T128" s="10">
        <v>2</v>
      </c>
      <c r="U128" s="10">
        <v>0</v>
      </c>
      <c r="V128" s="10">
        <v>0</v>
      </c>
      <c r="W128" s="10">
        <v>84</v>
      </c>
    </row>
    <row r="129" spans="3:23">
      <c r="C129" s="76" t="s">
        <v>84</v>
      </c>
      <c r="D129" s="36" t="s">
        <v>63</v>
      </c>
      <c r="E129" s="37"/>
      <c r="F129" s="213">
        <v>25</v>
      </c>
      <c r="G129" s="213">
        <v>0</v>
      </c>
      <c r="H129" s="213">
        <v>0</v>
      </c>
      <c r="I129" s="213">
        <v>0</v>
      </c>
      <c r="J129" s="213">
        <v>0</v>
      </c>
      <c r="K129" s="79">
        <v>0</v>
      </c>
      <c r="L129" s="79">
        <v>0</v>
      </c>
      <c r="M129" s="79">
        <v>0</v>
      </c>
      <c r="N129" s="213">
        <v>0</v>
      </c>
      <c r="O129" s="20">
        <v>0</v>
      </c>
      <c r="P129" s="22">
        <v>25</v>
      </c>
      <c r="Q129" s="20">
        <v>0</v>
      </c>
      <c r="R129" s="20">
        <v>20</v>
      </c>
      <c r="S129" s="20">
        <v>0</v>
      </c>
      <c r="T129" s="20">
        <v>4</v>
      </c>
      <c r="U129" s="20">
        <v>0</v>
      </c>
      <c r="V129" s="20">
        <v>0</v>
      </c>
      <c r="W129" s="16"/>
    </row>
    <row r="130" spans="3:23" ht="15" thickBot="1">
      <c r="C130" s="77" t="s">
        <v>71</v>
      </c>
      <c r="D130" s="36" t="s">
        <v>63</v>
      </c>
      <c r="E130" s="37"/>
      <c r="F130" s="213">
        <v>8</v>
      </c>
      <c r="G130" s="213">
        <v>0</v>
      </c>
      <c r="H130" s="213">
        <v>4</v>
      </c>
      <c r="I130" s="213">
        <v>0</v>
      </c>
      <c r="J130" s="213">
        <v>0</v>
      </c>
      <c r="K130" s="79">
        <v>0</v>
      </c>
      <c r="L130" s="79">
        <v>0</v>
      </c>
      <c r="M130" s="79">
        <v>0</v>
      </c>
      <c r="N130" s="213">
        <v>0</v>
      </c>
      <c r="O130" s="10">
        <v>0</v>
      </c>
      <c r="P130" s="22">
        <v>12</v>
      </c>
      <c r="Q130" s="10">
        <v>0</v>
      </c>
      <c r="R130" s="10">
        <v>20</v>
      </c>
      <c r="S130" s="10">
        <v>0</v>
      </c>
      <c r="T130" s="10">
        <v>2</v>
      </c>
      <c r="U130" s="10">
        <v>0</v>
      </c>
      <c r="V130" s="10">
        <v>0</v>
      </c>
      <c r="W130" s="16"/>
    </row>
    <row r="131" spans="3:23" ht="15" thickBot="1">
      <c r="C131" s="74" t="s">
        <v>73</v>
      </c>
      <c r="D131" s="36" t="s">
        <v>63</v>
      </c>
      <c r="E131" s="39"/>
      <c r="F131" s="213">
        <v>8</v>
      </c>
      <c r="G131" s="213">
        <v>0</v>
      </c>
      <c r="H131" s="213">
        <v>0</v>
      </c>
      <c r="I131" s="213">
        <v>0</v>
      </c>
      <c r="J131" s="213">
        <v>0</v>
      </c>
      <c r="K131" s="79">
        <v>0</v>
      </c>
      <c r="L131" s="79">
        <v>0</v>
      </c>
      <c r="M131" s="79">
        <v>0</v>
      </c>
      <c r="N131" s="213">
        <v>0</v>
      </c>
      <c r="O131" s="20">
        <v>0</v>
      </c>
      <c r="P131" s="22">
        <v>8</v>
      </c>
      <c r="Q131" s="20">
        <v>0</v>
      </c>
      <c r="R131" s="20">
        <v>20</v>
      </c>
      <c r="S131" s="20">
        <v>0</v>
      </c>
      <c r="T131" s="20">
        <v>4</v>
      </c>
      <c r="U131" s="20">
        <v>0</v>
      </c>
      <c r="V131" s="20">
        <v>0</v>
      </c>
      <c r="W131" s="161"/>
    </row>
    <row r="132" spans="3:23" ht="15" thickBot="1">
      <c r="C132" s="76" t="s">
        <v>75</v>
      </c>
      <c r="D132" s="36" t="s">
        <v>63</v>
      </c>
      <c r="E132" s="37" t="s">
        <v>164</v>
      </c>
      <c r="F132" s="213">
        <v>8</v>
      </c>
      <c r="G132" s="213">
        <v>0</v>
      </c>
      <c r="H132" s="213">
        <v>0</v>
      </c>
      <c r="I132" s="213">
        <v>0</v>
      </c>
      <c r="J132" s="213">
        <v>0</v>
      </c>
      <c r="K132" s="79">
        <v>0</v>
      </c>
      <c r="L132" s="79">
        <v>0</v>
      </c>
      <c r="M132" s="79">
        <v>0</v>
      </c>
      <c r="N132" s="213">
        <v>0</v>
      </c>
      <c r="P132" s="22">
        <v>8</v>
      </c>
      <c r="R132" s="38">
        <v>20</v>
      </c>
      <c r="S132" s="30">
        <v>0</v>
      </c>
      <c r="T132" s="22">
        <v>4</v>
      </c>
      <c r="U132" s="30">
        <v>0</v>
      </c>
      <c r="V132" s="30">
        <v>0</v>
      </c>
      <c r="W132" s="16">
        <v>88</v>
      </c>
    </row>
    <row r="133" spans="3:23" ht="15" thickBot="1">
      <c r="C133" s="74" t="s">
        <v>77</v>
      </c>
      <c r="D133" s="36" t="s">
        <v>63</v>
      </c>
      <c r="E133" s="37" t="s">
        <v>164</v>
      </c>
      <c r="F133" s="213">
        <v>8</v>
      </c>
      <c r="G133" s="213">
        <v>0</v>
      </c>
      <c r="H133" s="213">
        <v>0</v>
      </c>
      <c r="I133" s="213">
        <v>0</v>
      </c>
      <c r="J133" s="213">
        <v>0</v>
      </c>
      <c r="K133" s="79">
        <v>0</v>
      </c>
      <c r="L133" s="79">
        <v>0</v>
      </c>
      <c r="M133" s="79">
        <v>0</v>
      </c>
      <c r="N133" s="213">
        <v>0</v>
      </c>
      <c r="P133" s="22">
        <v>8</v>
      </c>
      <c r="R133" s="38">
        <v>20</v>
      </c>
      <c r="S133" s="30">
        <v>0</v>
      </c>
      <c r="T133" s="22">
        <v>4</v>
      </c>
      <c r="U133" s="30">
        <v>0</v>
      </c>
      <c r="V133" s="30">
        <v>0</v>
      </c>
      <c r="W133" s="16">
        <v>88</v>
      </c>
    </row>
    <row r="134" spans="3:23" ht="15" thickBot="1">
      <c r="C134" s="76" t="s">
        <v>79</v>
      </c>
      <c r="D134" s="36" t="s">
        <v>63</v>
      </c>
      <c r="E134" s="37" t="s">
        <v>164</v>
      </c>
      <c r="F134" s="213">
        <v>8</v>
      </c>
      <c r="G134" s="213">
        <v>0</v>
      </c>
      <c r="H134" s="213">
        <v>0</v>
      </c>
      <c r="I134" s="213">
        <v>0</v>
      </c>
      <c r="J134" s="213">
        <v>0</v>
      </c>
      <c r="K134" s="79">
        <v>0</v>
      </c>
      <c r="L134" s="79">
        <v>0</v>
      </c>
      <c r="M134" s="79">
        <v>0</v>
      </c>
      <c r="N134" s="213">
        <v>0</v>
      </c>
      <c r="P134" s="22">
        <v>8</v>
      </c>
      <c r="R134" s="38">
        <v>20</v>
      </c>
      <c r="S134" s="30">
        <v>0</v>
      </c>
      <c r="T134" s="22">
        <v>4</v>
      </c>
      <c r="U134" s="30">
        <v>0</v>
      </c>
      <c r="V134" s="30">
        <v>0</v>
      </c>
      <c r="W134" s="16">
        <v>88</v>
      </c>
    </row>
    <row r="135" spans="3:23" ht="15" thickBot="1">
      <c r="C135" s="74" t="s">
        <v>81</v>
      </c>
      <c r="D135" s="36" t="s">
        <v>63</v>
      </c>
      <c r="E135" s="37" t="s">
        <v>164</v>
      </c>
      <c r="F135" s="213">
        <v>8</v>
      </c>
      <c r="G135" s="213">
        <v>0</v>
      </c>
      <c r="H135" s="213">
        <v>0</v>
      </c>
      <c r="I135" s="213">
        <v>0</v>
      </c>
      <c r="J135" s="213">
        <v>0</v>
      </c>
      <c r="K135" s="79">
        <v>0</v>
      </c>
      <c r="L135" s="79">
        <v>0</v>
      </c>
      <c r="M135" s="79">
        <v>0</v>
      </c>
      <c r="N135" s="213">
        <v>0</v>
      </c>
      <c r="P135" s="22">
        <v>8</v>
      </c>
      <c r="R135" s="38">
        <v>20</v>
      </c>
      <c r="S135" s="30">
        <v>0</v>
      </c>
      <c r="T135" s="22">
        <v>4</v>
      </c>
      <c r="U135" s="30">
        <v>0</v>
      </c>
      <c r="V135" s="30">
        <v>0</v>
      </c>
      <c r="W135" s="16">
        <v>88</v>
      </c>
    </row>
    <row r="136" spans="3:23" ht="15" thickBot="1">
      <c r="C136" s="76" t="s">
        <v>83</v>
      </c>
      <c r="D136" s="36" t="s">
        <v>63</v>
      </c>
      <c r="E136" s="37" t="s">
        <v>164</v>
      </c>
      <c r="F136" s="213">
        <v>8</v>
      </c>
      <c r="G136" s="213">
        <v>0</v>
      </c>
      <c r="H136" s="213">
        <v>0</v>
      </c>
      <c r="I136" s="213">
        <v>0</v>
      </c>
      <c r="J136" s="213">
        <v>0</v>
      </c>
      <c r="K136" s="79">
        <v>0</v>
      </c>
      <c r="L136" s="79">
        <v>0</v>
      </c>
      <c r="M136" s="79">
        <v>0</v>
      </c>
      <c r="N136" s="213">
        <v>0</v>
      </c>
      <c r="P136" s="22">
        <v>8</v>
      </c>
      <c r="R136" s="38">
        <v>20</v>
      </c>
      <c r="S136" s="30">
        <v>0</v>
      </c>
      <c r="T136" s="22">
        <v>4</v>
      </c>
      <c r="U136" s="30">
        <v>0</v>
      </c>
      <c r="V136" s="30">
        <v>0</v>
      </c>
      <c r="W136" s="16">
        <v>88</v>
      </c>
    </row>
    <row r="137" spans="3:23" ht="15" thickBot="1">
      <c r="C137" s="74" t="s">
        <v>85</v>
      </c>
      <c r="D137" s="36" t="s">
        <v>63</v>
      </c>
      <c r="E137" s="37" t="s">
        <v>164</v>
      </c>
      <c r="F137" s="213">
        <v>8</v>
      </c>
      <c r="G137" s="213">
        <v>0</v>
      </c>
      <c r="H137" s="213">
        <v>0</v>
      </c>
      <c r="I137" s="213">
        <v>0</v>
      </c>
      <c r="J137" s="213">
        <v>0</v>
      </c>
      <c r="K137" s="79">
        <v>0</v>
      </c>
      <c r="L137" s="79">
        <v>0</v>
      </c>
      <c r="M137" s="79">
        <v>0</v>
      </c>
      <c r="N137" s="213">
        <v>0</v>
      </c>
      <c r="P137" s="22">
        <v>8</v>
      </c>
      <c r="R137" s="38">
        <v>20</v>
      </c>
      <c r="S137" s="30">
        <v>0</v>
      </c>
      <c r="T137" s="22">
        <v>4</v>
      </c>
      <c r="U137" s="30">
        <v>0</v>
      </c>
      <c r="V137" s="30">
        <v>0</v>
      </c>
      <c r="W137" s="16">
        <v>88</v>
      </c>
    </row>
    <row r="138" spans="3:23" ht="15" thickBot="1">
      <c r="C138" s="153" t="s">
        <v>87</v>
      </c>
      <c r="D138" s="154" t="s">
        <v>63</v>
      </c>
      <c r="E138" s="39"/>
      <c r="F138" s="146">
        <v>1</v>
      </c>
      <c r="G138" s="147">
        <v>0</v>
      </c>
      <c r="H138" s="146">
        <v>0</v>
      </c>
      <c r="I138" s="147">
        <v>0</v>
      </c>
      <c r="J138" s="147">
        <v>0</v>
      </c>
      <c r="K138" s="79">
        <v>0</v>
      </c>
      <c r="L138" s="79">
        <v>0</v>
      </c>
      <c r="M138" s="79">
        <v>0</v>
      </c>
      <c r="N138" s="147">
        <v>0</v>
      </c>
      <c r="O138" s="147">
        <v>0</v>
      </c>
      <c r="P138" s="148">
        <v>12</v>
      </c>
    </row>
    <row r="139" spans="3:23" ht="15" thickBot="1">
      <c r="C139" s="153" t="s">
        <v>89</v>
      </c>
      <c r="D139" s="154" t="s">
        <v>229</v>
      </c>
      <c r="E139" s="39" t="s">
        <v>29</v>
      </c>
      <c r="F139" s="146">
        <v>0</v>
      </c>
      <c r="G139" s="147">
        <v>0</v>
      </c>
      <c r="H139" s="146">
        <v>0</v>
      </c>
      <c r="I139" s="147">
        <v>0</v>
      </c>
      <c r="J139" s="147">
        <v>0</v>
      </c>
      <c r="K139" s="79">
        <v>1</v>
      </c>
      <c r="L139" s="79">
        <v>0</v>
      </c>
      <c r="M139" s="79">
        <v>0</v>
      </c>
      <c r="N139" s="147">
        <v>0</v>
      </c>
      <c r="O139" s="147">
        <v>0</v>
      </c>
      <c r="P139" s="148">
        <v>12</v>
      </c>
    </row>
    <row r="140" spans="3:23" ht="15" thickBot="1">
      <c r="C140" s="155" t="s">
        <v>91</v>
      </c>
      <c r="D140" s="156" t="s">
        <v>231</v>
      </c>
      <c r="E140" s="39" t="s">
        <v>29</v>
      </c>
      <c r="F140" s="94">
        <v>0</v>
      </c>
      <c r="G140" s="93">
        <v>0</v>
      </c>
      <c r="H140" s="93">
        <v>0</v>
      </c>
      <c r="I140" s="93">
        <v>0</v>
      </c>
      <c r="J140" s="93">
        <v>0</v>
      </c>
      <c r="K140" s="79">
        <v>1</v>
      </c>
      <c r="L140" s="79">
        <v>0</v>
      </c>
      <c r="M140" s="79">
        <v>0</v>
      </c>
      <c r="N140" s="93">
        <v>0</v>
      </c>
      <c r="O140" s="93">
        <v>0</v>
      </c>
      <c r="P140" s="143">
        <v>10</v>
      </c>
    </row>
    <row r="141" spans="3:23" ht="15" thickBot="1">
      <c r="C141" s="155" t="s">
        <v>93</v>
      </c>
      <c r="D141" s="156" t="s">
        <v>229</v>
      </c>
      <c r="E141" s="39" t="s">
        <v>29</v>
      </c>
      <c r="F141" s="94">
        <v>0</v>
      </c>
      <c r="G141" s="93">
        <v>0</v>
      </c>
      <c r="H141" s="93">
        <v>0</v>
      </c>
      <c r="I141" s="93">
        <v>0</v>
      </c>
      <c r="J141" s="93">
        <v>0</v>
      </c>
      <c r="K141" s="79">
        <v>1</v>
      </c>
      <c r="L141" s="79">
        <v>0</v>
      </c>
      <c r="M141" s="79">
        <v>0</v>
      </c>
      <c r="N141" s="93">
        <v>0</v>
      </c>
      <c r="O141" s="93">
        <v>0</v>
      </c>
      <c r="P141" s="143">
        <v>10</v>
      </c>
    </row>
    <row r="142" spans="3:23" ht="15" thickBot="1">
      <c r="C142" s="157" t="s">
        <v>105</v>
      </c>
      <c r="D142" s="158" t="s">
        <v>232</v>
      </c>
      <c r="E142" s="39" t="s">
        <v>29</v>
      </c>
      <c r="F142" s="95">
        <v>4</v>
      </c>
      <c r="G142" s="95">
        <v>0</v>
      </c>
      <c r="H142" s="149">
        <v>0</v>
      </c>
      <c r="I142" s="95">
        <v>0</v>
      </c>
      <c r="J142" s="95">
        <v>0</v>
      </c>
      <c r="K142" s="79">
        <v>0</v>
      </c>
      <c r="L142" s="79">
        <v>0</v>
      </c>
      <c r="M142" s="79">
        <v>1</v>
      </c>
      <c r="N142" s="95">
        <v>0</v>
      </c>
      <c r="O142" s="95">
        <v>0</v>
      </c>
      <c r="P142" s="150">
        <v>4</v>
      </c>
    </row>
    <row r="143" spans="3:23" ht="15" thickBot="1">
      <c r="C143" s="157" t="s">
        <v>107</v>
      </c>
      <c r="D143" s="158" t="s">
        <v>232</v>
      </c>
      <c r="E143" s="39" t="s">
        <v>29</v>
      </c>
      <c r="F143" s="95">
        <v>4</v>
      </c>
      <c r="G143" s="95">
        <v>0</v>
      </c>
      <c r="H143" s="149">
        <v>0</v>
      </c>
      <c r="I143" s="95">
        <v>0</v>
      </c>
      <c r="J143" s="95">
        <v>0</v>
      </c>
      <c r="K143" s="79">
        <v>0</v>
      </c>
      <c r="L143" s="79">
        <v>0</v>
      </c>
      <c r="M143" s="79">
        <v>1</v>
      </c>
      <c r="N143" s="95">
        <v>0</v>
      </c>
      <c r="O143" s="95">
        <v>0</v>
      </c>
      <c r="P143" s="150">
        <v>4</v>
      </c>
    </row>
    <row r="144" spans="3:23" ht="15" thickBot="1">
      <c r="C144" s="157" t="s">
        <v>109</v>
      </c>
      <c r="D144" s="158" t="s">
        <v>232</v>
      </c>
      <c r="E144" s="39" t="s">
        <v>29</v>
      </c>
      <c r="F144" s="95">
        <v>6</v>
      </c>
      <c r="G144" s="95">
        <v>0</v>
      </c>
      <c r="H144" s="149">
        <v>0</v>
      </c>
      <c r="I144" s="95">
        <v>0</v>
      </c>
      <c r="J144" s="95">
        <v>0</v>
      </c>
      <c r="K144" s="79">
        <v>0</v>
      </c>
      <c r="L144" s="79">
        <v>0</v>
      </c>
      <c r="M144" s="79">
        <v>0</v>
      </c>
      <c r="N144" s="95">
        <v>0</v>
      </c>
      <c r="O144" s="95">
        <v>0</v>
      </c>
      <c r="P144" s="150">
        <v>4</v>
      </c>
    </row>
    <row r="145" spans="3:16" ht="15" thickBot="1">
      <c r="C145" s="210" t="s">
        <v>97</v>
      </c>
      <c r="D145" s="158" t="s">
        <v>232</v>
      </c>
      <c r="E145" s="39" t="s">
        <v>29</v>
      </c>
      <c r="F145" s="95">
        <v>0</v>
      </c>
      <c r="G145" s="95">
        <v>0</v>
      </c>
      <c r="H145" s="149">
        <v>0</v>
      </c>
      <c r="I145" s="95">
        <v>0</v>
      </c>
      <c r="J145" s="95">
        <v>0</v>
      </c>
      <c r="K145" s="79">
        <v>1</v>
      </c>
      <c r="L145" s="79">
        <v>0</v>
      </c>
      <c r="M145" s="79">
        <v>0</v>
      </c>
      <c r="N145" s="95">
        <v>0</v>
      </c>
      <c r="O145" s="95">
        <v>0</v>
      </c>
      <c r="P145" s="150">
        <v>4</v>
      </c>
    </row>
    <row r="146" spans="3:16" ht="15" thickBot="1">
      <c r="C146" s="210" t="s">
        <v>99</v>
      </c>
      <c r="D146" s="158" t="s">
        <v>232</v>
      </c>
      <c r="E146" s="39" t="s">
        <v>29</v>
      </c>
      <c r="F146" s="95">
        <v>0</v>
      </c>
      <c r="G146" s="95">
        <v>0</v>
      </c>
      <c r="H146" s="149">
        <v>0</v>
      </c>
      <c r="I146" s="95">
        <v>0</v>
      </c>
      <c r="J146" s="95">
        <v>0</v>
      </c>
      <c r="K146" s="79">
        <v>1</v>
      </c>
      <c r="L146" s="79">
        <v>0</v>
      </c>
      <c r="M146" s="79">
        <v>0</v>
      </c>
      <c r="N146" s="95">
        <v>0</v>
      </c>
      <c r="O146" s="95">
        <v>0</v>
      </c>
      <c r="P146" s="150">
        <v>4</v>
      </c>
    </row>
    <row r="147" spans="3:16" ht="15" thickBot="1">
      <c r="C147" s="234" t="s">
        <v>101</v>
      </c>
      <c r="D147" s="158" t="s">
        <v>232</v>
      </c>
      <c r="E147" s="39" t="s">
        <v>29</v>
      </c>
      <c r="F147" s="95">
        <v>0</v>
      </c>
      <c r="G147" s="95">
        <v>0</v>
      </c>
      <c r="H147" s="149">
        <v>0</v>
      </c>
      <c r="I147" s="95">
        <v>0</v>
      </c>
      <c r="J147" s="95">
        <v>0</v>
      </c>
      <c r="K147" s="79">
        <v>1</v>
      </c>
      <c r="L147" s="79">
        <v>0</v>
      </c>
      <c r="M147" s="79">
        <v>0</v>
      </c>
      <c r="N147" s="95">
        <v>0</v>
      </c>
      <c r="O147" s="95">
        <v>0</v>
      </c>
      <c r="P147" s="150">
        <v>4</v>
      </c>
    </row>
    <row r="148" spans="3:16" ht="15" thickBot="1">
      <c r="C148" s="210" t="s">
        <v>103</v>
      </c>
      <c r="D148" s="158" t="s">
        <v>232</v>
      </c>
      <c r="E148" s="39" t="s">
        <v>29</v>
      </c>
      <c r="F148" s="95">
        <v>0</v>
      </c>
      <c r="G148" s="95">
        <v>0</v>
      </c>
      <c r="H148" s="149">
        <v>0</v>
      </c>
      <c r="I148" s="95">
        <v>0</v>
      </c>
      <c r="J148" s="95">
        <v>0</v>
      </c>
      <c r="K148" s="79">
        <v>1</v>
      </c>
      <c r="L148" s="79">
        <v>0</v>
      </c>
      <c r="M148" s="79">
        <v>0</v>
      </c>
      <c r="N148" s="95">
        <v>0</v>
      </c>
      <c r="O148" s="95">
        <v>0</v>
      </c>
      <c r="P148" s="150">
        <v>4</v>
      </c>
    </row>
    <row r="149" spans="3:16" ht="15" thickBot="1">
      <c r="C149" s="210" t="s">
        <v>111</v>
      </c>
      <c r="D149" s="158" t="s">
        <v>232</v>
      </c>
      <c r="E149" s="39" t="s">
        <v>29</v>
      </c>
      <c r="F149" s="95">
        <v>0</v>
      </c>
      <c r="G149" s="95">
        <v>0</v>
      </c>
      <c r="H149" s="149">
        <v>0</v>
      </c>
      <c r="I149" s="95">
        <v>0</v>
      </c>
      <c r="J149" s="95">
        <v>0</v>
      </c>
      <c r="K149" s="79">
        <v>0</v>
      </c>
      <c r="L149" s="79">
        <v>0</v>
      </c>
      <c r="M149" s="79">
        <v>1</v>
      </c>
      <c r="N149" s="95">
        <v>0</v>
      </c>
      <c r="O149" s="95">
        <v>0</v>
      </c>
      <c r="P149" s="150">
        <v>4</v>
      </c>
    </row>
    <row r="150" spans="3:16" ht="15" thickBot="1">
      <c r="C150" s="157" t="s">
        <v>95</v>
      </c>
      <c r="D150" s="158" t="s">
        <v>232</v>
      </c>
      <c r="E150" s="39" t="s">
        <v>29</v>
      </c>
      <c r="F150" s="95">
        <v>0</v>
      </c>
      <c r="G150" s="95">
        <v>0</v>
      </c>
      <c r="H150" s="149">
        <v>0</v>
      </c>
      <c r="I150" s="95">
        <v>0</v>
      </c>
      <c r="J150" s="95">
        <v>0</v>
      </c>
      <c r="K150" s="79">
        <v>1</v>
      </c>
      <c r="L150" s="79">
        <v>0</v>
      </c>
      <c r="M150" s="79">
        <v>0</v>
      </c>
      <c r="N150" s="95">
        <v>0</v>
      </c>
      <c r="O150" s="95">
        <v>0</v>
      </c>
      <c r="P150" s="150">
        <v>4</v>
      </c>
    </row>
    <row r="151" spans="3:16" ht="15" thickBot="1">
      <c r="C151" s="157" t="s">
        <v>105</v>
      </c>
      <c r="D151" s="158" t="s">
        <v>232</v>
      </c>
      <c r="E151" s="39" t="s">
        <v>29</v>
      </c>
      <c r="F151" s="95">
        <v>4</v>
      </c>
      <c r="G151" s="95">
        <v>0</v>
      </c>
      <c r="H151" s="149">
        <v>0</v>
      </c>
      <c r="I151" s="95">
        <v>0</v>
      </c>
      <c r="J151" s="95">
        <v>0</v>
      </c>
      <c r="K151" s="79">
        <v>0</v>
      </c>
      <c r="L151" s="79">
        <v>0</v>
      </c>
      <c r="M151" s="79">
        <v>1</v>
      </c>
      <c r="N151" s="95">
        <v>0</v>
      </c>
      <c r="O151" s="95">
        <v>0</v>
      </c>
      <c r="P151" s="15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1CE4-28FC-4024-A297-029F149027FC}">
  <dimension ref="A2:W146"/>
  <sheetViews>
    <sheetView workbookViewId="0">
      <pane xSplit="2" ySplit="3" topLeftCell="C4" activePane="bottomRight" state="frozen"/>
      <selection pane="bottomRight" activeCell="U24" sqref="U24"/>
      <selection pane="bottomLeft" activeCell="U24" sqref="U24"/>
      <selection pane="topRight" activeCell="U24" sqref="U24"/>
    </sheetView>
  </sheetViews>
  <sheetFormatPr defaultColWidth="8.7109375" defaultRowHeight="14.45"/>
  <cols>
    <col min="1" max="1" width="26.42578125" customWidth="1"/>
    <col min="2" max="2" width="12.7109375" bestFit="1" customWidth="1"/>
    <col min="3" max="3" width="27.7109375" bestFit="1" customWidth="1"/>
  </cols>
  <sheetData>
    <row r="2" spans="3:23">
      <c r="C2" s="1" t="s">
        <v>159</v>
      </c>
      <c r="D2" s="2"/>
      <c r="E2" s="2"/>
      <c r="F2" s="3"/>
      <c r="R2" s="128" t="s">
        <v>160</v>
      </c>
      <c r="S2" s="128"/>
    </row>
    <row r="3" spans="3:23">
      <c r="C3" s="4" t="s">
        <v>161</v>
      </c>
      <c r="D3" s="4" t="s">
        <v>162</v>
      </c>
      <c r="E3" s="5"/>
      <c r="F3" s="128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4" t="s">
        <v>29</v>
      </c>
      <c r="L3" s="4" t="s">
        <v>30</v>
      </c>
      <c r="M3" s="4" t="s">
        <v>31</v>
      </c>
      <c r="N3" s="1" t="s">
        <v>32</v>
      </c>
      <c r="P3" s="4" t="s">
        <v>163</v>
      </c>
      <c r="R3" s="6" t="s">
        <v>24</v>
      </c>
      <c r="S3" s="4" t="s">
        <v>25</v>
      </c>
      <c r="T3" s="4" t="s">
        <v>26</v>
      </c>
      <c r="U3" s="4" t="s">
        <v>27</v>
      </c>
      <c r="V3" s="4" t="s">
        <v>28</v>
      </c>
      <c r="W3" s="1" t="s">
        <v>163</v>
      </c>
    </row>
    <row r="4" spans="3:23" ht="15" thickBot="1">
      <c r="C4" s="77" t="s">
        <v>70</v>
      </c>
      <c r="D4" s="7" t="s">
        <v>61</v>
      </c>
      <c r="E4" s="17"/>
      <c r="F4" s="211">
        <v>116</v>
      </c>
      <c r="G4" s="211">
        <v>0</v>
      </c>
      <c r="H4" s="211">
        <v>0</v>
      </c>
      <c r="I4" s="211">
        <v>0</v>
      </c>
      <c r="J4" s="211">
        <v>24</v>
      </c>
      <c r="K4" s="79">
        <v>0</v>
      </c>
      <c r="L4" s="79">
        <v>0</v>
      </c>
      <c r="M4" s="79">
        <v>0</v>
      </c>
      <c r="N4" s="211">
        <v>0</v>
      </c>
      <c r="O4" s="20">
        <v>0</v>
      </c>
      <c r="P4" s="20">
        <f t="shared" ref="P4:P67" si="0">SUM(F4:O4)</f>
        <v>140</v>
      </c>
    </row>
    <row r="5" spans="3:23" ht="15" thickBot="1">
      <c r="C5" s="74" t="s">
        <v>72</v>
      </c>
      <c r="D5" s="46" t="s">
        <v>61</v>
      </c>
      <c r="E5" s="17"/>
      <c r="F5" s="211">
        <v>112</v>
      </c>
      <c r="G5" s="211">
        <v>0</v>
      </c>
      <c r="H5" s="211">
        <v>0</v>
      </c>
      <c r="I5" s="211">
        <v>0</v>
      </c>
      <c r="J5" s="211">
        <v>24</v>
      </c>
      <c r="K5" s="79">
        <v>0</v>
      </c>
      <c r="L5" s="79">
        <v>0</v>
      </c>
      <c r="M5" s="79">
        <v>0</v>
      </c>
      <c r="N5" s="211">
        <v>0</v>
      </c>
      <c r="O5" s="20">
        <v>0</v>
      </c>
      <c r="P5" s="20">
        <f t="shared" si="0"/>
        <v>136</v>
      </c>
    </row>
    <row r="6" spans="3:23" ht="15" thickBot="1">
      <c r="C6" s="76" t="s">
        <v>74</v>
      </c>
      <c r="D6" s="46" t="s">
        <v>61</v>
      </c>
      <c r="E6" s="17"/>
      <c r="F6" s="211">
        <v>116</v>
      </c>
      <c r="G6" s="211">
        <v>0</v>
      </c>
      <c r="H6" s="211">
        <v>0</v>
      </c>
      <c r="I6" s="211">
        <v>0</v>
      </c>
      <c r="J6" s="211">
        <v>20</v>
      </c>
      <c r="K6" s="79">
        <v>0</v>
      </c>
      <c r="L6" s="79">
        <v>0</v>
      </c>
      <c r="M6" s="79">
        <v>0</v>
      </c>
      <c r="N6" s="211">
        <v>0</v>
      </c>
      <c r="O6" s="20">
        <v>0</v>
      </c>
      <c r="P6" s="20">
        <f t="shared" si="0"/>
        <v>136</v>
      </c>
    </row>
    <row r="7" spans="3:23" ht="15" thickBot="1">
      <c r="C7" s="74" t="s">
        <v>76</v>
      </c>
      <c r="D7" s="46" t="s">
        <v>61</v>
      </c>
      <c r="E7" s="17"/>
      <c r="F7" s="211">
        <v>132</v>
      </c>
      <c r="G7" s="211">
        <v>0</v>
      </c>
      <c r="H7" s="211">
        <v>0</v>
      </c>
      <c r="I7" s="211">
        <v>0</v>
      </c>
      <c r="J7" s="211">
        <v>24</v>
      </c>
      <c r="K7" s="79">
        <v>0</v>
      </c>
      <c r="L7" s="79">
        <v>0</v>
      </c>
      <c r="M7" s="79">
        <v>0</v>
      </c>
      <c r="N7" s="211">
        <v>0</v>
      </c>
      <c r="O7" s="20">
        <v>0</v>
      </c>
      <c r="P7" s="20">
        <f t="shared" si="0"/>
        <v>156</v>
      </c>
    </row>
    <row r="8" spans="3:23" ht="15" thickBot="1">
      <c r="C8" s="76" t="s">
        <v>78</v>
      </c>
      <c r="D8" s="46" t="s">
        <v>61</v>
      </c>
      <c r="E8" s="17"/>
      <c r="F8" s="211">
        <v>108</v>
      </c>
      <c r="G8" s="211">
        <v>0</v>
      </c>
      <c r="H8" s="211">
        <v>0</v>
      </c>
      <c r="I8" s="211">
        <v>0</v>
      </c>
      <c r="J8" s="211">
        <v>28</v>
      </c>
      <c r="K8" s="79">
        <v>0</v>
      </c>
      <c r="L8" s="79">
        <v>0</v>
      </c>
      <c r="M8" s="79">
        <v>0</v>
      </c>
      <c r="N8" s="211">
        <v>0</v>
      </c>
      <c r="O8" s="20">
        <v>0</v>
      </c>
      <c r="P8" s="20">
        <f t="shared" si="0"/>
        <v>136</v>
      </c>
    </row>
    <row r="9" spans="3:23" ht="15" thickBot="1">
      <c r="C9" s="74" t="s">
        <v>80</v>
      </c>
      <c r="D9" s="46" t="s">
        <v>61</v>
      </c>
      <c r="E9" s="17"/>
      <c r="F9" s="211">
        <v>116</v>
      </c>
      <c r="G9" s="211">
        <v>0</v>
      </c>
      <c r="H9" s="211">
        <v>0</v>
      </c>
      <c r="I9" s="211">
        <v>0</v>
      </c>
      <c r="J9" s="211">
        <v>24</v>
      </c>
      <c r="K9" s="79">
        <v>0</v>
      </c>
      <c r="L9" s="79">
        <v>0</v>
      </c>
      <c r="M9" s="79">
        <v>0</v>
      </c>
      <c r="N9" s="211">
        <v>0</v>
      </c>
      <c r="O9" s="20">
        <v>0</v>
      </c>
      <c r="P9" s="20">
        <f t="shared" si="0"/>
        <v>140</v>
      </c>
    </row>
    <row r="10" spans="3:23" ht="15" thickBot="1">
      <c r="C10" s="75" t="s">
        <v>82</v>
      </c>
      <c r="D10" s="46" t="s">
        <v>61</v>
      </c>
      <c r="E10" s="17"/>
      <c r="F10" s="211">
        <v>120</v>
      </c>
      <c r="G10" s="211">
        <v>0</v>
      </c>
      <c r="H10" s="211">
        <v>0</v>
      </c>
      <c r="I10" s="211">
        <v>0</v>
      </c>
      <c r="J10" s="211">
        <v>16</v>
      </c>
      <c r="K10" s="79">
        <v>0</v>
      </c>
      <c r="L10" s="79">
        <v>0</v>
      </c>
      <c r="M10" s="79">
        <v>0</v>
      </c>
      <c r="N10" s="211">
        <v>0</v>
      </c>
      <c r="O10" s="20">
        <v>0</v>
      </c>
      <c r="P10" s="20">
        <f t="shared" si="0"/>
        <v>136</v>
      </c>
    </row>
    <row r="11" spans="3:23" ht="15" thickBot="1">
      <c r="C11" s="76" t="s">
        <v>84</v>
      </c>
      <c r="D11" s="46" t="s">
        <v>61</v>
      </c>
      <c r="E11" s="17"/>
      <c r="F11" s="211">
        <v>120</v>
      </c>
      <c r="G11" s="211">
        <v>0</v>
      </c>
      <c r="H11" s="211">
        <v>0</v>
      </c>
      <c r="I11" s="211">
        <v>0</v>
      </c>
      <c r="J11" s="211">
        <v>16</v>
      </c>
      <c r="K11" s="79">
        <v>0</v>
      </c>
      <c r="L11" s="79">
        <v>0</v>
      </c>
      <c r="M11" s="79">
        <v>0</v>
      </c>
      <c r="N11" s="211">
        <v>0</v>
      </c>
      <c r="O11" s="20">
        <v>0</v>
      </c>
      <c r="P11" s="20">
        <f t="shared" si="0"/>
        <v>136</v>
      </c>
    </row>
    <row r="12" spans="3:23" ht="15" thickBot="1">
      <c r="C12" s="74" t="s">
        <v>86</v>
      </c>
      <c r="D12" s="46" t="s">
        <v>61</v>
      </c>
      <c r="E12" s="17"/>
      <c r="F12" s="211">
        <v>124</v>
      </c>
      <c r="G12" s="211">
        <v>0</v>
      </c>
      <c r="H12" s="211">
        <v>0</v>
      </c>
      <c r="I12" s="211">
        <v>0</v>
      </c>
      <c r="J12" s="211">
        <v>16</v>
      </c>
      <c r="K12" s="79">
        <v>0</v>
      </c>
      <c r="L12" s="79">
        <v>0</v>
      </c>
      <c r="M12" s="79">
        <v>0</v>
      </c>
      <c r="N12" s="211">
        <v>0</v>
      </c>
      <c r="O12" s="20">
        <v>0</v>
      </c>
      <c r="P12" s="20">
        <f t="shared" si="0"/>
        <v>140</v>
      </c>
    </row>
    <row r="13" spans="3:23" ht="15" thickBot="1">
      <c r="C13" s="76" t="s">
        <v>90</v>
      </c>
      <c r="D13" s="46" t="s">
        <v>61</v>
      </c>
      <c r="E13" s="23"/>
      <c r="F13" s="211">
        <v>116</v>
      </c>
      <c r="G13" s="211">
        <v>0</v>
      </c>
      <c r="H13" s="211">
        <v>0</v>
      </c>
      <c r="I13" s="211">
        <v>0</v>
      </c>
      <c r="J13" s="211">
        <v>24</v>
      </c>
      <c r="K13" s="79">
        <v>0</v>
      </c>
      <c r="L13" s="79">
        <v>0</v>
      </c>
      <c r="M13" s="79">
        <v>0</v>
      </c>
      <c r="N13" s="211">
        <v>0</v>
      </c>
      <c r="O13" s="20">
        <v>0</v>
      </c>
      <c r="P13" s="20">
        <f t="shared" si="0"/>
        <v>140</v>
      </c>
    </row>
    <row r="14" spans="3:23" ht="15" thickBot="1">
      <c r="C14" s="74" t="s">
        <v>94</v>
      </c>
      <c r="D14" s="46" t="s">
        <v>61</v>
      </c>
      <c r="E14" s="23"/>
      <c r="F14" s="211">
        <v>124</v>
      </c>
      <c r="G14" s="211">
        <v>0</v>
      </c>
      <c r="H14" s="211">
        <v>0</v>
      </c>
      <c r="I14" s="211">
        <v>0</v>
      </c>
      <c r="J14" s="211">
        <v>16</v>
      </c>
      <c r="K14" s="79">
        <v>0</v>
      </c>
      <c r="L14" s="79">
        <v>0</v>
      </c>
      <c r="M14" s="79">
        <v>0</v>
      </c>
      <c r="N14" s="211">
        <v>0</v>
      </c>
      <c r="O14" s="20">
        <v>0</v>
      </c>
      <c r="P14" s="20">
        <f t="shared" si="0"/>
        <v>140</v>
      </c>
    </row>
    <row r="15" spans="3:23" ht="15" thickBot="1">
      <c r="C15" s="76" t="s">
        <v>98</v>
      </c>
      <c r="D15" s="46" t="s">
        <v>61</v>
      </c>
      <c r="E15" s="23"/>
      <c r="F15" s="211">
        <v>124</v>
      </c>
      <c r="G15" s="211">
        <v>0</v>
      </c>
      <c r="H15" s="211">
        <v>0</v>
      </c>
      <c r="I15" s="211">
        <v>0</v>
      </c>
      <c r="J15" s="211">
        <v>12</v>
      </c>
      <c r="K15" s="79">
        <v>0</v>
      </c>
      <c r="L15" s="79">
        <v>0</v>
      </c>
      <c r="M15" s="79">
        <v>0</v>
      </c>
      <c r="N15" s="211">
        <v>0</v>
      </c>
      <c r="O15" s="20">
        <v>0</v>
      </c>
      <c r="P15" s="20">
        <f t="shared" si="0"/>
        <v>136</v>
      </c>
    </row>
    <row r="16" spans="3:23" ht="15" thickBot="1">
      <c r="C16" s="74" t="s">
        <v>102</v>
      </c>
      <c r="D16" s="46" t="s">
        <v>61</v>
      </c>
      <c r="E16" s="23"/>
      <c r="F16" s="211">
        <v>116</v>
      </c>
      <c r="G16" s="211">
        <v>0</v>
      </c>
      <c r="H16" s="211">
        <v>0</v>
      </c>
      <c r="I16" s="211">
        <v>0</v>
      </c>
      <c r="J16" s="211">
        <v>20</v>
      </c>
      <c r="K16" s="79">
        <v>0</v>
      </c>
      <c r="L16" s="79">
        <v>0</v>
      </c>
      <c r="M16" s="79">
        <v>0</v>
      </c>
      <c r="N16" s="211">
        <v>0</v>
      </c>
      <c r="O16" s="20">
        <v>0</v>
      </c>
      <c r="P16" s="20">
        <f t="shared" si="0"/>
        <v>136</v>
      </c>
    </row>
    <row r="17" spans="3:16" ht="15" thickBot="1">
      <c r="C17" s="72" t="s">
        <v>106</v>
      </c>
      <c r="D17" s="46" t="s">
        <v>61</v>
      </c>
      <c r="E17" s="23"/>
      <c r="F17" s="211">
        <v>96</v>
      </c>
      <c r="G17" s="211">
        <v>12</v>
      </c>
      <c r="H17" s="211">
        <v>4</v>
      </c>
      <c r="I17" s="211">
        <v>0</v>
      </c>
      <c r="J17" s="211">
        <v>4</v>
      </c>
      <c r="K17" s="79">
        <v>0</v>
      </c>
      <c r="L17" s="79">
        <v>0</v>
      </c>
      <c r="M17" s="79">
        <v>0</v>
      </c>
      <c r="N17" s="211">
        <v>0</v>
      </c>
      <c r="O17" s="20">
        <v>0</v>
      </c>
      <c r="P17" s="20">
        <f t="shared" si="0"/>
        <v>116</v>
      </c>
    </row>
    <row r="18" spans="3:16" ht="15" thickBot="1">
      <c r="C18" s="73" t="s">
        <v>110</v>
      </c>
      <c r="D18" s="46" t="s">
        <v>61</v>
      </c>
      <c r="E18" s="23"/>
      <c r="F18" s="211">
        <v>92</v>
      </c>
      <c r="G18" s="211">
        <v>12</v>
      </c>
      <c r="H18" s="211">
        <v>6</v>
      </c>
      <c r="I18" s="211">
        <v>0</v>
      </c>
      <c r="J18" s="211">
        <v>12</v>
      </c>
      <c r="K18" s="79">
        <v>0</v>
      </c>
      <c r="L18" s="79">
        <v>0</v>
      </c>
      <c r="M18" s="79">
        <v>0</v>
      </c>
      <c r="N18" s="211">
        <v>0</v>
      </c>
      <c r="O18" s="20">
        <v>0</v>
      </c>
      <c r="P18" s="20">
        <f t="shared" si="0"/>
        <v>122</v>
      </c>
    </row>
    <row r="19" spans="3:16" ht="15" thickBot="1">
      <c r="C19" s="72" t="s">
        <v>113</v>
      </c>
      <c r="D19" s="46" t="s">
        <v>61</v>
      </c>
      <c r="E19" s="23"/>
      <c r="F19" s="211">
        <v>108</v>
      </c>
      <c r="G19" s="211">
        <v>9</v>
      </c>
      <c r="H19" s="211">
        <v>4</v>
      </c>
      <c r="I19" s="211">
        <v>0</v>
      </c>
      <c r="J19" s="211">
        <v>0</v>
      </c>
      <c r="K19" s="79">
        <v>0</v>
      </c>
      <c r="L19" s="79">
        <v>0</v>
      </c>
      <c r="M19" s="79">
        <v>0</v>
      </c>
      <c r="N19" s="211">
        <v>0</v>
      </c>
      <c r="O19" s="20">
        <v>0</v>
      </c>
      <c r="P19" s="20">
        <f t="shared" si="0"/>
        <v>121</v>
      </c>
    </row>
    <row r="20" spans="3:16" ht="15" thickBot="1">
      <c r="C20" s="77" t="s">
        <v>71</v>
      </c>
      <c r="D20" s="46" t="s">
        <v>61</v>
      </c>
      <c r="E20" s="17"/>
      <c r="F20" s="212">
        <v>20</v>
      </c>
      <c r="G20" s="212">
        <f t="shared" ref="G20:J35" si="1">SUM(G4*0.2)</f>
        <v>0</v>
      </c>
      <c r="H20" s="212">
        <f t="shared" si="1"/>
        <v>0</v>
      </c>
      <c r="I20" s="212">
        <f t="shared" si="1"/>
        <v>0</v>
      </c>
      <c r="J20" s="212">
        <v>4</v>
      </c>
      <c r="K20" s="79">
        <v>0</v>
      </c>
      <c r="L20" s="79">
        <v>0</v>
      </c>
      <c r="M20" s="79">
        <v>0</v>
      </c>
      <c r="N20" s="211">
        <v>0</v>
      </c>
      <c r="O20" s="20">
        <v>0</v>
      </c>
      <c r="P20" s="20">
        <f t="shared" si="0"/>
        <v>24</v>
      </c>
    </row>
    <row r="21" spans="3:16" ht="15" thickBot="1">
      <c r="C21" s="74" t="s">
        <v>73</v>
      </c>
      <c r="D21" s="46" t="s">
        <v>61</v>
      </c>
      <c r="E21" s="17"/>
      <c r="F21" s="212">
        <v>20</v>
      </c>
      <c r="G21" s="212">
        <f t="shared" si="1"/>
        <v>0</v>
      </c>
      <c r="H21" s="212">
        <f t="shared" si="1"/>
        <v>0</v>
      </c>
      <c r="I21" s="212">
        <f t="shared" si="1"/>
        <v>0</v>
      </c>
      <c r="J21" s="212">
        <v>4</v>
      </c>
      <c r="K21" s="79">
        <v>0</v>
      </c>
      <c r="L21" s="79">
        <v>0</v>
      </c>
      <c r="M21" s="79">
        <v>0</v>
      </c>
      <c r="N21" s="211">
        <v>0</v>
      </c>
      <c r="O21" s="20">
        <v>0</v>
      </c>
      <c r="P21" s="20">
        <f t="shared" si="0"/>
        <v>24</v>
      </c>
    </row>
    <row r="22" spans="3:16" ht="15" thickBot="1">
      <c r="C22" s="76" t="s">
        <v>75</v>
      </c>
      <c r="D22" s="46" t="s">
        <v>61</v>
      </c>
      <c r="E22" s="17"/>
      <c r="F22" s="212">
        <v>24</v>
      </c>
      <c r="G22" s="212">
        <f t="shared" si="1"/>
        <v>0</v>
      </c>
      <c r="H22" s="212">
        <f t="shared" si="1"/>
        <v>0</v>
      </c>
      <c r="I22" s="212">
        <f t="shared" si="1"/>
        <v>0</v>
      </c>
      <c r="J22" s="212">
        <v>4</v>
      </c>
      <c r="K22" s="79">
        <v>0</v>
      </c>
      <c r="L22" s="79">
        <v>0</v>
      </c>
      <c r="M22" s="79">
        <v>0</v>
      </c>
      <c r="N22" s="211">
        <v>0</v>
      </c>
      <c r="O22" s="20">
        <v>0</v>
      </c>
      <c r="P22" s="20">
        <f t="shared" si="0"/>
        <v>28</v>
      </c>
    </row>
    <row r="23" spans="3:16" ht="15" thickBot="1">
      <c r="C23" s="74" t="s">
        <v>77</v>
      </c>
      <c r="D23" s="46" t="s">
        <v>61</v>
      </c>
      <c r="E23" s="17"/>
      <c r="F23" s="212">
        <v>24</v>
      </c>
      <c r="G23" s="212">
        <f t="shared" si="1"/>
        <v>0</v>
      </c>
      <c r="H23" s="212">
        <f t="shared" si="1"/>
        <v>0</v>
      </c>
      <c r="I23" s="212">
        <f t="shared" si="1"/>
        <v>0</v>
      </c>
      <c r="J23" s="212">
        <v>4</v>
      </c>
      <c r="K23" s="79">
        <v>0</v>
      </c>
      <c r="L23" s="79">
        <v>0</v>
      </c>
      <c r="M23" s="79">
        <v>0</v>
      </c>
      <c r="N23" s="211">
        <v>0</v>
      </c>
      <c r="O23" s="20">
        <v>0</v>
      </c>
      <c r="P23" s="20">
        <f t="shared" si="0"/>
        <v>28</v>
      </c>
    </row>
    <row r="24" spans="3:16" ht="15" thickBot="1">
      <c r="C24" s="76" t="s">
        <v>79</v>
      </c>
      <c r="D24" s="46" t="s">
        <v>61</v>
      </c>
      <c r="E24" s="17"/>
      <c r="F24" s="212">
        <v>20</v>
      </c>
      <c r="G24" s="212">
        <f t="shared" si="1"/>
        <v>0</v>
      </c>
      <c r="H24" s="212">
        <f t="shared" si="1"/>
        <v>0</v>
      </c>
      <c r="I24" s="212">
        <f t="shared" si="1"/>
        <v>0</v>
      </c>
      <c r="J24" s="212">
        <v>4</v>
      </c>
      <c r="K24" s="79">
        <v>0</v>
      </c>
      <c r="L24" s="79">
        <v>0</v>
      </c>
      <c r="M24" s="79">
        <v>0</v>
      </c>
      <c r="N24" s="211">
        <v>0</v>
      </c>
      <c r="O24" s="20">
        <v>0</v>
      </c>
      <c r="P24" s="20">
        <f t="shared" si="0"/>
        <v>24</v>
      </c>
    </row>
    <row r="25" spans="3:16" ht="15" thickBot="1">
      <c r="C25" s="74" t="s">
        <v>81</v>
      </c>
      <c r="D25" s="46" t="s">
        <v>61</v>
      </c>
      <c r="E25" s="17"/>
      <c r="F25" s="212">
        <v>24</v>
      </c>
      <c r="G25" s="212">
        <f t="shared" si="1"/>
        <v>0</v>
      </c>
      <c r="H25" s="212">
        <f t="shared" si="1"/>
        <v>0</v>
      </c>
      <c r="I25" s="212">
        <f t="shared" si="1"/>
        <v>0</v>
      </c>
      <c r="J25" s="212">
        <v>4</v>
      </c>
      <c r="K25" s="79">
        <v>0</v>
      </c>
      <c r="L25" s="79">
        <v>0</v>
      </c>
      <c r="M25" s="79">
        <v>0</v>
      </c>
      <c r="N25" s="211">
        <v>0</v>
      </c>
      <c r="O25" s="20">
        <v>0</v>
      </c>
      <c r="P25" s="20">
        <f t="shared" si="0"/>
        <v>28</v>
      </c>
    </row>
    <row r="26" spans="3:16" ht="15" thickBot="1">
      <c r="C26" s="76" t="s">
        <v>83</v>
      </c>
      <c r="D26" s="46" t="s">
        <v>61</v>
      </c>
      <c r="E26" s="17"/>
      <c r="F26" s="212">
        <v>24</v>
      </c>
      <c r="G26" s="212">
        <f t="shared" si="1"/>
        <v>0</v>
      </c>
      <c r="H26" s="212">
        <f t="shared" si="1"/>
        <v>0</v>
      </c>
      <c r="I26" s="212">
        <f t="shared" si="1"/>
        <v>0</v>
      </c>
      <c r="J26" s="212">
        <v>4</v>
      </c>
      <c r="K26" s="79">
        <v>0</v>
      </c>
      <c r="L26" s="79">
        <v>0</v>
      </c>
      <c r="M26" s="79">
        <v>0</v>
      </c>
      <c r="N26" s="211">
        <v>0</v>
      </c>
      <c r="O26" s="20">
        <v>0</v>
      </c>
      <c r="P26" s="20">
        <f t="shared" si="0"/>
        <v>28</v>
      </c>
    </row>
    <row r="27" spans="3:16" ht="15" thickBot="1">
      <c r="C27" s="74" t="s">
        <v>85</v>
      </c>
      <c r="D27" s="46" t="s">
        <v>61</v>
      </c>
      <c r="E27" s="17"/>
      <c r="F27" s="212">
        <v>24</v>
      </c>
      <c r="G27" s="212">
        <f t="shared" si="1"/>
        <v>0</v>
      </c>
      <c r="H27" s="212">
        <f t="shared" si="1"/>
        <v>0</v>
      </c>
      <c r="I27" s="212">
        <f t="shared" si="1"/>
        <v>0</v>
      </c>
      <c r="J27" s="212">
        <v>4</v>
      </c>
      <c r="K27" s="79">
        <v>0</v>
      </c>
      <c r="L27" s="79">
        <v>0</v>
      </c>
      <c r="M27" s="79">
        <v>0</v>
      </c>
      <c r="N27" s="211">
        <v>0</v>
      </c>
      <c r="O27" s="20">
        <v>0</v>
      </c>
      <c r="P27" s="20">
        <f t="shared" si="0"/>
        <v>28</v>
      </c>
    </row>
    <row r="28" spans="3:16" ht="15" thickBot="1">
      <c r="C28" s="76" t="s">
        <v>88</v>
      </c>
      <c r="D28" s="46" t="s">
        <v>61</v>
      </c>
      <c r="E28" s="17"/>
      <c r="F28" s="212">
        <v>24</v>
      </c>
      <c r="G28" s="212">
        <f t="shared" si="1"/>
        <v>0</v>
      </c>
      <c r="H28" s="212">
        <f t="shared" si="1"/>
        <v>0</v>
      </c>
      <c r="I28" s="212">
        <f t="shared" si="1"/>
        <v>0</v>
      </c>
      <c r="J28" s="212">
        <v>4</v>
      </c>
      <c r="K28" s="79">
        <v>0</v>
      </c>
      <c r="L28" s="79">
        <v>0</v>
      </c>
      <c r="M28" s="79">
        <v>0</v>
      </c>
      <c r="N28" s="211">
        <v>0</v>
      </c>
      <c r="O28" s="20">
        <v>0</v>
      </c>
      <c r="P28" s="20">
        <f t="shared" si="0"/>
        <v>28</v>
      </c>
    </row>
    <row r="29" spans="3:16" ht="15" thickBot="1">
      <c r="C29" s="74" t="s">
        <v>92</v>
      </c>
      <c r="D29" s="46" t="s">
        <v>61</v>
      </c>
      <c r="E29" s="23"/>
      <c r="F29" s="212">
        <v>20</v>
      </c>
      <c r="G29" s="212">
        <f t="shared" si="1"/>
        <v>0</v>
      </c>
      <c r="H29" s="212">
        <f t="shared" si="1"/>
        <v>0</v>
      </c>
      <c r="I29" s="212">
        <f t="shared" si="1"/>
        <v>0</v>
      </c>
      <c r="J29" s="212">
        <v>4</v>
      </c>
      <c r="K29" s="79">
        <v>0</v>
      </c>
      <c r="L29" s="79">
        <v>0</v>
      </c>
      <c r="M29" s="79">
        <v>0</v>
      </c>
      <c r="N29" s="211">
        <v>0</v>
      </c>
      <c r="O29" s="20">
        <v>0</v>
      </c>
      <c r="P29" s="20">
        <f t="shared" si="0"/>
        <v>24</v>
      </c>
    </row>
    <row r="30" spans="3:16" ht="15" thickBot="1">
      <c r="C30" s="76" t="s">
        <v>96</v>
      </c>
      <c r="D30" s="46" t="s">
        <v>61</v>
      </c>
      <c r="E30" s="23"/>
      <c r="F30" s="212">
        <v>24</v>
      </c>
      <c r="G30" s="212">
        <f t="shared" si="1"/>
        <v>0</v>
      </c>
      <c r="H30" s="212">
        <f t="shared" si="1"/>
        <v>0</v>
      </c>
      <c r="I30" s="212">
        <f t="shared" si="1"/>
        <v>0</v>
      </c>
      <c r="J30" s="212">
        <v>4</v>
      </c>
      <c r="K30" s="79">
        <v>0</v>
      </c>
      <c r="L30" s="79">
        <v>0</v>
      </c>
      <c r="M30" s="79">
        <v>0</v>
      </c>
      <c r="N30" s="211">
        <v>0</v>
      </c>
      <c r="O30" s="20">
        <v>0</v>
      </c>
      <c r="P30" s="20">
        <f t="shared" si="0"/>
        <v>28</v>
      </c>
    </row>
    <row r="31" spans="3:16" ht="15" thickBot="1">
      <c r="C31" s="74" t="s">
        <v>100</v>
      </c>
      <c r="D31" s="46" t="s">
        <v>61</v>
      </c>
      <c r="E31" s="23"/>
      <c r="F31" s="212">
        <v>24</v>
      </c>
      <c r="G31" s="212">
        <f t="shared" si="1"/>
        <v>0</v>
      </c>
      <c r="H31" s="212">
        <f t="shared" si="1"/>
        <v>0</v>
      </c>
      <c r="I31" s="212">
        <f t="shared" si="1"/>
        <v>0</v>
      </c>
      <c r="J31" s="212">
        <v>4</v>
      </c>
      <c r="K31" s="79">
        <v>0</v>
      </c>
      <c r="L31" s="79">
        <v>0</v>
      </c>
      <c r="M31" s="79">
        <v>0</v>
      </c>
      <c r="N31" s="211">
        <v>0</v>
      </c>
      <c r="O31" s="20">
        <v>0</v>
      </c>
      <c r="P31" s="20">
        <f t="shared" si="0"/>
        <v>28</v>
      </c>
    </row>
    <row r="32" spans="3:16" ht="15" thickBot="1">
      <c r="C32" s="76" t="s">
        <v>104</v>
      </c>
      <c r="D32" s="46" t="s">
        <v>61</v>
      </c>
      <c r="E32" s="23"/>
      <c r="F32" s="212">
        <v>24</v>
      </c>
      <c r="G32" s="212">
        <f t="shared" si="1"/>
        <v>0</v>
      </c>
      <c r="H32" s="212">
        <f t="shared" si="1"/>
        <v>0</v>
      </c>
      <c r="I32" s="212">
        <f t="shared" si="1"/>
        <v>0</v>
      </c>
      <c r="J32" s="212">
        <v>4</v>
      </c>
      <c r="K32" s="79">
        <v>0</v>
      </c>
      <c r="L32" s="79">
        <v>0</v>
      </c>
      <c r="M32" s="79">
        <v>0</v>
      </c>
      <c r="N32" s="211">
        <v>0</v>
      </c>
      <c r="O32" s="20">
        <v>0</v>
      </c>
      <c r="P32" s="20">
        <f t="shared" si="0"/>
        <v>28</v>
      </c>
    </row>
    <row r="33" spans="3:16" ht="15" thickBot="1">
      <c r="C33" s="72" t="s">
        <v>108</v>
      </c>
      <c r="D33" s="46" t="s">
        <v>61</v>
      </c>
      <c r="E33" s="23"/>
      <c r="F33" s="212">
        <v>20</v>
      </c>
      <c r="G33" s="211">
        <v>12</v>
      </c>
      <c r="H33" s="211">
        <v>4</v>
      </c>
      <c r="I33" s="212">
        <f t="shared" si="1"/>
        <v>0</v>
      </c>
      <c r="J33" s="212">
        <v>4</v>
      </c>
      <c r="K33" s="79">
        <v>0</v>
      </c>
      <c r="L33" s="79">
        <v>0</v>
      </c>
      <c r="M33" s="79">
        <v>0</v>
      </c>
      <c r="N33" s="211">
        <v>0</v>
      </c>
      <c r="O33" s="20">
        <v>0</v>
      </c>
      <c r="P33" s="20">
        <f t="shared" si="0"/>
        <v>40</v>
      </c>
    </row>
    <row r="34" spans="3:16" ht="15" thickBot="1">
      <c r="C34" s="73" t="s">
        <v>112</v>
      </c>
      <c r="D34" s="66" t="s">
        <v>61</v>
      </c>
      <c r="E34" s="23"/>
      <c r="F34" s="212">
        <v>16</v>
      </c>
      <c r="G34" s="211">
        <v>12</v>
      </c>
      <c r="H34" s="211">
        <v>6</v>
      </c>
      <c r="I34" s="212">
        <f t="shared" si="1"/>
        <v>0</v>
      </c>
      <c r="J34" s="212">
        <v>4</v>
      </c>
      <c r="K34" s="79">
        <v>0</v>
      </c>
      <c r="L34" s="79">
        <v>0</v>
      </c>
      <c r="M34" s="79">
        <v>0</v>
      </c>
      <c r="N34" s="211">
        <v>0</v>
      </c>
      <c r="O34" s="20">
        <v>0</v>
      </c>
      <c r="P34" s="20">
        <f t="shared" si="0"/>
        <v>38</v>
      </c>
    </row>
    <row r="35" spans="3:16">
      <c r="C35" s="72" t="s">
        <v>114</v>
      </c>
      <c r="D35" s="66" t="s">
        <v>61</v>
      </c>
      <c r="E35" s="23"/>
      <c r="F35" s="212">
        <v>20</v>
      </c>
      <c r="G35" s="211">
        <v>9</v>
      </c>
      <c r="H35" s="211">
        <v>4</v>
      </c>
      <c r="I35" s="212">
        <f t="shared" si="1"/>
        <v>0</v>
      </c>
      <c r="J35" s="212">
        <f t="shared" si="1"/>
        <v>0</v>
      </c>
      <c r="K35" s="79">
        <v>0</v>
      </c>
      <c r="L35" s="79">
        <v>0</v>
      </c>
      <c r="M35" s="79">
        <v>0</v>
      </c>
      <c r="N35" s="211">
        <v>0</v>
      </c>
      <c r="O35" s="20">
        <v>0</v>
      </c>
      <c r="P35" s="20">
        <f t="shared" si="0"/>
        <v>33</v>
      </c>
    </row>
    <row r="36" spans="3:16">
      <c r="C36" s="80" t="s">
        <v>115</v>
      </c>
      <c r="D36" s="78" t="s">
        <v>61</v>
      </c>
      <c r="E36" s="81"/>
      <c r="F36" s="87">
        <v>20</v>
      </c>
      <c r="G36" s="88">
        <v>0</v>
      </c>
      <c r="H36" s="88">
        <v>0</v>
      </c>
      <c r="I36" s="88">
        <v>0</v>
      </c>
      <c r="J36" s="88">
        <v>0</v>
      </c>
      <c r="K36" s="79">
        <v>0</v>
      </c>
      <c r="L36" s="79">
        <v>0</v>
      </c>
      <c r="M36" s="79">
        <v>0</v>
      </c>
      <c r="N36" s="211">
        <v>0</v>
      </c>
      <c r="O36" s="83">
        <v>0</v>
      </c>
      <c r="P36" s="20">
        <f t="shared" si="0"/>
        <v>20</v>
      </c>
    </row>
    <row r="37" spans="3:16">
      <c r="C37" s="80" t="s">
        <v>117</v>
      </c>
      <c r="D37" s="78" t="s">
        <v>61</v>
      </c>
      <c r="E37" s="81"/>
      <c r="F37" s="82">
        <v>12</v>
      </c>
      <c r="G37" s="83">
        <v>0</v>
      </c>
      <c r="H37" s="83">
        <v>0</v>
      </c>
      <c r="I37" s="83">
        <v>0</v>
      </c>
      <c r="J37" s="83">
        <v>0</v>
      </c>
      <c r="K37" s="79">
        <v>0</v>
      </c>
      <c r="L37" s="79">
        <v>0</v>
      </c>
      <c r="M37" s="79">
        <v>0</v>
      </c>
      <c r="N37" s="211">
        <v>0</v>
      </c>
      <c r="O37" s="83">
        <v>0</v>
      </c>
      <c r="P37" s="20">
        <f t="shared" si="0"/>
        <v>12</v>
      </c>
    </row>
    <row r="38" spans="3:16">
      <c r="C38" s="85" t="s">
        <v>119</v>
      </c>
      <c r="D38" s="78" t="s">
        <v>61</v>
      </c>
      <c r="E38" s="86"/>
      <c r="F38" s="87">
        <v>0</v>
      </c>
      <c r="G38" s="88">
        <v>0</v>
      </c>
      <c r="H38" s="88">
        <v>0</v>
      </c>
      <c r="I38" s="88">
        <v>0</v>
      </c>
      <c r="J38" s="88">
        <v>0</v>
      </c>
      <c r="K38" s="79">
        <v>0</v>
      </c>
      <c r="L38" s="79">
        <v>0</v>
      </c>
      <c r="M38" s="79">
        <v>0</v>
      </c>
      <c r="N38" s="211">
        <v>16</v>
      </c>
      <c r="O38" s="88">
        <v>0</v>
      </c>
      <c r="P38" s="20">
        <f t="shared" si="0"/>
        <v>16</v>
      </c>
    </row>
    <row r="39" spans="3:16">
      <c r="C39" s="89" t="s">
        <v>121</v>
      </c>
      <c r="D39" s="78" t="s">
        <v>61</v>
      </c>
      <c r="E39" s="90"/>
      <c r="F39" s="87">
        <v>44</v>
      </c>
      <c r="G39" s="88">
        <v>0</v>
      </c>
      <c r="H39" s="88">
        <v>0</v>
      </c>
      <c r="I39" s="88">
        <v>0</v>
      </c>
      <c r="J39" s="88">
        <v>0</v>
      </c>
      <c r="K39" s="79">
        <v>0</v>
      </c>
      <c r="L39" s="79">
        <v>0</v>
      </c>
      <c r="M39" s="79">
        <v>0</v>
      </c>
      <c r="N39" s="211">
        <v>0</v>
      </c>
      <c r="O39" s="88">
        <v>0</v>
      </c>
      <c r="P39" s="20">
        <f t="shared" si="0"/>
        <v>44</v>
      </c>
    </row>
    <row r="40" spans="3:16">
      <c r="C40" s="91" t="s">
        <v>123</v>
      </c>
      <c r="D40" s="78" t="s">
        <v>61</v>
      </c>
      <c r="E40" s="92"/>
      <c r="F40" s="83">
        <v>0</v>
      </c>
      <c r="G40" s="83">
        <v>0</v>
      </c>
      <c r="H40" s="83">
        <v>0</v>
      </c>
      <c r="I40" s="83">
        <v>0</v>
      </c>
      <c r="J40" s="82">
        <v>44</v>
      </c>
      <c r="K40" s="79">
        <v>0</v>
      </c>
      <c r="L40" s="79">
        <v>0</v>
      </c>
      <c r="M40" s="79">
        <v>0</v>
      </c>
      <c r="N40" s="211">
        <v>0</v>
      </c>
      <c r="O40" s="88">
        <v>0</v>
      </c>
      <c r="P40" s="20">
        <f t="shared" si="0"/>
        <v>44</v>
      </c>
    </row>
    <row r="41" spans="3:16">
      <c r="C41" s="80" t="s">
        <v>125</v>
      </c>
      <c r="D41" s="78" t="s">
        <v>61</v>
      </c>
      <c r="E41" s="81"/>
      <c r="F41" s="83">
        <v>0</v>
      </c>
      <c r="G41" s="93">
        <v>0</v>
      </c>
      <c r="H41" s="93">
        <v>0</v>
      </c>
      <c r="I41" s="93">
        <v>0</v>
      </c>
      <c r="J41" s="94">
        <v>16</v>
      </c>
      <c r="K41" s="79">
        <v>0</v>
      </c>
      <c r="L41" s="79">
        <v>0</v>
      </c>
      <c r="M41" s="79">
        <v>0</v>
      </c>
      <c r="N41" s="211">
        <v>0</v>
      </c>
      <c r="O41" s="88">
        <v>0</v>
      </c>
      <c r="P41" s="20">
        <f t="shared" si="0"/>
        <v>16</v>
      </c>
    </row>
    <row r="42" spans="3:16">
      <c r="C42" s="91" t="s">
        <v>127</v>
      </c>
      <c r="D42" s="78" t="s">
        <v>61</v>
      </c>
      <c r="E42" s="92"/>
      <c r="F42" s="87">
        <v>16</v>
      </c>
      <c r="G42" s="83">
        <v>0</v>
      </c>
      <c r="H42" s="83">
        <v>0</v>
      </c>
      <c r="I42" s="83">
        <v>0</v>
      </c>
      <c r="J42" s="83">
        <v>0</v>
      </c>
      <c r="K42" s="79">
        <v>0</v>
      </c>
      <c r="L42" s="79">
        <v>0</v>
      </c>
      <c r="M42" s="79">
        <v>0</v>
      </c>
      <c r="N42" s="211">
        <v>0</v>
      </c>
      <c r="O42" s="88">
        <v>0</v>
      </c>
      <c r="P42" s="20">
        <f t="shared" si="0"/>
        <v>16</v>
      </c>
    </row>
    <row r="43" spans="3:16">
      <c r="C43" s="80" t="s">
        <v>129</v>
      </c>
      <c r="D43" s="78" t="s">
        <v>61</v>
      </c>
      <c r="E43" s="81"/>
      <c r="F43" s="87">
        <v>20</v>
      </c>
      <c r="G43" s="88">
        <v>0</v>
      </c>
      <c r="H43" s="88">
        <v>0</v>
      </c>
      <c r="I43" s="88">
        <v>0</v>
      </c>
      <c r="J43" s="95">
        <v>0</v>
      </c>
      <c r="K43" s="79">
        <v>0</v>
      </c>
      <c r="L43" s="79">
        <v>0</v>
      </c>
      <c r="M43" s="79">
        <v>0</v>
      </c>
      <c r="N43" s="211">
        <v>0</v>
      </c>
      <c r="O43" s="93">
        <v>0</v>
      </c>
      <c r="P43" s="20">
        <f t="shared" si="0"/>
        <v>20</v>
      </c>
    </row>
    <row r="44" spans="3:16">
      <c r="C44" s="96" t="s">
        <v>133</v>
      </c>
      <c r="D44" s="78" t="s">
        <v>61</v>
      </c>
      <c r="E44" s="90"/>
      <c r="F44" s="87">
        <v>8</v>
      </c>
      <c r="G44" s="88">
        <v>0</v>
      </c>
      <c r="H44" s="97">
        <v>0</v>
      </c>
      <c r="I44" s="97">
        <v>0</v>
      </c>
      <c r="J44" s="83">
        <v>0</v>
      </c>
      <c r="K44" s="79">
        <v>0</v>
      </c>
      <c r="L44" s="79">
        <v>0</v>
      </c>
      <c r="M44" s="79">
        <v>1</v>
      </c>
      <c r="N44" s="211">
        <v>0</v>
      </c>
      <c r="O44" s="82">
        <v>1</v>
      </c>
      <c r="P44" s="20">
        <f t="shared" si="0"/>
        <v>10</v>
      </c>
    </row>
    <row r="45" spans="3:16">
      <c r="C45" s="210" t="s">
        <v>131</v>
      </c>
      <c r="D45" s="78" t="s">
        <v>61</v>
      </c>
      <c r="E45" s="90"/>
      <c r="F45" s="87">
        <v>0</v>
      </c>
      <c r="G45" s="88">
        <v>0</v>
      </c>
      <c r="H45" s="97">
        <v>0</v>
      </c>
      <c r="I45" s="97">
        <v>0</v>
      </c>
      <c r="J45" s="83">
        <v>52</v>
      </c>
      <c r="K45" s="79">
        <v>0</v>
      </c>
      <c r="L45" s="79">
        <v>0</v>
      </c>
      <c r="M45" s="79">
        <v>0</v>
      </c>
      <c r="N45" s="211">
        <v>0</v>
      </c>
      <c r="O45" s="82">
        <v>0</v>
      </c>
      <c r="P45" s="20">
        <f t="shared" si="0"/>
        <v>52</v>
      </c>
    </row>
    <row r="46" spans="3:16">
      <c r="C46" s="210" t="s">
        <v>134</v>
      </c>
      <c r="D46" s="78" t="s">
        <v>61</v>
      </c>
      <c r="E46" s="90"/>
      <c r="F46" s="87">
        <v>0</v>
      </c>
      <c r="G46" s="88">
        <v>0</v>
      </c>
      <c r="H46" s="97">
        <v>0</v>
      </c>
      <c r="I46" s="97">
        <v>0</v>
      </c>
      <c r="J46" s="83">
        <v>16</v>
      </c>
      <c r="K46" s="79">
        <v>0</v>
      </c>
      <c r="L46" s="79">
        <v>0</v>
      </c>
      <c r="M46" s="79">
        <v>0</v>
      </c>
      <c r="N46" s="211">
        <v>0</v>
      </c>
      <c r="O46" s="82">
        <v>0</v>
      </c>
      <c r="P46" s="20">
        <f t="shared" si="0"/>
        <v>16</v>
      </c>
    </row>
    <row r="47" spans="3:16">
      <c r="C47" s="80" t="s">
        <v>87</v>
      </c>
      <c r="D47" s="78" t="s">
        <v>61</v>
      </c>
      <c r="E47" s="129"/>
      <c r="F47" s="82">
        <v>4</v>
      </c>
      <c r="G47" s="88">
        <v>0</v>
      </c>
      <c r="H47" s="97">
        <v>0</v>
      </c>
      <c r="I47" s="97"/>
      <c r="J47" s="88">
        <v>0</v>
      </c>
      <c r="K47" s="79">
        <v>0</v>
      </c>
      <c r="L47" s="79">
        <v>0</v>
      </c>
      <c r="M47" s="79">
        <v>0</v>
      </c>
      <c r="N47" s="211">
        <v>0</v>
      </c>
      <c r="O47" s="88"/>
      <c r="P47" s="20">
        <f t="shared" si="0"/>
        <v>4</v>
      </c>
    </row>
    <row r="48" spans="3:16">
      <c r="C48" s="80" t="s">
        <v>137</v>
      </c>
      <c r="D48" s="78" t="s">
        <v>61</v>
      </c>
      <c r="E48" s="129"/>
      <c r="F48" s="88">
        <v>0</v>
      </c>
      <c r="G48" s="88">
        <v>0</v>
      </c>
      <c r="H48" s="97">
        <v>0</v>
      </c>
      <c r="I48" s="97"/>
      <c r="J48" s="82">
        <v>4</v>
      </c>
      <c r="K48" s="79">
        <v>0</v>
      </c>
      <c r="L48" s="79">
        <v>0</v>
      </c>
      <c r="M48" s="79">
        <v>0</v>
      </c>
      <c r="N48" s="211">
        <v>0</v>
      </c>
      <c r="O48" s="88"/>
      <c r="P48" s="20">
        <f t="shared" si="0"/>
        <v>4</v>
      </c>
    </row>
    <row r="49" spans="3:23">
      <c r="C49" s="85" t="s">
        <v>139</v>
      </c>
      <c r="D49" s="78" t="s">
        <v>61</v>
      </c>
      <c r="E49" s="130"/>
      <c r="F49" s="88">
        <v>0</v>
      </c>
      <c r="G49" s="88">
        <v>0</v>
      </c>
      <c r="H49" s="97">
        <v>0</v>
      </c>
      <c r="I49" s="97"/>
      <c r="J49" s="82">
        <v>4</v>
      </c>
      <c r="K49" s="79">
        <v>0</v>
      </c>
      <c r="L49" s="79">
        <v>0</v>
      </c>
      <c r="M49" s="79">
        <v>0</v>
      </c>
      <c r="N49" s="211">
        <v>0</v>
      </c>
      <c r="O49" s="88"/>
      <c r="P49" s="20">
        <f t="shared" si="0"/>
        <v>4</v>
      </c>
    </row>
    <row r="50" spans="3:23">
      <c r="C50" s="89" t="s">
        <v>141</v>
      </c>
      <c r="D50" s="78" t="s">
        <v>61</v>
      </c>
      <c r="E50" s="131"/>
      <c r="F50" s="88">
        <v>0</v>
      </c>
      <c r="G50" s="88">
        <v>0</v>
      </c>
      <c r="H50" s="97">
        <v>0</v>
      </c>
      <c r="I50" s="97"/>
      <c r="J50" s="82">
        <v>4</v>
      </c>
      <c r="K50" s="79">
        <v>0</v>
      </c>
      <c r="L50" s="79">
        <v>0</v>
      </c>
      <c r="M50" s="79">
        <v>0</v>
      </c>
      <c r="N50" s="211">
        <v>0</v>
      </c>
      <c r="O50" s="88"/>
      <c r="P50" s="20">
        <f t="shared" si="0"/>
        <v>4</v>
      </c>
    </row>
    <row r="51" spans="3:23">
      <c r="C51" s="91" t="s">
        <v>143</v>
      </c>
      <c r="D51" s="78" t="s">
        <v>61</v>
      </c>
      <c r="E51" s="132"/>
      <c r="F51" s="88">
        <v>0</v>
      </c>
      <c r="G51" s="88">
        <v>0</v>
      </c>
      <c r="H51" s="97">
        <v>0</v>
      </c>
      <c r="I51" s="97"/>
      <c r="J51" s="82">
        <v>4</v>
      </c>
      <c r="K51" s="79">
        <v>0</v>
      </c>
      <c r="L51" s="79">
        <v>0</v>
      </c>
      <c r="M51" s="79">
        <v>0</v>
      </c>
      <c r="N51" s="211">
        <v>0</v>
      </c>
      <c r="O51" s="88"/>
      <c r="P51" s="20">
        <f t="shared" si="0"/>
        <v>4</v>
      </c>
    </row>
    <row r="52" spans="3:23">
      <c r="C52" s="133" t="s">
        <v>145</v>
      </c>
      <c r="D52" s="78" t="s">
        <v>61</v>
      </c>
      <c r="E52" s="134"/>
      <c r="F52" s="88">
        <v>0</v>
      </c>
      <c r="G52" s="82">
        <v>0</v>
      </c>
      <c r="H52" s="97">
        <v>0</v>
      </c>
      <c r="I52" s="97"/>
      <c r="J52" s="83">
        <v>4</v>
      </c>
      <c r="K52" s="79">
        <v>0</v>
      </c>
      <c r="L52" s="79">
        <v>0</v>
      </c>
      <c r="M52" s="79">
        <v>0</v>
      </c>
      <c r="N52" s="211">
        <v>0</v>
      </c>
      <c r="O52" s="88"/>
      <c r="P52" s="20">
        <f t="shared" si="0"/>
        <v>4</v>
      </c>
    </row>
    <row r="53" spans="3:23">
      <c r="C53" s="91" t="s">
        <v>147</v>
      </c>
      <c r="D53" s="78" t="s">
        <v>61</v>
      </c>
      <c r="E53" s="132"/>
      <c r="F53" s="88">
        <v>0</v>
      </c>
      <c r="G53" s="82">
        <v>3</v>
      </c>
      <c r="H53" s="97">
        <v>0</v>
      </c>
      <c r="I53" s="97"/>
      <c r="J53" s="83">
        <v>0</v>
      </c>
      <c r="K53" s="79">
        <v>0</v>
      </c>
      <c r="L53" s="79">
        <v>0</v>
      </c>
      <c r="M53" s="79">
        <v>0</v>
      </c>
      <c r="N53" s="211">
        <v>0</v>
      </c>
      <c r="O53" s="88"/>
      <c r="P53" s="20">
        <f t="shared" si="0"/>
        <v>3</v>
      </c>
    </row>
    <row r="54" spans="3:23">
      <c r="C54" s="96" t="s">
        <v>149</v>
      </c>
      <c r="D54" s="78" t="s">
        <v>61</v>
      </c>
      <c r="E54" s="135"/>
      <c r="F54" s="88">
        <v>0</v>
      </c>
      <c r="G54" s="88">
        <v>0</v>
      </c>
      <c r="H54" s="97">
        <v>0</v>
      </c>
      <c r="I54" s="97"/>
      <c r="J54" s="82">
        <v>4</v>
      </c>
      <c r="K54" s="79">
        <v>0</v>
      </c>
      <c r="L54" s="79">
        <v>0</v>
      </c>
      <c r="M54" s="79">
        <v>0</v>
      </c>
      <c r="N54" s="211">
        <v>0</v>
      </c>
      <c r="O54" s="88"/>
      <c r="P54" s="20">
        <f t="shared" si="0"/>
        <v>4</v>
      </c>
    </row>
    <row r="55" spans="3:23">
      <c r="C55" s="133" t="s">
        <v>153</v>
      </c>
      <c r="D55" s="78" t="s">
        <v>61</v>
      </c>
      <c r="E55" s="135"/>
      <c r="F55" s="88">
        <v>0</v>
      </c>
      <c r="G55" s="88">
        <v>0</v>
      </c>
      <c r="H55" s="97">
        <v>0</v>
      </c>
      <c r="I55" s="97"/>
      <c r="J55" s="82">
        <v>0</v>
      </c>
      <c r="K55" s="79">
        <v>0</v>
      </c>
      <c r="L55" s="79">
        <v>1</v>
      </c>
      <c r="M55" s="79">
        <v>0</v>
      </c>
      <c r="N55" s="211">
        <v>0</v>
      </c>
      <c r="O55" s="88"/>
      <c r="P55" s="20">
        <f t="shared" si="0"/>
        <v>1</v>
      </c>
    </row>
    <row r="56" spans="3:23">
      <c r="C56" s="133" t="s">
        <v>155</v>
      </c>
      <c r="D56" s="78" t="s">
        <v>61</v>
      </c>
      <c r="E56" s="135"/>
      <c r="F56" s="88">
        <v>0</v>
      </c>
      <c r="G56" s="88">
        <v>0</v>
      </c>
      <c r="H56" s="97">
        <v>0</v>
      </c>
      <c r="I56" s="97"/>
      <c r="J56" s="82">
        <v>0</v>
      </c>
      <c r="K56" s="79">
        <v>1</v>
      </c>
      <c r="L56" s="79">
        <v>0</v>
      </c>
      <c r="M56" s="79">
        <v>0</v>
      </c>
      <c r="N56" s="211">
        <v>0</v>
      </c>
      <c r="O56" s="88"/>
      <c r="P56" s="20">
        <f t="shared" si="0"/>
        <v>1</v>
      </c>
    </row>
    <row r="57" spans="3:23">
      <c r="C57" s="133" t="s">
        <v>157</v>
      </c>
      <c r="D57" s="78" t="s">
        <v>61</v>
      </c>
      <c r="E57" s="135"/>
      <c r="F57" s="88">
        <v>0</v>
      </c>
      <c r="G57" s="88">
        <v>0</v>
      </c>
      <c r="H57" s="97">
        <v>0</v>
      </c>
      <c r="I57" s="97"/>
      <c r="J57" s="82">
        <v>0</v>
      </c>
      <c r="K57" s="79">
        <v>1</v>
      </c>
      <c r="L57" s="79">
        <v>0</v>
      </c>
      <c r="M57" s="79">
        <v>0</v>
      </c>
      <c r="N57" s="211">
        <v>0</v>
      </c>
      <c r="O57" s="88"/>
      <c r="P57" s="20">
        <f t="shared" si="0"/>
        <v>1</v>
      </c>
    </row>
    <row r="58" spans="3:23">
      <c r="C58" s="133" t="s">
        <v>151</v>
      </c>
      <c r="D58" s="78" t="s">
        <v>61</v>
      </c>
      <c r="E58" s="138" t="s">
        <v>194</v>
      </c>
      <c r="F58" s="94">
        <v>0</v>
      </c>
      <c r="G58" s="93">
        <v>0</v>
      </c>
      <c r="H58" s="93">
        <v>0</v>
      </c>
      <c r="I58" s="93">
        <v>0</v>
      </c>
      <c r="J58" s="93">
        <v>0</v>
      </c>
      <c r="K58" s="79">
        <v>1</v>
      </c>
      <c r="L58" s="79">
        <v>0</v>
      </c>
      <c r="M58" s="79">
        <v>0</v>
      </c>
      <c r="N58" s="211">
        <v>0</v>
      </c>
      <c r="O58" s="93">
        <v>0</v>
      </c>
      <c r="P58" s="20">
        <f t="shared" si="0"/>
        <v>1</v>
      </c>
    </row>
    <row r="59" spans="3:23">
      <c r="P59" s="20">
        <f t="shared" si="0"/>
        <v>0</v>
      </c>
    </row>
    <row r="60" spans="3:23" ht="15" thickBot="1">
      <c r="C60" s="77" t="s">
        <v>70</v>
      </c>
      <c r="D60" s="2" t="s">
        <v>62</v>
      </c>
      <c r="F60" s="159">
        <v>144</v>
      </c>
      <c r="G60" s="159">
        <v>0</v>
      </c>
      <c r="H60" s="159">
        <v>0</v>
      </c>
      <c r="I60" s="159">
        <v>0</v>
      </c>
      <c r="J60" s="159">
        <v>16</v>
      </c>
      <c r="K60" s="79">
        <v>0</v>
      </c>
      <c r="L60" s="79">
        <v>0</v>
      </c>
      <c r="M60" s="79">
        <v>0</v>
      </c>
      <c r="N60" s="159">
        <v>4</v>
      </c>
      <c r="P60" s="20">
        <f t="shared" si="0"/>
        <v>164</v>
      </c>
      <c r="R60" s="21">
        <v>40</v>
      </c>
      <c r="S60" s="21">
        <v>9</v>
      </c>
      <c r="T60" s="21">
        <v>2</v>
      </c>
      <c r="U60" s="21">
        <v>0</v>
      </c>
      <c r="V60" s="21">
        <v>16</v>
      </c>
      <c r="W60" s="16"/>
    </row>
    <row r="61" spans="3:23" ht="15" thickBot="1">
      <c r="C61" s="74" t="s">
        <v>72</v>
      </c>
      <c r="D61" s="2" t="s">
        <v>62</v>
      </c>
      <c r="F61" s="159">
        <v>136</v>
      </c>
      <c r="G61" s="159">
        <v>0</v>
      </c>
      <c r="H61" s="159">
        <v>0</v>
      </c>
      <c r="I61" s="159">
        <v>0</v>
      </c>
      <c r="J61" s="159">
        <v>16</v>
      </c>
      <c r="K61" s="79">
        <v>0</v>
      </c>
      <c r="L61" s="79">
        <v>0</v>
      </c>
      <c r="M61" s="79">
        <v>0</v>
      </c>
      <c r="N61" s="159">
        <v>4</v>
      </c>
      <c r="P61" s="20">
        <f t="shared" si="0"/>
        <v>156</v>
      </c>
      <c r="R61" s="50">
        <v>40</v>
      </c>
      <c r="S61" s="50">
        <v>6</v>
      </c>
      <c r="T61" s="50">
        <v>2</v>
      </c>
      <c r="U61" s="50">
        <v>2</v>
      </c>
      <c r="V61" s="50">
        <v>16</v>
      </c>
      <c r="W61" s="16"/>
    </row>
    <row r="62" spans="3:23" ht="15" thickBot="1">
      <c r="C62" s="76" t="s">
        <v>74</v>
      </c>
      <c r="D62" s="2" t="s">
        <v>62</v>
      </c>
      <c r="F62" s="159">
        <v>132</v>
      </c>
      <c r="G62" s="159">
        <v>0</v>
      </c>
      <c r="H62" s="159">
        <v>0</v>
      </c>
      <c r="I62" s="159">
        <v>0</v>
      </c>
      <c r="J62" s="159">
        <v>20</v>
      </c>
      <c r="K62" s="79">
        <v>0</v>
      </c>
      <c r="L62" s="79">
        <v>0</v>
      </c>
      <c r="M62" s="79">
        <v>0</v>
      </c>
      <c r="N62" s="159">
        <v>0</v>
      </c>
      <c r="P62" s="20">
        <f t="shared" si="0"/>
        <v>152</v>
      </c>
      <c r="R62" s="50">
        <v>44</v>
      </c>
      <c r="S62" s="50">
        <v>9</v>
      </c>
      <c r="T62" s="50">
        <v>0</v>
      </c>
      <c r="U62" s="50">
        <v>0</v>
      </c>
      <c r="V62" s="50">
        <v>16</v>
      </c>
      <c r="W62" s="16"/>
    </row>
    <row r="63" spans="3:23" ht="15" thickBot="1">
      <c r="C63" s="74" t="s">
        <v>76</v>
      </c>
      <c r="D63" s="2" t="s">
        <v>62</v>
      </c>
      <c r="F63" s="159">
        <v>136</v>
      </c>
      <c r="G63" s="159">
        <v>0</v>
      </c>
      <c r="H63" s="159">
        <v>0</v>
      </c>
      <c r="I63" s="159">
        <v>0</v>
      </c>
      <c r="J63" s="159">
        <v>20</v>
      </c>
      <c r="K63" s="79">
        <v>0</v>
      </c>
      <c r="L63" s="79">
        <v>0</v>
      </c>
      <c r="M63" s="79">
        <v>0</v>
      </c>
      <c r="N63" s="159">
        <v>0</v>
      </c>
      <c r="P63" s="20">
        <f t="shared" si="0"/>
        <v>156</v>
      </c>
      <c r="R63" s="50">
        <v>40</v>
      </c>
      <c r="S63" s="50">
        <v>9</v>
      </c>
      <c r="T63" s="50">
        <v>4</v>
      </c>
      <c r="U63" s="50">
        <v>2</v>
      </c>
      <c r="V63" s="50">
        <v>12</v>
      </c>
      <c r="W63" s="16"/>
    </row>
    <row r="64" spans="3:23" ht="15" thickBot="1">
      <c r="C64" s="76" t="s">
        <v>78</v>
      </c>
      <c r="D64" s="2" t="s">
        <v>62</v>
      </c>
      <c r="F64" s="159">
        <v>136</v>
      </c>
      <c r="G64" s="159">
        <v>0</v>
      </c>
      <c r="H64" s="159">
        <v>0</v>
      </c>
      <c r="I64" s="159">
        <v>0</v>
      </c>
      <c r="J64" s="159">
        <v>20</v>
      </c>
      <c r="K64" s="79">
        <v>0</v>
      </c>
      <c r="L64" s="79">
        <v>0</v>
      </c>
      <c r="M64" s="79">
        <v>0</v>
      </c>
      <c r="N64" s="159">
        <v>0</v>
      </c>
      <c r="P64" s="20">
        <f t="shared" si="0"/>
        <v>156</v>
      </c>
      <c r="R64" s="56">
        <v>40</v>
      </c>
      <c r="S64" s="56">
        <v>9</v>
      </c>
      <c r="T64" s="56">
        <v>2</v>
      </c>
      <c r="U64" s="56">
        <v>2</v>
      </c>
      <c r="V64" s="56">
        <v>16</v>
      </c>
      <c r="W64" s="16"/>
    </row>
    <row r="65" spans="3:23">
      <c r="C65" s="74" t="s">
        <v>80</v>
      </c>
      <c r="D65" s="2" t="s">
        <v>62</v>
      </c>
      <c r="F65" s="159">
        <v>132</v>
      </c>
      <c r="G65" s="159">
        <v>0</v>
      </c>
      <c r="H65" s="159">
        <v>0</v>
      </c>
      <c r="I65" s="159">
        <v>0</v>
      </c>
      <c r="J65" s="159">
        <v>20</v>
      </c>
      <c r="K65" s="79">
        <v>0</v>
      </c>
      <c r="L65" s="79">
        <v>0</v>
      </c>
      <c r="M65" s="79">
        <v>0</v>
      </c>
      <c r="N65" s="159">
        <v>4</v>
      </c>
      <c r="P65" s="20">
        <f t="shared" si="0"/>
        <v>156</v>
      </c>
      <c r="R65" s="56">
        <v>40</v>
      </c>
      <c r="S65" s="56">
        <v>6</v>
      </c>
      <c r="T65" s="56">
        <v>4</v>
      </c>
      <c r="U65" s="56">
        <v>1</v>
      </c>
      <c r="V65" s="56">
        <v>16</v>
      </c>
      <c r="W65" s="16"/>
    </row>
    <row r="66" spans="3:23" ht="15" thickBot="1">
      <c r="C66" s="75" t="s">
        <v>82</v>
      </c>
      <c r="D66" s="2" t="s">
        <v>62</v>
      </c>
      <c r="F66" s="159">
        <v>144</v>
      </c>
      <c r="G66" s="159">
        <v>0</v>
      </c>
      <c r="H66" s="159">
        <v>0</v>
      </c>
      <c r="I66" s="159">
        <v>0</v>
      </c>
      <c r="J66" s="159">
        <v>12</v>
      </c>
      <c r="K66" s="79">
        <v>0</v>
      </c>
      <c r="L66" s="79">
        <v>0</v>
      </c>
      <c r="M66" s="79">
        <v>0</v>
      </c>
      <c r="N66" s="159">
        <v>0</v>
      </c>
      <c r="P66" s="20">
        <f t="shared" si="0"/>
        <v>156</v>
      </c>
      <c r="R66" s="56">
        <v>44</v>
      </c>
      <c r="S66" s="56">
        <v>3</v>
      </c>
      <c r="T66" s="56">
        <v>4</v>
      </c>
      <c r="U66" s="56">
        <v>2</v>
      </c>
      <c r="V66" s="56">
        <v>12</v>
      </c>
      <c r="W66" s="16"/>
    </row>
    <row r="67" spans="3:23" ht="15" thickBot="1">
      <c r="C67" s="76" t="s">
        <v>84</v>
      </c>
      <c r="D67" s="2" t="s">
        <v>62</v>
      </c>
      <c r="F67" s="159">
        <v>140</v>
      </c>
      <c r="G67" s="159">
        <v>0</v>
      </c>
      <c r="H67" s="159">
        <v>0</v>
      </c>
      <c r="I67" s="159">
        <v>0</v>
      </c>
      <c r="J67" s="159">
        <v>12</v>
      </c>
      <c r="K67" s="79">
        <v>0</v>
      </c>
      <c r="L67" s="79">
        <v>0</v>
      </c>
      <c r="M67" s="79">
        <v>0</v>
      </c>
      <c r="N67" s="159">
        <v>4</v>
      </c>
      <c r="P67" s="20">
        <f t="shared" si="0"/>
        <v>156</v>
      </c>
      <c r="R67" s="56">
        <v>64</v>
      </c>
      <c r="S67" s="56">
        <v>15</v>
      </c>
      <c r="T67" s="56">
        <v>4</v>
      </c>
      <c r="U67" s="56">
        <v>1</v>
      </c>
      <c r="V67" s="56">
        <v>16</v>
      </c>
      <c r="W67" s="16"/>
    </row>
    <row r="68" spans="3:23" ht="15" thickBot="1">
      <c r="C68" s="74" t="s">
        <v>86</v>
      </c>
      <c r="D68" s="2" t="s">
        <v>62</v>
      </c>
      <c r="F68" s="159">
        <v>136</v>
      </c>
      <c r="G68" s="159">
        <v>0</v>
      </c>
      <c r="H68" s="159">
        <v>0</v>
      </c>
      <c r="I68" s="159">
        <v>0</v>
      </c>
      <c r="J68" s="159">
        <v>20</v>
      </c>
      <c r="K68" s="79">
        <v>0</v>
      </c>
      <c r="L68" s="79">
        <v>0</v>
      </c>
      <c r="M68" s="79">
        <v>0</v>
      </c>
      <c r="N68" s="159">
        <v>0</v>
      </c>
      <c r="P68" s="20">
        <f t="shared" ref="P68:P131" si="2">SUM(F68:O68)</f>
        <v>156</v>
      </c>
      <c r="R68" s="56">
        <v>63.2</v>
      </c>
      <c r="S68" s="56">
        <v>9</v>
      </c>
      <c r="T68" s="56">
        <v>4</v>
      </c>
      <c r="U68" s="56">
        <v>3</v>
      </c>
      <c r="V68" s="56">
        <v>16</v>
      </c>
      <c r="W68" s="16"/>
    </row>
    <row r="69" spans="3:23" ht="15" thickBot="1">
      <c r="C69" s="76" t="s">
        <v>90</v>
      </c>
      <c r="D69" s="2" t="s">
        <v>62</v>
      </c>
      <c r="E69" s="59"/>
      <c r="F69" s="159">
        <v>144</v>
      </c>
      <c r="G69" s="159">
        <v>0</v>
      </c>
      <c r="H69" s="159">
        <v>0</v>
      </c>
      <c r="I69" s="159">
        <v>0</v>
      </c>
      <c r="J69" s="159">
        <v>12</v>
      </c>
      <c r="K69" s="79">
        <v>0</v>
      </c>
      <c r="L69" s="79">
        <v>0</v>
      </c>
      <c r="M69" s="79">
        <v>0</v>
      </c>
      <c r="N69" s="159">
        <v>0</v>
      </c>
      <c r="P69" s="20">
        <f t="shared" si="2"/>
        <v>156</v>
      </c>
      <c r="R69" s="60">
        <v>64</v>
      </c>
      <c r="S69" s="60">
        <v>9</v>
      </c>
      <c r="T69" s="60">
        <v>6</v>
      </c>
      <c r="U69" s="60">
        <v>3</v>
      </c>
      <c r="V69" s="60">
        <v>12</v>
      </c>
      <c r="W69" s="45"/>
    </row>
    <row r="70" spans="3:23" ht="15" thickBot="1">
      <c r="C70" s="74" t="s">
        <v>94</v>
      </c>
      <c r="D70" s="2" t="s">
        <v>62</v>
      </c>
      <c r="E70" s="59"/>
      <c r="F70" s="159">
        <v>136</v>
      </c>
      <c r="G70" s="159">
        <v>0</v>
      </c>
      <c r="H70" s="159">
        <v>0</v>
      </c>
      <c r="I70" s="159">
        <v>0</v>
      </c>
      <c r="J70" s="159">
        <v>12</v>
      </c>
      <c r="K70" s="79">
        <v>0</v>
      </c>
      <c r="L70" s="79">
        <v>0</v>
      </c>
      <c r="M70" s="79">
        <v>0</v>
      </c>
      <c r="N70" s="159">
        <v>0</v>
      </c>
      <c r="P70" s="20">
        <f t="shared" si="2"/>
        <v>148</v>
      </c>
      <c r="R70" s="69">
        <v>20</v>
      </c>
      <c r="S70" s="44">
        <v>0</v>
      </c>
      <c r="T70" s="44">
        <v>0</v>
      </c>
      <c r="U70" s="70">
        <v>0</v>
      </c>
      <c r="V70" s="62">
        <v>4</v>
      </c>
      <c r="W70" s="71">
        <v>96</v>
      </c>
    </row>
    <row r="71" spans="3:23" ht="15" thickBot="1">
      <c r="C71" s="76" t="s">
        <v>98</v>
      </c>
      <c r="D71" s="2" t="s">
        <v>62</v>
      </c>
      <c r="E71" s="59"/>
      <c r="F71" s="159">
        <v>136</v>
      </c>
      <c r="G71" s="159">
        <v>0</v>
      </c>
      <c r="H71" s="159">
        <v>0</v>
      </c>
      <c r="I71" s="159">
        <v>0</v>
      </c>
      <c r="J71" s="159">
        <v>12</v>
      </c>
      <c r="K71" s="79">
        <v>0</v>
      </c>
      <c r="L71" s="79">
        <v>0</v>
      </c>
      <c r="M71" s="79">
        <v>0</v>
      </c>
      <c r="N71" s="159">
        <v>0</v>
      </c>
      <c r="P71" s="20">
        <f t="shared" si="2"/>
        <v>148</v>
      </c>
      <c r="R71" s="69">
        <v>20</v>
      </c>
      <c r="S71" s="44">
        <v>0</v>
      </c>
      <c r="T71" s="44">
        <v>0</v>
      </c>
      <c r="U71" s="70">
        <v>0</v>
      </c>
      <c r="V71" s="44">
        <v>0</v>
      </c>
      <c r="W71" s="71">
        <v>80</v>
      </c>
    </row>
    <row r="72" spans="3:23" ht="15" thickBot="1">
      <c r="C72" s="74" t="s">
        <v>102</v>
      </c>
      <c r="D72" s="2" t="s">
        <v>62</v>
      </c>
      <c r="E72" s="59"/>
      <c r="F72" s="159">
        <v>140</v>
      </c>
      <c r="G72" s="159">
        <v>0</v>
      </c>
      <c r="H72" s="159">
        <v>0</v>
      </c>
      <c r="I72" s="159">
        <v>0</v>
      </c>
      <c r="J72" s="159">
        <v>16</v>
      </c>
      <c r="K72" s="79">
        <v>0</v>
      </c>
      <c r="L72" s="79">
        <v>0</v>
      </c>
      <c r="M72" s="79">
        <v>0</v>
      </c>
      <c r="N72" s="159">
        <v>4</v>
      </c>
      <c r="P72" s="20">
        <f t="shared" si="2"/>
        <v>160</v>
      </c>
      <c r="R72" s="69">
        <v>20</v>
      </c>
      <c r="S72" s="44">
        <v>0</v>
      </c>
      <c r="T72" s="44">
        <v>0</v>
      </c>
      <c r="U72" s="70">
        <v>0</v>
      </c>
      <c r="V72" s="62">
        <v>4</v>
      </c>
      <c r="W72" s="71">
        <v>96</v>
      </c>
    </row>
    <row r="73" spans="3:23" ht="15" thickBot="1">
      <c r="C73" s="72" t="s">
        <v>106</v>
      </c>
      <c r="D73" s="2"/>
      <c r="F73" s="159">
        <v>116</v>
      </c>
      <c r="G73" s="159">
        <v>36</v>
      </c>
      <c r="H73" s="159">
        <v>30</v>
      </c>
      <c r="I73" s="159">
        <v>5</v>
      </c>
      <c r="J73" s="159">
        <v>0</v>
      </c>
      <c r="K73" s="79">
        <v>0</v>
      </c>
      <c r="L73" s="79">
        <v>0</v>
      </c>
      <c r="M73" s="79">
        <v>0</v>
      </c>
      <c r="N73" s="159">
        <v>0</v>
      </c>
      <c r="P73" s="20">
        <f t="shared" si="2"/>
        <v>187</v>
      </c>
      <c r="R73" s="14"/>
      <c r="S73" s="30"/>
      <c r="T73" s="30"/>
      <c r="U73" s="15"/>
      <c r="V73" s="22"/>
      <c r="W73" s="12"/>
    </row>
    <row r="74" spans="3:23" ht="15" thickBot="1">
      <c r="C74" s="73" t="s">
        <v>110</v>
      </c>
      <c r="D74" s="2"/>
      <c r="F74" s="159">
        <v>92</v>
      </c>
      <c r="G74" s="159">
        <v>45</v>
      </c>
      <c r="H74" s="159">
        <v>32</v>
      </c>
      <c r="I74" s="159">
        <v>6</v>
      </c>
      <c r="J74" s="159">
        <v>8</v>
      </c>
      <c r="K74" s="79">
        <v>0</v>
      </c>
      <c r="L74" s="79">
        <v>0</v>
      </c>
      <c r="M74" s="79">
        <v>0</v>
      </c>
      <c r="N74" s="159">
        <v>0</v>
      </c>
      <c r="P74" s="20">
        <f t="shared" si="2"/>
        <v>183</v>
      </c>
      <c r="R74" s="14"/>
      <c r="S74" s="30"/>
      <c r="T74" s="30"/>
      <c r="U74" s="15"/>
      <c r="V74" s="22"/>
      <c r="W74" s="12"/>
    </row>
    <row r="75" spans="3:23">
      <c r="C75" s="72" t="s">
        <v>113</v>
      </c>
      <c r="D75" s="2"/>
      <c r="F75" s="159">
        <v>104</v>
      </c>
      <c r="G75" s="159">
        <v>33</v>
      </c>
      <c r="H75" s="159">
        <v>28</v>
      </c>
      <c r="I75" s="159">
        <v>9</v>
      </c>
      <c r="J75" s="159">
        <v>0</v>
      </c>
      <c r="K75" s="79">
        <v>0</v>
      </c>
      <c r="L75" s="79">
        <v>0</v>
      </c>
      <c r="M75" s="79">
        <v>0</v>
      </c>
      <c r="N75" s="159">
        <v>0</v>
      </c>
      <c r="P75" s="20">
        <f t="shared" si="2"/>
        <v>174</v>
      </c>
      <c r="R75" s="14"/>
      <c r="S75" s="30"/>
      <c r="T75" s="30"/>
      <c r="U75" s="15"/>
      <c r="V75" s="22"/>
      <c r="W75" s="12"/>
    </row>
    <row r="76" spans="3:23" ht="15" thickBot="1">
      <c r="C76" s="77" t="s">
        <v>71</v>
      </c>
      <c r="D76" s="2"/>
      <c r="F76" s="213">
        <v>28</v>
      </c>
      <c r="G76" s="213">
        <f t="shared" ref="G76:I88" si="3">SUM(G60*0.2)</f>
        <v>0</v>
      </c>
      <c r="H76" s="213">
        <f t="shared" si="3"/>
        <v>0</v>
      </c>
      <c r="I76" s="213">
        <f t="shared" si="3"/>
        <v>0</v>
      </c>
      <c r="J76" s="213">
        <v>4</v>
      </c>
      <c r="K76" s="79">
        <v>0</v>
      </c>
      <c r="L76" s="79">
        <v>0</v>
      </c>
      <c r="M76" s="79">
        <v>0</v>
      </c>
      <c r="N76" s="159">
        <v>0</v>
      </c>
      <c r="P76" s="20">
        <f t="shared" si="2"/>
        <v>32</v>
      </c>
      <c r="R76" s="14"/>
      <c r="S76" s="30"/>
      <c r="T76" s="30"/>
      <c r="U76" s="15"/>
      <c r="V76" s="22"/>
      <c r="W76" s="12"/>
    </row>
    <row r="77" spans="3:23" ht="15" thickBot="1">
      <c r="C77" s="74" t="s">
        <v>73</v>
      </c>
      <c r="D77" s="2"/>
      <c r="F77" s="213">
        <v>28</v>
      </c>
      <c r="G77" s="213">
        <f t="shared" si="3"/>
        <v>0</v>
      </c>
      <c r="H77" s="213">
        <f t="shared" si="3"/>
        <v>0</v>
      </c>
      <c r="I77" s="213">
        <f t="shared" si="3"/>
        <v>0</v>
      </c>
      <c r="J77" s="213">
        <v>4</v>
      </c>
      <c r="K77" s="79">
        <v>0</v>
      </c>
      <c r="L77" s="79">
        <v>0</v>
      </c>
      <c r="M77" s="79">
        <v>0</v>
      </c>
      <c r="N77" s="159">
        <v>0</v>
      </c>
      <c r="P77" s="20">
        <f t="shared" si="2"/>
        <v>32</v>
      </c>
      <c r="R77" s="14"/>
      <c r="S77" s="30"/>
      <c r="T77" s="30"/>
      <c r="U77" s="15"/>
      <c r="V77" s="22"/>
      <c r="W77" s="12"/>
    </row>
    <row r="78" spans="3:23" ht="15" thickBot="1">
      <c r="C78" s="76" t="s">
        <v>75</v>
      </c>
      <c r="D78" s="2"/>
      <c r="F78" s="213">
        <v>24</v>
      </c>
      <c r="G78" s="213">
        <f t="shared" si="3"/>
        <v>0</v>
      </c>
      <c r="H78" s="213">
        <f t="shared" si="3"/>
        <v>0</v>
      </c>
      <c r="I78" s="213">
        <f t="shared" si="3"/>
        <v>0</v>
      </c>
      <c r="J78" s="213">
        <v>4</v>
      </c>
      <c r="K78" s="79">
        <v>0</v>
      </c>
      <c r="L78" s="79">
        <v>0</v>
      </c>
      <c r="M78" s="79">
        <v>0</v>
      </c>
      <c r="N78" s="159">
        <v>0</v>
      </c>
      <c r="P78" s="20">
        <f t="shared" si="2"/>
        <v>28</v>
      </c>
      <c r="R78" s="14"/>
      <c r="S78" s="30"/>
      <c r="T78" s="30"/>
      <c r="U78" s="15"/>
      <c r="V78" s="22"/>
      <c r="W78" s="12"/>
    </row>
    <row r="79" spans="3:23" ht="15" thickBot="1">
      <c r="C79" s="74" t="s">
        <v>77</v>
      </c>
      <c r="D79" s="2"/>
      <c r="F79" s="213">
        <v>28</v>
      </c>
      <c r="G79" s="213">
        <f t="shared" si="3"/>
        <v>0</v>
      </c>
      <c r="H79" s="213">
        <f t="shared" si="3"/>
        <v>0</v>
      </c>
      <c r="I79" s="213">
        <f t="shared" si="3"/>
        <v>0</v>
      </c>
      <c r="J79" s="213">
        <v>4</v>
      </c>
      <c r="K79" s="79">
        <v>0</v>
      </c>
      <c r="L79" s="79">
        <v>0</v>
      </c>
      <c r="M79" s="79">
        <v>0</v>
      </c>
      <c r="N79" s="159">
        <v>0</v>
      </c>
      <c r="P79" s="20">
        <f t="shared" si="2"/>
        <v>32</v>
      </c>
      <c r="R79" s="14"/>
      <c r="S79" s="30"/>
      <c r="T79" s="30"/>
      <c r="U79" s="15"/>
      <c r="V79" s="22"/>
      <c r="W79" s="12"/>
    </row>
    <row r="80" spans="3:23" ht="15" thickBot="1">
      <c r="C80" s="76" t="s">
        <v>79</v>
      </c>
      <c r="D80" s="2"/>
      <c r="F80" s="213">
        <v>28</v>
      </c>
      <c r="G80" s="213">
        <f t="shared" si="3"/>
        <v>0</v>
      </c>
      <c r="H80" s="213">
        <f t="shared" si="3"/>
        <v>0</v>
      </c>
      <c r="I80" s="213">
        <f t="shared" si="3"/>
        <v>0</v>
      </c>
      <c r="J80" s="213">
        <v>4</v>
      </c>
      <c r="K80" s="79">
        <v>0</v>
      </c>
      <c r="L80" s="79">
        <v>0</v>
      </c>
      <c r="M80" s="79">
        <v>0</v>
      </c>
      <c r="N80" s="159">
        <v>0</v>
      </c>
      <c r="P80" s="20">
        <f t="shared" si="2"/>
        <v>32</v>
      </c>
      <c r="R80" s="14"/>
      <c r="S80" s="30"/>
      <c r="T80" s="30"/>
      <c r="U80" s="15"/>
      <c r="V80" s="22"/>
      <c r="W80" s="12"/>
    </row>
    <row r="81" spans="1:23" ht="15" thickBot="1">
      <c r="C81" s="74" t="s">
        <v>81</v>
      </c>
      <c r="D81" s="2"/>
      <c r="F81" s="213">
        <v>28</v>
      </c>
      <c r="G81" s="213">
        <f t="shared" si="3"/>
        <v>0</v>
      </c>
      <c r="H81" s="213">
        <f t="shared" si="3"/>
        <v>0</v>
      </c>
      <c r="I81" s="213">
        <f t="shared" si="3"/>
        <v>0</v>
      </c>
      <c r="J81" s="213">
        <v>4</v>
      </c>
      <c r="K81" s="79">
        <v>0</v>
      </c>
      <c r="L81" s="79">
        <v>0</v>
      </c>
      <c r="M81" s="79">
        <v>0</v>
      </c>
      <c r="N81" s="159">
        <v>0</v>
      </c>
      <c r="P81" s="20">
        <f t="shared" si="2"/>
        <v>32</v>
      </c>
      <c r="R81" s="14"/>
      <c r="S81" s="30"/>
      <c r="T81" s="30"/>
      <c r="U81" s="15"/>
      <c r="V81" s="22"/>
      <c r="W81" s="12"/>
    </row>
    <row r="82" spans="1:23" ht="15" thickBot="1">
      <c r="C82" s="76" t="s">
        <v>83</v>
      </c>
      <c r="D82" s="2"/>
      <c r="F82" s="213">
        <v>32</v>
      </c>
      <c r="G82" s="213">
        <f t="shared" si="3"/>
        <v>0</v>
      </c>
      <c r="H82" s="213">
        <f t="shared" si="3"/>
        <v>0</v>
      </c>
      <c r="I82" s="213">
        <f t="shared" si="3"/>
        <v>0</v>
      </c>
      <c r="J82" s="213">
        <v>4</v>
      </c>
      <c r="K82" s="79">
        <v>0</v>
      </c>
      <c r="L82" s="79">
        <v>0</v>
      </c>
      <c r="M82" s="79">
        <v>0</v>
      </c>
      <c r="N82" s="159">
        <v>0</v>
      </c>
      <c r="P82" s="20">
        <f t="shared" si="2"/>
        <v>36</v>
      </c>
      <c r="R82" s="14"/>
      <c r="S82" s="30"/>
      <c r="T82" s="30"/>
      <c r="U82" s="15"/>
      <c r="V82" s="22"/>
      <c r="W82" s="12"/>
    </row>
    <row r="83" spans="1:23" ht="15" thickBot="1">
      <c r="C83" s="74" t="s">
        <v>85</v>
      </c>
      <c r="D83" s="2"/>
      <c r="F83" s="213">
        <v>28</v>
      </c>
      <c r="G83" s="213">
        <f t="shared" si="3"/>
        <v>0</v>
      </c>
      <c r="H83" s="213">
        <f t="shared" si="3"/>
        <v>0</v>
      </c>
      <c r="I83" s="213">
        <f t="shared" si="3"/>
        <v>0</v>
      </c>
      <c r="J83" s="213">
        <v>4</v>
      </c>
      <c r="K83" s="79">
        <v>0</v>
      </c>
      <c r="L83" s="79">
        <v>0</v>
      </c>
      <c r="M83" s="79">
        <v>0</v>
      </c>
      <c r="N83" s="159">
        <v>0</v>
      </c>
      <c r="P83" s="20">
        <f t="shared" si="2"/>
        <v>32</v>
      </c>
      <c r="R83" s="14"/>
      <c r="S83" s="30"/>
      <c r="T83" s="30"/>
      <c r="U83" s="15"/>
      <c r="V83" s="22"/>
      <c r="W83" s="12"/>
    </row>
    <row r="84" spans="1:23" ht="15" thickBot="1">
      <c r="C84" s="76" t="s">
        <v>88</v>
      </c>
      <c r="D84" s="2"/>
      <c r="F84" s="213">
        <v>28</v>
      </c>
      <c r="G84" s="213">
        <f t="shared" si="3"/>
        <v>0</v>
      </c>
      <c r="H84" s="213">
        <f t="shared" si="3"/>
        <v>0</v>
      </c>
      <c r="I84" s="213">
        <f t="shared" si="3"/>
        <v>0</v>
      </c>
      <c r="J84" s="213">
        <v>4</v>
      </c>
      <c r="K84" s="79">
        <v>0</v>
      </c>
      <c r="L84" s="79">
        <v>0</v>
      </c>
      <c r="M84" s="79">
        <v>0</v>
      </c>
      <c r="N84" s="159">
        <v>0</v>
      </c>
      <c r="P84" s="20">
        <f t="shared" si="2"/>
        <v>32</v>
      </c>
      <c r="R84" s="14"/>
      <c r="S84" s="30"/>
      <c r="T84" s="30"/>
      <c r="U84" s="15"/>
      <c r="V84" s="22"/>
      <c r="W84" s="12"/>
    </row>
    <row r="85" spans="1:23" ht="15" thickBot="1">
      <c r="C85" s="74" t="s">
        <v>92</v>
      </c>
      <c r="D85" s="2"/>
      <c r="F85" s="213">
        <v>28</v>
      </c>
      <c r="G85" s="213">
        <f t="shared" si="3"/>
        <v>0</v>
      </c>
      <c r="H85" s="213">
        <f t="shared" si="3"/>
        <v>0</v>
      </c>
      <c r="I85" s="213">
        <f t="shared" si="3"/>
        <v>0</v>
      </c>
      <c r="J85" s="213">
        <v>4</v>
      </c>
      <c r="K85" s="79">
        <v>0</v>
      </c>
      <c r="L85" s="79">
        <v>0</v>
      </c>
      <c r="M85" s="79">
        <v>0</v>
      </c>
      <c r="N85" s="159">
        <v>0</v>
      </c>
      <c r="P85" s="20">
        <f t="shared" si="2"/>
        <v>32</v>
      </c>
      <c r="R85" s="14"/>
      <c r="S85" s="30"/>
      <c r="T85" s="30"/>
      <c r="U85" s="15"/>
      <c r="V85" s="22"/>
      <c r="W85" s="12"/>
    </row>
    <row r="86" spans="1:23" ht="15" thickBot="1">
      <c r="C86" s="76" t="s">
        <v>96</v>
      </c>
      <c r="D86" s="2"/>
      <c r="F86" s="213">
        <v>28</v>
      </c>
      <c r="G86" s="213">
        <f t="shared" si="3"/>
        <v>0</v>
      </c>
      <c r="H86" s="213">
        <f t="shared" si="3"/>
        <v>0</v>
      </c>
      <c r="I86" s="213">
        <f t="shared" si="3"/>
        <v>0</v>
      </c>
      <c r="J86" s="213">
        <v>4</v>
      </c>
      <c r="K86" s="79">
        <v>0</v>
      </c>
      <c r="L86" s="79">
        <v>0</v>
      </c>
      <c r="M86" s="79">
        <v>0</v>
      </c>
      <c r="N86" s="159">
        <v>0</v>
      </c>
      <c r="P86" s="20">
        <f t="shared" si="2"/>
        <v>32</v>
      </c>
      <c r="R86" s="14"/>
      <c r="S86" s="30"/>
      <c r="T86" s="30"/>
      <c r="U86" s="15"/>
      <c r="V86" s="22"/>
      <c r="W86" s="12"/>
    </row>
    <row r="87" spans="1:23" ht="15" thickBot="1">
      <c r="C87" s="74" t="s">
        <v>100</v>
      </c>
      <c r="D87" s="2"/>
      <c r="F87" s="213">
        <v>28</v>
      </c>
      <c r="G87" s="213">
        <f t="shared" si="3"/>
        <v>0</v>
      </c>
      <c r="H87" s="213">
        <f t="shared" si="3"/>
        <v>0</v>
      </c>
      <c r="I87" s="213">
        <f t="shared" si="3"/>
        <v>0</v>
      </c>
      <c r="J87" s="213">
        <v>4</v>
      </c>
      <c r="K87" s="79">
        <v>0</v>
      </c>
      <c r="L87" s="79">
        <v>0</v>
      </c>
      <c r="M87" s="79">
        <v>0</v>
      </c>
      <c r="N87" s="159">
        <v>0</v>
      </c>
      <c r="P87" s="20">
        <f t="shared" si="2"/>
        <v>32</v>
      </c>
      <c r="R87" s="14"/>
      <c r="S87" s="30"/>
      <c r="T87" s="30"/>
      <c r="U87" s="15"/>
      <c r="V87" s="22"/>
      <c r="W87" s="12"/>
    </row>
    <row r="88" spans="1:23" ht="15" thickBot="1">
      <c r="C88" s="76" t="s">
        <v>104</v>
      </c>
      <c r="D88" s="2"/>
      <c r="F88" s="213">
        <v>32</v>
      </c>
      <c r="G88" s="213">
        <f t="shared" si="3"/>
        <v>0</v>
      </c>
      <c r="H88" s="213">
        <f t="shared" si="3"/>
        <v>0</v>
      </c>
      <c r="I88" s="213">
        <f t="shared" si="3"/>
        <v>0</v>
      </c>
      <c r="J88" s="213">
        <v>4</v>
      </c>
      <c r="K88" s="79">
        <v>0</v>
      </c>
      <c r="L88" s="79">
        <v>0</v>
      </c>
      <c r="M88" s="79">
        <v>0</v>
      </c>
      <c r="N88" s="159">
        <v>0</v>
      </c>
      <c r="P88" s="20">
        <f t="shared" si="2"/>
        <v>36</v>
      </c>
      <c r="R88" s="14"/>
      <c r="S88" s="30"/>
      <c r="T88" s="30"/>
      <c r="U88" s="15"/>
      <c r="V88" s="22"/>
      <c r="W88" s="12"/>
    </row>
    <row r="89" spans="1:23" ht="15" thickBot="1">
      <c r="C89" s="72" t="s">
        <v>108</v>
      </c>
      <c r="D89" s="2"/>
      <c r="F89" s="213">
        <v>24</v>
      </c>
      <c r="G89" s="213">
        <v>27</v>
      </c>
      <c r="H89" s="213">
        <v>18</v>
      </c>
      <c r="I89" s="213">
        <v>5</v>
      </c>
      <c r="J89" s="213">
        <v>4</v>
      </c>
      <c r="K89" s="79">
        <v>0</v>
      </c>
      <c r="L89" s="79">
        <v>0</v>
      </c>
      <c r="M89" s="79">
        <v>0</v>
      </c>
      <c r="N89" s="159">
        <v>0</v>
      </c>
      <c r="P89" s="20">
        <f t="shared" si="2"/>
        <v>78</v>
      </c>
      <c r="R89" s="14"/>
      <c r="S89" s="30"/>
      <c r="T89" s="30"/>
      <c r="U89" s="15"/>
      <c r="V89" s="22"/>
      <c r="W89" s="12"/>
    </row>
    <row r="90" spans="1:23" ht="15" thickBot="1">
      <c r="C90" s="73" t="s">
        <v>112</v>
      </c>
      <c r="D90" s="2"/>
      <c r="F90" s="213">
        <v>16</v>
      </c>
      <c r="G90" s="213">
        <v>27</v>
      </c>
      <c r="H90" s="213">
        <v>18</v>
      </c>
      <c r="I90" s="213">
        <v>6</v>
      </c>
      <c r="J90" s="213">
        <v>4</v>
      </c>
      <c r="K90" s="79">
        <v>0</v>
      </c>
      <c r="L90" s="79">
        <v>0</v>
      </c>
      <c r="M90" s="79">
        <v>0</v>
      </c>
      <c r="N90" s="159">
        <v>0</v>
      </c>
      <c r="P90" s="20">
        <f t="shared" si="2"/>
        <v>71</v>
      </c>
      <c r="R90" s="14"/>
      <c r="S90" s="30"/>
      <c r="T90" s="30"/>
      <c r="U90" s="15"/>
      <c r="V90" s="22"/>
      <c r="W90" s="12"/>
    </row>
    <row r="91" spans="1:23">
      <c r="C91" s="72" t="s">
        <v>114</v>
      </c>
      <c r="D91" s="2"/>
      <c r="F91" s="213">
        <v>20</v>
      </c>
      <c r="G91" s="213">
        <v>27</v>
      </c>
      <c r="H91" s="213">
        <v>18</v>
      </c>
      <c r="I91" s="213">
        <v>9</v>
      </c>
      <c r="J91" s="213">
        <v>4</v>
      </c>
      <c r="K91" s="79">
        <v>0</v>
      </c>
      <c r="L91" s="79">
        <v>0</v>
      </c>
      <c r="M91" s="79">
        <v>0</v>
      </c>
      <c r="N91" s="159">
        <v>0</v>
      </c>
      <c r="P91" s="20">
        <f t="shared" si="2"/>
        <v>78</v>
      </c>
      <c r="R91" s="14"/>
      <c r="S91" s="30"/>
      <c r="T91" s="30"/>
      <c r="U91" s="15"/>
      <c r="V91" s="22"/>
      <c r="W91" s="12"/>
    </row>
    <row r="92" spans="1:23">
      <c r="A92" t="str">
        <f t="shared" ref="A92:A114" si="4">_xlfn.CONCAT(B92," - ",C92)</f>
        <v>DOM - DOM - Swan St</v>
      </c>
      <c r="B92" t="s">
        <v>174</v>
      </c>
      <c r="C92" s="99" t="s">
        <v>116</v>
      </c>
      <c r="D92" s="127" t="s">
        <v>62</v>
      </c>
      <c r="E92" s="100" t="s">
        <v>198</v>
      </c>
      <c r="F92" s="101">
        <v>84</v>
      </c>
      <c r="G92" s="102">
        <v>0</v>
      </c>
      <c r="H92" s="102">
        <v>0</v>
      </c>
      <c r="I92" s="102">
        <v>0</v>
      </c>
      <c r="J92" s="102">
        <v>0</v>
      </c>
      <c r="K92" s="79">
        <v>0</v>
      </c>
      <c r="L92" s="79">
        <v>0</v>
      </c>
      <c r="M92" s="79">
        <v>0</v>
      </c>
      <c r="N92" s="159">
        <v>0</v>
      </c>
      <c r="O92" s="102">
        <v>0</v>
      </c>
      <c r="P92" s="20">
        <f t="shared" si="2"/>
        <v>84</v>
      </c>
    </row>
    <row r="93" spans="1:23">
      <c r="A93" t="str">
        <f t="shared" si="4"/>
        <v>DOM - DOM - Brunton Ave</v>
      </c>
      <c r="B93" t="s">
        <v>174</v>
      </c>
      <c r="C93" s="104" t="s">
        <v>118</v>
      </c>
      <c r="D93" s="127" t="s">
        <v>62</v>
      </c>
      <c r="E93" s="105" t="s">
        <v>198</v>
      </c>
      <c r="F93" s="101">
        <v>4</v>
      </c>
      <c r="G93" s="102">
        <v>0</v>
      </c>
      <c r="H93" s="102">
        <v>0</v>
      </c>
      <c r="I93" s="102">
        <v>0</v>
      </c>
      <c r="J93" s="102">
        <v>0</v>
      </c>
      <c r="K93" s="79">
        <v>7</v>
      </c>
      <c r="L93" s="79">
        <v>0</v>
      </c>
      <c r="M93" s="79">
        <v>0</v>
      </c>
      <c r="N93" s="159">
        <v>0</v>
      </c>
      <c r="O93" s="101">
        <v>7</v>
      </c>
      <c r="P93" s="20">
        <f t="shared" si="2"/>
        <v>18</v>
      </c>
    </row>
    <row r="94" spans="1:23">
      <c r="A94" t="str">
        <f t="shared" si="4"/>
        <v>DOM - DOM - King &amp; Flinders St</v>
      </c>
      <c r="B94" t="s">
        <v>174</v>
      </c>
      <c r="C94" s="106" t="s">
        <v>120</v>
      </c>
      <c r="D94" s="127" t="s">
        <v>62</v>
      </c>
      <c r="E94" s="100" t="s">
        <v>35</v>
      </c>
      <c r="F94" s="101">
        <v>24</v>
      </c>
      <c r="G94" s="102">
        <v>0</v>
      </c>
      <c r="H94" s="102">
        <v>0</v>
      </c>
      <c r="I94" s="102">
        <v>0</v>
      </c>
      <c r="J94" s="102">
        <v>0</v>
      </c>
      <c r="K94" s="79">
        <v>0</v>
      </c>
      <c r="L94" s="79">
        <v>0</v>
      </c>
      <c r="M94" s="79">
        <v>0</v>
      </c>
      <c r="N94" s="159">
        <v>0</v>
      </c>
      <c r="O94" s="102">
        <v>0</v>
      </c>
      <c r="P94" s="20">
        <f t="shared" si="2"/>
        <v>24</v>
      </c>
    </row>
    <row r="95" spans="1:23">
      <c r="A95" t="str">
        <f t="shared" si="4"/>
        <v>DOM - DOM - Punt Rd, Richmond</v>
      </c>
      <c r="B95" t="s">
        <v>174</v>
      </c>
      <c r="C95" s="107" t="s">
        <v>122</v>
      </c>
      <c r="D95" s="127" t="s">
        <v>62</v>
      </c>
      <c r="E95" s="108" t="s">
        <v>198</v>
      </c>
      <c r="F95" s="109">
        <v>48</v>
      </c>
      <c r="G95" s="110">
        <v>0</v>
      </c>
      <c r="H95" s="110">
        <v>0</v>
      </c>
      <c r="I95" s="110">
        <v>0</v>
      </c>
      <c r="J95" s="110">
        <v>0</v>
      </c>
      <c r="K95" s="79">
        <v>0</v>
      </c>
      <c r="L95" s="79">
        <v>0</v>
      </c>
      <c r="M95" s="79">
        <v>0</v>
      </c>
      <c r="N95" s="159">
        <v>0</v>
      </c>
      <c r="O95" s="111">
        <v>0</v>
      </c>
      <c r="P95" s="20">
        <f t="shared" si="2"/>
        <v>48</v>
      </c>
    </row>
    <row r="96" spans="1:23">
      <c r="A96" t="str">
        <f t="shared" si="4"/>
        <v>DOM - DOM - Punt Rd, Cremorne</v>
      </c>
      <c r="B96" t="s">
        <v>174</v>
      </c>
      <c r="C96" s="113" t="s">
        <v>124</v>
      </c>
      <c r="D96" s="127" t="s">
        <v>62</v>
      </c>
      <c r="E96" s="114" t="s">
        <v>203</v>
      </c>
      <c r="F96" s="115">
        <v>12</v>
      </c>
      <c r="G96" s="116">
        <v>0</v>
      </c>
      <c r="H96" s="116">
        <v>0</v>
      </c>
      <c r="I96" s="116">
        <v>0</v>
      </c>
      <c r="J96" s="116">
        <v>0</v>
      </c>
      <c r="K96" s="79">
        <v>0</v>
      </c>
      <c r="L96" s="79">
        <v>0</v>
      </c>
      <c r="M96" s="79">
        <v>0</v>
      </c>
      <c r="N96" s="159">
        <v>0</v>
      </c>
      <c r="O96" s="116">
        <v>0</v>
      </c>
      <c r="P96" s="20">
        <f t="shared" si="2"/>
        <v>12</v>
      </c>
    </row>
    <row r="97" spans="1:16">
      <c r="A97" t="str">
        <f t="shared" si="4"/>
        <v>DOM - DOM - Eastern Freeway</v>
      </c>
      <c r="B97" t="s">
        <v>174</v>
      </c>
      <c r="C97" s="118" t="s">
        <v>126</v>
      </c>
      <c r="D97" s="127" t="s">
        <v>62</v>
      </c>
      <c r="E97" s="119" t="s">
        <v>205</v>
      </c>
      <c r="F97" s="120">
        <v>24</v>
      </c>
      <c r="G97" s="116">
        <v>0</v>
      </c>
      <c r="H97" s="116">
        <v>0</v>
      </c>
      <c r="I97" s="116">
        <v>0</v>
      </c>
      <c r="J97" s="116">
        <v>0</v>
      </c>
      <c r="K97" s="79">
        <v>0</v>
      </c>
      <c r="L97" s="79">
        <v>0</v>
      </c>
      <c r="M97" s="79">
        <v>0</v>
      </c>
      <c r="N97" s="159">
        <v>0</v>
      </c>
      <c r="O97" s="116">
        <v>0</v>
      </c>
      <c r="P97" s="20">
        <f t="shared" si="2"/>
        <v>24</v>
      </c>
    </row>
    <row r="98" spans="1:16" ht="15" thickBot="1">
      <c r="A98" t="str">
        <f t="shared" si="4"/>
        <v>DOM - DOM - Wurundjeri Way</v>
      </c>
      <c r="B98" t="s">
        <v>174</v>
      </c>
      <c r="C98" s="122" t="s">
        <v>128</v>
      </c>
      <c r="D98" s="127" t="s">
        <v>62</v>
      </c>
      <c r="E98" s="123" t="s">
        <v>207</v>
      </c>
      <c r="F98" s="124">
        <v>16</v>
      </c>
      <c r="G98" s="125">
        <v>0</v>
      </c>
      <c r="H98" s="125">
        <v>0</v>
      </c>
      <c r="I98" s="125">
        <v>0</v>
      </c>
      <c r="J98" s="125">
        <v>0</v>
      </c>
      <c r="K98" s="79">
        <v>0</v>
      </c>
      <c r="L98" s="79">
        <v>0</v>
      </c>
      <c r="M98" s="79">
        <v>0</v>
      </c>
      <c r="N98" s="159">
        <v>0</v>
      </c>
      <c r="O98" s="125">
        <v>0</v>
      </c>
      <c r="P98" s="20">
        <f t="shared" si="2"/>
        <v>16</v>
      </c>
    </row>
    <row r="99" spans="1:16">
      <c r="A99" s="235" t="str">
        <f t="shared" si="4"/>
        <v xml:space="preserve"> - HAND SELECT</v>
      </c>
      <c r="C99" s="80" t="s">
        <v>87</v>
      </c>
      <c r="D99" s="127" t="s">
        <v>62</v>
      </c>
      <c r="E99" s="129"/>
      <c r="F99" s="82">
        <v>4</v>
      </c>
      <c r="G99" s="88">
        <v>0</v>
      </c>
      <c r="H99" s="97">
        <v>0</v>
      </c>
      <c r="I99" s="97"/>
      <c r="J99" s="88">
        <v>0</v>
      </c>
      <c r="K99" s="79">
        <v>0</v>
      </c>
      <c r="L99" s="79">
        <v>0</v>
      </c>
      <c r="M99" s="79">
        <v>0</v>
      </c>
      <c r="N99" s="159">
        <v>0</v>
      </c>
      <c r="O99" s="88"/>
      <c r="P99" s="20">
        <f t="shared" si="2"/>
        <v>4</v>
      </c>
    </row>
    <row r="100" spans="1:16" ht="15" thickBot="1">
      <c r="A100" s="235" t="str">
        <f t="shared" si="4"/>
        <v xml:space="preserve"> - HAND SELECT - Hoddle St</v>
      </c>
      <c r="C100" s="210" t="s">
        <v>135</v>
      </c>
      <c r="D100" s="127" t="s">
        <v>62</v>
      </c>
      <c r="E100" s="129"/>
      <c r="F100" s="82">
        <v>0</v>
      </c>
      <c r="G100" s="88">
        <v>0</v>
      </c>
      <c r="H100" s="97">
        <v>0</v>
      </c>
      <c r="I100" s="97"/>
      <c r="J100" s="88">
        <v>0</v>
      </c>
      <c r="K100" s="79">
        <v>0</v>
      </c>
      <c r="L100" s="79">
        <v>0</v>
      </c>
      <c r="M100" s="79">
        <v>0</v>
      </c>
      <c r="N100" s="159">
        <v>4</v>
      </c>
      <c r="O100" s="88"/>
      <c r="P100" s="20">
        <f t="shared" si="2"/>
        <v>4</v>
      </c>
    </row>
    <row r="101" spans="1:16">
      <c r="A101" s="235" t="str">
        <f t="shared" si="4"/>
        <v>HS - HS - Egan St</v>
      </c>
      <c r="B101" s="235" t="s">
        <v>165</v>
      </c>
      <c r="C101" s="236" t="s">
        <v>234</v>
      </c>
      <c r="D101" s="127" t="s">
        <v>62</v>
      </c>
      <c r="E101" s="129"/>
      <c r="F101" s="88">
        <v>0</v>
      </c>
      <c r="G101" s="82">
        <v>3</v>
      </c>
      <c r="H101" s="97">
        <v>0</v>
      </c>
      <c r="I101" s="97"/>
      <c r="J101" s="88">
        <v>0</v>
      </c>
      <c r="K101" s="79">
        <v>0</v>
      </c>
      <c r="L101" s="79">
        <v>0</v>
      </c>
      <c r="M101" s="79">
        <v>0</v>
      </c>
      <c r="N101" s="159">
        <v>0</v>
      </c>
      <c r="O101" s="88"/>
      <c r="P101" s="20">
        <f t="shared" si="2"/>
        <v>3</v>
      </c>
    </row>
    <row r="102" spans="1:16">
      <c r="A102" s="235" t="str">
        <f t="shared" si="4"/>
        <v>HS - HS - Racecourse Rd</v>
      </c>
      <c r="B102" s="235" t="s">
        <v>165</v>
      </c>
      <c r="C102" s="237" t="s">
        <v>235</v>
      </c>
      <c r="D102" s="127" t="s">
        <v>62</v>
      </c>
      <c r="E102" s="130"/>
      <c r="F102" s="88">
        <v>0</v>
      </c>
      <c r="G102" s="88">
        <v>0</v>
      </c>
      <c r="H102" s="82">
        <v>2</v>
      </c>
      <c r="I102" s="97"/>
      <c r="J102" s="88">
        <v>0</v>
      </c>
      <c r="K102" s="79">
        <v>0</v>
      </c>
      <c r="L102" s="79">
        <v>0</v>
      </c>
      <c r="M102" s="79">
        <v>0</v>
      </c>
      <c r="N102" s="159">
        <v>0</v>
      </c>
      <c r="O102" s="88"/>
      <c r="P102" s="20">
        <f t="shared" si="2"/>
        <v>2</v>
      </c>
    </row>
    <row r="103" spans="1:16" ht="15" thickBot="1">
      <c r="A103" s="235" t="str">
        <f t="shared" si="4"/>
        <v>HS - HS - Normanby Rd</v>
      </c>
      <c r="B103" s="235" t="s">
        <v>165</v>
      </c>
      <c r="C103" s="238" t="s">
        <v>236</v>
      </c>
      <c r="D103" s="127" t="s">
        <v>62</v>
      </c>
      <c r="E103" s="131"/>
      <c r="F103" s="88">
        <v>0</v>
      </c>
      <c r="G103" s="88">
        <v>0</v>
      </c>
      <c r="H103" s="97">
        <v>0</v>
      </c>
      <c r="I103" s="97"/>
      <c r="J103" s="82">
        <v>4</v>
      </c>
      <c r="K103" s="79">
        <v>0</v>
      </c>
      <c r="L103" s="79">
        <v>0</v>
      </c>
      <c r="M103" s="79">
        <v>0</v>
      </c>
      <c r="N103" s="159">
        <v>0</v>
      </c>
      <c r="O103" s="88"/>
      <c r="P103" s="20">
        <f t="shared" si="2"/>
        <v>4</v>
      </c>
    </row>
    <row r="104" spans="1:16" ht="15" thickBot="1">
      <c r="A104" t="str">
        <f t="shared" si="4"/>
        <v>MEGASITE - MEGASITE - Flemington Rd - A</v>
      </c>
      <c r="B104" t="s">
        <v>192</v>
      </c>
      <c r="C104" s="145" t="s">
        <v>136</v>
      </c>
      <c r="D104" s="127" t="s">
        <v>62</v>
      </c>
      <c r="E104" s="140" t="s">
        <v>212</v>
      </c>
      <c r="F104" s="147">
        <v>0</v>
      </c>
      <c r="G104" s="147">
        <v>0</v>
      </c>
      <c r="H104" s="147">
        <v>0</v>
      </c>
      <c r="I104" s="147">
        <v>0</v>
      </c>
      <c r="J104" s="147">
        <v>0</v>
      </c>
      <c r="K104" s="79">
        <v>2</v>
      </c>
      <c r="L104" s="79">
        <v>0</v>
      </c>
      <c r="M104" s="79">
        <v>0</v>
      </c>
      <c r="N104" s="159">
        <v>0</v>
      </c>
      <c r="O104" s="147">
        <v>0</v>
      </c>
      <c r="P104" s="20">
        <f t="shared" si="2"/>
        <v>2</v>
      </c>
    </row>
    <row r="105" spans="1:16" ht="15" thickBot="1">
      <c r="A105" t="str">
        <f t="shared" si="4"/>
        <v>MEGASITE - MEGASITE - Flemington Rd - B</v>
      </c>
      <c r="B105" t="s">
        <v>192</v>
      </c>
      <c r="C105" s="144" t="s">
        <v>138</v>
      </c>
      <c r="D105" s="127" t="s">
        <v>62</v>
      </c>
      <c r="E105" s="139" t="s">
        <v>212</v>
      </c>
      <c r="F105" s="147">
        <v>0</v>
      </c>
      <c r="G105" s="147">
        <v>0</v>
      </c>
      <c r="H105" s="147">
        <v>0</v>
      </c>
      <c r="I105" s="95">
        <v>0</v>
      </c>
      <c r="J105" s="95">
        <v>0</v>
      </c>
      <c r="K105" s="79">
        <v>2</v>
      </c>
      <c r="L105" s="79">
        <v>0</v>
      </c>
      <c r="M105" s="79">
        <v>0</v>
      </c>
      <c r="N105" s="159">
        <v>0</v>
      </c>
      <c r="O105" s="95">
        <v>0</v>
      </c>
      <c r="P105" s="20">
        <f t="shared" si="2"/>
        <v>2</v>
      </c>
    </row>
    <row r="106" spans="1:16" ht="15" thickBot="1">
      <c r="A106" t="str">
        <f t="shared" si="4"/>
        <v>MEGASITE - MEGASITE - Flemington Rd - C</v>
      </c>
      <c r="B106" t="s">
        <v>192</v>
      </c>
      <c r="C106" s="151" t="s">
        <v>140</v>
      </c>
      <c r="D106" s="127" t="s">
        <v>62</v>
      </c>
      <c r="E106" s="141" t="s">
        <v>212</v>
      </c>
      <c r="F106" s="147">
        <v>0</v>
      </c>
      <c r="G106" s="147">
        <v>0</v>
      </c>
      <c r="H106" s="147">
        <v>0</v>
      </c>
      <c r="I106" s="95">
        <v>0</v>
      </c>
      <c r="J106" s="95">
        <v>0</v>
      </c>
      <c r="K106" s="79">
        <v>2</v>
      </c>
      <c r="L106" s="79">
        <v>0</v>
      </c>
      <c r="M106" s="79">
        <v>0</v>
      </c>
      <c r="N106" s="159">
        <v>0</v>
      </c>
      <c r="O106" s="95">
        <v>0</v>
      </c>
      <c r="P106" s="20">
        <f t="shared" si="2"/>
        <v>2</v>
      </c>
    </row>
    <row r="107" spans="1:16" ht="15" thickBot="1">
      <c r="A107" t="str">
        <f t="shared" si="4"/>
        <v>MEGASITE - MEGASITE - Inkerman &amp; Barkley - A</v>
      </c>
      <c r="B107" t="s">
        <v>192</v>
      </c>
      <c r="C107" s="144" t="s">
        <v>142</v>
      </c>
      <c r="D107" s="127" t="s">
        <v>62</v>
      </c>
      <c r="E107" s="139" t="s">
        <v>216</v>
      </c>
      <c r="F107" s="147">
        <v>0</v>
      </c>
      <c r="G107" s="147">
        <v>0</v>
      </c>
      <c r="H107" s="147">
        <v>0</v>
      </c>
      <c r="I107" s="95">
        <v>0</v>
      </c>
      <c r="J107" s="95">
        <v>0</v>
      </c>
      <c r="K107" s="79">
        <v>1</v>
      </c>
      <c r="L107" s="79">
        <v>0</v>
      </c>
      <c r="M107" s="79">
        <v>0</v>
      </c>
      <c r="N107" s="159">
        <v>0</v>
      </c>
      <c r="O107" s="95">
        <v>0</v>
      </c>
      <c r="P107" s="20">
        <f t="shared" si="2"/>
        <v>1</v>
      </c>
    </row>
    <row r="108" spans="1:16" ht="15" thickBot="1">
      <c r="A108" t="str">
        <f t="shared" si="4"/>
        <v>MEGASITE - MEGASITE - Inkerman &amp; Barkley - B</v>
      </c>
      <c r="B108" t="s">
        <v>192</v>
      </c>
      <c r="C108" s="151" t="s">
        <v>144</v>
      </c>
      <c r="D108" s="127" t="s">
        <v>62</v>
      </c>
      <c r="E108" s="141" t="s">
        <v>216</v>
      </c>
      <c r="F108" s="147">
        <v>0</v>
      </c>
      <c r="G108" s="147">
        <v>0</v>
      </c>
      <c r="H108" s="147">
        <v>0</v>
      </c>
      <c r="I108" s="95">
        <v>0</v>
      </c>
      <c r="J108" s="95">
        <v>0</v>
      </c>
      <c r="K108" s="79">
        <v>1</v>
      </c>
      <c r="L108" s="79">
        <v>0</v>
      </c>
      <c r="M108" s="79">
        <v>0</v>
      </c>
      <c r="N108" s="159">
        <v>0</v>
      </c>
      <c r="O108" s="95">
        <v>0</v>
      </c>
      <c r="P108" s="20">
        <f t="shared" si="2"/>
        <v>1</v>
      </c>
    </row>
    <row r="109" spans="1:16" ht="15" thickBot="1">
      <c r="A109" t="str">
        <f t="shared" si="4"/>
        <v>MEGASITE - MEGASITE - Swan &amp; Cremorne</v>
      </c>
      <c r="B109" t="s">
        <v>192</v>
      </c>
      <c r="C109" s="144" t="s">
        <v>237</v>
      </c>
      <c r="D109" s="127" t="s">
        <v>62</v>
      </c>
      <c r="E109" s="139" t="s">
        <v>219</v>
      </c>
      <c r="F109" s="147">
        <v>0</v>
      </c>
      <c r="G109" s="147">
        <v>0</v>
      </c>
      <c r="H109" s="147">
        <v>0</v>
      </c>
      <c r="I109" s="95">
        <v>0</v>
      </c>
      <c r="J109" s="95">
        <v>0</v>
      </c>
      <c r="K109" s="79">
        <v>1</v>
      </c>
      <c r="L109" s="79">
        <v>0</v>
      </c>
      <c r="M109" s="79">
        <v>0</v>
      </c>
      <c r="N109" s="159">
        <v>0</v>
      </c>
      <c r="O109" s="95">
        <v>0</v>
      </c>
      <c r="P109" s="20">
        <f t="shared" si="2"/>
        <v>1</v>
      </c>
    </row>
    <row r="110" spans="1:16" ht="15" thickBot="1">
      <c r="A110" t="str">
        <f t="shared" si="4"/>
        <v>MEGASITE - MEGASITE - Swan &amp; Stewart</v>
      </c>
      <c r="B110" t="s">
        <v>192</v>
      </c>
      <c r="C110" s="151" t="s">
        <v>146</v>
      </c>
      <c r="D110" s="127" t="s">
        <v>62</v>
      </c>
      <c r="E110" s="141" t="s">
        <v>221</v>
      </c>
      <c r="F110" s="147">
        <v>0</v>
      </c>
      <c r="G110" s="147">
        <v>0</v>
      </c>
      <c r="H110" s="147">
        <v>0</v>
      </c>
      <c r="I110" s="95">
        <v>0</v>
      </c>
      <c r="J110" s="95">
        <v>0</v>
      </c>
      <c r="K110" s="79">
        <v>1</v>
      </c>
      <c r="L110" s="79">
        <v>0</v>
      </c>
      <c r="M110" s="79">
        <v>0</v>
      </c>
      <c r="N110" s="159">
        <v>0</v>
      </c>
      <c r="O110" s="95">
        <v>0</v>
      </c>
      <c r="P110" s="20">
        <f t="shared" si="2"/>
        <v>1</v>
      </c>
    </row>
    <row r="111" spans="1:16" ht="15" thickBot="1">
      <c r="A111" t="str">
        <f t="shared" si="4"/>
        <v>MEGASITE - MEGASITE - Toorak Rd - North</v>
      </c>
      <c r="B111" t="s">
        <v>192</v>
      </c>
      <c r="C111" s="144" t="s">
        <v>148</v>
      </c>
      <c r="D111" s="127" t="s">
        <v>62</v>
      </c>
      <c r="E111" s="142" t="s">
        <v>223</v>
      </c>
      <c r="F111" s="147">
        <v>0</v>
      </c>
      <c r="G111" s="147">
        <v>0</v>
      </c>
      <c r="H111" s="147">
        <v>0</v>
      </c>
      <c r="I111" s="95">
        <v>0</v>
      </c>
      <c r="J111" s="95">
        <v>0</v>
      </c>
      <c r="K111" s="79">
        <v>1</v>
      </c>
      <c r="L111" s="79">
        <v>0</v>
      </c>
      <c r="M111" s="79">
        <v>0</v>
      </c>
      <c r="N111" s="159">
        <v>0</v>
      </c>
      <c r="O111" s="95">
        <v>0</v>
      </c>
      <c r="P111" s="20">
        <f t="shared" si="2"/>
        <v>1</v>
      </c>
    </row>
    <row r="112" spans="1:16" ht="15" thickBot="1">
      <c r="A112" t="str">
        <f t="shared" si="4"/>
        <v>MEGASITE - MEGASITE - Toorak Rd - South</v>
      </c>
      <c r="B112" t="s">
        <v>192</v>
      </c>
      <c r="C112" s="144" t="s">
        <v>150</v>
      </c>
      <c r="D112" s="127" t="s">
        <v>62</v>
      </c>
      <c r="E112" s="142" t="s">
        <v>223</v>
      </c>
      <c r="F112" s="147">
        <v>0</v>
      </c>
      <c r="G112" s="147">
        <v>0</v>
      </c>
      <c r="H112" s="147">
        <v>0</v>
      </c>
      <c r="I112" s="95">
        <v>0</v>
      </c>
      <c r="J112" s="95">
        <v>0</v>
      </c>
      <c r="K112" s="79">
        <v>1</v>
      </c>
      <c r="L112" s="79">
        <v>0</v>
      </c>
      <c r="M112" s="79">
        <v>0</v>
      </c>
      <c r="N112" s="159">
        <v>0</v>
      </c>
      <c r="O112" s="95">
        <v>0</v>
      </c>
      <c r="P112" s="20">
        <f t="shared" si="2"/>
        <v>1</v>
      </c>
    </row>
    <row r="113" spans="1:23" ht="15" thickBot="1">
      <c r="A113" t="str">
        <f t="shared" si="4"/>
        <v>MEGASITE - MEGASITE - Armstrong St</v>
      </c>
      <c r="B113" t="s">
        <v>192</v>
      </c>
      <c r="C113" s="210" t="s">
        <v>152</v>
      </c>
      <c r="D113" s="127" t="s">
        <v>62</v>
      </c>
      <c r="E113" s="142" t="s">
        <v>223</v>
      </c>
      <c r="F113" s="147">
        <v>0</v>
      </c>
      <c r="G113" s="147">
        <v>0</v>
      </c>
      <c r="H113" s="147">
        <v>0</v>
      </c>
      <c r="I113" s="95">
        <v>0</v>
      </c>
      <c r="J113" s="95">
        <v>0</v>
      </c>
      <c r="K113" s="79">
        <v>1</v>
      </c>
      <c r="L113" s="79">
        <v>0</v>
      </c>
      <c r="M113" s="79">
        <v>0</v>
      </c>
      <c r="N113" s="159">
        <v>0</v>
      </c>
      <c r="O113" s="95">
        <v>0</v>
      </c>
      <c r="P113" s="20">
        <f t="shared" si="2"/>
        <v>1</v>
      </c>
    </row>
    <row r="114" spans="1:23" ht="15" thickBot="1">
      <c r="A114" t="str">
        <f t="shared" si="4"/>
        <v>MEGASITE - MEGASITE - King St</v>
      </c>
      <c r="B114" t="s">
        <v>192</v>
      </c>
      <c r="C114" s="210" t="s">
        <v>154</v>
      </c>
      <c r="D114" s="127" t="s">
        <v>62</v>
      </c>
      <c r="E114" s="142" t="s">
        <v>223</v>
      </c>
      <c r="F114" s="147">
        <v>0</v>
      </c>
      <c r="G114" s="147">
        <v>0</v>
      </c>
      <c r="H114" s="147">
        <v>0</v>
      </c>
      <c r="I114" s="95">
        <v>0</v>
      </c>
      <c r="J114" s="95">
        <v>0</v>
      </c>
      <c r="K114" s="79">
        <v>1</v>
      </c>
      <c r="L114" s="79">
        <v>0</v>
      </c>
      <c r="M114" s="79">
        <v>0</v>
      </c>
      <c r="N114" s="159">
        <v>0</v>
      </c>
      <c r="O114" s="95">
        <v>0</v>
      </c>
      <c r="P114" s="20">
        <f t="shared" si="2"/>
        <v>1</v>
      </c>
    </row>
    <row r="115" spans="1:23" ht="15" thickBot="1">
      <c r="A115" t="s">
        <v>158</v>
      </c>
      <c r="B115" t="s">
        <v>158</v>
      </c>
      <c r="C115" s="151" t="s">
        <v>158</v>
      </c>
      <c r="D115" s="127" t="s">
        <v>62</v>
      </c>
      <c r="E115" s="141" t="s">
        <v>225</v>
      </c>
      <c r="F115" s="95">
        <v>0</v>
      </c>
      <c r="G115" s="95">
        <v>0</v>
      </c>
      <c r="H115" s="95">
        <v>0</v>
      </c>
      <c r="I115" s="95">
        <v>0</v>
      </c>
      <c r="J115" s="147">
        <v>0</v>
      </c>
      <c r="K115" s="79">
        <v>0</v>
      </c>
      <c r="L115" s="79">
        <v>1</v>
      </c>
      <c r="M115" s="79">
        <v>0</v>
      </c>
      <c r="N115" s="159">
        <v>0</v>
      </c>
      <c r="O115" s="95">
        <v>0</v>
      </c>
      <c r="P115" s="20">
        <f t="shared" si="2"/>
        <v>1</v>
      </c>
    </row>
    <row r="116" spans="1:23">
      <c r="C116" s="152" t="s">
        <v>111</v>
      </c>
      <c r="D116" s="127" t="s">
        <v>62</v>
      </c>
      <c r="E116" s="139" t="s">
        <v>227</v>
      </c>
      <c r="F116" s="95">
        <v>0</v>
      </c>
      <c r="G116" s="95">
        <v>0</v>
      </c>
      <c r="H116" s="147">
        <v>0</v>
      </c>
      <c r="I116" s="95">
        <v>0</v>
      </c>
      <c r="J116" s="95">
        <v>0</v>
      </c>
      <c r="K116" s="79">
        <v>0</v>
      </c>
      <c r="L116" s="79">
        <v>0</v>
      </c>
      <c r="M116" s="79">
        <v>1</v>
      </c>
      <c r="N116" s="159">
        <v>0</v>
      </c>
      <c r="O116" s="95">
        <v>0</v>
      </c>
      <c r="P116" s="20">
        <f t="shared" si="2"/>
        <v>1</v>
      </c>
    </row>
    <row r="117" spans="1:23">
      <c r="P117" s="20">
        <f t="shared" si="2"/>
        <v>0</v>
      </c>
    </row>
    <row r="118" spans="1:23" ht="15" thickBot="1">
      <c r="C118" s="77" t="s">
        <v>70</v>
      </c>
      <c r="D118" s="36" t="s">
        <v>63</v>
      </c>
      <c r="E118" s="37"/>
      <c r="F118" s="213">
        <v>104</v>
      </c>
      <c r="G118" s="213">
        <v>0</v>
      </c>
      <c r="H118" s="213">
        <v>12</v>
      </c>
      <c r="I118" s="213">
        <v>0</v>
      </c>
      <c r="J118" s="213">
        <v>0</v>
      </c>
      <c r="K118" s="79">
        <v>0</v>
      </c>
      <c r="L118" s="79">
        <v>0</v>
      </c>
      <c r="M118" s="79">
        <v>0</v>
      </c>
      <c r="N118" s="213">
        <v>0</v>
      </c>
      <c r="O118" s="10">
        <v>0</v>
      </c>
      <c r="P118" s="22">
        <f t="shared" si="2"/>
        <v>116</v>
      </c>
      <c r="Q118" s="10">
        <v>0</v>
      </c>
      <c r="R118" s="10">
        <v>20</v>
      </c>
      <c r="S118" s="10">
        <v>0</v>
      </c>
      <c r="T118" s="10">
        <v>2</v>
      </c>
      <c r="U118" s="10">
        <v>0</v>
      </c>
      <c r="V118" s="10">
        <v>0</v>
      </c>
      <c r="W118" s="10">
        <v>84</v>
      </c>
    </row>
    <row r="119" spans="1:23" ht="15" thickBot="1">
      <c r="C119" s="74" t="s">
        <v>72</v>
      </c>
      <c r="D119" s="36" t="s">
        <v>63</v>
      </c>
      <c r="E119" s="37"/>
      <c r="F119" s="213">
        <v>88</v>
      </c>
      <c r="G119" s="213">
        <v>0</v>
      </c>
      <c r="H119" s="213">
        <v>0</v>
      </c>
      <c r="I119" s="213">
        <v>0</v>
      </c>
      <c r="J119" s="213">
        <v>0</v>
      </c>
      <c r="K119" s="79">
        <v>0</v>
      </c>
      <c r="L119" s="79">
        <v>0</v>
      </c>
      <c r="M119" s="79">
        <v>0</v>
      </c>
      <c r="N119" s="213">
        <v>0</v>
      </c>
      <c r="O119" s="20">
        <v>0</v>
      </c>
      <c r="P119" s="22">
        <f t="shared" si="2"/>
        <v>88</v>
      </c>
      <c r="Q119" s="20">
        <v>0</v>
      </c>
      <c r="R119" s="20">
        <v>20</v>
      </c>
      <c r="S119" s="20">
        <v>0</v>
      </c>
      <c r="T119" s="20">
        <v>4</v>
      </c>
      <c r="U119" s="20">
        <v>0</v>
      </c>
      <c r="V119" s="20">
        <v>0</v>
      </c>
      <c r="W119" s="16"/>
    </row>
    <row r="120" spans="1:23" ht="15" thickBot="1">
      <c r="C120" s="76" t="s">
        <v>74</v>
      </c>
      <c r="D120" s="36" t="s">
        <v>63</v>
      </c>
      <c r="E120" s="37"/>
      <c r="F120" s="213">
        <v>92</v>
      </c>
      <c r="G120" s="213">
        <v>0</v>
      </c>
      <c r="H120" s="213">
        <v>0</v>
      </c>
      <c r="I120" s="213">
        <v>0</v>
      </c>
      <c r="J120" s="213">
        <v>0</v>
      </c>
      <c r="K120" s="79">
        <v>0</v>
      </c>
      <c r="L120" s="79">
        <v>0</v>
      </c>
      <c r="M120" s="79">
        <v>0</v>
      </c>
      <c r="N120" s="213">
        <v>0</v>
      </c>
      <c r="O120" s="10">
        <v>0</v>
      </c>
      <c r="P120" s="22">
        <f t="shared" si="2"/>
        <v>92</v>
      </c>
      <c r="Q120" s="10">
        <v>0</v>
      </c>
      <c r="R120" s="10">
        <v>20</v>
      </c>
      <c r="S120" s="10">
        <v>0</v>
      </c>
      <c r="T120" s="10">
        <v>2</v>
      </c>
      <c r="U120" s="10">
        <v>0</v>
      </c>
      <c r="V120" s="10">
        <v>0</v>
      </c>
      <c r="W120" s="16"/>
    </row>
    <row r="121" spans="1:23" ht="15" thickBot="1">
      <c r="C121" s="74" t="s">
        <v>76</v>
      </c>
      <c r="D121" s="36" t="s">
        <v>63</v>
      </c>
      <c r="E121" s="39"/>
      <c r="F121" s="213">
        <v>88</v>
      </c>
      <c r="G121" s="213">
        <v>0</v>
      </c>
      <c r="H121" s="213">
        <v>0</v>
      </c>
      <c r="I121" s="213">
        <v>0</v>
      </c>
      <c r="J121" s="213">
        <v>0</v>
      </c>
      <c r="K121" s="79">
        <v>0</v>
      </c>
      <c r="L121" s="79">
        <v>0</v>
      </c>
      <c r="M121" s="79">
        <v>0</v>
      </c>
      <c r="N121" s="213">
        <v>0</v>
      </c>
      <c r="O121" s="20">
        <v>0</v>
      </c>
      <c r="P121" s="22">
        <f t="shared" si="2"/>
        <v>88</v>
      </c>
      <c r="Q121" s="20">
        <v>0</v>
      </c>
      <c r="R121" s="20">
        <v>20</v>
      </c>
      <c r="S121" s="20">
        <v>0</v>
      </c>
      <c r="T121" s="20">
        <v>4</v>
      </c>
      <c r="U121" s="20">
        <v>0</v>
      </c>
      <c r="V121" s="20">
        <v>0</v>
      </c>
      <c r="W121" s="161"/>
    </row>
    <row r="122" spans="1:23" ht="15" thickBot="1">
      <c r="C122" s="76" t="s">
        <v>78</v>
      </c>
      <c r="D122" s="36" t="s">
        <v>63</v>
      </c>
      <c r="E122" s="37" t="s">
        <v>164</v>
      </c>
      <c r="F122" s="213">
        <v>92</v>
      </c>
      <c r="G122" s="213">
        <v>0</v>
      </c>
      <c r="H122" s="213">
        <v>0</v>
      </c>
      <c r="I122" s="213">
        <v>0</v>
      </c>
      <c r="J122" s="213">
        <v>0</v>
      </c>
      <c r="K122" s="79">
        <v>0</v>
      </c>
      <c r="L122" s="79">
        <v>0</v>
      </c>
      <c r="M122" s="79">
        <v>0</v>
      </c>
      <c r="N122" s="213">
        <v>0</v>
      </c>
      <c r="P122" s="22">
        <f t="shared" si="2"/>
        <v>92</v>
      </c>
      <c r="R122" s="38">
        <v>20</v>
      </c>
      <c r="S122" s="30">
        <v>0</v>
      </c>
      <c r="T122" s="22">
        <v>4</v>
      </c>
      <c r="U122" s="30">
        <v>0</v>
      </c>
      <c r="V122" s="30">
        <v>0</v>
      </c>
      <c r="W122" s="16">
        <v>88</v>
      </c>
    </row>
    <row r="123" spans="1:23">
      <c r="C123" s="74" t="s">
        <v>80</v>
      </c>
      <c r="D123" s="36" t="s">
        <v>63</v>
      </c>
      <c r="E123" s="37" t="s">
        <v>164</v>
      </c>
      <c r="F123" s="213">
        <v>88</v>
      </c>
      <c r="G123" s="213">
        <v>0</v>
      </c>
      <c r="H123" s="213">
        <v>0</v>
      </c>
      <c r="I123" s="213">
        <v>0</v>
      </c>
      <c r="J123" s="213">
        <v>0</v>
      </c>
      <c r="K123" s="79">
        <v>0</v>
      </c>
      <c r="L123" s="79">
        <v>0</v>
      </c>
      <c r="M123" s="79">
        <v>0</v>
      </c>
      <c r="N123" s="213">
        <v>0</v>
      </c>
      <c r="P123" s="22">
        <f t="shared" si="2"/>
        <v>88</v>
      </c>
      <c r="R123" s="38">
        <v>20</v>
      </c>
      <c r="S123" s="30">
        <v>0</v>
      </c>
      <c r="T123" s="22">
        <v>4</v>
      </c>
      <c r="U123" s="30">
        <v>0</v>
      </c>
      <c r="V123" s="30">
        <v>0</v>
      </c>
      <c r="W123" s="16">
        <v>88</v>
      </c>
    </row>
    <row r="124" spans="1:23" ht="15" thickBot="1">
      <c r="C124" s="75" t="s">
        <v>82</v>
      </c>
      <c r="D124" s="36" t="s">
        <v>63</v>
      </c>
      <c r="E124" s="37"/>
      <c r="F124" s="213">
        <v>100</v>
      </c>
      <c r="G124" s="213">
        <v>0</v>
      </c>
      <c r="H124" s="213">
        <v>0</v>
      </c>
      <c r="I124" s="213">
        <v>0</v>
      </c>
      <c r="J124" s="213">
        <v>0</v>
      </c>
      <c r="K124" s="79">
        <v>0</v>
      </c>
      <c r="L124" s="79">
        <v>0</v>
      </c>
      <c r="M124" s="79">
        <v>0</v>
      </c>
      <c r="N124" s="213">
        <v>0</v>
      </c>
      <c r="O124" s="10">
        <v>0</v>
      </c>
      <c r="P124" s="22">
        <f t="shared" si="2"/>
        <v>100</v>
      </c>
      <c r="Q124" s="10">
        <v>0</v>
      </c>
      <c r="R124" s="10">
        <v>20</v>
      </c>
      <c r="S124" s="10">
        <v>0</v>
      </c>
      <c r="T124" s="10">
        <v>2</v>
      </c>
      <c r="U124" s="10">
        <v>0</v>
      </c>
      <c r="V124" s="10">
        <v>0</v>
      </c>
      <c r="W124" s="10">
        <v>84</v>
      </c>
    </row>
    <row r="125" spans="1:23">
      <c r="C125" s="76" t="s">
        <v>84</v>
      </c>
      <c r="D125" s="36" t="s">
        <v>63</v>
      </c>
      <c r="E125" s="37"/>
      <c r="F125" s="213">
        <v>100</v>
      </c>
      <c r="G125" s="213">
        <v>0</v>
      </c>
      <c r="H125" s="213">
        <v>0</v>
      </c>
      <c r="I125" s="213">
        <v>0</v>
      </c>
      <c r="J125" s="213">
        <v>0</v>
      </c>
      <c r="K125" s="79">
        <v>0</v>
      </c>
      <c r="L125" s="79">
        <v>0</v>
      </c>
      <c r="M125" s="79">
        <v>0</v>
      </c>
      <c r="N125" s="213">
        <v>0</v>
      </c>
      <c r="O125" s="20">
        <v>0</v>
      </c>
      <c r="P125" s="22">
        <f t="shared" si="2"/>
        <v>100</v>
      </c>
      <c r="Q125" s="20">
        <v>0</v>
      </c>
      <c r="R125" s="20">
        <v>20</v>
      </c>
      <c r="S125" s="20">
        <v>0</v>
      </c>
      <c r="T125" s="20">
        <v>4</v>
      </c>
      <c r="U125" s="20">
        <v>0</v>
      </c>
      <c r="V125" s="20">
        <v>0</v>
      </c>
      <c r="W125" s="16"/>
    </row>
    <row r="126" spans="1:23" ht="15" thickBot="1">
      <c r="C126" s="77" t="s">
        <v>71</v>
      </c>
      <c r="D126" s="36" t="s">
        <v>63</v>
      </c>
      <c r="E126" s="37"/>
      <c r="F126" s="213">
        <v>32</v>
      </c>
      <c r="G126" s="213">
        <f t="shared" ref="G126:J133" si="5">SUM(G118*0.2)</f>
        <v>0</v>
      </c>
      <c r="H126" s="213">
        <v>8</v>
      </c>
      <c r="I126" s="213">
        <f t="shared" si="5"/>
        <v>0</v>
      </c>
      <c r="J126" s="213">
        <f t="shared" si="5"/>
        <v>0</v>
      </c>
      <c r="K126" s="79">
        <v>0</v>
      </c>
      <c r="L126" s="79">
        <v>0</v>
      </c>
      <c r="M126" s="79">
        <v>0</v>
      </c>
      <c r="N126" s="213">
        <f t="shared" ref="N126:N133" si="6">SUM(N118*0.2)</f>
        <v>0</v>
      </c>
      <c r="O126" s="10">
        <v>0</v>
      </c>
      <c r="P126" s="22">
        <f t="shared" si="2"/>
        <v>40</v>
      </c>
      <c r="Q126" s="10">
        <v>0</v>
      </c>
      <c r="R126" s="10">
        <v>20</v>
      </c>
      <c r="S126" s="10">
        <v>0</v>
      </c>
      <c r="T126" s="10">
        <v>2</v>
      </c>
      <c r="U126" s="10">
        <v>0</v>
      </c>
      <c r="V126" s="10">
        <v>0</v>
      </c>
      <c r="W126" s="16"/>
    </row>
    <row r="127" spans="1:23" ht="15" thickBot="1">
      <c r="C127" s="74" t="s">
        <v>73</v>
      </c>
      <c r="D127" s="36" t="s">
        <v>63</v>
      </c>
      <c r="E127" s="39"/>
      <c r="F127" s="213">
        <v>32</v>
      </c>
      <c r="G127" s="213">
        <f t="shared" si="5"/>
        <v>0</v>
      </c>
      <c r="H127" s="213">
        <v>0</v>
      </c>
      <c r="I127" s="213">
        <f t="shared" si="5"/>
        <v>0</v>
      </c>
      <c r="J127" s="213">
        <f t="shared" si="5"/>
        <v>0</v>
      </c>
      <c r="K127" s="79">
        <v>0</v>
      </c>
      <c r="L127" s="79">
        <v>0</v>
      </c>
      <c r="M127" s="79">
        <v>0</v>
      </c>
      <c r="N127" s="213">
        <f t="shared" si="6"/>
        <v>0</v>
      </c>
      <c r="O127" s="20">
        <v>0</v>
      </c>
      <c r="P127" s="22">
        <f t="shared" si="2"/>
        <v>32</v>
      </c>
      <c r="Q127" s="20">
        <v>0</v>
      </c>
      <c r="R127" s="20">
        <v>20</v>
      </c>
      <c r="S127" s="20">
        <v>0</v>
      </c>
      <c r="T127" s="20">
        <v>4</v>
      </c>
      <c r="U127" s="20">
        <v>0</v>
      </c>
      <c r="V127" s="20">
        <v>0</v>
      </c>
      <c r="W127" s="161"/>
    </row>
    <row r="128" spans="1:23" ht="15" thickBot="1">
      <c r="C128" s="76" t="s">
        <v>75</v>
      </c>
      <c r="D128" s="36" t="s">
        <v>63</v>
      </c>
      <c r="E128" s="37" t="s">
        <v>164</v>
      </c>
      <c r="F128" s="213">
        <v>32</v>
      </c>
      <c r="G128" s="213">
        <f t="shared" si="5"/>
        <v>0</v>
      </c>
      <c r="H128" s="213">
        <v>0</v>
      </c>
      <c r="I128" s="213">
        <f t="shared" si="5"/>
        <v>0</v>
      </c>
      <c r="J128" s="213">
        <f t="shared" si="5"/>
        <v>0</v>
      </c>
      <c r="K128" s="79">
        <v>0</v>
      </c>
      <c r="L128" s="79">
        <v>0</v>
      </c>
      <c r="M128" s="79">
        <v>0</v>
      </c>
      <c r="N128" s="213">
        <f t="shared" si="6"/>
        <v>0</v>
      </c>
      <c r="P128" s="22">
        <f t="shared" si="2"/>
        <v>32</v>
      </c>
      <c r="R128" s="38">
        <v>20</v>
      </c>
      <c r="S128" s="30">
        <v>0</v>
      </c>
      <c r="T128" s="22">
        <v>4</v>
      </c>
      <c r="U128" s="30">
        <v>0</v>
      </c>
      <c r="V128" s="30">
        <v>0</v>
      </c>
      <c r="W128" s="16">
        <v>88</v>
      </c>
    </row>
    <row r="129" spans="3:23" ht="15" thickBot="1">
      <c r="C129" s="74" t="s">
        <v>77</v>
      </c>
      <c r="D129" s="36" t="s">
        <v>63</v>
      </c>
      <c r="E129" s="37" t="s">
        <v>164</v>
      </c>
      <c r="F129" s="213">
        <v>32</v>
      </c>
      <c r="G129" s="213">
        <f t="shared" si="5"/>
        <v>0</v>
      </c>
      <c r="H129" s="213">
        <f t="shared" si="5"/>
        <v>0</v>
      </c>
      <c r="I129" s="213">
        <f t="shared" si="5"/>
        <v>0</v>
      </c>
      <c r="J129" s="213">
        <f t="shared" si="5"/>
        <v>0</v>
      </c>
      <c r="K129" s="79">
        <v>0</v>
      </c>
      <c r="L129" s="79">
        <v>0</v>
      </c>
      <c r="M129" s="79">
        <v>0</v>
      </c>
      <c r="N129" s="213">
        <f t="shared" si="6"/>
        <v>0</v>
      </c>
      <c r="P129" s="22">
        <f t="shared" si="2"/>
        <v>32</v>
      </c>
      <c r="R129" s="38">
        <v>20</v>
      </c>
      <c r="S129" s="30">
        <v>0</v>
      </c>
      <c r="T129" s="22">
        <v>4</v>
      </c>
      <c r="U129" s="30">
        <v>0</v>
      </c>
      <c r="V129" s="30">
        <v>0</v>
      </c>
      <c r="W129" s="16">
        <v>88</v>
      </c>
    </row>
    <row r="130" spans="3:23" ht="15" thickBot="1">
      <c r="C130" s="76" t="s">
        <v>79</v>
      </c>
      <c r="D130" s="36" t="s">
        <v>63</v>
      </c>
      <c r="E130" s="37" t="s">
        <v>164</v>
      </c>
      <c r="F130" s="213">
        <v>32</v>
      </c>
      <c r="G130" s="213">
        <f t="shared" si="5"/>
        <v>0</v>
      </c>
      <c r="H130" s="213">
        <f t="shared" si="5"/>
        <v>0</v>
      </c>
      <c r="I130" s="213">
        <f t="shared" si="5"/>
        <v>0</v>
      </c>
      <c r="J130" s="213">
        <f t="shared" si="5"/>
        <v>0</v>
      </c>
      <c r="K130" s="79">
        <v>0</v>
      </c>
      <c r="L130" s="79">
        <v>0</v>
      </c>
      <c r="M130" s="79">
        <v>0</v>
      </c>
      <c r="N130" s="213">
        <f t="shared" si="6"/>
        <v>0</v>
      </c>
      <c r="P130" s="22">
        <f t="shared" si="2"/>
        <v>32</v>
      </c>
      <c r="R130" s="38">
        <v>20</v>
      </c>
      <c r="S130" s="30">
        <v>0</v>
      </c>
      <c r="T130" s="22">
        <v>4</v>
      </c>
      <c r="U130" s="30">
        <v>0</v>
      </c>
      <c r="V130" s="30">
        <v>0</v>
      </c>
      <c r="W130" s="16">
        <v>88</v>
      </c>
    </row>
    <row r="131" spans="3:23" ht="15" thickBot="1">
      <c r="C131" s="74" t="s">
        <v>81</v>
      </c>
      <c r="D131" s="36" t="s">
        <v>63</v>
      </c>
      <c r="E131" s="37" t="s">
        <v>164</v>
      </c>
      <c r="F131" s="213">
        <v>32</v>
      </c>
      <c r="G131" s="213">
        <f t="shared" si="5"/>
        <v>0</v>
      </c>
      <c r="H131" s="213">
        <f t="shared" si="5"/>
        <v>0</v>
      </c>
      <c r="I131" s="213">
        <f t="shared" si="5"/>
        <v>0</v>
      </c>
      <c r="J131" s="213">
        <f t="shared" si="5"/>
        <v>0</v>
      </c>
      <c r="K131" s="79">
        <v>0</v>
      </c>
      <c r="L131" s="79">
        <v>0</v>
      </c>
      <c r="M131" s="79">
        <v>0</v>
      </c>
      <c r="N131" s="213">
        <f t="shared" si="6"/>
        <v>0</v>
      </c>
      <c r="P131" s="22">
        <f t="shared" si="2"/>
        <v>32</v>
      </c>
      <c r="R131" s="38">
        <v>20</v>
      </c>
      <c r="S131" s="30">
        <v>0</v>
      </c>
      <c r="T131" s="22">
        <v>4</v>
      </c>
      <c r="U131" s="30">
        <v>0</v>
      </c>
      <c r="V131" s="30">
        <v>0</v>
      </c>
      <c r="W131" s="16">
        <v>88</v>
      </c>
    </row>
    <row r="132" spans="3:23" ht="15" thickBot="1">
      <c r="C132" s="76" t="s">
        <v>83</v>
      </c>
      <c r="D132" s="36" t="s">
        <v>63</v>
      </c>
      <c r="E132" s="37" t="s">
        <v>164</v>
      </c>
      <c r="F132" s="213">
        <v>32</v>
      </c>
      <c r="G132" s="213">
        <f t="shared" si="5"/>
        <v>0</v>
      </c>
      <c r="H132" s="213">
        <f t="shared" si="5"/>
        <v>0</v>
      </c>
      <c r="I132" s="213">
        <f t="shared" si="5"/>
        <v>0</v>
      </c>
      <c r="J132" s="213">
        <f t="shared" si="5"/>
        <v>0</v>
      </c>
      <c r="K132" s="79">
        <v>0</v>
      </c>
      <c r="L132" s="79">
        <v>0</v>
      </c>
      <c r="M132" s="79">
        <v>0</v>
      </c>
      <c r="N132" s="213">
        <f t="shared" si="6"/>
        <v>0</v>
      </c>
      <c r="P132" s="22">
        <f t="shared" ref="P132:P133" si="7">SUM(F132:O132)</f>
        <v>32</v>
      </c>
      <c r="R132" s="38">
        <v>20</v>
      </c>
      <c r="S132" s="30">
        <v>0</v>
      </c>
      <c r="T132" s="22">
        <v>4</v>
      </c>
      <c r="U132" s="30">
        <v>0</v>
      </c>
      <c r="V132" s="30">
        <v>0</v>
      </c>
      <c r="W132" s="16">
        <v>88</v>
      </c>
    </row>
    <row r="133" spans="3:23" ht="15" thickBot="1">
      <c r="C133" s="74" t="s">
        <v>85</v>
      </c>
      <c r="D133" s="36" t="s">
        <v>63</v>
      </c>
      <c r="E133" s="37" t="s">
        <v>164</v>
      </c>
      <c r="F133" s="213">
        <v>32</v>
      </c>
      <c r="G133" s="213">
        <f t="shared" si="5"/>
        <v>0</v>
      </c>
      <c r="H133" s="213">
        <f t="shared" si="5"/>
        <v>0</v>
      </c>
      <c r="I133" s="213">
        <f t="shared" si="5"/>
        <v>0</v>
      </c>
      <c r="J133" s="213">
        <f t="shared" si="5"/>
        <v>0</v>
      </c>
      <c r="K133" s="79">
        <v>0</v>
      </c>
      <c r="L133" s="79">
        <v>0</v>
      </c>
      <c r="M133" s="79">
        <v>0</v>
      </c>
      <c r="N133" s="213">
        <f t="shared" si="6"/>
        <v>0</v>
      </c>
      <c r="P133" s="22">
        <f t="shared" si="7"/>
        <v>32</v>
      </c>
      <c r="R133" s="38">
        <v>20</v>
      </c>
      <c r="S133" s="30">
        <v>0</v>
      </c>
      <c r="T133" s="22">
        <v>4</v>
      </c>
      <c r="U133" s="30">
        <v>0</v>
      </c>
      <c r="V133" s="30">
        <v>0</v>
      </c>
      <c r="W133" s="16">
        <v>88</v>
      </c>
    </row>
    <row r="134" spans="3:23" ht="15" thickBot="1">
      <c r="C134" s="153" t="s">
        <v>87</v>
      </c>
      <c r="D134" s="154" t="s">
        <v>63</v>
      </c>
      <c r="E134" s="39"/>
      <c r="F134" s="146">
        <v>4</v>
      </c>
      <c r="G134" s="147">
        <v>0</v>
      </c>
      <c r="H134" s="146">
        <v>0</v>
      </c>
      <c r="I134" s="147">
        <v>0</v>
      </c>
      <c r="J134" s="147">
        <v>0</v>
      </c>
      <c r="K134" s="79">
        <v>0</v>
      </c>
      <c r="L134" s="79">
        <v>0</v>
      </c>
      <c r="M134" s="79">
        <v>0</v>
      </c>
      <c r="N134" s="147">
        <v>0</v>
      </c>
      <c r="O134" s="147">
        <v>0</v>
      </c>
      <c r="P134" s="148">
        <v>12</v>
      </c>
    </row>
    <row r="135" spans="3:23" ht="15" thickBot="1">
      <c r="C135" s="153" t="s">
        <v>89</v>
      </c>
      <c r="D135" s="154" t="s">
        <v>229</v>
      </c>
      <c r="E135" s="39" t="s">
        <v>29</v>
      </c>
      <c r="F135" s="146">
        <v>0</v>
      </c>
      <c r="G135" s="147">
        <v>0</v>
      </c>
      <c r="H135" s="146">
        <v>0</v>
      </c>
      <c r="I135" s="147">
        <v>0</v>
      </c>
      <c r="J135" s="147">
        <v>0</v>
      </c>
      <c r="K135" s="79">
        <v>1</v>
      </c>
      <c r="L135" s="79">
        <v>0</v>
      </c>
      <c r="M135" s="79">
        <v>0</v>
      </c>
      <c r="N135" s="147">
        <v>0</v>
      </c>
      <c r="O135" s="147">
        <v>0</v>
      </c>
      <c r="P135" s="148">
        <v>12</v>
      </c>
    </row>
    <row r="136" spans="3:23" ht="15" thickBot="1">
      <c r="C136" s="155" t="s">
        <v>91</v>
      </c>
      <c r="D136" s="156" t="s">
        <v>231</v>
      </c>
      <c r="E136" s="39" t="s">
        <v>29</v>
      </c>
      <c r="F136" s="94">
        <v>0</v>
      </c>
      <c r="G136" s="93">
        <v>0</v>
      </c>
      <c r="H136" s="93">
        <v>0</v>
      </c>
      <c r="I136" s="93">
        <v>0</v>
      </c>
      <c r="J136" s="93">
        <v>0</v>
      </c>
      <c r="K136" s="79">
        <v>1</v>
      </c>
      <c r="L136" s="79">
        <v>0</v>
      </c>
      <c r="M136" s="79">
        <v>0</v>
      </c>
      <c r="N136" s="93">
        <v>0</v>
      </c>
      <c r="O136" s="93">
        <v>0</v>
      </c>
      <c r="P136" s="143">
        <v>10</v>
      </c>
    </row>
    <row r="137" spans="3:23" ht="15" thickBot="1">
      <c r="C137" s="155" t="s">
        <v>93</v>
      </c>
      <c r="D137" s="156" t="s">
        <v>229</v>
      </c>
      <c r="E137" s="39" t="s">
        <v>29</v>
      </c>
      <c r="F137" s="94">
        <v>0</v>
      </c>
      <c r="G137" s="93">
        <v>0</v>
      </c>
      <c r="H137" s="93">
        <v>0</v>
      </c>
      <c r="I137" s="93">
        <v>0</v>
      </c>
      <c r="J137" s="93">
        <v>0</v>
      </c>
      <c r="K137" s="79">
        <v>1</v>
      </c>
      <c r="L137" s="79">
        <v>0</v>
      </c>
      <c r="M137" s="79">
        <v>0</v>
      </c>
      <c r="N137" s="93">
        <v>0</v>
      </c>
      <c r="O137" s="93">
        <v>0</v>
      </c>
      <c r="P137" s="143">
        <v>10</v>
      </c>
    </row>
    <row r="138" spans="3:23" ht="15" thickBot="1">
      <c r="C138" s="157" t="s">
        <v>105</v>
      </c>
      <c r="D138" s="158" t="s">
        <v>232</v>
      </c>
      <c r="E138" s="39" t="s">
        <v>29</v>
      </c>
      <c r="F138" s="95">
        <v>16</v>
      </c>
      <c r="G138" s="95">
        <v>0</v>
      </c>
      <c r="H138" s="149">
        <v>0</v>
      </c>
      <c r="I138" s="95">
        <v>0</v>
      </c>
      <c r="J138" s="95">
        <v>0</v>
      </c>
      <c r="K138" s="79">
        <v>0</v>
      </c>
      <c r="L138" s="79">
        <v>0</v>
      </c>
      <c r="M138" s="79">
        <v>1</v>
      </c>
      <c r="N138" s="95">
        <v>0</v>
      </c>
      <c r="O138" s="95">
        <v>0</v>
      </c>
      <c r="P138" s="150">
        <v>4</v>
      </c>
    </row>
    <row r="139" spans="3:23" ht="15" thickBot="1">
      <c r="C139" s="157" t="s">
        <v>107</v>
      </c>
      <c r="D139" s="158" t="s">
        <v>232</v>
      </c>
      <c r="E139" s="39" t="s">
        <v>29</v>
      </c>
      <c r="F139" s="95">
        <v>16</v>
      </c>
      <c r="G139" s="95">
        <v>0</v>
      </c>
      <c r="H139" s="149">
        <v>0</v>
      </c>
      <c r="I139" s="95">
        <v>0</v>
      </c>
      <c r="J139" s="95">
        <v>0</v>
      </c>
      <c r="K139" s="79">
        <v>0</v>
      </c>
      <c r="L139" s="79">
        <v>0</v>
      </c>
      <c r="M139" s="79">
        <v>1</v>
      </c>
      <c r="N139" s="95">
        <v>0</v>
      </c>
      <c r="O139" s="95">
        <v>0</v>
      </c>
      <c r="P139" s="150">
        <v>4</v>
      </c>
    </row>
    <row r="140" spans="3:23" ht="15" thickBot="1">
      <c r="C140" s="157" t="s">
        <v>109</v>
      </c>
      <c r="D140" s="158" t="s">
        <v>232</v>
      </c>
      <c r="E140" s="39" t="s">
        <v>29</v>
      </c>
      <c r="F140" s="95">
        <v>24</v>
      </c>
      <c r="G140" s="95">
        <v>0</v>
      </c>
      <c r="H140" s="149">
        <v>0</v>
      </c>
      <c r="I140" s="95">
        <v>0</v>
      </c>
      <c r="J140" s="95">
        <v>0</v>
      </c>
      <c r="K140" s="79">
        <v>0</v>
      </c>
      <c r="L140" s="79">
        <v>0</v>
      </c>
      <c r="M140" s="79">
        <v>0</v>
      </c>
      <c r="N140" s="95">
        <v>0</v>
      </c>
      <c r="O140" s="95">
        <v>0</v>
      </c>
      <c r="P140" s="150">
        <v>4</v>
      </c>
    </row>
    <row r="141" spans="3:23" ht="15" thickBot="1">
      <c r="C141" s="210" t="s">
        <v>97</v>
      </c>
      <c r="D141" s="158" t="s">
        <v>232</v>
      </c>
      <c r="E141" s="39" t="s">
        <v>29</v>
      </c>
      <c r="F141" s="95">
        <v>0</v>
      </c>
      <c r="G141" s="95">
        <v>0</v>
      </c>
      <c r="H141" s="149">
        <v>0</v>
      </c>
      <c r="I141" s="95">
        <v>0</v>
      </c>
      <c r="J141" s="95">
        <v>0</v>
      </c>
      <c r="K141" s="79">
        <v>1</v>
      </c>
      <c r="L141" s="79">
        <v>0</v>
      </c>
      <c r="M141" s="79">
        <v>0</v>
      </c>
      <c r="N141" s="95">
        <v>0</v>
      </c>
      <c r="O141" s="95">
        <v>0</v>
      </c>
      <c r="P141" s="150">
        <v>4</v>
      </c>
    </row>
    <row r="142" spans="3:23" ht="15" thickBot="1">
      <c r="C142" s="210" t="s">
        <v>99</v>
      </c>
      <c r="D142" s="158" t="s">
        <v>232</v>
      </c>
      <c r="E142" s="39" t="s">
        <v>29</v>
      </c>
      <c r="F142" s="95">
        <v>0</v>
      </c>
      <c r="G142" s="95">
        <v>0</v>
      </c>
      <c r="H142" s="149">
        <v>0</v>
      </c>
      <c r="I142" s="95">
        <v>0</v>
      </c>
      <c r="J142" s="95">
        <v>0</v>
      </c>
      <c r="K142" s="79">
        <v>1</v>
      </c>
      <c r="L142" s="79">
        <v>0</v>
      </c>
      <c r="M142" s="79">
        <v>0</v>
      </c>
      <c r="N142" s="95">
        <v>0</v>
      </c>
      <c r="O142" s="95">
        <v>0</v>
      </c>
      <c r="P142" s="150">
        <v>4</v>
      </c>
    </row>
    <row r="143" spans="3:23" ht="15" thickBot="1">
      <c r="C143" s="234" t="s">
        <v>101</v>
      </c>
      <c r="D143" s="158" t="s">
        <v>232</v>
      </c>
      <c r="E143" s="39" t="s">
        <v>29</v>
      </c>
      <c r="F143" s="95">
        <v>0</v>
      </c>
      <c r="G143" s="95">
        <v>0</v>
      </c>
      <c r="H143" s="149">
        <v>0</v>
      </c>
      <c r="I143" s="95">
        <v>0</v>
      </c>
      <c r="J143" s="95">
        <v>0</v>
      </c>
      <c r="K143" s="79">
        <v>1</v>
      </c>
      <c r="L143" s="79">
        <v>0</v>
      </c>
      <c r="M143" s="79">
        <v>0</v>
      </c>
      <c r="N143" s="95">
        <v>0</v>
      </c>
      <c r="O143" s="95">
        <v>0</v>
      </c>
      <c r="P143" s="150">
        <v>4</v>
      </c>
    </row>
    <row r="144" spans="3:23" ht="15" thickBot="1">
      <c r="C144" s="210" t="s">
        <v>111</v>
      </c>
      <c r="D144" s="158" t="s">
        <v>232</v>
      </c>
      <c r="E144" s="39" t="s">
        <v>29</v>
      </c>
      <c r="F144" s="95">
        <v>0</v>
      </c>
      <c r="G144" s="95">
        <v>0</v>
      </c>
      <c r="H144" s="149">
        <v>0</v>
      </c>
      <c r="I144" s="95">
        <v>0</v>
      </c>
      <c r="J144" s="95">
        <v>0</v>
      </c>
      <c r="K144" s="79">
        <v>0</v>
      </c>
      <c r="L144" s="79">
        <v>0</v>
      </c>
      <c r="M144" s="79">
        <v>1</v>
      </c>
      <c r="N144" s="95">
        <v>0</v>
      </c>
      <c r="O144" s="95">
        <v>0</v>
      </c>
      <c r="P144" s="150">
        <v>4</v>
      </c>
    </row>
    <row r="145" spans="3:16" ht="15" thickBot="1">
      <c r="C145" s="157" t="s">
        <v>95</v>
      </c>
      <c r="D145" s="158" t="s">
        <v>232</v>
      </c>
      <c r="E145" s="39" t="s">
        <v>29</v>
      </c>
      <c r="F145" s="95">
        <v>0</v>
      </c>
      <c r="G145" s="95">
        <v>0</v>
      </c>
      <c r="H145" s="149">
        <v>0</v>
      </c>
      <c r="I145" s="95">
        <v>0</v>
      </c>
      <c r="J145" s="95">
        <v>0</v>
      </c>
      <c r="K145" s="79">
        <v>1</v>
      </c>
      <c r="L145" s="79">
        <v>0</v>
      </c>
      <c r="M145" s="79">
        <v>0</v>
      </c>
      <c r="N145" s="95">
        <v>0</v>
      </c>
      <c r="O145" s="95">
        <v>0</v>
      </c>
      <c r="P145" s="150">
        <v>4</v>
      </c>
    </row>
    <row r="146" spans="3:16" ht="15" thickBot="1">
      <c r="C146" s="157" t="s">
        <v>105</v>
      </c>
      <c r="D146" s="158" t="s">
        <v>232</v>
      </c>
      <c r="E146" s="39" t="s">
        <v>29</v>
      </c>
      <c r="F146" s="95">
        <v>16</v>
      </c>
      <c r="G146" s="95">
        <v>0</v>
      </c>
      <c r="H146" s="149">
        <v>0</v>
      </c>
      <c r="I146" s="95">
        <v>0</v>
      </c>
      <c r="J146" s="95">
        <v>0</v>
      </c>
      <c r="K146" s="79">
        <v>0</v>
      </c>
      <c r="L146" s="79">
        <v>0</v>
      </c>
      <c r="M146" s="79">
        <v>1</v>
      </c>
      <c r="N146" s="95">
        <v>0</v>
      </c>
      <c r="O146" s="95">
        <v>0</v>
      </c>
      <c r="P146" s="1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Fitzgerald</dc:creator>
  <cp:keywords/>
  <dc:description/>
  <cp:lastModifiedBy/>
  <cp:revision/>
  <dcterms:created xsi:type="dcterms:W3CDTF">2024-09-16T21:31:14Z</dcterms:created>
  <dcterms:modified xsi:type="dcterms:W3CDTF">2026-05-21T10:53:12Z</dcterms:modified>
  <cp:category/>
  <cp:contentStatus/>
</cp:coreProperties>
</file>